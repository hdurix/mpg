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3360" yWindow="-60" windowWidth="21630" windowHeight="10290" tabRatio="778" activeTab="1"/>
  </bookViews>
  <sheets>
    <sheet name="Achats" sheetId="10" r:id="rId1"/>
    <sheet name="MPG 2016" sheetId="9" r:id="rId2"/>
    <sheet name="Correspondance" sheetId="11" r:id="rId3"/>
    <sheet name="Data" sheetId="12" r:id="rId4"/>
    <sheet name="Mercato" sheetId="13" r:id="rId5"/>
    <sheet name="Cotes" sheetId="14" r:id="rId6"/>
    <sheet name="Feuil1" sheetId="15" r:id="rId7"/>
  </sheets>
  <functionGroups builtInGroupCount="17"/>
  <definedNames>
    <definedName name="_DATA">Data!$A$16:$AQ$625</definedName>
    <definedName name="_EQUIPES">Correspondance!$J$2:$K$21</definedName>
    <definedName name="_xlnm._FilterDatabase" localSheetId="0" hidden="1">Achats!$A$1:$H$279</definedName>
    <definedName name="_xlnm._FilterDatabase" localSheetId="2" hidden="1">Correspondance!$A$1:$G$162</definedName>
    <definedName name="_xlnm._FilterDatabase" localSheetId="5" hidden="1">Cotes!$A$1:$I$564</definedName>
    <definedName name="_xlnm._FilterDatabase" localSheetId="3" hidden="1">Data!$A$15:$AR$591</definedName>
    <definedName name="_xlnm._FilterDatabase" localSheetId="1" hidden="1">'MPG 2016'!$B$2:$O$177</definedName>
    <definedName name="_JOUEURS">Correspondance!$F$2:$G$293</definedName>
    <definedName name="_MPG">'MPG 2016'!$A$2:$O$185</definedName>
    <definedName name="_STATS" localSheetId="0">Achats!$A$1:$G$279</definedName>
    <definedName name="mpg_fr" localSheetId="1">'MPG 2016'!$B$3:$F$160</definedName>
  </definedNames>
  <calcPr calcId="145621"/>
  <pivotCaches>
    <pivotCache cacheId="20" r:id="rId8"/>
    <pivotCache cacheId="24" r:id="rId9"/>
    <pivotCache cacheId="27" r:id="rId10"/>
  </pivotCaches>
</workbook>
</file>

<file path=xl/calcChain.xml><?xml version="1.0" encoding="utf-8"?>
<calcChain xmlns="http://schemas.openxmlformats.org/spreadsheetml/2006/main">
  <c r="I21" i="12" l="1"/>
  <c r="I266" i="12"/>
  <c r="I262" i="12"/>
  <c r="I46" i="12"/>
  <c r="I261" i="12"/>
  <c r="I260" i="12"/>
  <c r="I259" i="12"/>
  <c r="I88" i="12"/>
  <c r="I458" i="12"/>
  <c r="I455" i="12"/>
  <c r="I454" i="12"/>
  <c r="I453" i="12"/>
  <c r="I452" i="12"/>
  <c r="I315" i="12"/>
  <c r="I29" i="12"/>
  <c r="I38" i="12"/>
  <c r="I519" i="12"/>
  <c r="I118" i="12"/>
  <c r="I45" i="12"/>
  <c r="I255" i="12"/>
  <c r="I87" i="12"/>
  <c r="I254" i="12"/>
  <c r="I252" i="12"/>
  <c r="I251" i="12"/>
  <c r="I103" i="12"/>
  <c r="I448" i="12"/>
  <c r="I447" i="12"/>
  <c r="I446" i="12"/>
  <c r="I445" i="12"/>
  <c r="I312" i="12"/>
  <c r="I117" i="12"/>
  <c r="I116" i="12"/>
  <c r="I514" i="12"/>
  <c r="I86" i="12"/>
  <c r="I248" i="12"/>
  <c r="I85" i="12"/>
  <c r="I246" i="12"/>
  <c r="I245" i="12"/>
  <c r="I244" i="12"/>
  <c r="I243" i="12"/>
  <c r="I440" i="12"/>
  <c r="I439" i="12"/>
  <c r="I438" i="12"/>
  <c r="I437" i="12"/>
  <c r="I308" i="12"/>
  <c r="I512" i="12"/>
  <c r="I57" i="12"/>
  <c r="I37" i="12"/>
  <c r="I33" i="12"/>
  <c r="I242" i="12"/>
  <c r="I32" i="12"/>
  <c r="I239" i="12"/>
  <c r="I84" i="12"/>
  <c r="I31" i="12"/>
  <c r="I434" i="12"/>
  <c r="I432" i="12"/>
  <c r="I431" i="12"/>
  <c r="I102" i="12"/>
  <c r="I430" i="12"/>
  <c r="I307" i="12"/>
  <c r="I305" i="12"/>
  <c r="I508" i="12"/>
  <c r="I28" i="12"/>
  <c r="I36" i="12"/>
  <c r="I44" i="12"/>
  <c r="I83" i="12"/>
  <c r="I82" i="12"/>
  <c r="I43" i="12"/>
  <c r="I235" i="12"/>
  <c r="I234" i="12"/>
  <c r="I233" i="12"/>
  <c r="I232" i="12"/>
  <c r="I425" i="12"/>
  <c r="I101" i="12"/>
  <c r="I423" i="12"/>
  <c r="I100" i="12"/>
  <c r="I422" i="12"/>
  <c r="I421" i="12"/>
  <c r="I19" i="12"/>
  <c r="I115" i="12"/>
  <c r="I56" i="12"/>
  <c r="I81" i="12"/>
  <c r="I80" i="12"/>
  <c r="I22" i="12"/>
  <c r="I228" i="12"/>
  <c r="I227" i="12"/>
  <c r="I226" i="12"/>
  <c r="I418" i="12"/>
  <c r="I417" i="12"/>
  <c r="I416" i="12"/>
  <c r="I415" i="12"/>
  <c r="I414" i="12"/>
  <c r="I413" i="12"/>
  <c r="I301" i="12"/>
  <c r="I114" i="12"/>
  <c r="I54" i="12"/>
  <c r="I113" i="12"/>
  <c r="I503" i="12"/>
  <c r="I223" i="12"/>
  <c r="I79" i="12"/>
  <c r="I78" i="12"/>
  <c r="I222" i="12"/>
  <c r="I221" i="12"/>
  <c r="I412" i="12"/>
  <c r="I410" i="12"/>
  <c r="I409" i="12"/>
  <c r="I407" i="12"/>
  <c r="I406" i="12"/>
  <c r="I405" i="12"/>
  <c r="I404" i="12"/>
  <c r="I299" i="12"/>
  <c r="I502" i="12"/>
  <c r="I501" i="12"/>
  <c r="I500" i="12"/>
  <c r="I499" i="12"/>
  <c r="I498" i="12"/>
  <c r="I77" i="12"/>
  <c r="I76" i="12"/>
  <c r="I216" i="12"/>
  <c r="I215" i="12"/>
  <c r="I75" i="12"/>
  <c r="I403" i="12"/>
  <c r="I401" i="12"/>
  <c r="I400" i="12"/>
  <c r="I399" i="12"/>
  <c r="I398" i="12"/>
  <c r="I397" i="12"/>
  <c r="I396" i="12"/>
  <c r="I298" i="12"/>
  <c r="I18" i="12"/>
  <c r="I53" i="12"/>
  <c r="I496" i="12"/>
  <c r="I112" i="12"/>
  <c r="I212" i="12"/>
  <c r="I211" i="12"/>
  <c r="I210" i="12"/>
  <c r="I209" i="12"/>
  <c r="I208" i="12"/>
  <c r="I207" i="12"/>
  <c r="I206" i="12"/>
  <c r="I394" i="12"/>
  <c r="I96" i="12"/>
  <c r="I392" i="12"/>
  <c r="I98" i="12"/>
  <c r="I391" i="12"/>
  <c r="I296" i="12"/>
  <c r="I295" i="12"/>
  <c r="I27" i="12"/>
  <c r="I491" i="12"/>
  <c r="I205" i="12"/>
  <c r="I204" i="12"/>
  <c r="I203" i="12"/>
  <c r="I201" i="12"/>
  <c r="I16" i="12"/>
  <c r="I200" i="12"/>
  <c r="I198" i="12"/>
  <c r="I197" i="12"/>
  <c r="I196" i="12"/>
  <c r="I195" i="12"/>
  <c r="I390" i="12"/>
  <c r="I389" i="12"/>
  <c r="I388" i="12"/>
  <c r="I97" i="12"/>
  <c r="I387" i="12"/>
  <c r="I386" i="12"/>
  <c r="I385" i="12"/>
  <c r="I294" i="12"/>
  <c r="I293" i="12"/>
  <c r="I26" i="12"/>
  <c r="I52" i="12"/>
  <c r="I51" i="12"/>
  <c r="I20" i="12"/>
  <c r="I74" i="12"/>
  <c r="I189" i="12"/>
  <c r="I188" i="12"/>
  <c r="I42" i="12"/>
  <c r="I73" i="12"/>
  <c r="I383" i="12"/>
  <c r="I382" i="12"/>
  <c r="I381" i="12"/>
  <c r="I380" i="12"/>
  <c r="I379" i="12"/>
  <c r="I378" i="12"/>
  <c r="I292" i="12"/>
  <c r="I291" i="12"/>
  <c r="I490" i="12"/>
  <c r="I55" i="12"/>
  <c r="I50" i="12"/>
  <c r="I488" i="12"/>
  <c r="I184" i="12"/>
  <c r="I183" i="12"/>
  <c r="I182" i="12"/>
  <c r="I72" i="12"/>
  <c r="I181" i="12"/>
  <c r="I180" i="12"/>
  <c r="I71" i="12"/>
  <c r="I375" i="12"/>
  <c r="I374" i="12"/>
  <c r="I95" i="12"/>
  <c r="I373" i="12"/>
  <c r="I372" i="12"/>
  <c r="I290" i="12"/>
  <c r="I289" i="12"/>
  <c r="I111" i="12"/>
  <c r="I110" i="12"/>
  <c r="I35" i="12"/>
  <c r="I174" i="12"/>
  <c r="I173" i="12"/>
  <c r="I172" i="12"/>
  <c r="I69" i="12"/>
  <c r="I365" i="12"/>
  <c r="I371" i="12"/>
  <c r="I364" i="12"/>
  <c r="I363" i="12"/>
  <c r="I288" i="12"/>
  <c r="I287" i="12"/>
  <c r="I482" i="12"/>
  <c r="I109" i="12"/>
  <c r="I480" i="12"/>
  <c r="I478" i="12"/>
  <c r="I477" i="12"/>
  <c r="I476" i="12"/>
  <c r="I168" i="12"/>
  <c r="I167" i="12"/>
  <c r="I166" i="12"/>
  <c r="I165" i="12"/>
  <c r="I164" i="12"/>
  <c r="I362" i="12"/>
  <c r="I360" i="12"/>
  <c r="I359" i="12"/>
  <c r="I358" i="12"/>
  <c r="I357" i="12"/>
  <c r="I94" i="12"/>
  <c r="I24" i="12"/>
  <c r="I284" i="12"/>
  <c r="I492" i="12"/>
  <c r="I49" i="12"/>
  <c r="I23" i="12"/>
  <c r="I162" i="12"/>
  <c r="I161" i="12"/>
  <c r="I157" i="12"/>
  <c r="I68" i="12"/>
  <c r="I67" i="12"/>
  <c r="I156" i="12"/>
  <c r="I66" i="12"/>
  <c r="I351" i="12"/>
  <c r="I93" i="12"/>
  <c r="I350" i="12"/>
  <c r="I349" i="12"/>
  <c r="I356" i="12"/>
  <c r="I282" i="12"/>
  <c r="I281" i="12"/>
  <c r="I25" i="12"/>
  <c r="I108" i="12"/>
  <c r="I473" i="12"/>
  <c r="I107" i="12"/>
  <c r="I153" i="12"/>
  <c r="I40" i="12"/>
  <c r="I138" i="12"/>
  <c r="I150" i="12"/>
  <c r="I347" i="12"/>
  <c r="I346" i="12"/>
  <c r="I91" i="12"/>
  <c r="I345" i="12"/>
  <c r="I344" i="12"/>
  <c r="I355" i="12"/>
  <c r="I343" i="12"/>
  <c r="I17" i="12"/>
  <c r="I470" i="12"/>
  <c r="I34" i="12"/>
  <c r="I41" i="12"/>
  <c r="I147" i="12"/>
  <c r="I65" i="12"/>
  <c r="I144" i="12"/>
  <c r="I143" i="12"/>
  <c r="I142" i="12"/>
  <c r="I141" i="12"/>
  <c r="I342" i="12"/>
  <c r="I341" i="12"/>
  <c r="I340" i="12"/>
  <c r="I339" i="12"/>
  <c r="I92" i="12"/>
  <c r="I338" i="12"/>
  <c r="I278" i="12"/>
  <c r="I48" i="12"/>
  <c r="I466" i="12"/>
  <c r="I39" i="12"/>
  <c r="I62" i="12"/>
  <c r="I64" i="12"/>
  <c r="I136" i="12"/>
  <c r="I63" i="12"/>
  <c r="I135" i="12"/>
  <c r="I134" i="12"/>
  <c r="I133" i="12"/>
  <c r="I61" i="12"/>
  <c r="I336" i="12"/>
  <c r="I335" i="12"/>
  <c r="I334" i="12"/>
  <c r="I47" i="12"/>
  <c r="I348" i="12"/>
  <c r="I274" i="12"/>
  <c r="I273" i="12"/>
  <c r="I465" i="12"/>
  <c r="I106" i="12"/>
  <c r="I462" i="12"/>
  <c r="I131" i="12"/>
  <c r="I60" i="12"/>
  <c r="I30" i="12"/>
  <c r="I128" i="12"/>
  <c r="I127" i="12"/>
  <c r="I332" i="12"/>
  <c r="I330" i="12"/>
  <c r="I329" i="12"/>
  <c r="I328" i="12"/>
  <c r="I327" i="12"/>
  <c r="I326" i="12"/>
  <c r="I325" i="12"/>
  <c r="I270" i="12"/>
  <c r="I105" i="12"/>
  <c r="I104" i="12"/>
  <c r="I59" i="12"/>
  <c r="I58" i="12"/>
  <c r="I124" i="12"/>
  <c r="I123" i="12"/>
  <c r="I122" i="12"/>
  <c r="I121" i="12"/>
  <c r="I120" i="12"/>
  <c r="I320" i="12"/>
  <c r="I319" i="12"/>
  <c r="I90" i="12"/>
  <c r="I318" i="12"/>
  <c r="I267" i="12"/>
  <c r="G2" i="11" l="1"/>
  <c r="F2" i="10" l="1"/>
  <c r="G2" i="10"/>
  <c r="F3" i="10"/>
  <c r="G3" i="10"/>
  <c r="F4" i="10"/>
  <c r="G4" i="10"/>
  <c r="F5" i="10"/>
  <c r="G5" i="10"/>
  <c r="F6" i="10"/>
  <c r="G6" i="10"/>
  <c r="A410" i="12" l="1"/>
  <c r="A411" i="12"/>
  <c r="A412" i="12"/>
  <c r="A156" i="12"/>
  <c r="A162" i="12"/>
  <c r="A323" i="12"/>
  <c r="A458" i="12"/>
  <c r="A336" i="12"/>
  <c r="A221" i="12"/>
  <c r="A471" i="12"/>
  <c r="A222" i="12"/>
  <c r="A352" i="12"/>
  <c r="A291" i="12"/>
  <c r="A431" i="12"/>
  <c r="A31" i="12"/>
  <c r="A26" i="12"/>
  <c r="A355" i="12"/>
  <c r="A108" i="12"/>
  <c r="A78" i="12"/>
  <c r="A482" i="12"/>
  <c r="A144" i="12"/>
  <c r="A366" i="12"/>
  <c r="A23" i="12"/>
  <c r="A24" i="12"/>
  <c r="A79" i="12"/>
  <c r="A463" i="12"/>
  <c r="A492" i="12"/>
  <c r="A360" i="12"/>
  <c r="A130" i="12"/>
  <c r="A334" i="12"/>
  <c r="A401" i="12"/>
  <c r="A223" i="12"/>
  <c r="A165" i="12"/>
  <c r="A267" i="12"/>
  <c r="A224" i="12"/>
  <c r="A278" i="12"/>
  <c r="A225" i="12"/>
  <c r="A201" i="12"/>
  <c r="A466" i="12"/>
  <c r="A84" i="12"/>
  <c r="A33" i="12"/>
  <c r="A37" i="12"/>
  <c r="A41" i="12"/>
  <c r="A169" i="12"/>
  <c r="A503" i="12"/>
  <c r="A54" i="12"/>
  <c r="A485" i="12"/>
  <c r="A345" i="12"/>
  <c r="A284" i="12"/>
  <c r="A420" i="12"/>
  <c r="A72" i="12"/>
  <c r="A114" i="12"/>
  <c r="A52" i="12"/>
  <c r="A421" i="12"/>
  <c r="A67" i="12"/>
  <c r="A17" i="12"/>
  <c r="A301" i="12"/>
  <c r="A280" i="12"/>
  <c r="A209" i="12"/>
  <c r="A344" i="12"/>
  <c r="A164" i="12"/>
  <c r="A302" i="12"/>
  <c r="A303" i="12"/>
  <c r="A331" i="12"/>
  <c r="A298" i="12"/>
  <c r="A512" i="12"/>
  <c r="A310" i="12"/>
  <c r="A268" i="12"/>
  <c r="A367" i="12"/>
  <c r="A276" i="12"/>
  <c r="A211" i="12"/>
  <c r="A91" i="12"/>
  <c r="A464" i="12"/>
  <c r="A274" i="12"/>
  <c r="A468" i="12"/>
  <c r="A413" i="12"/>
  <c r="A285" i="12"/>
  <c r="A346" i="12"/>
  <c r="A125" i="12"/>
  <c r="A414" i="12"/>
  <c r="A415" i="12"/>
  <c r="A104" i="12"/>
  <c r="A99" i="12"/>
  <c r="A416" i="12"/>
  <c r="A160" i="12"/>
  <c r="A296" i="12"/>
  <c r="A333" i="12"/>
  <c r="A311" i="12"/>
  <c r="A320" i="12"/>
  <c r="A437" i="12"/>
  <c r="A110" i="12"/>
  <c r="A465" i="12"/>
  <c r="A417" i="12"/>
  <c r="A322" i="12"/>
  <c r="A65" i="12"/>
  <c r="A146" i="12"/>
  <c r="A275" i="12"/>
  <c r="A357" i="12"/>
  <c r="A418" i="12"/>
  <c r="A419" i="12"/>
  <c r="A226" i="12"/>
  <c r="A462" i="12"/>
  <c r="A183" i="12"/>
  <c r="A132" i="12"/>
  <c r="A62" i="12"/>
  <c r="A361" i="12"/>
  <c r="A227" i="12"/>
  <c r="A228" i="12"/>
  <c r="A22" i="12"/>
  <c r="A377" i="12"/>
  <c r="A273" i="12"/>
  <c r="A105" i="12"/>
  <c r="A326" i="12"/>
  <c r="A113" i="12"/>
  <c r="A483" i="12"/>
  <c r="A229" i="12"/>
  <c r="A230" i="12"/>
  <c r="A34" i="12"/>
  <c r="A389" i="12"/>
  <c r="A380" i="12"/>
  <c r="A488" i="12"/>
  <c r="A16" i="12"/>
  <c r="A231" i="12"/>
  <c r="A81" i="12"/>
  <c r="A163" i="12"/>
  <c r="A25" i="12"/>
  <c r="A68" i="12"/>
  <c r="A490" i="12"/>
  <c r="A279" i="12"/>
  <c r="A56" i="12"/>
  <c r="A59" i="12"/>
  <c r="A504" i="12"/>
  <c r="A202" i="12"/>
  <c r="A203" i="12"/>
  <c r="A293" i="12"/>
  <c r="A459" i="12"/>
  <c r="A403" i="12"/>
  <c r="A158" i="12"/>
  <c r="A246" i="12"/>
  <c r="A204" i="12"/>
  <c r="A140" i="12"/>
  <c r="A505" i="12"/>
  <c r="A35" i="12"/>
  <c r="A94" i="12"/>
  <c r="A498" i="12"/>
  <c r="A354" i="12"/>
  <c r="A194" i="12"/>
  <c r="A74" i="12"/>
  <c r="A506" i="12"/>
  <c r="A19" i="12"/>
  <c r="A422" i="12"/>
  <c r="A43" i="12"/>
  <c r="A166" i="12"/>
  <c r="A154" i="12"/>
  <c r="A244" i="12"/>
  <c r="A100" i="12"/>
  <c r="A101" i="12"/>
  <c r="A424" i="12"/>
  <c r="A425" i="12"/>
  <c r="A426" i="12"/>
  <c r="A427" i="12"/>
  <c r="A122" i="12"/>
  <c r="A192" i="12"/>
  <c r="A467" i="12"/>
  <c r="A85" i="12"/>
  <c r="A248" i="12"/>
  <c r="A249" i="12"/>
  <c r="A515" i="12"/>
  <c r="A518" i="12"/>
  <c r="A185" i="12"/>
  <c r="A47" i="12"/>
  <c r="A428" i="12"/>
  <c r="A392" i="12"/>
  <c r="A402" i="12"/>
  <c r="A408" i="12"/>
  <c r="A373" i="12"/>
  <c r="A213" i="12"/>
  <c r="A429" i="12"/>
  <c r="A232" i="12"/>
  <c r="A134" i="12"/>
  <c r="A170" i="12"/>
  <c r="A155" i="12"/>
  <c r="A493" i="12"/>
  <c r="A182" i="12"/>
  <c r="A477" i="12"/>
  <c r="A167" i="12"/>
  <c r="A233" i="12"/>
  <c r="A234" i="12"/>
  <c r="A235" i="12"/>
  <c r="A286" i="12"/>
  <c r="A142" i="12"/>
  <c r="A88" i="12"/>
  <c r="A90" i="12"/>
  <c r="A71" i="12"/>
  <c r="A370" i="12"/>
  <c r="A395" i="12"/>
  <c r="A109" i="12"/>
  <c r="A470" i="12"/>
  <c r="A472" i="12"/>
  <c r="A475" i="12"/>
  <c r="A288" i="12"/>
  <c r="A42" i="12"/>
  <c r="A212" i="12"/>
  <c r="A127" i="12"/>
  <c r="A241" i="12"/>
  <c r="A151" i="12"/>
  <c r="A364" i="12"/>
  <c r="A176" i="12"/>
  <c r="A82" i="12"/>
  <c r="A83" i="12"/>
  <c r="A44" i="12"/>
  <c r="A236" i="12"/>
  <c r="A337" i="12"/>
  <c r="A321" i="12"/>
  <c r="A272" i="12"/>
  <c r="A120" i="12"/>
  <c r="A371" i="12"/>
  <c r="A516" i="12"/>
  <c r="A295" i="12"/>
  <c r="A381" i="12"/>
  <c r="A365" i="12"/>
  <c r="A372" i="12"/>
  <c r="A95" i="12"/>
  <c r="A237" i="12"/>
  <c r="A356" i="12"/>
  <c r="A399" i="12"/>
  <c r="A349" i="12"/>
  <c r="A292" i="12"/>
  <c r="A188" i="12"/>
  <c r="A238" i="12"/>
  <c r="A247" i="12"/>
  <c r="A196" i="12"/>
  <c r="A378" i="12"/>
  <c r="A36" i="12"/>
  <c r="A133" i="12"/>
  <c r="A480" i="12"/>
  <c r="A391" i="12"/>
  <c r="A205" i="12"/>
  <c r="A327" i="12"/>
  <c r="A115" i="12"/>
  <c r="A385" i="12"/>
  <c r="A347" i="12"/>
  <c r="A28" i="12"/>
  <c r="A111" i="12"/>
  <c r="A383" i="12"/>
  <c r="A97" i="12"/>
  <c r="A478" i="12"/>
  <c r="A507" i="12"/>
  <c r="A508" i="12"/>
  <c r="A406" i="12"/>
  <c r="A369" i="12"/>
  <c r="A171" i="12"/>
  <c r="A375" i="12"/>
  <c r="A379" i="12"/>
  <c r="A479" i="12"/>
  <c r="A93" i="12"/>
  <c r="A376" i="12"/>
  <c r="A509" i="12"/>
  <c r="A510" i="12"/>
  <c r="A92" i="12"/>
  <c r="A350" i="12"/>
  <c r="A491" i="12"/>
  <c r="A446" i="12"/>
  <c r="A325" i="12"/>
  <c r="A297" i="12"/>
  <c r="A305" i="12"/>
  <c r="A398" i="12"/>
  <c r="A214" i="12"/>
  <c r="A98" i="12"/>
  <c r="A112" i="12"/>
  <c r="A445" i="12"/>
  <c r="A216" i="12"/>
  <c r="A307" i="12"/>
  <c r="A76" i="12"/>
  <c r="A269" i="12"/>
  <c r="A18" i="12"/>
  <c r="A495" i="12"/>
  <c r="A39" i="12"/>
  <c r="A251" i="12"/>
  <c r="A432" i="12"/>
  <c r="A433" i="12"/>
  <c r="A434" i="12"/>
  <c r="A436" i="12"/>
  <c r="A342" i="12"/>
  <c r="A396" i="12"/>
  <c r="A75" i="12"/>
  <c r="A27" i="12"/>
  <c r="A400" i="12"/>
  <c r="A393" i="12"/>
  <c r="A80" i="12"/>
  <c r="A66" i="12"/>
  <c r="A218" i="12"/>
  <c r="A283" i="12"/>
  <c r="A277" i="12"/>
  <c r="A239" i="12"/>
  <c r="A304" i="12"/>
  <c r="A150" i="12"/>
  <c r="A240" i="12"/>
  <c r="A69" i="12"/>
  <c r="A157" i="12"/>
  <c r="A48" i="12"/>
  <c r="A215" i="12"/>
  <c r="A172" i="12"/>
  <c r="A131" i="12"/>
  <c r="A423" i="12"/>
  <c r="A32" i="12"/>
  <c r="A180" i="12"/>
  <c r="A339" i="12"/>
  <c r="A340" i="12"/>
  <c r="A197" i="12"/>
  <c r="A153" i="12"/>
  <c r="A210" i="12"/>
  <c r="A242" i="12"/>
  <c r="A358" i="12"/>
  <c r="A207" i="12"/>
  <c r="A384" i="12"/>
  <c r="A135" i="12"/>
  <c r="A387" i="12"/>
  <c r="A394" i="12"/>
  <c r="A63" i="12"/>
  <c r="A57" i="12"/>
  <c r="A329" i="12"/>
  <c r="A193" i="12"/>
  <c r="A184" i="12"/>
  <c r="A487" i="12"/>
  <c r="A319" i="12"/>
  <c r="A175" i="12"/>
  <c r="A513" i="12"/>
  <c r="A123" i="12"/>
  <c r="A309" i="12"/>
  <c r="A318" i="12"/>
  <c r="A46" i="12"/>
  <c r="A450" i="12"/>
  <c r="A451" i="12"/>
  <c r="A254" i="12"/>
  <c r="A353" i="12"/>
  <c r="A438" i="12"/>
  <c r="A49" i="12"/>
  <c r="A386" i="12"/>
  <c r="A159" i="12"/>
  <c r="A168" i="12"/>
  <c r="A328" i="12"/>
  <c r="A439" i="12"/>
  <c r="A430" i="12"/>
  <c r="A440" i="12"/>
  <c r="A441" i="12"/>
  <c r="A442" i="12"/>
  <c r="A443" i="12"/>
  <c r="A351" i="12"/>
  <c r="A435" i="12"/>
  <c r="A173" i="12"/>
  <c r="A137" i="12"/>
  <c r="A124" i="12"/>
  <c r="A61" i="12"/>
  <c r="A348" i="12"/>
  <c r="A106" i="12"/>
  <c r="A444" i="12"/>
  <c r="A363" i="12"/>
  <c r="A245" i="12"/>
  <c r="A461" i="12"/>
  <c r="A460" i="12"/>
  <c r="A447" i="12"/>
  <c r="A494" i="12"/>
  <c r="A256" i="12"/>
  <c r="A257" i="12"/>
  <c r="A287" i="12"/>
  <c r="A250" i="12"/>
  <c r="A514" i="12"/>
  <c r="A489" i="12"/>
  <c r="A343" i="12"/>
  <c r="A189" i="12"/>
  <c r="A77" i="12"/>
  <c r="A262" i="12"/>
  <c r="A338" i="12"/>
  <c r="A116" i="12"/>
  <c r="A117" i="12"/>
  <c r="A126" i="12"/>
  <c r="A129" i="12"/>
  <c r="A145" i="12"/>
  <c r="A281" i="12"/>
  <c r="A517" i="12"/>
  <c r="A206" i="12"/>
  <c r="A58" i="12"/>
  <c r="A332" i="12"/>
  <c r="A270" i="12"/>
  <c r="A89" i="12"/>
  <c r="A382" i="12"/>
  <c r="A118" i="12"/>
  <c r="A474" i="12"/>
  <c r="A243" i="12"/>
  <c r="A312" i="12"/>
  <c r="A313" i="12"/>
  <c r="A314" i="12"/>
  <c r="A20" i="12"/>
  <c r="A484" i="12"/>
  <c r="A195" i="12"/>
  <c r="A448" i="12"/>
  <c r="A86" i="12"/>
  <c r="A103" i="12"/>
  <c r="A449" i="12"/>
  <c r="A208" i="12"/>
  <c r="A289" i="12"/>
  <c r="A55" i="12"/>
  <c r="A70" i="12"/>
  <c r="A263" i="12"/>
  <c r="A299" i="12"/>
  <c r="A217" i="12"/>
  <c r="A252" i="12"/>
  <c r="A511" i="12"/>
  <c r="A253" i="12"/>
  <c r="A177" i="12"/>
  <c r="A308" i="12"/>
  <c r="A469" i="12"/>
  <c r="A315" i="12"/>
  <c r="A316" i="12"/>
  <c r="A453" i="12"/>
  <c r="A454" i="12"/>
  <c r="A141" i="12"/>
  <c r="A258" i="12"/>
  <c r="A45" i="12"/>
  <c r="A282" i="12"/>
  <c r="A138" i="12"/>
  <c r="A143" i="12"/>
  <c r="A181" i="12"/>
  <c r="A87" i="12"/>
  <c r="A255" i="12"/>
  <c r="A519" i="12"/>
  <c r="A520" i="12"/>
  <c r="A190" i="12"/>
  <c r="A40" i="12"/>
  <c r="A38" i="12"/>
  <c r="A496" i="12"/>
  <c r="A161" i="12"/>
  <c r="A497" i="12"/>
  <c r="A29" i="12"/>
  <c r="A317" i="12"/>
  <c r="A452" i="12"/>
  <c r="A128" i="12"/>
  <c r="A330" i="12"/>
  <c r="A73" i="12"/>
  <c r="A457" i="12"/>
  <c r="A139" i="12"/>
  <c r="A271" i="12"/>
  <c r="A362" i="12"/>
  <c r="A455" i="12"/>
  <c r="A456" i="12"/>
  <c r="A149" i="12"/>
  <c r="A50" i="12"/>
  <c r="A121" i="12"/>
  <c r="A476" i="12"/>
  <c r="A259" i="12"/>
  <c r="A260" i="12"/>
  <c r="A174" i="12"/>
  <c r="A261" i="12"/>
  <c r="A60" i="12"/>
  <c r="A107" i="12"/>
  <c r="A324" i="12"/>
  <c r="A368" i="12"/>
  <c r="A219" i="12"/>
  <c r="A264" i="12"/>
  <c r="A265" i="12"/>
  <c r="A266" i="12"/>
  <c r="A21" i="12"/>
  <c r="A341" i="12"/>
  <c r="A220" i="12"/>
  <c r="A96" i="12"/>
  <c r="A473" i="12"/>
  <c r="A64" i="12"/>
  <c r="A335" i="12"/>
  <c r="A397" i="12"/>
  <c r="A294" i="12"/>
  <c r="A499" i="12"/>
  <c r="A500" i="12"/>
  <c r="A53" i="12"/>
  <c r="A178" i="12"/>
  <c r="A186" i="12"/>
  <c r="A390" i="12"/>
  <c r="A501" i="12"/>
  <c r="A502" i="12"/>
  <c r="A136" i="12"/>
  <c r="A30" i="12"/>
  <c r="A486" i="12"/>
  <c r="A51" i="12"/>
  <c r="A198" i="12"/>
  <c r="A374" i="12"/>
  <c r="A359" i="12"/>
  <c r="A148" i="12"/>
  <c r="A300" i="12"/>
  <c r="A199" i="12"/>
  <c r="A404" i="12"/>
  <c r="A388" i="12"/>
  <c r="A290" i="12"/>
  <c r="A306" i="12"/>
  <c r="A102" i="12"/>
  <c r="A147" i="12"/>
  <c r="A405" i="12"/>
  <c r="A407" i="12"/>
  <c r="A191" i="12"/>
  <c r="A179" i="12"/>
  <c r="A187" i="12"/>
  <c r="A481" i="12"/>
  <c r="A409" i="12"/>
  <c r="A200" i="12"/>
  <c r="X12" i="9"/>
  <c r="X7" i="9"/>
  <c r="X6" i="9"/>
  <c r="Y6" i="9" l="1"/>
  <c r="Y12" i="9"/>
  <c r="Y7" i="9"/>
  <c r="F274" i="11"/>
  <c r="G274" i="11"/>
  <c r="F275" i="11"/>
  <c r="G275" i="11"/>
  <c r="F276" i="11"/>
  <c r="G276" i="11"/>
  <c r="F277" i="11"/>
  <c r="G277" i="11"/>
  <c r="F278" i="11"/>
  <c r="G278" i="11"/>
  <c r="F279" i="11"/>
  <c r="G279" i="11"/>
  <c r="F280" i="11"/>
  <c r="G280" i="11"/>
  <c r="A175" i="9"/>
  <c r="A176" i="9"/>
  <c r="A177" i="9"/>
  <c r="G273" i="11" l="1"/>
  <c r="F273" i="11"/>
  <c r="G272" i="11"/>
  <c r="F272" i="11"/>
  <c r="A139" i="9"/>
  <c r="G271" i="11"/>
  <c r="F271" i="11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G195" i="11" l="1"/>
  <c r="F163" i="11"/>
  <c r="G163" i="11"/>
  <c r="F164" i="11"/>
  <c r="G164" i="11"/>
  <c r="F165" i="11"/>
  <c r="G165" i="11"/>
  <c r="F166" i="11"/>
  <c r="G166" i="11"/>
  <c r="F167" i="11"/>
  <c r="G167" i="11"/>
  <c r="F168" i="11"/>
  <c r="G168" i="11"/>
  <c r="F169" i="11"/>
  <c r="G169" i="11"/>
  <c r="F170" i="11"/>
  <c r="G170" i="11"/>
  <c r="F171" i="11"/>
  <c r="G171" i="11"/>
  <c r="F172" i="11"/>
  <c r="G172" i="11"/>
  <c r="F173" i="11"/>
  <c r="G173" i="11"/>
  <c r="F174" i="11"/>
  <c r="G174" i="11"/>
  <c r="F175" i="11"/>
  <c r="G175" i="11"/>
  <c r="F176" i="11"/>
  <c r="G176" i="11"/>
  <c r="F177" i="11"/>
  <c r="G177" i="11"/>
  <c r="F178" i="11"/>
  <c r="G178" i="11"/>
  <c r="F179" i="11"/>
  <c r="G179" i="11"/>
  <c r="F180" i="11"/>
  <c r="G180" i="11"/>
  <c r="F181" i="11"/>
  <c r="G181" i="11"/>
  <c r="F182" i="11"/>
  <c r="G182" i="11"/>
  <c r="F183" i="11"/>
  <c r="G183" i="11"/>
  <c r="F184" i="11"/>
  <c r="G184" i="11"/>
  <c r="F185" i="11"/>
  <c r="G185" i="11"/>
  <c r="F186" i="11"/>
  <c r="G186" i="11"/>
  <c r="F187" i="11"/>
  <c r="G187" i="11"/>
  <c r="F188" i="11"/>
  <c r="G188" i="11"/>
  <c r="F189" i="11"/>
  <c r="G189" i="11"/>
  <c r="F190" i="11"/>
  <c r="G190" i="11"/>
  <c r="F191" i="11"/>
  <c r="G191" i="11"/>
  <c r="F192" i="11"/>
  <c r="G192" i="11"/>
  <c r="F193" i="11"/>
  <c r="G193" i="11"/>
  <c r="F194" i="11"/>
  <c r="G194" i="11"/>
  <c r="F195" i="11"/>
  <c r="F196" i="11"/>
  <c r="G196" i="11"/>
  <c r="F197" i="11"/>
  <c r="G197" i="11"/>
  <c r="F198" i="11"/>
  <c r="G198" i="11"/>
  <c r="F199" i="11"/>
  <c r="G199" i="11"/>
  <c r="F200" i="11"/>
  <c r="G200" i="11"/>
  <c r="F201" i="11"/>
  <c r="G201" i="11"/>
  <c r="F202" i="11"/>
  <c r="G202" i="11"/>
  <c r="F203" i="11"/>
  <c r="G203" i="11"/>
  <c r="F204" i="11"/>
  <c r="G204" i="11"/>
  <c r="F205" i="11"/>
  <c r="G205" i="11"/>
  <c r="F206" i="11"/>
  <c r="G206" i="11"/>
  <c r="F207" i="11"/>
  <c r="G207" i="11"/>
  <c r="F208" i="11"/>
  <c r="G208" i="11"/>
  <c r="F209" i="11"/>
  <c r="G209" i="11"/>
  <c r="F210" i="11"/>
  <c r="G210" i="11"/>
  <c r="F211" i="11"/>
  <c r="G211" i="11"/>
  <c r="F212" i="11"/>
  <c r="G212" i="11"/>
  <c r="F213" i="11"/>
  <c r="G213" i="11"/>
  <c r="F214" i="11"/>
  <c r="G214" i="11"/>
  <c r="F215" i="11"/>
  <c r="G215" i="11"/>
  <c r="F216" i="11"/>
  <c r="G216" i="11"/>
  <c r="F217" i="11"/>
  <c r="G217" i="11"/>
  <c r="F218" i="11"/>
  <c r="G218" i="11"/>
  <c r="F219" i="11"/>
  <c r="G219" i="11"/>
  <c r="F220" i="11"/>
  <c r="G220" i="11"/>
  <c r="F221" i="11"/>
  <c r="G221" i="11"/>
  <c r="F222" i="11"/>
  <c r="G222" i="11"/>
  <c r="F223" i="11"/>
  <c r="G223" i="11"/>
  <c r="F224" i="11"/>
  <c r="G224" i="11"/>
  <c r="F225" i="11"/>
  <c r="G225" i="11"/>
  <c r="F226" i="11"/>
  <c r="G226" i="11"/>
  <c r="F227" i="11"/>
  <c r="G227" i="11"/>
  <c r="F228" i="11"/>
  <c r="G228" i="11"/>
  <c r="F229" i="11"/>
  <c r="G229" i="11"/>
  <c r="F230" i="11"/>
  <c r="G230" i="11"/>
  <c r="F231" i="11"/>
  <c r="G231" i="11"/>
  <c r="F232" i="11"/>
  <c r="G232" i="11"/>
  <c r="F233" i="11"/>
  <c r="G233" i="11"/>
  <c r="F234" i="11"/>
  <c r="G234" i="11"/>
  <c r="F235" i="11"/>
  <c r="G235" i="11"/>
  <c r="F236" i="11"/>
  <c r="G236" i="11"/>
  <c r="F237" i="11"/>
  <c r="G237" i="11"/>
  <c r="F238" i="11"/>
  <c r="G238" i="11"/>
  <c r="F239" i="11"/>
  <c r="G239" i="11"/>
  <c r="F240" i="11"/>
  <c r="G240" i="11"/>
  <c r="F241" i="11"/>
  <c r="G241" i="11"/>
  <c r="F242" i="11"/>
  <c r="G242" i="11"/>
  <c r="F243" i="11"/>
  <c r="G243" i="11"/>
  <c r="F244" i="11"/>
  <c r="G244" i="11"/>
  <c r="F245" i="11"/>
  <c r="G245" i="11"/>
  <c r="F246" i="11"/>
  <c r="G246" i="11"/>
  <c r="F247" i="11"/>
  <c r="G247" i="11"/>
  <c r="F248" i="11"/>
  <c r="G248" i="11"/>
  <c r="F249" i="11"/>
  <c r="G249" i="11"/>
  <c r="F250" i="11"/>
  <c r="G250" i="11"/>
  <c r="F251" i="11"/>
  <c r="G251" i="11"/>
  <c r="F252" i="11"/>
  <c r="G252" i="11"/>
  <c r="F253" i="11"/>
  <c r="G253" i="11"/>
  <c r="F254" i="11"/>
  <c r="G254" i="11"/>
  <c r="F255" i="11"/>
  <c r="G255" i="11"/>
  <c r="F256" i="11"/>
  <c r="G256" i="11"/>
  <c r="F257" i="11"/>
  <c r="G257" i="11"/>
  <c r="F258" i="11"/>
  <c r="G258" i="11"/>
  <c r="F259" i="11"/>
  <c r="G259" i="11"/>
  <c r="F260" i="11"/>
  <c r="G260" i="11"/>
  <c r="F261" i="11"/>
  <c r="G261" i="11"/>
  <c r="F262" i="11"/>
  <c r="G262" i="11"/>
  <c r="F263" i="11"/>
  <c r="G263" i="11"/>
  <c r="F264" i="11"/>
  <c r="G264" i="11"/>
  <c r="F265" i="11"/>
  <c r="G265" i="11"/>
  <c r="F266" i="11"/>
  <c r="G266" i="11"/>
  <c r="F267" i="11"/>
  <c r="G267" i="11"/>
  <c r="F268" i="11"/>
  <c r="G268" i="11"/>
  <c r="F269" i="11"/>
  <c r="G269" i="11"/>
  <c r="F270" i="11"/>
  <c r="G270" i="11"/>
  <c r="G7" i="11"/>
  <c r="AR203" i="12"/>
  <c r="AR536" i="12"/>
  <c r="AR535" i="12"/>
  <c r="AR534" i="12"/>
  <c r="AR504" i="12"/>
  <c r="AR59" i="12"/>
  <c r="AR532" i="12"/>
  <c r="AR531" i="12"/>
  <c r="AR530" i="12"/>
  <c r="AR165" i="12"/>
  <c r="AR473" i="12"/>
  <c r="AR529" i="12"/>
  <c r="AR528" i="12"/>
  <c r="AR527" i="12"/>
  <c r="AR526" i="12"/>
  <c r="AR525" i="12"/>
  <c r="AR524" i="12"/>
  <c r="AR523" i="12"/>
  <c r="AR56" i="12"/>
  <c r="AR522" i="12"/>
  <c r="AR521" i="12"/>
  <c r="AR119" i="12"/>
  <c r="AR21" i="12"/>
  <c r="AR279" i="12"/>
  <c r="AR107" i="12"/>
  <c r="AR259" i="12"/>
  <c r="AR476" i="12"/>
  <c r="AR149" i="12"/>
  <c r="AR456" i="12"/>
  <c r="AR25" i="12"/>
  <c r="AR163" i="12"/>
  <c r="AR139" i="12"/>
  <c r="AR457" i="12"/>
  <c r="AR73" i="12"/>
  <c r="AR128" i="12"/>
  <c r="AR231" i="12"/>
  <c r="AR497" i="12"/>
  <c r="AR520" i="12"/>
  <c r="AR294" i="12"/>
  <c r="AR255" i="12"/>
  <c r="AR87" i="12"/>
  <c r="AR138" i="12"/>
  <c r="AR282" i="12"/>
  <c r="AR223" i="12"/>
  <c r="AR258" i="12"/>
  <c r="AR16" i="12"/>
  <c r="AR469" i="12"/>
  <c r="AR308" i="12"/>
  <c r="AR177" i="12"/>
  <c r="AR253" i="12"/>
  <c r="AR511" i="12"/>
  <c r="AR488" i="12"/>
  <c r="AR64" i="12"/>
  <c r="AR208" i="12"/>
  <c r="AR449" i="12"/>
  <c r="AR448" i="12"/>
  <c r="AR484" i="12"/>
  <c r="AR313" i="12"/>
  <c r="AR243" i="12"/>
  <c r="AR474" i="12"/>
  <c r="AR118" i="12"/>
  <c r="AR380" i="12"/>
  <c r="AR89" i="12"/>
  <c r="AR230" i="12"/>
  <c r="AR229" i="12"/>
  <c r="AR334" i="12"/>
  <c r="AR281" i="12"/>
  <c r="AR145" i="12"/>
  <c r="AR129" i="12"/>
  <c r="AR483" i="12"/>
  <c r="AR117" i="12"/>
  <c r="AR338" i="12"/>
  <c r="AR262" i="12"/>
  <c r="AR77" i="12"/>
  <c r="AR96" i="12"/>
  <c r="AR343" i="12"/>
  <c r="AR250" i="12"/>
  <c r="AR494" i="12"/>
  <c r="AR447" i="12"/>
  <c r="AR460" i="12"/>
  <c r="AR220" i="12"/>
  <c r="AR113" i="12"/>
  <c r="AR363" i="12"/>
  <c r="AR341" i="12"/>
  <c r="AR105" i="12"/>
  <c r="AR22" i="12"/>
  <c r="AR266" i="12"/>
  <c r="AR265" i="12"/>
  <c r="AR228" i="12"/>
  <c r="AR264" i="12"/>
  <c r="AR219" i="12"/>
  <c r="AR227" i="12"/>
  <c r="AR361" i="12"/>
  <c r="AR368" i="12"/>
  <c r="AR441" i="12"/>
  <c r="AR324" i="12"/>
  <c r="AR60" i="12"/>
  <c r="AR439" i="12"/>
  <c r="AR162" i="12"/>
  <c r="AR261" i="12"/>
  <c r="AR174" i="12"/>
  <c r="AR386" i="12"/>
  <c r="AR49" i="12"/>
  <c r="AR260" i="12"/>
  <c r="AR353" i="12"/>
  <c r="AR121" i="12"/>
  <c r="AR451" i="12"/>
  <c r="AR50" i="12"/>
  <c r="AR46" i="12"/>
  <c r="AR455" i="12"/>
  <c r="AR362" i="12"/>
  <c r="AR62" i="12"/>
  <c r="AR513" i="12"/>
  <c r="AR271" i="12"/>
  <c r="AR330" i="12"/>
  <c r="AR487" i="12"/>
  <c r="AR452" i="12"/>
  <c r="AR317" i="12"/>
  <c r="AR329" i="12"/>
  <c r="AR29" i="12"/>
  <c r="AR161" i="12"/>
  <c r="AR496" i="12"/>
  <c r="AR38" i="12"/>
  <c r="AR135" i="12"/>
  <c r="AR384" i="12"/>
  <c r="AR40" i="12"/>
  <c r="AR358" i="12"/>
  <c r="AR242" i="12"/>
  <c r="AR190" i="12"/>
  <c r="AR153" i="12"/>
  <c r="AR197" i="12"/>
  <c r="AR183" i="12"/>
  <c r="AR339" i="12"/>
  <c r="AR462" i="12"/>
  <c r="AR32" i="12"/>
  <c r="AR423" i="12"/>
  <c r="AR131" i="12"/>
  <c r="AR172" i="12"/>
  <c r="AR215" i="12"/>
  <c r="AR519" i="12"/>
  <c r="AR157" i="12"/>
  <c r="AR226" i="12"/>
  <c r="AR240" i="12"/>
  <c r="AR181" i="12"/>
  <c r="AR143" i="12"/>
  <c r="AR239" i="12"/>
  <c r="AR277" i="12"/>
  <c r="AR45" i="12"/>
  <c r="AR218" i="12"/>
  <c r="AR66" i="12"/>
  <c r="AR80" i="12"/>
  <c r="AR141" i="12"/>
  <c r="AR400" i="12"/>
  <c r="AR454" i="12"/>
  <c r="AR453" i="12"/>
  <c r="AR396" i="12"/>
  <c r="AR316" i="12"/>
  <c r="AR315" i="12"/>
  <c r="AR252" i="12"/>
  <c r="AR433" i="12"/>
  <c r="AR432" i="12"/>
  <c r="AR251" i="12"/>
  <c r="AR217" i="12"/>
  <c r="AR495" i="12"/>
  <c r="AR299" i="12"/>
  <c r="AR130" i="12"/>
  <c r="AR263" i="12"/>
  <c r="AR419" i="12"/>
  <c r="AR216" i="12"/>
  <c r="AR445" i="12"/>
  <c r="AR70" i="12"/>
  <c r="AR55" i="12"/>
  <c r="AR214" i="12"/>
  <c r="AR289" i="12"/>
  <c r="AR418" i="12"/>
  <c r="AR297" i="12"/>
  <c r="AR325" i="12"/>
  <c r="AR103" i="12"/>
  <c r="AR86" i="12"/>
  <c r="AR275" i="12"/>
  <c r="AR195" i="12"/>
  <c r="AR20" i="12"/>
  <c r="AR314" i="12"/>
  <c r="AR312" i="12"/>
  <c r="AR93" i="12"/>
  <c r="AR479" i="12"/>
  <c r="AR382" i="12"/>
  <c r="AR156" i="12"/>
  <c r="AR270" i="12"/>
  <c r="AR332" i="12"/>
  <c r="AR406" i="12"/>
  <c r="AR508" i="12"/>
  <c r="AR507" i="12"/>
  <c r="AR58" i="12"/>
  <c r="AR206" i="12"/>
  <c r="AR383" i="12"/>
  <c r="AR517" i="12"/>
  <c r="AR347" i="12"/>
  <c r="AR126" i="12"/>
  <c r="AR115" i="12"/>
  <c r="AR116" i="12"/>
  <c r="AR189" i="12"/>
  <c r="AR146" i="12"/>
  <c r="AR489" i="12"/>
  <c r="AR65" i="12"/>
  <c r="AR36" i="12"/>
  <c r="AR378" i="12"/>
  <c r="AR196" i="12"/>
  <c r="AR247" i="12"/>
  <c r="AR514" i="12"/>
  <c r="AR188" i="12"/>
  <c r="AR292" i="12"/>
  <c r="AR349" i="12"/>
  <c r="AR287" i="12"/>
  <c r="AR257" i="12"/>
  <c r="AR417" i="12"/>
  <c r="AR256" i="12"/>
  <c r="AR461" i="12"/>
  <c r="AR465" i="12"/>
  <c r="AR245" i="12"/>
  <c r="AR110" i="12"/>
  <c r="AR516" i="12"/>
  <c r="AR444" i="12"/>
  <c r="AR120" i="12"/>
  <c r="AR272" i="12"/>
  <c r="AR321" i="12"/>
  <c r="AR106" i="12"/>
  <c r="AR348" i="12"/>
  <c r="AR61" i="12"/>
  <c r="AR44" i="12"/>
  <c r="AR124" i="12"/>
  <c r="AR82" i="12"/>
  <c r="AR176" i="12"/>
  <c r="AR311" i="12"/>
  <c r="AR151" i="12"/>
  <c r="AR241" i="12"/>
  <c r="AR137" i="12"/>
  <c r="AR173" i="12"/>
  <c r="AR360" i="12"/>
  <c r="AR288" i="12"/>
  <c r="AR475" i="12"/>
  <c r="AR472" i="12"/>
  <c r="AR470" i="12"/>
  <c r="AR109" i="12"/>
  <c r="AR435" i="12"/>
  <c r="AR351" i="12"/>
  <c r="AR71" i="12"/>
  <c r="AR443" i="12"/>
  <c r="AR88" i="12"/>
  <c r="AR442" i="12"/>
  <c r="AR440" i="12"/>
  <c r="AR430" i="12"/>
  <c r="AR328" i="12"/>
  <c r="AR168" i="12"/>
  <c r="AR159" i="12"/>
  <c r="AR438" i="12"/>
  <c r="AR182" i="12"/>
  <c r="AR254" i="12"/>
  <c r="AR450" i="12"/>
  <c r="AR170" i="12"/>
  <c r="AR318" i="12"/>
  <c r="AR309" i="12"/>
  <c r="AR123" i="12"/>
  <c r="AR213" i="12"/>
  <c r="AR175" i="12"/>
  <c r="AR408" i="12"/>
  <c r="AR492" i="12"/>
  <c r="AR392" i="12"/>
  <c r="AR428" i="12"/>
  <c r="AR296" i="12"/>
  <c r="AR185" i="12"/>
  <c r="AR518" i="12"/>
  <c r="AR319" i="12"/>
  <c r="AR249" i="12"/>
  <c r="AR184" i="12"/>
  <c r="AR416" i="12"/>
  <c r="AR79" i="12"/>
  <c r="AR192" i="12"/>
  <c r="AR193" i="12"/>
  <c r="AR427" i="12"/>
  <c r="AR426" i="12"/>
  <c r="AR57" i="12"/>
  <c r="AR63" i="12"/>
  <c r="AR101" i="12"/>
  <c r="AR100" i="12"/>
  <c r="AR394" i="12"/>
  <c r="AR468" i="12"/>
  <c r="AR166" i="12"/>
  <c r="AR387" i="12"/>
  <c r="AR422" i="12"/>
  <c r="AR19" i="12"/>
  <c r="AR207" i="12"/>
  <c r="AR210" i="12"/>
  <c r="AR340" i="12"/>
  <c r="AR180" i="12"/>
  <c r="AR498" i="12"/>
  <c r="AR48" i="12"/>
  <c r="AR69" i="12"/>
  <c r="AR150" i="12"/>
  <c r="AR304" i="12"/>
  <c r="AR204" i="12"/>
  <c r="AR246" i="12"/>
  <c r="AR158" i="12"/>
  <c r="AR403" i="12"/>
  <c r="AR283" i="12"/>
  <c r="AR293" i="12"/>
  <c r="AR274" i="12"/>
  <c r="AR202" i="12"/>
  <c r="AR393" i="12"/>
  <c r="AR366" i="12"/>
  <c r="AR27" i="12"/>
  <c r="AR75" i="12"/>
  <c r="AR490" i="12"/>
  <c r="AR68" i="12"/>
  <c r="AR342" i="12"/>
  <c r="AR464" i="12"/>
  <c r="AR81" i="12"/>
  <c r="AR436" i="12"/>
  <c r="AR434" i="12"/>
  <c r="AR39" i="12"/>
  <c r="AR91" i="12"/>
  <c r="AR18" i="12"/>
  <c r="AR389" i="12"/>
  <c r="AR34" i="12"/>
  <c r="AR269" i="12"/>
  <c r="AR76" i="12"/>
  <c r="AR211" i="12"/>
  <c r="AR307" i="12"/>
  <c r="AR326" i="12"/>
  <c r="AR310" i="12"/>
  <c r="AR273" i="12"/>
  <c r="AR377" i="12"/>
  <c r="AR512" i="12"/>
  <c r="AR112" i="12"/>
  <c r="AR98" i="12"/>
  <c r="AR398" i="12"/>
  <c r="AR305" i="12"/>
  <c r="AR132" i="12"/>
  <c r="AR446" i="12"/>
  <c r="AR303" i="12"/>
  <c r="AR491" i="12"/>
  <c r="AR350" i="12"/>
  <c r="AR92" i="12"/>
  <c r="AR357" i="12"/>
  <c r="AR510" i="12"/>
  <c r="AR509" i="12"/>
  <c r="AR376" i="12"/>
  <c r="AR322" i="12"/>
  <c r="AR379" i="12"/>
  <c r="AR375" i="12"/>
  <c r="AR171" i="12"/>
  <c r="AR437" i="12"/>
  <c r="AR320" i="12"/>
  <c r="AR369" i="12"/>
  <c r="AR333" i="12"/>
  <c r="AR144" i="12"/>
  <c r="AR160" i="12"/>
  <c r="AR302" i="12"/>
  <c r="AR99" i="12"/>
  <c r="AR104" i="12"/>
  <c r="AR415" i="12"/>
  <c r="AR414" i="12"/>
  <c r="AR125" i="12"/>
  <c r="AR346" i="12"/>
  <c r="AR285" i="12"/>
  <c r="AR413" i="12"/>
  <c r="AR478" i="12"/>
  <c r="AR164" i="12"/>
  <c r="AR97" i="12"/>
  <c r="AR111" i="12"/>
  <c r="AR28" i="12"/>
  <c r="AR276" i="12"/>
  <c r="AR367" i="12"/>
  <c r="AR268" i="12"/>
  <c r="AR385" i="12"/>
  <c r="AR344" i="12"/>
  <c r="AR298" i="12"/>
  <c r="AR331" i="12"/>
  <c r="AR327" i="12"/>
  <c r="AR205" i="12"/>
  <c r="AR391" i="12"/>
  <c r="AR209" i="12"/>
  <c r="AR480" i="12"/>
  <c r="AR133" i="12"/>
  <c r="AR238" i="12"/>
  <c r="AR17" i="12"/>
  <c r="AR67" i="12"/>
  <c r="AR421" i="12"/>
  <c r="AR52" i="12"/>
  <c r="AR114" i="12"/>
  <c r="AR399" i="12"/>
  <c r="AR420" i="12"/>
  <c r="AR356" i="12"/>
  <c r="AR345" i="12"/>
  <c r="AR280" i="12"/>
  <c r="AR301" i="12"/>
  <c r="AR503" i="12"/>
  <c r="AR237" i="12"/>
  <c r="AR41" i="12"/>
  <c r="AR37" i="12"/>
  <c r="AR95" i="12"/>
  <c r="AR84" i="12"/>
  <c r="AR372" i="12"/>
  <c r="AR365" i="12"/>
  <c r="AR72" i="12"/>
  <c r="AR381" i="12"/>
  <c r="AR295" i="12"/>
  <c r="AR267" i="12"/>
  <c r="AR371" i="12"/>
  <c r="AR482" i="12"/>
  <c r="AR401" i="12"/>
  <c r="AR30" i="12"/>
  <c r="AR337" i="12"/>
  <c r="AR236" i="12"/>
  <c r="AR463" i="12"/>
  <c r="AR83" i="12"/>
  <c r="AR24" i="12"/>
  <c r="AR23" i="12"/>
  <c r="AR364" i="12"/>
  <c r="AR284" i="12"/>
  <c r="AR404" i="12"/>
  <c r="AR78" i="12"/>
  <c r="AR108" i="12"/>
  <c r="AR355" i="12"/>
  <c r="AR26" i="12"/>
  <c r="AR127" i="12"/>
  <c r="AR431" i="12"/>
  <c r="AR212" i="12"/>
  <c r="AR42" i="12"/>
  <c r="AR395" i="12"/>
  <c r="AR370" i="12"/>
  <c r="AR90" i="12"/>
  <c r="AR336" i="12"/>
  <c r="AR458" i="12"/>
  <c r="AR142" i="12"/>
  <c r="AR286" i="12"/>
  <c r="AR235" i="12"/>
  <c r="AR234" i="12"/>
  <c r="AR233" i="12"/>
  <c r="AR167" i="12"/>
  <c r="AR200" i="12"/>
  <c r="AR409" i="12"/>
  <c r="AR481" i="12"/>
  <c r="AR477" i="12"/>
  <c r="AR31" i="12"/>
  <c r="AR191" i="12"/>
  <c r="AR493" i="12"/>
  <c r="AR405" i="12"/>
  <c r="AR147" i="12"/>
  <c r="AR102" i="12"/>
  <c r="AR306" i="12"/>
  <c r="AR155" i="12"/>
  <c r="AR134" i="12"/>
  <c r="AR232" i="12"/>
  <c r="AR429" i="12"/>
  <c r="AR291" i="12"/>
  <c r="AR373" i="12"/>
  <c r="AR402" i="12"/>
  <c r="AR485" i="12"/>
  <c r="AR47" i="12"/>
  <c r="AR51" i="12"/>
  <c r="AR515" i="12"/>
  <c r="AR248" i="12"/>
  <c r="AR85" i="12"/>
  <c r="AR502" i="12"/>
  <c r="AR467" i="12"/>
  <c r="AR390" i="12"/>
  <c r="AR186" i="12"/>
  <c r="AR178" i="12"/>
  <c r="AR122" i="12"/>
  <c r="AR500" i="12"/>
  <c r="AR499" i="12"/>
  <c r="AR425" i="12"/>
  <c r="AR459" i="12"/>
  <c r="Q25" i="13" l="1"/>
  <c r="P25" i="13"/>
  <c r="M25" i="13"/>
  <c r="L25" i="13"/>
  <c r="I25" i="13"/>
  <c r="H25" i="13"/>
  <c r="E25" i="13"/>
  <c r="D25" i="13"/>
  <c r="R25" i="13" l="1"/>
  <c r="S25" i="13" s="1"/>
  <c r="R26" i="13"/>
  <c r="A3" i="14"/>
  <c r="A4" i="14"/>
  <c r="A5" i="14"/>
  <c r="A6" i="14"/>
  <c r="A7" i="14"/>
  <c r="A8" i="14"/>
  <c r="A9" i="14"/>
  <c r="A10" i="14"/>
  <c r="A11" i="14"/>
  <c r="A12" i="14"/>
  <c r="A13" i="14"/>
  <c r="A276" i="14"/>
  <c r="A15" i="14"/>
  <c r="A16" i="14"/>
  <c r="A17" i="14"/>
  <c r="A18" i="14"/>
  <c r="A19" i="14"/>
  <c r="A20" i="14"/>
  <c r="A21" i="14"/>
  <c r="A22" i="14"/>
  <c r="A23" i="14"/>
  <c r="A24" i="14"/>
  <c r="A25" i="14"/>
  <c r="A514" i="14"/>
  <c r="A27" i="14"/>
  <c r="A28" i="14"/>
  <c r="A29" i="14"/>
  <c r="A30" i="14"/>
  <c r="A31" i="14"/>
  <c r="A32" i="14"/>
  <c r="A33" i="14"/>
  <c r="A51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59" i="14"/>
  <c r="A49" i="14"/>
  <c r="A50" i="14"/>
  <c r="A465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14" i="14"/>
  <c r="A68" i="14"/>
  <c r="A69" i="14"/>
  <c r="A70" i="14"/>
  <c r="A92" i="14"/>
  <c r="A72" i="14"/>
  <c r="A73" i="14"/>
  <c r="A74" i="14"/>
  <c r="A75" i="14"/>
  <c r="A467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214" i="14"/>
  <c r="A90" i="14"/>
  <c r="A91" i="14"/>
  <c r="A555" i="14"/>
  <c r="A93" i="14"/>
  <c r="A227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301" i="14"/>
  <c r="A131" i="14"/>
  <c r="A132" i="14"/>
  <c r="A133" i="14"/>
  <c r="A134" i="14"/>
  <c r="A135" i="14"/>
  <c r="A51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26" i="14"/>
  <c r="A371" i="14"/>
  <c r="A161" i="14"/>
  <c r="A162" i="14"/>
  <c r="A163" i="14"/>
  <c r="A164" i="14"/>
  <c r="A165" i="14"/>
  <c r="A166" i="14"/>
  <c r="A167" i="14"/>
  <c r="A168" i="14"/>
  <c r="A169" i="14"/>
  <c r="A76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339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320" i="14"/>
  <c r="A204" i="14"/>
  <c r="A205" i="14"/>
  <c r="A206" i="14"/>
  <c r="A207" i="14"/>
  <c r="A208" i="14"/>
  <c r="A209" i="14"/>
  <c r="A210" i="14"/>
  <c r="A395" i="14"/>
  <c r="A212" i="14"/>
  <c r="A213" i="14"/>
  <c r="A230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563" i="14"/>
  <c r="A228" i="14"/>
  <c r="A229" i="14"/>
  <c r="A278" i="14"/>
  <c r="A231" i="14"/>
  <c r="A232" i="14"/>
  <c r="A233" i="14"/>
  <c r="A234" i="14"/>
  <c r="A235" i="14"/>
  <c r="A236" i="14"/>
  <c r="A237" i="14"/>
  <c r="A238" i="14"/>
  <c r="A239" i="14"/>
  <c r="A185" i="14"/>
  <c r="A241" i="14"/>
  <c r="A493" i="14"/>
  <c r="A243" i="14"/>
  <c r="A244" i="14"/>
  <c r="A245" i="14"/>
  <c r="A249" i="14"/>
  <c r="A247" i="14"/>
  <c r="A248" i="14"/>
  <c r="A526" i="14"/>
  <c r="A250" i="14"/>
  <c r="A251" i="14"/>
  <c r="A252" i="14"/>
  <c r="A253" i="14"/>
  <c r="A254" i="14"/>
  <c r="A255" i="14"/>
  <c r="A256" i="14"/>
  <c r="A257" i="14"/>
  <c r="A425" i="14"/>
  <c r="A259" i="14"/>
  <c r="A260" i="14"/>
  <c r="A261" i="14"/>
  <c r="A262" i="14"/>
  <c r="A263" i="14"/>
  <c r="A264" i="14"/>
  <c r="A94" i="14"/>
  <c r="A340" i="14"/>
  <c r="A267" i="14"/>
  <c r="A268" i="14"/>
  <c r="A269" i="14"/>
  <c r="A270" i="14"/>
  <c r="A271" i="14"/>
  <c r="A272" i="14"/>
  <c r="A273" i="14"/>
  <c r="A274" i="14"/>
  <c r="A275" i="14"/>
  <c r="A242" i="14"/>
  <c r="A277" i="14"/>
  <c r="A427" i="14"/>
  <c r="A279" i="14"/>
  <c r="A280" i="14"/>
  <c r="A281" i="14"/>
  <c r="A34" i="14"/>
  <c r="A283" i="14"/>
  <c r="A284" i="14"/>
  <c r="A285" i="14"/>
  <c r="A286" i="14"/>
  <c r="A287" i="14"/>
  <c r="A288" i="14"/>
  <c r="A289" i="14"/>
  <c r="A290" i="14"/>
  <c r="A291" i="14"/>
  <c r="A292" i="14"/>
  <c r="A293" i="14"/>
  <c r="A294" i="14"/>
  <c r="A295" i="14"/>
  <c r="A296" i="14"/>
  <c r="A297" i="14"/>
  <c r="A298" i="14"/>
  <c r="A299" i="14"/>
  <c r="A300" i="14"/>
  <c r="A240" i="14"/>
  <c r="A302" i="14"/>
  <c r="A303" i="14"/>
  <c r="A304" i="14"/>
  <c r="A305" i="14"/>
  <c r="A306" i="14"/>
  <c r="A307" i="14"/>
  <c r="A308" i="14"/>
  <c r="A309" i="14"/>
  <c r="A310" i="14"/>
  <c r="A311" i="14"/>
  <c r="A312" i="14"/>
  <c r="A313" i="14"/>
  <c r="A314" i="14"/>
  <c r="A315" i="14"/>
  <c r="A316" i="14"/>
  <c r="A317" i="14"/>
  <c r="A318" i="14"/>
  <c r="A319" i="14"/>
  <c r="A470" i="14"/>
  <c r="A321" i="14"/>
  <c r="A322" i="14"/>
  <c r="A323" i="14"/>
  <c r="A324" i="14"/>
  <c r="A325" i="14"/>
  <c r="A326" i="14"/>
  <c r="A327" i="14"/>
  <c r="A328" i="14"/>
  <c r="A329" i="14"/>
  <c r="A330" i="14"/>
  <c r="A331" i="14"/>
  <c r="A332" i="14"/>
  <c r="A333" i="14"/>
  <c r="A334" i="14"/>
  <c r="A282" i="14"/>
  <c r="A336" i="14"/>
  <c r="A337" i="14"/>
  <c r="A338" i="14"/>
  <c r="A203" i="14"/>
  <c r="A453" i="14"/>
  <c r="A341" i="14"/>
  <c r="A342" i="14"/>
  <c r="A343" i="14"/>
  <c r="A344" i="14"/>
  <c r="A345" i="14"/>
  <c r="A346" i="14"/>
  <c r="A531" i="14"/>
  <c r="A348" i="14"/>
  <c r="A349" i="14"/>
  <c r="A350" i="14"/>
  <c r="A351" i="14"/>
  <c r="A352" i="14"/>
  <c r="A353" i="14"/>
  <c r="A532" i="14"/>
  <c r="A355" i="14"/>
  <c r="A381" i="14"/>
  <c r="A357" i="14"/>
  <c r="A358" i="14"/>
  <c r="A359" i="14"/>
  <c r="A360" i="14"/>
  <c r="A361" i="14"/>
  <c r="A48" i="14"/>
  <c r="A363" i="14"/>
  <c r="A364" i="14"/>
  <c r="A365" i="14"/>
  <c r="A366" i="14"/>
  <c r="A367" i="14"/>
  <c r="A368" i="14"/>
  <c r="A369" i="14"/>
  <c r="A370" i="14"/>
  <c r="A521" i="14"/>
  <c r="A372" i="14"/>
  <c r="A373" i="14"/>
  <c r="A374" i="14"/>
  <c r="A375" i="14"/>
  <c r="A376" i="14"/>
  <c r="A377" i="14"/>
  <c r="A378" i="14"/>
  <c r="A379" i="14"/>
  <c r="A380" i="14"/>
  <c r="A67" i="14"/>
  <c r="A382" i="14"/>
  <c r="A383" i="14"/>
  <c r="A384" i="14"/>
  <c r="A385" i="14"/>
  <c r="A386" i="14"/>
  <c r="A387" i="14"/>
  <c r="A388" i="14"/>
  <c r="A389" i="14"/>
  <c r="A390" i="14"/>
  <c r="A391" i="14"/>
  <c r="A354" i="14"/>
  <c r="A393" i="14"/>
  <c r="A394" i="14"/>
  <c r="A130" i="14"/>
  <c r="A396" i="14"/>
  <c r="A397" i="14"/>
  <c r="A398" i="14"/>
  <c r="A399" i="14"/>
  <c r="A400" i="14"/>
  <c r="A401" i="14"/>
  <c r="A402" i="14"/>
  <c r="A403" i="14"/>
  <c r="A404" i="14"/>
  <c r="A405" i="14"/>
  <c r="A406" i="14"/>
  <c r="A407" i="14"/>
  <c r="A408" i="14"/>
  <c r="A409" i="14"/>
  <c r="A410" i="14"/>
  <c r="A411" i="14"/>
  <c r="A412" i="14"/>
  <c r="A413" i="14"/>
  <c r="A414" i="14"/>
  <c r="A415" i="14"/>
  <c r="A416" i="14"/>
  <c r="A417" i="14"/>
  <c r="A418" i="14"/>
  <c r="A419" i="14"/>
  <c r="A420" i="14"/>
  <c r="A421" i="14"/>
  <c r="A422" i="14"/>
  <c r="A423" i="14"/>
  <c r="A424" i="14"/>
  <c r="A494" i="14"/>
  <c r="A426" i="14"/>
  <c r="A258" i="14"/>
  <c r="A428" i="14"/>
  <c r="A429" i="14"/>
  <c r="A430" i="14"/>
  <c r="A431" i="14"/>
  <c r="A432" i="14"/>
  <c r="A433" i="14"/>
  <c r="A434" i="14"/>
  <c r="A435" i="14"/>
  <c r="A436" i="14"/>
  <c r="A437" i="14"/>
  <c r="A438" i="14"/>
  <c r="A439" i="14"/>
  <c r="A440" i="14"/>
  <c r="A441" i="14"/>
  <c r="A442" i="14"/>
  <c r="A443" i="14"/>
  <c r="A444" i="14"/>
  <c r="A445" i="14"/>
  <c r="A446" i="14"/>
  <c r="A447" i="14"/>
  <c r="A448" i="14"/>
  <c r="A449" i="14"/>
  <c r="A450" i="14"/>
  <c r="A451" i="14"/>
  <c r="A452" i="14"/>
  <c r="A265" i="14"/>
  <c r="A266" i="14"/>
  <c r="A455" i="14"/>
  <c r="A456" i="14"/>
  <c r="A457" i="14"/>
  <c r="A458" i="14"/>
  <c r="A136" i="14"/>
  <c r="A460" i="14"/>
  <c r="A461" i="14"/>
  <c r="A462" i="14"/>
  <c r="A463" i="14"/>
  <c r="A464" i="14"/>
  <c r="A211" i="14"/>
  <c r="A466" i="14"/>
  <c r="A89" i="14"/>
  <c r="A468" i="14"/>
  <c r="A469" i="14"/>
  <c r="A392" i="14"/>
  <c r="A471" i="14"/>
  <c r="A472" i="14"/>
  <c r="A473" i="14"/>
  <c r="A474" i="14"/>
  <c r="A475" i="14"/>
  <c r="A476" i="14"/>
  <c r="A477" i="14"/>
  <c r="A478" i="14"/>
  <c r="A479" i="14"/>
  <c r="A480" i="14"/>
  <c r="A481" i="14"/>
  <c r="A482" i="14"/>
  <c r="A483" i="14"/>
  <c r="A484" i="14"/>
  <c r="A485" i="14"/>
  <c r="A486" i="14"/>
  <c r="A487" i="14"/>
  <c r="A488" i="14"/>
  <c r="A489" i="14"/>
  <c r="A490" i="14"/>
  <c r="A491" i="14"/>
  <c r="A492" i="14"/>
  <c r="A564" i="14"/>
  <c r="A347" i="14"/>
  <c r="A160" i="14"/>
  <c r="A496" i="14"/>
  <c r="A497" i="14"/>
  <c r="A498" i="14"/>
  <c r="A499" i="14"/>
  <c r="A500" i="14"/>
  <c r="A501" i="14"/>
  <c r="A502" i="14"/>
  <c r="A503" i="14"/>
  <c r="A504" i="14"/>
  <c r="A505" i="14"/>
  <c r="A506" i="14"/>
  <c r="A507" i="14"/>
  <c r="A508" i="14"/>
  <c r="A509" i="14"/>
  <c r="A510" i="14"/>
  <c r="A511" i="14"/>
  <c r="A512" i="14"/>
  <c r="A513" i="14"/>
  <c r="A335" i="14"/>
  <c r="A515" i="14"/>
  <c r="A71" i="14"/>
  <c r="A517" i="14"/>
  <c r="A518" i="14"/>
  <c r="A519" i="14"/>
  <c r="A520" i="14"/>
  <c r="A495" i="14"/>
  <c r="A522" i="14"/>
  <c r="A523" i="14"/>
  <c r="A524" i="14"/>
  <c r="A525" i="14"/>
  <c r="A546" i="14"/>
  <c r="A527" i="14"/>
  <c r="A528" i="14"/>
  <c r="A529" i="14"/>
  <c r="A530" i="14"/>
  <c r="A356" i="14"/>
  <c r="A246" i="14"/>
  <c r="A533" i="14"/>
  <c r="A534" i="14"/>
  <c r="A535" i="14"/>
  <c r="A536" i="14"/>
  <c r="A537" i="14"/>
  <c r="A538" i="14"/>
  <c r="A539" i="14"/>
  <c r="A540" i="14"/>
  <c r="A541" i="14"/>
  <c r="A542" i="14"/>
  <c r="A543" i="14"/>
  <c r="A544" i="14"/>
  <c r="A545" i="14"/>
  <c r="A170" i="14"/>
  <c r="A547" i="14"/>
  <c r="A548" i="14"/>
  <c r="A549" i="14"/>
  <c r="A550" i="14"/>
  <c r="A551" i="14"/>
  <c r="A552" i="14"/>
  <c r="A553" i="14"/>
  <c r="A554" i="14"/>
  <c r="A454" i="14"/>
  <c r="A556" i="14"/>
  <c r="A557" i="14"/>
  <c r="A558" i="14"/>
  <c r="A559" i="14"/>
  <c r="A560" i="14"/>
  <c r="A561" i="14"/>
  <c r="A562" i="14"/>
  <c r="A159" i="14"/>
  <c r="A362" i="14"/>
  <c r="A2" i="14"/>
  <c r="P12" i="13" l="1"/>
  <c r="L12" i="13"/>
  <c r="H12" i="13"/>
  <c r="I12" i="13"/>
  <c r="D12" i="13"/>
  <c r="Q12" i="13"/>
  <c r="M12" i="13"/>
  <c r="E12" i="13"/>
  <c r="AR290" i="12"/>
  <c r="AR194" i="12"/>
  <c r="AR199" i="12"/>
  <c r="AR278" i="12"/>
  <c r="AR148" i="12"/>
  <c r="AR540" i="12"/>
  <c r="AR543" i="12"/>
  <c r="AR486" i="12"/>
  <c r="AR544" i="12"/>
  <c r="AR555" i="12"/>
  <c r="AR359" i="12"/>
  <c r="AR505" i="12"/>
  <c r="AR568" i="12"/>
  <c r="AR225" i="12"/>
  <c r="AR221" i="12"/>
  <c r="AR300" i="12"/>
  <c r="AR533" i="12"/>
  <c r="AR557" i="12"/>
  <c r="AR566" i="12"/>
  <c r="AR583" i="12"/>
  <c r="AR471" i="12"/>
  <c r="AR201" i="12"/>
  <c r="AR33" i="12"/>
  <c r="AR538" i="12"/>
  <c r="AR577" i="12"/>
  <c r="AR579" i="12"/>
  <c r="AR187" i="12"/>
  <c r="AR74" i="12"/>
  <c r="AR140" i="12"/>
  <c r="AR537" i="12"/>
  <c r="AR335" i="12"/>
  <c r="AR397" i="12"/>
  <c r="AR580" i="12"/>
  <c r="AR539" i="12"/>
  <c r="AR541" i="12"/>
  <c r="AR542" i="12"/>
  <c r="AR411" i="12"/>
  <c r="AR388" i="12"/>
  <c r="AR545" i="12"/>
  <c r="AR546" i="12"/>
  <c r="AR547" i="12"/>
  <c r="AR136" i="12"/>
  <c r="AR548" i="12"/>
  <c r="AR549" i="12"/>
  <c r="AR550" i="12"/>
  <c r="AR581" i="12"/>
  <c r="AR551" i="12"/>
  <c r="AR552" i="12"/>
  <c r="AR553" i="12"/>
  <c r="AR554" i="12"/>
  <c r="AR556" i="12"/>
  <c r="AR501" i="12"/>
  <c r="AR35" i="12"/>
  <c r="AR323" i="12"/>
  <c r="AR224" i="12"/>
  <c r="AR94" i="12"/>
  <c r="AR558" i="12"/>
  <c r="AR585" i="12"/>
  <c r="AR559" i="12"/>
  <c r="AR354" i="12"/>
  <c r="AR560" i="12"/>
  <c r="AR561" i="12"/>
  <c r="AR587" i="12"/>
  <c r="AR564" i="12"/>
  <c r="AR562" i="12"/>
  <c r="AR152" i="12"/>
  <c r="AR567" i="12"/>
  <c r="AR466" i="12"/>
  <c r="AR569" i="12"/>
  <c r="AR374" i="12"/>
  <c r="AR571" i="12"/>
  <c r="AR572" i="12"/>
  <c r="AR573" i="12"/>
  <c r="AR407" i="12"/>
  <c r="AR222" i="12"/>
  <c r="AR352" i="12"/>
  <c r="AR575" i="12"/>
  <c r="AR179" i="12"/>
  <c r="AR578" i="12"/>
  <c r="AR582" i="12"/>
  <c r="AR589" i="12"/>
  <c r="AR53" i="12"/>
  <c r="AR563" i="12"/>
  <c r="AR565" i="12"/>
  <c r="AR506" i="12"/>
  <c r="AR586" i="12"/>
  <c r="AR570" i="12"/>
  <c r="AR43" i="12"/>
  <c r="AR574" i="12"/>
  <c r="AR576" i="12"/>
  <c r="AR412" i="12"/>
  <c r="AR154" i="12"/>
  <c r="AR244" i="12"/>
  <c r="AR198" i="12"/>
  <c r="A574" i="12"/>
  <c r="A576" i="12"/>
  <c r="R12" i="13" l="1"/>
  <c r="S12" i="13" s="1"/>
  <c r="R13" i="13"/>
  <c r="A575" i="12" l="1"/>
  <c r="A578" i="12"/>
  <c r="A582" i="12"/>
  <c r="A589" i="12"/>
  <c r="A563" i="12"/>
  <c r="A565" i="12"/>
  <c r="A532" i="12"/>
  <c r="A586" i="12"/>
  <c r="A570" i="12"/>
  <c r="A569" i="12" l="1"/>
  <c r="A571" i="12"/>
  <c r="A572" i="12"/>
  <c r="A573" i="12"/>
  <c r="G3" i="11" l="1"/>
  <c r="G4" i="11"/>
  <c r="G5" i="11"/>
  <c r="G6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2" i="11"/>
  <c r="L16" i="9" l="1"/>
  <c r="M16" i="9"/>
  <c r="M106" i="9"/>
  <c r="N106" i="9"/>
  <c r="N16" i="9"/>
  <c r="L106" i="9"/>
  <c r="L116" i="9"/>
  <c r="M116" i="9"/>
  <c r="N116" i="9"/>
  <c r="C569" i="12"/>
  <c r="C571" i="12"/>
  <c r="C584" i="12"/>
  <c r="C590" i="12"/>
  <c r="C264" i="12"/>
  <c r="C261" i="12"/>
  <c r="C499" i="12"/>
  <c r="C335" i="12"/>
  <c r="C387" i="12"/>
  <c r="C240" i="12"/>
  <c r="C18" i="12"/>
  <c r="C405" i="12"/>
  <c r="C368" i="12"/>
  <c r="C315" i="12"/>
  <c r="C206" i="12"/>
  <c r="C186" i="12"/>
  <c r="C148" i="12"/>
  <c r="C500" i="12"/>
  <c r="C131" i="12"/>
  <c r="C432" i="12"/>
  <c r="C516" i="12"/>
  <c r="C241" i="12"/>
  <c r="C170" i="12"/>
  <c r="C249" i="12"/>
  <c r="C414" i="12"/>
  <c r="C174" i="12"/>
  <c r="C457" i="12"/>
  <c r="C258" i="12"/>
  <c r="C514" i="12"/>
  <c r="C318" i="12"/>
  <c r="C235" i="12"/>
  <c r="C192" i="12"/>
  <c r="C246" i="12"/>
  <c r="C193" i="12"/>
  <c r="C172" i="12"/>
  <c r="C510" i="12"/>
  <c r="C385" i="12"/>
  <c r="C182" i="12"/>
  <c r="C588" i="12"/>
  <c r="C591" i="12"/>
  <c r="C290" i="12"/>
  <c r="C107" i="12"/>
  <c r="C456" i="12"/>
  <c r="C497" i="12"/>
  <c r="C253" i="12"/>
  <c r="C341" i="12"/>
  <c r="C388" i="12"/>
  <c r="C178" i="12"/>
  <c r="C294" i="12"/>
  <c r="C145" i="12"/>
  <c r="C254" i="12"/>
  <c r="C358" i="12"/>
  <c r="C218" i="12"/>
  <c r="C216" i="12"/>
  <c r="C198" i="12"/>
  <c r="C266" i="12"/>
  <c r="C520" i="12"/>
  <c r="C70" i="12"/>
  <c r="C404" i="12"/>
  <c r="C390" i="12"/>
  <c r="C386" i="12"/>
  <c r="C513" i="12"/>
  <c r="C277" i="12"/>
  <c r="C97" i="12"/>
  <c r="C109" i="12"/>
  <c r="C477" i="12"/>
  <c r="C427" i="12"/>
  <c r="C166" i="12"/>
  <c r="C403" i="12"/>
  <c r="C114" i="12"/>
  <c r="C263" i="12"/>
  <c r="C214" i="12"/>
  <c r="C480" i="12"/>
  <c r="C288" i="12"/>
  <c r="C244" i="12"/>
  <c r="C419" i="12"/>
  <c r="C344" i="12"/>
  <c r="C217" i="12"/>
  <c r="C242" i="12"/>
  <c r="C239" i="12"/>
  <c r="C297" i="12"/>
  <c r="C234" i="12"/>
  <c r="C429" i="12"/>
  <c r="C459" i="12"/>
  <c r="C162" i="12"/>
  <c r="C393" i="12"/>
  <c r="C508" i="12"/>
  <c r="C236" i="12"/>
  <c r="C248" i="12"/>
  <c r="C354" i="12"/>
  <c r="C285" i="12"/>
  <c r="C458" i="12"/>
  <c r="C347" i="12"/>
  <c r="C293" i="12"/>
  <c r="C445" i="12"/>
  <c r="C155" i="12"/>
  <c r="C158" i="12"/>
  <c r="C415" i="12"/>
  <c r="C515" i="12"/>
  <c r="C100" i="12"/>
  <c r="C94" i="12"/>
  <c r="C389" i="12"/>
  <c r="C487" i="12"/>
  <c r="C153" i="12"/>
  <c r="C446" i="12"/>
  <c r="C133" i="12"/>
  <c r="C470" i="12"/>
  <c r="C428" i="12"/>
  <c r="C154" i="12"/>
  <c r="C209" i="12"/>
  <c r="C238" i="12"/>
  <c r="C370" i="12"/>
  <c r="C104" i="12"/>
  <c r="C426" i="12"/>
  <c r="C504" i="12"/>
  <c r="C576" i="12"/>
  <c r="C574" i="12"/>
  <c r="C586" i="12"/>
  <c r="C589" i="12"/>
  <c r="C570" i="12"/>
  <c r="C563" i="12"/>
  <c r="C575" i="12"/>
  <c r="C565" i="12"/>
  <c r="C578" i="12"/>
  <c r="C532" i="12"/>
  <c r="C582" i="12"/>
  <c r="C573" i="12"/>
  <c r="C572" i="12"/>
  <c r="G390" i="14"/>
  <c r="G562" i="14"/>
  <c r="G558" i="14"/>
  <c r="G548" i="14"/>
  <c r="G540" i="14"/>
  <c r="G522" i="14"/>
  <c r="G518" i="14"/>
  <c r="G335" i="14"/>
  <c r="G508" i="14"/>
  <c r="G498" i="14"/>
  <c r="G347" i="14"/>
  <c r="G488" i="14"/>
  <c r="G482" i="14"/>
  <c r="G468" i="14"/>
  <c r="G464" i="14"/>
  <c r="G448" i="14"/>
  <c r="G444" i="14"/>
  <c r="G438" i="14"/>
  <c r="G424" i="14"/>
  <c r="G420" i="14"/>
  <c r="G414" i="14"/>
  <c r="G410" i="14"/>
  <c r="G388" i="14"/>
  <c r="G386" i="14"/>
  <c r="G380" i="14"/>
  <c r="G376" i="14"/>
  <c r="G370" i="14"/>
  <c r="G381" i="14"/>
  <c r="G346" i="14"/>
  <c r="G334" i="14"/>
  <c r="G326" i="14"/>
  <c r="G470" i="14"/>
  <c r="G316" i="14"/>
  <c r="G312" i="14"/>
  <c r="G308" i="14"/>
  <c r="G304" i="14"/>
  <c r="G300" i="14"/>
  <c r="G296" i="14"/>
  <c r="G292" i="14"/>
  <c r="G288" i="14"/>
  <c r="G284" i="14"/>
  <c r="G280" i="14"/>
  <c r="G242" i="14"/>
  <c r="G272" i="14"/>
  <c r="G268" i="14"/>
  <c r="G262" i="14"/>
  <c r="G425" i="14"/>
  <c r="G254" i="14"/>
  <c r="G250" i="14"/>
  <c r="G249" i="14"/>
  <c r="G493" i="14"/>
  <c r="G236" i="14"/>
  <c r="G232" i="14"/>
  <c r="G228" i="14"/>
  <c r="G224" i="14"/>
  <c r="G220" i="14"/>
  <c r="G216" i="14"/>
  <c r="G212" i="14"/>
  <c r="G200" i="14"/>
  <c r="G2" i="14"/>
  <c r="G557" i="14"/>
  <c r="G537" i="14"/>
  <c r="G356" i="14"/>
  <c r="G525" i="14"/>
  <c r="G495" i="14"/>
  <c r="G511" i="14"/>
  <c r="G507" i="14"/>
  <c r="G503" i="14"/>
  <c r="G497" i="14"/>
  <c r="G564" i="14"/>
  <c r="G471" i="14"/>
  <c r="G89" i="14"/>
  <c r="G463" i="14"/>
  <c r="G445" i="14"/>
  <c r="G429" i="14"/>
  <c r="G419" i="14"/>
  <c r="G413" i="14"/>
  <c r="G405" i="14"/>
  <c r="G130" i="14"/>
  <c r="G391" i="14"/>
  <c r="G379" i="14"/>
  <c r="G375" i="14"/>
  <c r="G369" i="14"/>
  <c r="G355" i="14"/>
  <c r="G343" i="14"/>
  <c r="G337" i="14"/>
  <c r="G331" i="14"/>
  <c r="G325" i="14"/>
  <c r="G315" i="14"/>
  <c r="G311" i="14"/>
  <c r="G307" i="14"/>
  <c r="G303" i="14"/>
  <c r="G299" i="14"/>
  <c r="G295" i="14"/>
  <c r="G291" i="14"/>
  <c r="G287" i="14"/>
  <c r="G283" i="14"/>
  <c r="G275" i="14"/>
  <c r="G267" i="14"/>
  <c r="G261" i="14"/>
  <c r="G257" i="14"/>
  <c r="G253" i="14"/>
  <c r="G526" i="14"/>
  <c r="G243" i="14"/>
  <c r="G239" i="14"/>
  <c r="G235" i="14"/>
  <c r="G231" i="14"/>
  <c r="G221" i="14"/>
  <c r="G217" i="14"/>
  <c r="G213" i="14"/>
  <c r="G209" i="14"/>
  <c r="G205" i="14"/>
  <c r="G193" i="14"/>
  <c r="G189" i="14"/>
  <c r="G183" i="14"/>
  <c r="G173" i="14"/>
  <c r="G165" i="14"/>
  <c r="G161" i="14"/>
  <c r="G153" i="14"/>
  <c r="G147" i="14"/>
  <c r="G184" i="14"/>
  <c r="G180" i="14"/>
  <c r="G176" i="14"/>
  <c r="G168" i="14"/>
  <c r="G164" i="14"/>
  <c r="G371" i="14"/>
  <c r="G152" i="14"/>
  <c r="G144" i="14"/>
  <c r="G140" i="14"/>
  <c r="G134" i="14"/>
  <c r="G126" i="14"/>
  <c r="G122" i="14"/>
  <c r="G118" i="14"/>
  <c r="G110" i="14"/>
  <c r="G106" i="14"/>
  <c r="G102" i="14"/>
  <c r="G96" i="14"/>
  <c r="G90" i="14"/>
  <c r="G80" i="14"/>
  <c r="G467" i="14"/>
  <c r="G72" i="14"/>
  <c r="G68" i="14"/>
  <c r="G60" i="14"/>
  <c r="G44" i="14"/>
  <c r="G40" i="14"/>
  <c r="G36" i="14"/>
  <c r="G514" i="14"/>
  <c r="G20" i="14"/>
  <c r="G276" i="14"/>
  <c r="G10" i="14"/>
  <c r="G6" i="14"/>
  <c r="G131" i="14"/>
  <c r="G127" i="14"/>
  <c r="G123" i="14"/>
  <c r="G119" i="14"/>
  <c r="G101" i="14"/>
  <c r="G97" i="14"/>
  <c r="G93" i="14"/>
  <c r="G214" i="14"/>
  <c r="G85" i="14"/>
  <c r="G77" i="14"/>
  <c r="G73" i="14"/>
  <c r="G14" i="14"/>
  <c r="G63" i="14"/>
  <c r="G57" i="14"/>
  <c r="G47" i="14"/>
  <c r="G43" i="14"/>
  <c r="G35" i="14"/>
  <c r="G31" i="14"/>
  <c r="G25" i="14"/>
  <c r="G17" i="14"/>
  <c r="G13" i="14"/>
  <c r="G309" i="14"/>
  <c r="G240" i="14"/>
  <c r="G293" i="14"/>
  <c r="G285" i="14"/>
  <c r="G277" i="14"/>
  <c r="G269" i="14"/>
  <c r="G259" i="14"/>
  <c r="G229" i="14"/>
  <c r="G219" i="14"/>
  <c r="G395" i="14"/>
  <c r="G320" i="14"/>
  <c r="G195" i="14"/>
  <c r="G339" i="14"/>
  <c r="G177" i="14"/>
  <c r="G26" i="14"/>
  <c r="G149" i="14"/>
  <c r="G137" i="14"/>
  <c r="G188" i="14"/>
  <c r="G178" i="14"/>
  <c r="G76" i="14"/>
  <c r="G162" i="14"/>
  <c r="G154" i="14"/>
  <c r="G146" i="14"/>
  <c r="G516" i="14"/>
  <c r="G120" i="14"/>
  <c r="G100" i="14"/>
  <c r="G82" i="14"/>
  <c r="G62" i="14"/>
  <c r="G24" i="14"/>
  <c r="G12" i="14"/>
  <c r="G4" i="14"/>
  <c r="G117" i="14"/>
  <c r="G107" i="14"/>
  <c r="G99" i="14"/>
  <c r="G91" i="14"/>
  <c r="G83" i="14"/>
  <c r="G75" i="14"/>
  <c r="G65" i="14"/>
  <c r="G362" i="14"/>
  <c r="G560" i="14"/>
  <c r="G556" i="14"/>
  <c r="G538" i="14"/>
  <c r="G530" i="14"/>
  <c r="G546" i="14"/>
  <c r="G520" i="14"/>
  <c r="G71" i="14"/>
  <c r="G512" i="14"/>
  <c r="G506" i="14"/>
  <c r="G496" i="14"/>
  <c r="G480" i="14"/>
  <c r="G392" i="14"/>
  <c r="G466" i="14"/>
  <c r="G462" i="14"/>
  <c r="G458" i="14"/>
  <c r="G452" i="14"/>
  <c r="G446" i="14"/>
  <c r="G412" i="14"/>
  <c r="G408" i="14"/>
  <c r="G404" i="14"/>
  <c r="G398" i="14"/>
  <c r="G354" i="14"/>
  <c r="G382" i="14"/>
  <c r="G378" i="14"/>
  <c r="G372" i="14"/>
  <c r="G48" i="14"/>
  <c r="G358" i="14"/>
  <c r="G348" i="14"/>
  <c r="G344" i="14"/>
  <c r="G332" i="14"/>
  <c r="G322" i="14"/>
  <c r="G314" i="14"/>
  <c r="G310" i="14"/>
  <c r="G306" i="14"/>
  <c r="G302" i="14"/>
  <c r="G298" i="14"/>
  <c r="G294" i="14"/>
  <c r="G290" i="14"/>
  <c r="G286" i="14"/>
  <c r="G34" i="14"/>
  <c r="G427" i="14"/>
  <c r="G274" i="14"/>
  <c r="G270" i="14"/>
  <c r="G340" i="14"/>
  <c r="G260" i="14"/>
  <c r="G252" i="14"/>
  <c r="G248" i="14"/>
  <c r="G244" i="14"/>
  <c r="G238" i="14"/>
  <c r="G234" i="14"/>
  <c r="G278" i="14"/>
  <c r="G226" i="14"/>
  <c r="G222" i="14"/>
  <c r="G218" i="14"/>
  <c r="G230" i="14"/>
  <c r="G210" i="14"/>
  <c r="G198" i="14"/>
  <c r="G561" i="14"/>
  <c r="G454" i="14"/>
  <c r="G551" i="14"/>
  <c r="G547" i="14"/>
  <c r="G533" i="14"/>
  <c r="G529" i="14"/>
  <c r="G523" i="14"/>
  <c r="G517" i="14"/>
  <c r="G513" i="14"/>
  <c r="G509" i="14"/>
  <c r="G505" i="14"/>
  <c r="G499" i="14"/>
  <c r="G160" i="14"/>
  <c r="G485" i="14"/>
  <c r="G477" i="14"/>
  <c r="G473" i="14"/>
  <c r="G469" i="14"/>
  <c r="G265" i="14"/>
  <c r="G447" i="14"/>
  <c r="G433" i="14"/>
  <c r="G415" i="14"/>
  <c r="G409" i="14"/>
  <c r="G389" i="14"/>
  <c r="G385" i="14"/>
  <c r="G377" i="14"/>
  <c r="G365" i="14"/>
  <c r="G359" i="14"/>
  <c r="G351" i="14"/>
  <c r="G317" i="14"/>
  <c r="G313" i="14"/>
  <c r="G305" i="14"/>
  <c r="G297" i="14"/>
  <c r="G289" i="14"/>
  <c r="G281" i="14"/>
  <c r="G273" i="14"/>
  <c r="G263" i="14"/>
  <c r="G255" i="14"/>
  <c r="G241" i="14"/>
  <c r="G233" i="14"/>
  <c r="G223" i="14"/>
  <c r="G207" i="14"/>
  <c r="G199" i="14"/>
  <c r="G191" i="14"/>
  <c r="G181" i="14"/>
  <c r="G171" i="14"/>
  <c r="G163" i="14"/>
  <c r="G155" i="14"/>
  <c r="G194" i="14"/>
  <c r="G182" i="14"/>
  <c r="G166" i="14"/>
  <c r="G158" i="14"/>
  <c r="G142" i="14"/>
  <c r="G124" i="14"/>
  <c r="G116" i="14"/>
  <c r="G555" i="14"/>
  <c r="G74" i="14"/>
  <c r="G66" i="14"/>
  <c r="G56" i="14"/>
  <c r="G8" i="14"/>
  <c r="G121" i="14"/>
  <c r="G103" i="14"/>
  <c r="G79" i="14"/>
  <c r="G69" i="14"/>
  <c r="G55" i="14"/>
  <c r="G45" i="14"/>
  <c r="G23" i="14"/>
  <c r="G7" i="14"/>
  <c r="G61" i="14"/>
  <c r="G49" i="14"/>
  <c r="G19" i="14"/>
  <c r="G11" i="14"/>
  <c r="G3" i="14"/>
  <c r="A3" i="9"/>
  <c r="C473" i="12" s="1"/>
  <c r="A534" i="12"/>
  <c r="C534" i="12" s="1"/>
  <c r="A535" i="12"/>
  <c r="C535" i="12" s="1"/>
  <c r="A531" i="12"/>
  <c r="C531" i="12" s="1"/>
  <c r="A540" i="12"/>
  <c r="C540" i="12" s="1"/>
  <c r="A543" i="12"/>
  <c r="C543" i="12" s="1"/>
  <c r="A544" i="12"/>
  <c r="C544" i="12" s="1"/>
  <c r="A555" i="12"/>
  <c r="C555" i="12" s="1"/>
  <c r="A119" i="12"/>
  <c r="C119" i="12" s="1"/>
  <c r="A568" i="12"/>
  <c r="C568" i="12" s="1"/>
  <c r="A533" i="12"/>
  <c r="C533" i="12" s="1"/>
  <c r="A557" i="12"/>
  <c r="C557" i="12" s="1"/>
  <c r="A566" i="12"/>
  <c r="C566" i="12" s="1"/>
  <c r="A583" i="12"/>
  <c r="C583" i="12" s="1"/>
  <c r="A522" i="12"/>
  <c r="C522" i="12" s="1"/>
  <c r="A523" i="12"/>
  <c r="C523" i="12" s="1"/>
  <c r="A524" i="12"/>
  <c r="C524" i="12" s="1"/>
  <c r="A538" i="12"/>
  <c r="C538" i="12" s="1"/>
  <c r="A525" i="12"/>
  <c r="C525" i="12" s="1"/>
  <c r="A526" i="12"/>
  <c r="C526" i="12" s="1"/>
  <c r="A527" i="12"/>
  <c r="C527" i="12" s="1"/>
  <c r="A528" i="12"/>
  <c r="C528" i="12" s="1"/>
  <c r="A529" i="12"/>
  <c r="C529" i="12" s="1"/>
  <c r="A530" i="12"/>
  <c r="C530" i="12" s="1"/>
  <c r="A577" i="12"/>
  <c r="C577" i="12" s="1"/>
  <c r="A579" i="12"/>
  <c r="C579" i="12" s="1"/>
  <c r="A536" i="12"/>
  <c r="C536" i="12" s="1"/>
  <c r="A537" i="12"/>
  <c r="C537" i="12" s="1"/>
  <c r="A521" i="12"/>
  <c r="C521" i="12" s="1"/>
  <c r="A580" i="12"/>
  <c r="C580" i="12" s="1"/>
  <c r="A539" i="12"/>
  <c r="C539" i="12" s="1"/>
  <c r="A541" i="12"/>
  <c r="C541" i="12" s="1"/>
  <c r="A542" i="12"/>
  <c r="C542" i="12" s="1"/>
  <c r="A545" i="12"/>
  <c r="C545" i="12" s="1"/>
  <c r="A546" i="12"/>
  <c r="C546" i="12" s="1"/>
  <c r="A547" i="12"/>
  <c r="C547" i="12" s="1"/>
  <c r="A548" i="12"/>
  <c r="C548" i="12" s="1"/>
  <c r="A549" i="12"/>
  <c r="C549" i="12" s="1"/>
  <c r="A550" i="12"/>
  <c r="C550" i="12" s="1"/>
  <c r="A581" i="12"/>
  <c r="C581" i="12" s="1"/>
  <c r="A551" i="12"/>
  <c r="C551" i="12" s="1"/>
  <c r="A552" i="12"/>
  <c r="C552" i="12" s="1"/>
  <c r="A553" i="12"/>
  <c r="C553" i="12" s="1"/>
  <c r="A554" i="12"/>
  <c r="C554" i="12" s="1"/>
  <c r="A556" i="12"/>
  <c r="C556" i="12" s="1"/>
  <c r="A558" i="12"/>
  <c r="C558" i="12" s="1"/>
  <c r="A585" i="12"/>
  <c r="C585" i="12" s="1"/>
  <c r="A559" i="12"/>
  <c r="C559" i="12" s="1"/>
  <c r="A560" i="12"/>
  <c r="C560" i="12" s="1"/>
  <c r="A561" i="12"/>
  <c r="C561" i="12" s="1"/>
  <c r="A587" i="12"/>
  <c r="C587" i="12" s="1"/>
  <c r="A564" i="12"/>
  <c r="C564" i="12" s="1"/>
  <c r="A562" i="12"/>
  <c r="C562" i="12" s="1"/>
  <c r="A152" i="12"/>
  <c r="L44" i="9" s="1"/>
  <c r="A567" i="12"/>
  <c r="C567" i="12" s="1"/>
  <c r="N8" i="9" l="1"/>
  <c r="L14" i="9"/>
  <c r="M42" i="9"/>
  <c r="M19" i="9"/>
  <c r="M8" i="9"/>
  <c r="N14" i="9"/>
  <c r="N19" i="9"/>
  <c r="M14" i="9"/>
  <c r="L42" i="9"/>
  <c r="L19" i="9"/>
  <c r="L8" i="9"/>
  <c r="N42" i="9"/>
  <c r="M113" i="9"/>
  <c r="N113" i="9"/>
  <c r="L113" i="9"/>
  <c r="C439" i="12"/>
  <c r="M39" i="9"/>
  <c r="M79" i="9"/>
  <c r="L91" i="9"/>
  <c r="M95" i="9"/>
  <c r="N88" i="9"/>
  <c r="M100" i="9"/>
  <c r="M5" i="9"/>
  <c r="N7" i="9"/>
  <c r="L9" i="9"/>
  <c r="M13" i="9"/>
  <c r="N15" i="9"/>
  <c r="L17" i="9"/>
  <c r="M21" i="9"/>
  <c r="N23" i="9"/>
  <c r="L25" i="9"/>
  <c r="M29" i="9"/>
  <c r="N31" i="9"/>
  <c r="L33" i="9"/>
  <c r="M37" i="9"/>
  <c r="N41" i="9"/>
  <c r="L43" i="9"/>
  <c r="M6" i="9"/>
  <c r="L10" i="9"/>
  <c r="L18" i="9"/>
  <c r="M22" i="9"/>
  <c r="N24" i="9"/>
  <c r="L26" i="9"/>
  <c r="M30" i="9"/>
  <c r="N32" i="9"/>
  <c r="L34" i="9"/>
  <c r="M38" i="9"/>
  <c r="N40" i="9"/>
  <c r="N79" i="9"/>
  <c r="M91" i="9"/>
  <c r="N105" i="9"/>
  <c r="L88" i="9"/>
  <c r="N5" i="9"/>
  <c r="L7" i="9"/>
  <c r="M11" i="9"/>
  <c r="N13" i="9"/>
  <c r="L15" i="9"/>
  <c r="N21" i="9"/>
  <c r="L23" i="9"/>
  <c r="M27" i="9"/>
  <c r="N29" i="9"/>
  <c r="L31" i="9"/>
  <c r="M35" i="9"/>
  <c r="N37" i="9"/>
  <c r="L41" i="9"/>
  <c r="M4" i="9"/>
  <c r="N6" i="9"/>
  <c r="M12" i="9"/>
  <c r="M20" i="9"/>
  <c r="N22" i="9"/>
  <c r="L24" i="9"/>
  <c r="M28" i="9"/>
  <c r="N30" i="9"/>
  <c r="L32" i="9"/>
  <c r="M36" i="9"/>
  <c r="N38" i="9"/>
  <c r="L40" i="9"/>
  <c r="M44" i="9"/>
  <c r="L39" i="9"/>
  <c r="N39" i="9"/>
  <c r="L79" i="9"/>
  <c r="N95" i="9"/>
  <c r="L105" i="9"/>
  <c r="N100" i="9"/>
  <c r="L5" i="9"/>
  <c r="M9" i="9"/>
  <c r="N11" i="9"/>
  <c r="L13" i="9"/>
  <c r="M17" i="9"/>
  <c r="L21" i="9"/>
  <c r="M25" i="9"/>
  <c r="N27" i="9"/>
  <c r="L29" i="9"/>
  <c r="M33" i="9"/>
  <c r="N35" i="9"/>
  <c r="L37" i="9"/>
  <c r="M43" i="9"/>
  <c r="N4" i="9"/>
  <c r="L6" i="9"/>
  <c r="M10" i="9"/>
  <c r="N12" i="9"/>
  <c r="M18" i="9"/>
  <c r="N20" i="9"/>
  <c r="L22" i="9"/>
  <c r="M26" i="9"/>
  <c r="N28" i="9"/>
  <c r="L30" i="9"/>
  <c r="M34" i="9"/>
  <c r="N36" i="9"/>
  <c r="L38" i="9"/>
  <c r="N44" i="9"/>
  <c r="N91" i="9"/>
  <c r="L95" i="9"/>
  <c r="M105" i="9"/>
  <c r="M88" i="9"/>
  <c r="L100" i="9"/>
  <c r="M7" i="9"/>
  <c r="N9" i="9"/>
  <c r="L11" i="9"/>
  <c r="M15" i="9"/>
  <c r="N17" i="9"/>
  <c r="M23" i="9"/>
  <c r="N25" i="9"/>
  <c r="L27" i="9"/>
  <c r="M31" i="9"/>
  <c r="N33" i="9"/>
  <c r="L35" i="9"/>
  <c r="M41" i="9"/>
  <c r="N43" i="9"/>
  <c r="L4" i="9"/>
  <c r="N10" i="9"/>
  <c r="L12" i="9"/>
  <c r="N18" i="9"/>
  <c r="L20" i="9"/>
  <c r="M24" i="9"/>
  <c r="N26" i="9"/>
  <c r="L28" i="9"/>
  <c r="M32" i="9"/>
  <c r="N34" i="9"/>
  <c r="L36" i="9"/>
  <c r="M40" i="9"/>
  <c r="C306" i="12"/>
  <c r="C71" i="12"/>
  <c r="C48" i="12"/>
  <c r="C47" i="12"/>
  <c r="C355" i="12"/>
  <c r="C78" i="12"/>
  <c r="C371" i="12"/>
  <c r="C46" i="12"/>
  <c r="C82" i="12"/>
  <c r="C167" i="12"/>
  <c r="C55" i="12"/>
  <c r="C23" i="12"/>
  <c r="C259" i="12"/>
  <c r="C108" i="12"/>
  <c r="C91" i="12"/>
  <c r="C36" i="12"/>
  <c r="C305" i="12"/>
  <c r="C281" i="12"/>
  <c r="C452" i="12"/>
  <c r="C267" i="12"/>
  <c r="C101" i="12"/>
  <c r="C112" i="12"/>
  <c r="C53" i="12"/>
  <c r="C224" i="12"/>
  <c r="C383" i="12"/>
  <c r="C455" i="12"/>
  <c r="C67" i="12"/>
  <c r="C26" i="12"/>
  <c r="C425" i="12"/>
  <c r="C76" i="12"/>
  <c r="C384" i="12"/>
  <c r="C102" i="12"/>
  <c r="C24" i="12"/>
  <c r="C507" i="12"/>
  <c r="C156" i="12"/>
  <c r="C115" i="12"/>
  <c r="C63" i="12"/>
  <c r="C309" i="12"/>
  <c r="C409" i="12"/>
  <c r="M147" i="9"/>
  <c r="N147" i="9"/>
  <c r="L141" i="9"/>
  <c r="M134" i="9"/>
  <c r="N134" i="9"/>
  <c r="L132" i="9"/>
  <c r="M128" i="9"/>
  <c r="N128" i="9"/>
  <c r="L120" i="9"/>
  <c r="L112" i="9"/>
  <c r="L104" i="9"/>
  <c r="M102" i="9"/>
  <c r="N102" i="9"/>
  <c r="M98" i="9"/>
  <c r="N98" i="9"/>
  <c r="L96" i="9"/>
  <c r="M94" i="9"/>
  <c r="N94" i="9"/>
  <c r="L90" i="9"/>
  <c r="N86" i="9"/>
  <c r="L84" i="9"/>
  <c r="M84" i="9"/>
  <c r="N80" i="9"/>
  <c r="L74" i="9"/>
  <c r="M74" i="9"/>
  <c r="N68" i="9"/>
  <c r="N58" i="9"/>
  <c r="L52" i="9"/>
  <c r="M52" i="9"/>
  <c r="N48" i="9"/>
  <c r="M148" i="9"/>
  <c r="N148" i="9"/>
  <c r="L146" i="9"/>
  <c r="M140" i="9"/>
  <c r="N140" i="9"/>
  <c r="L133" i="9"/>
  <c r="M131" i="9"/>
  <c r="N131" i="9"/>
  <c r="L125" i="9"/>
  <c r="M117" i="9"/>
  <c r="N117" i="9"/>
  <c r="L115" i="9"/>
  <c r="L107" i="9"/>
  <c r="L103" i="9"/>
  <c r="M99" i="9"/>
  <c r="N99" i="9"/>
  <c r="N87" i="9"/>
  <c r="L85" i="9"/>
  <c r="M85" i="9"/>
  <c r="N81" i="9"/>
  <c r="N77" i="9"/>
  <c r="L73" i="9"/>
  <c r="M73" i="9"/>
  <c r="N71" i="9"/>
  <c r="L67" i="9"/>
  <c r="M67" i="9"/>
  <c r="L59" i="9"/>
  <c r="M59" i="9"/>
  <c r="N55" i="9"/>
  <c r="L53" i="9"/>
  <c r="M53" i="9"/>
  <c r="N51" i="9"/>
  <c r="L147" i="9"/>
  <c r="M141" i="9"/>
  <c r="N141" i="9"/>
  <c r="L134" i="9"/>
  <c r="M132" i="9"/>
  <c r="N132" i="9"/>
  <c r="L128" i="9"/>
  <c r="M120" i="9"/>
  <c r="N120" i="9"/>
  <c r="M112" i="9"/>
  <c r="N112" i="9"/>
  <c r="M104" i="9"/>
  <c r="N104" i="9"/>
  <c r="L102" i="9"/>
  <c r="L98" i="9"/>
  <c r="M96" i="9"/>
  <c r="N96" i="9"/>
  <c r="L94" i="9"/>
  <c r="M90" i="9"/>
  <c r="N90" i="9"/>
  <c r="L86" i="9"/>
  <c r="M86" i="9"/>
  <c r="N84" i="9"/>
  <c r="L80" i="9"/>
  <c r="M80" i="9"/>
  <c r="N74" i="9"/>
  <c r="L68" i="9"/>
  <c r="M68" i="9"/>
  <c r="L58" i="9"/>
  <c r="M58" i="9"/>
  <c r="N52" i="9"/>
  <c r="L48" i="9"/>
  <c r="M48" i="9"/>
  <c r="L148" i="9"/>
  <c r="M146" i="9"/>
  <c r="N146" i="9"/>
  <c r="L140" i="9"/>
  <c r="M133" i="9"/>
  <c r="N133" i="9"/>
  <c r="L131" i="9"/>
  <c r="M125" i="9"/>
  <c r="N125" i="9"/>
  <c r="L117" i="9"/>
  <c r="M115" i="9"/>
  <c r="N115" i="9"/>
  <c r="M107" i="9"/>
  <c r="N107" i="9"/>
  <c r="M103" i="9"/>
  <c r="N103" i="9"/>
  <c r="L99" i="9"/>
  <c r="L87" i="9"/>
  <c r="M87" i="9"/>
  <c r="N85" i="9"/>
  <c r="L81" i="9"/>
  <c r="M81" i="9"/>
  <c r="L77" i="9"/>
  <c r="M77" i="9"/>
  <c r="N73" i="9"/>
  <c r="L71" i="9"/>
  <c r="M71" i="9"/>
  <c r="N67" i="9"/>
  <c r="N59" i="9"/>
  <c r="L55" i="9"/>
  <c r="M55" i="9"/>
  <c r="N53" i="9"/>
  <c r="L51" i="9"/>
  <c r="M51" i="9"/>
  <c r="M149" i="9"/>
  <c r="N149" i="9"/>
  <c r="M145" i="9"/>
  <c r="N145" i="9"/>
  <c r="L143" i="9"/>
  <c r="L138" i="9"/>
  <c r="M136" i="9"/>
  <c r="N136" i="9"/>
  <c r="L130" i="9"/>
  <c r="L126" i="9"/>
  <c r="M124" i="9"/>
  <c r="N124" i="9"/>
  <c r="L122" i="9"/>
  <c r="L118" i="9"/>
  <c r="L114" i="9"/>
  <c r="L110" i="9"/>
  <c r="M108" i="9"/>
  <c r="N108" i="9"/>
  <c r="M92" i="9"/>
  <c r="N92" i="9"/>
  <c r="N82" i="9"/>
  <c r="N78" i="9"/>
  <c r="L76" i="9"/>
  <c r="M76" i="9"/>
  <c r="L72" i="9"/>
  <c r="M72" i="9"/>
  <c r="N70" i="9"/>
  <c r="N66" i="9"/>
  <c r="N62" i="9"/>
  <c r="N56" i="9"/>
  <c r="L54" i="9"/>
  <c r="M54" i="9"/>
  <c r="L50" i="9"/>
  <c r="M50" i="9"/>
  <c r="M150" i="9"/>
  <c r="N150" i="9"/>
  <c r="M142" i="9"/>
  <c r="N142" i="9"/>
  <c r="M135" i="9"/>
  <c r="N135" i="9"/>
  <c r="L129" i="9"/>
  <c r="M127" i="9"/>
  <c r="N127" i="9"/>
  <c r="M123" i="9"/>
  <c r="N123" i="9"/>
  <c r="L121" i="9"/>
  <c r="M119" i="9"/>
  <c r="N119" i="9"/>
  <c r="M111" i="9"/>
  <c r="N111" i="9"/>
  <c r="L109" i="9"/>
  <c r="L101" i="9"/>
  <c r="L97" i="9"/>
  <c r="L93" i="9"/>
  <c r="L89" i="9"/>
  <c r="L83" i="9"/>
  <c r="M83" i="9"/>
  <c r="L75" i="9"/>
  <c r="M75" i="9"/>
  <c r="N69" i="9"/>
  <c r="N65" i="9"/>
  <c r="L149" i="9"/>
  <c r="L145" i="9"/>
  <c r="M143" i="9"/>
  <c r="N143" i="9"/>
  <c r="M138" i="9"/>
  <c r="N138" i="9"/>
  <c r="L136" i="9"/>
  <c r="M130" i="9"/>
  <c r="N130" i="9"/>
  <c r="M126" i="9"/>
  <c r="N126" i="9"/>
  <c r="L124" i="9"/>
  <c r="M122" i="9"/>
  <c r="N122" i="9"/>
  <c r="M118" i="9"/>
  <c r="N118" i="9"/>
  <c r="M114" i="9"/>
  <c r="N114" i="9"/>
  <c r="M110" i="9"/>
  <c r="N110" i="9"/>
  <c r="L108" i="9"/>
  <c r="L92" i="9"/>
  <c r="L82" i="9"/>
  <c r="M82" i="9"/>
  <c r="L78" i="9"/>
  <c r="M78" i="9"/>
  <c r="N76" i="9"/>
  <c r="N72" i="9"/>
  <c r="L70" i="9"/>
  <c r="M70" i="9"/>
  <c r="L66" i="9"/>
  <c r="M66" i="9"/>
  <c r="L62" i="9"/>
  <c r="M62" i="9"/>
  <c r="L56" i="9"/>
  <c r="M56" i="9"/>
  <c r="N54" i="9"/>
  <c r="N50" i="9"/>
  <c r="L150" i="9"/>
  <c r="L142" i="9"/>
  <c r="L135" i="9"/>
  <c r="M129" i="9"/>
  <c r="N129" i="9"/>
  <c r="L127" i="9"/>
  <c r="L123" i="9"/>
  <c r="M121" i="9"/>
  <c r="N121" i="9"/>
  <c r="L119" i="9"/>
  <c r="L111" i="9"/>
  <c r="M109" i="9"/>
  <c r="N109" i="9"/>
  <c r="M101" i="9"/>
  <c r="N101" i="9"/>
  <c r="M97" i="9"/>
  <c r="N97" i="9"/>
  <c r="M93" i="9"/>
  <c r="N93" i="9"/>
  <c r="M89" i="9"/>
  <c r="N89" i="9"/>
  <c r="N83" i="9"/>
  <c r="N75" i="9"/>
  <c r="L69" i="9"/>
  <c r="M69" i="9"/>
  <c r="L65" i="9"/>
  <c r="M65" i="9"/>
  <c r="N57" i="9"/>
  <c r="N49" i="9"/>
  <c r="M139" i="9"/>
  <c r="N139" i="9"/>
  <c r="L57" i="9"/>
  <c r="M57" i="9"/>
  <c r="L49" i="9"/>
  <c r="M49" i="9"/>
  <c r="L139" i="9"/>
  <c r="C135" i="12"/>
  <c r="C49" i="12"/>
  <c r="C331" i="12"/>
  <c r="C460" i="12"/>
  <c r="C345" i="12"/>
  <c r="C194" i="12"/>
  <c r="C92" i="12"/>
  <c r="C183" i="12"/>
  <c r="C493" i="12"/>
  <c r="C275" i="12"/>
  <c r="C74" i="12"/>
  <c r="C151" i="12"/>
  <c r="C478" i="12"/>
  <c r="C123" i="12"/>
  <c r="C213" i="12"/>
  <c r="C29" i="12"/>
  <c r="C337" i="12"/>
  <c r="C397" i="12"/>
  <c r="C395" i="12"/>
  <c r="C251" i="12"/>
  <c r="C346" i="12"/>
  <c r="C120" i="12"/>
  <c r="C498" i="12"/>
  <c r="C90" i="12"/>
  <c r="C406" i="12"/>
  <c r="C481" i="12"/>
  <c r="C128" i="12"/>
  <c r="C30" i="12"/>
  <c r="C332" i="12"/>
  <c r="C73" i="12"/>
  <c r="C136" i="12"/>
  <c r="C87" i="12"/>
  <c r="C125" i="12"/>
  <c r="C60" i="12"/>
  <c r="C268" i="12"/>
  <c r="C211" i="12"/>
  <c r="C122" i="12"/>
  <c r="C247" i="12"/>
  <c r="C121" i="12"/>
  <c r="C146" i="12"/>
  <c r="C408" i="12"/>
  <c r="C139" i="12"/>
  <c r="C319" i="12"/>
  <c r="C272" i="12"/>
  <c r="C435" i="12"/>
  <c r="C34" i="12"/>
  <c r="C476" i="12"/>
  <c r="C147" i="12"/>
  <c r="C255" i="12"/>
  <c r="C486" i="12"/>
  <c r="C372" i="12"/>
  <c r="C212" i="12"/>
  <c r="C202" i="12"/>
  <c r="C363" i="12"/>
  <c r="C402" i="12"/>
  <c r="C273" i="12"/>
  <c r="C464" i="12"/>
  <c r="C381" i="12"/>
  <c r="C85" i="12"/>
  <c r="C179" i="12"/>
  <c r="C176" i="12"/>
  <c r="C467" i="12"/>
  <c r="C99" i="12"/>
  <c r="C260" i="12"/>
  <c r="C181" i="12"/>
  <c r="C126" i="12"/>
  <c r="C250" i="12"/>
  <c r="C173" i="12"/>
  <c r="C329" i="12"/>
  <c r="C339" i="12"/>
  <c r="C157" i="12"/>
  <c r="C80" i="12"/>
  <c r="C342" i="12"/>
  <c r="C509" i="12"/>
  <c r="C171" i="12"/>
  <c r="C237" i="12"/>
  <c r="C44" i="12"/>
  <c r="C506" i="12"/>
  <c r="C380" i="12"/>
  <c r="C361" i="12"/>
  <c r="C357" i="12"/>
  <c r="C437" i="12"/>
  <c r="C420" i="12"/>
  <c r="C21" i="12"/>
  <c r="C149" i="12"/>
  <c r="C143" i="12"/>
  <c r="C469" i="12"/>
  <c r="C511" i="12"/>
  <c r="C474" i="12"/>
  <c r="C117" i="12"/>
  <c r="C287" i="12"/>
  <c r="C353" i="12"/>
  <c r="C207" i="12"/>
  <c r="C66" i="12"/>
  <c r="C495" i="12"/>
  <c r="C327" i="12"/>
  <c r="C188" i="12"/>
  <c r="C475" i="12"/>
  <c r="C56" i="12"/>
  <c r="C81" i="12"/>
  <c r="C483" i="12"/>
  <c r="C333" i="12"/>
  <c r="C367" i="12"/>
  <c r="C164" i="12"/>
  <c r="C41" i="12"/>
  <c r="C127" i="12"/>
  <c r="C204" i="12"/>
  <c r="C326" i="12"/>
  <c r="C496" i="12"/>
  <c r="C313" i="12"/>
  <c r="C116" i="12"/>
  <c r="C257" i="12"/>
  <c r="C442" i="12"/>
  <c r="C197" i="12"/>
  <c r="C215" i="12"/>
  <c r="C304" i="12"/>
  <c r="C75" i="12"/>
  <c r="C325" i="12"/>
  <c r="C93" i="12"/>
  <c r="C111" i="12"/>
  <c r="C321" i="12"/>
  <c r="C422" i="12"/>
  <c r="C228" i="12"/>
  <c r="C132" i="12"/>
  <c r="C322" i="12"/>
  <c r="C17" i="12"/>
  <c r="C84" i="12"/>
  <c r="C265" i="12"/>
  <c r="C330" i="12"/>
  <c r="C282" i="12"/>
  <c r="C177" i="12"/>
  <c r="C208" i="12"/>
  <c r="C129" i="12"/>
  <c r="C338" i="12"/>
  <c r="C461" i="12"/>
  <c r="C159" i="12"/>
  <c r="C175" i="12"/>
  <c r="C340" i="12"/>
  <c r="C396" i="12"/>
  <c r="C98" i="12"/>
  <c r="C378" i="12"/>
  <c r="C349" i="12"/>
  <c r="C490" i="12"/>
  <c r="C16" i="12"/>
  <c r="C226" i="12"/>
  <c r="C160" i="12"/>
  <c r="C298" i="12"/>
  <c r="C52" i="12"/>
  <c r="P4" i="9"/>
  <c r="Q4" i="9" s="1"/>
  <c r="O4" i="9" s="1"/>
  <c r="P5" i="9"/>
  <c r="Q5" i="9" s="1"/>
  <c r="O5" i="9" s="1"/>
  <c r="P6" i="9"/>
  <c r="Q6" i="9" s="1"/>
  <c r="O6" i="9" s="1"/>
  <c r="P7" i="9"/>
  <c r="Q7" i="9" s="1"/>
  <c r="O7" i="9" s="1"/>
  <c r="P8" i="9"/>
  <c r="Q8" i="9" s="1"/>
  <c r="O8" i="9" s="1"/>
  <c r="P9" i="9"/>
  <c r="Q9" i="9" s="1"/>
  <c r="O9" i="9" s="1"/>
  <c r="P10" i="9"/>
  <c r="Q10" i="9" s="1"/>
  <c r="O10" i="9" s="1"/>
  <c r="P11" i="9"/>
  <c r="Q11" i="9" s="1"/>
  <c r="O11" i="9" s="1"/>
  <c r="P12" i="9"/>
  <c r="Q12" i="9" s="1"/>
  <c r="O12" i="9" s="1"/>
  <c r="P13" i="9"/>
  <c r="Q13" i="9" s="1"/>
  <c r="O13" i="9" s="1"/>
  <c r="P14" i="9"/>
  <c r="Q14" i="9" s="1"/>
  <c r="O14" i="9" s="1"/>
  <c r="P15" i="9"/>
  <c r="Q15" i="9" s="1"/>
  <c r="O15" i="9" s="1"/>
  <c r="P16" i="9"/>
  <c r="Q16" i="9" s="1"/>
  <c r="O16" i="9" s="1"/>
  <c r="P17" i="9"/>
  <c r="Q17" i="9" s="1"/>
  <c r="O17" i="9" s="1"/>
  <c r="P18" i="9"/>
  <c r="Q18" i="9" s="1"/>
  <c r="O18" i="9" s="1"/>
  <c r="P19" i="9"/>
  <c r="Q19" i="9" s="1"/>
  <c r="O19" i="9" s="1"/>
  <c r="P20" i="9"/>
  <c r="Q20" i="9" s="1"/>
  <c r="O20" i="9" s="1"/>
  <c r="P21" i="9"/>
  <c r="Q21" i="9" s="1"/>
  <c r="O21" i="9" s="1"/>
  <c r="P22" i="9"/>
  <c r="Q22" i="9" s="1"/>
  <c r="O22" i="9" s="1"/>
  <c r="P23" i="9"/>
  <c r="Q23" i="9" s="1"/>
  <c r="O23" i="9" s="1"/>
  <c r="P24" i="9"/>
  <c r="Q24" i="9" s="1"/>
  <c r="O24" i="9" s="1"/>
  <c r="P25" i="9"/>
  <c r="Q25" i="9" s="1"/>
  <c r="O25" i="9" s="1"/>
  <c r="P26" i="9"/>
  <c r="Q26" i="9" s="1"/>
  <c r="O26" i="9" s="1"/>
  <c r="P27" i="9"/>
  <c r="Q27" i="9" s="1"/>
  <c r="O27" i="9" s="1"/>
  <c r="P28" i="9"/>
  <c r="Q28" i="9" s="1"/>
  <c r="O28" i="9" s="1"/>
  <c r="P29" i="9"/>
  <c r="Q29" i="9" s="1"/>
  <c r="O29" i="9" s="1"/>
  <c r="P30" i="9"/>
  <c r="Q30" i="9" s="1"/>
  <c r="O30" i="9" s="1"/>
  <c r="P31" i="9"/>
  <c r="Q31" i="9" s="1"/>
  <c r="O31" i="9" s="1"/>
  <c r="P32" i="9"/>
  <c r="Q32" i="9" s="1"/>
  <c r="O32" i="9" s="1"/>
  <c r="P33" i="9"/>
  <c r="Q33" i="9" s="1"/>
  <c r="O33" i="9" s="1"/>
  <c r="P34" i="9"/>
  <c r="Q34" i="9" s="1"/>
  <c r="O34" i="9" s="1"/>
  <c r="P35" i="9"/>
  <c r="Q35" i="9" s="1"/>
  <c r="O35" i="9" s="1"/>
  <c r="P36" i="9"/>
  <c r="Q36" i="9" s="1"/>
  <c r="O36" i="9" s="1"/>
  <c r="P37" i="9"/>
  <c r="Q37" i="9" s="1"/>
  <c r="O37" i="9" s="1"/>
  <c r="P38" i="9"/>
  <c r="Q38" i="9" s="1"/>
  <c r="O38" i="9" s="1"/>
  <c r="P39" i="9"/>
  <c r="Q39" i="9" s="1"/>
  <c r="O39" i="9" s="1"/>
  <c r="P40" i="9"/>
  <c r="Q40" i="9" s="1"/>
  <c r="O40" i="9" s="1"/>
  <c r="P41" i="9"/>
  <c r="Q41" i="9" s="1"/>
  <c r="O41" i="9" s="1"/>
  <c r="P42" i="9"/>
  <c r="Q42" i="9" s="1"/>
  <c r="O42" i="9" s="1"/>
  <c r="P43" i="9"/>
  <c r="Q43" i="9" s="1"/>
  <c r="O43" i="9" s="1"/>
  <c r="P44" i="9"/>
  <c r="Q44" i="9" s="1"/>
  <c r="O44" i="9" s="1"/>
  <c r="P45" i="9"/>
  <c r="Q45" i="9" s="1"/>
  <c r="P47" i="9"/>
  <c r="Q47" i="9" s="1"/>
  <c r="P49" i="9"/>
  <c r="Q49" i="9" s="1"/>
  <c r="O49" i="9" s="1"/>
  <c r="P51" i="9"/>
  <c r="Q51" i="9" s="1"/>
  <c r="O51" i="9" s="1"/>
  <c r="P53" i="9"/>
  <c r="Q53" i="9" s="1"/>
  <c r="O53" i="9" s="1"/>
  <c r="P55" i="9"/>
  <c r="Q55" i="9" s="1"/>
  <c r="O55" i="9" s="1"/>
  <c r="P57" i="9"/>
  <c r="Q57" i="9" s="1"/>
  <c r="O57" i="9" s="1"/>
  <c r="P58" i="9"/>
  <c r="Q58" i="9" s="1"/>
  <c r="O58" i="9" s="1"/>
  <c r="P59" i="9"/>
  <c r="Q59" i="9" s="1"/>
  <c r="O59" i="9" s="1"/>
  <c r="P60" i="9"/>
  <c r="Q60" i="9" s="1"/>
  <c r="P61" i="9"/>
  <c r="Q61" i="9" s="1"/>
  <c r="P62" i="9"/>
  <c r="Q62" i="9" s="1"/>
  <c r="O62" i="9" s="1"/>
  <c r="P63" i="9"/>
  <c r="Q63" i="9" s="1"/>
  <c r="P64" i="9"/>
  <c r="Q64" i="9" s="1"/>
  <c r="P65" i="9"/>
  <c r="Q65" i="9" s="1"/>
  <c r="O65" i="9" s="1"/>
  <c r="P66" i="9"/>
  <c r="Q66" i="9" s="1"/>
  <c r="O66" i="9" s="1"/>
  <c r="P67" i="9"/>
  <c r="Q67" i="9" s="1"/>
  <c r="O67" i="9" s="1"/>
  <c r="P68" i="9"/>
  <c r="Q68" i="9" s="1"/>
  <c r="O68" i="9" s="1"/>
  <c r="P69" i="9"/>
  <c r="Q69" i="9" s="1"/>
  <c r="O69" i="9" s="1"/>
  <c r="P70" i="9"/>
  <c r="Q70" i="9" s="1"/>
  <c r="O70" i="9" s="1"/>
  <c r="P71" i="9"/>
  <c r="Q71" i="9" s="1"/>
  <c r="O71" i="9" s="1"/>
  <c r="P72" i="9"/>
  <c r="Q72" i="9" s="1"/>
  <c r="O72" i="9" s="1"/>
  <c r="P73" i="9"/>
  <c r="Q73" i="9" s="1"/>
  <c r="O73" i="9" s="1"/>
  <c r="P74" i="9"/>
  <c r="Q74" i="9" s="1"/>
  <c r="O74" i="9" s="1"/>
  <c r="P75" i="9"/>
  <c r="Q75" i="9" s="1"/>
  <c r="O75" i="9" s="1"/>
  <c r="P76" i="9"/>
  <c r="Q76" i="9" s="1"/>
  <c r="O76" i="9" s="1"/>
  <c r="P77" i="9"/>
  <c r="Q77" i="9" s="1"/>
  <c r="O77" i="9" s="1"/>
  <c r="P78" i="9"/>
  <c r="Q78" i="9" s="1"/>
  <c r="O78" i="9" s="1"/>
  <c r="P79" i="9"/>
  <c r="Q79" i="9" s="1"/>
  <c r="O79" i="9" s="1"/>
  <c r="P80" i="9"/>
  <c r="Q80" i="9" s="1"/>
  <c r="O80" i="9" s="1"/>
  <c r="P81" i="9"/>
  <c r="Q81" i="9" s="1"/>
  <c r="O81" i="9" s="1"/>
  <c r="P82" i="9"/>
  <c r="Q82" i="9" s="1"/>
  <c r="O82" i="9" s="1"/>
  <c r="P83" i="9"/>
  <c r="Q83" i="9" s="1"/>
  <c r="O83" i="9" s="1"/>
  <c r="P84" i="9"/>
  <c r="Q84" i="9" s="1"/>
  <c r="O84" i="9" s="1"/>
  <c r="P85" i="9"/>
  <c r="Q85" i="9" s="1"/>
  <c r="O85" i="9" s="1"/>
  <c r="P46" i="9"/>
  <c r="Q46" i="9" s="1"/>
  <c r="P48" i="9"/>
  <c r="Q48" i="9" s="1"/>
  <c r="O48" i="9" s="1"/>
  <c r="P50" i="9"/>
  <c r="Q50" i="9" s="1"/>
  <c r="O50" i="9" s="1"/>
  <c r="P52" i="9"/>
  <c r="Q52" i="9" s="1"/>
  <c r="O52" i="9" s="1"/>
  <c r="P54" i="9"/>
  <c r="Q54" i="9" s="1"/>
  <c r="O54" i="9" s="1"/>
  <c r="P56" i="9"/>
  <c r="Q56" i="9" s="1"/>
  <c r="O56" i="9" s="1"/>
  <c r="P86" i="9"/>
  <c r="Q86" i="9" s="1"/>
  <c r="O86" i="9" s="1"/>
  <c r="P87" i="9"/>
  <c r="Q87" i="9" s="1"/>
  <c r="O87" i="9" s="1"/>
  <c r="P88" i="9"/>
  <c r="Q88" i="9" s="1"/>
  <c r="O88" i="9" s="1"/>
  <c r="P89" i="9"/>
  <c r="Q89" i="9" s="1"/>
  <c r="O89" i="9" s="1"/>
  <c r="P90" i="9"/>
  <c r="Q90" i="9" s="1"/>
  <c r="O90" i="9" s="1"/>
  <c r="P91" i="9"/>
  <c r="Q91" i="9" s="1"/>
  <c r="O91" i="9" s="1"/>
  <c r="P92" i="9"/>
  <c r="Q92" i="9" s="1"/>
  <c r="O92" i="9" s="1"/>
  <c r="P93" i="9"/>
  <c r="Q93" i="9" s="1"/>
  <c r="O93" i="9" s="1"/>
  <c r="P94" i="9"/>
  <c r="Q94" i="9" s="1"/>
  <c r="O94" i="9" s="1"/>
  <c r="P96" i="9"/>
  <c r="Q96" i="9" s="1"/>
  <c r="O96" i="9" s="1"/>
  <c r="P98" i="9"/>
  <c r="Q98" i="9" s="1"/>
  <c r="O98" i="9" s="1"/>
  <c r="P100" i="9"/>
  <c r="Q100" i="9" s="1"/>
  <c r="O100" i="9" s="1"/>
  <c r="P102" i="9"/>
  <c r="Q102" i="9" s="1"/>
  <c r="O102" i="9" s="1"/>
  <c r="P104" i="9"/>
  <c r="Q104" i="9" s="1"/>
  <c r="O104" i="9" s="1"/>
  <c r="P106" i="9"/>
  <c r="Q106" i="9" s="1"/>
  <c r="O106" i="9" s="1"/>
  <c r="P108" i="9"/>
  <c r="Q108" i="9" s="1"/>
  <c r="O108" i="9" s="1"/>
  <c r="P110" i="9"/>
  <c r="Q110" i="9" s="1"/>
  <c r="O110" i="9" s="1"/>
  <c r="P112" i="9"/>
  <c r="Q112" i="9" s="1"/>
  <c r="O112" i="9" s="1"/>
  <c r="P114" i="9"/>
  <c r="Q114" i="9" s="1"/>
  <c r="O114" i="9" s="1"/>
  <c r="P116" i="9"/>
  <c r="Q116" i="9" s="1"/>
  <c r="O116" i="9" s="1"/>
  <c r="P117" i="9"/>
  <c r="Q117" i="9" s="1"/>
  <c r="O117" i="9" s="1"/>
  <c r="P118" i="9"/>
  <c r="Q118" i="9" s="1"/>
  <c r="O118" i="9" s="1"/>
  <c r="P119" i="9"/>
  <c r="Q119" i="9" s="1"/>
  <c r="O119" i="9" s="1"/>
  <c r="P120" i="9"/>
  <c r="Q120" i="9" s="1"/>
  <c r="O120" i="9" s="1"/>
  <c r="P121" i="9"/>
  <c r="Q121" i="9" s="1"/>
  <c r="O121" i="9" s="1"/>
  <c r="P122" i="9"/>
  <c r="Q122" i="9" s="1"/>
  <c r="O122" i="9" s="1"/>
  <c r="P123" i="9"/>
  <c r="Q123" i="9" s="1"/>
  <c r="O123" i="9" s="1"/>
  <c r="P124" i="9"/>
  <c r="Q124" i="9" s="1"/>
  <c r="O124" i="9" s="1"/>
  <c r="P125" i="9"/>
  <c r="Q125" i="9" s="1"/>
  <c r="O125" i="9" s="1"/>
  <c r="P126" i="9"/>
  <c r="Q126" i="9" s="1"/>
  <c r="O126" i="9" s="1"/>
  <c r="P127" i="9"/>
  <c r="Q127" i="9" s="1"/>
  <c r="O127" i="9" s="1"/>
  <c r="P128" i="9"/>
  <c r="Q128" i="9" s="1"/>
  <c r="O128" i="9" s="1"/>
  <c r="P129" i="9"/>
  <c r="Q129" i="9" s="1"/>
  <c r="O129" i="9" s="1"/>
  <c r="P130" i="9"/>
  <c r="Q130" i="9" s="1"/>
  <c r="O130" i="9" s="1"/>
  <c r="P131" i="9"/>
  <c r="Q131" i="9" s="1"/>
  <c r="O131" i="9" s="1"/>
  <c r="P132" i="9"/>
  <c r="Q132" i="9" s="1"/>
  <c r="O132" i="9" s="1"/>
  <c r="P133" i="9"/>
  <c r="Q133" i="9" s="1"/>
  <c r="O133" i="9" s="1"/>
  <c r="P134" i="9"/>
  <c r="Q134" i="9" s="1"/>
  <c r="O134" i="9" s="1"/>
  <c r="M154" i="9"/>
  <c r="P135" i="9"/>
  <c r="Q135" i="9" s="1"/>
  <c r="O135" i="9" s="1"/>
  <c r="P136" i="9"/>
  <c r="Q136" i="9" s="1"/>
  <c r="O136" i="9" s="1"/>
  <c r="P137" i="9"/>
  <c r="Q137" i="9" s="1"/>
  <c r="P138" i="9"/>
  <c r="Q138" i="9" s="1"/>
  <c r="O138" i="9" s="1"/>
  <c r="P139" i="9"/>
  <c r="Q139" i="9" s="1"/>
  <c r="O139" i="9" s="1"/>
  <c r="P140" i="9"/>
  <c r="Q140" i="9" s="1"/>
  <c r="O140" i="9" s="1"/>
  <c r="P141" i="9"/>
  <c r="Q141" i="9" s="1"/>
  <c r="O141" i="9" s="1"/>
  <c r="P142" i="9"/>
  <c r="Q142" i="9" s="1"/>
  <c r="O142" i="9" s="1"/>
  <c r="P143" i="9"/>
  <c r="Q143" i="9" s="1"/>
  <c r="O143" i="9" s="1"/>
  <c r="P144" i="9"/>
  <c r="Q144" i="9" s="1"/>
  <c r="P145" i="9"/>
  <c r="Q145" i="9" s="1"/>
  <c r="O145" i="9" s="1"/>
  <c r="P146" i="9"/>
  <c r="Q146" i="9" s="1"/>
  <c r="O146" i="9" s="1"/>
  <c r="P147" i="9"/>
  <c r="Q147" i="9" s="1"/>
  <c r="O147" i="9" s="1"/>
  <c r="M151" i="9"/>
  <c r="P148" i="9"/>
  <c r="Q148" i="9" s="1"/>
  <c r="O148" i="9" s="1"/>
  <c r="P149" i="9"/>
  <c r="Q149" i="9" s="1"/>
  <c r="O149" i="9" s="1"/>
  <c r="P150" i="9"/>
  <c r="Q150" i="9" s="1"/>
  <c r="O150" i="9" s="1"/>
  <c r="P151" i="9"/>
  <c r="Q151" i="9" s="1"/>
  <c r="P152" i="9"/>
  <c r="Q152" i="9" s="1"/>
  <c r="M153" i="9"/>
  <c r="P153" i="9"/>
  <c r="Q153" i="9" s="1"/>
  <c r="O153" i="9" s="1"/>
  <c r="M152" i="9"/>
  <c r="P154" i="9"/>
  <c r="Q154" i="9" s="1"/>
  <c r="O152" i="9" s="1"/>
  <c r="M155" i="9"/>
  <c r="P155" i="9"/>
  <c r="Q155" i="9" s="1"/>
  <c r="O155" i="9" s="1"/>
  <c r="M156" i="9"/>
  <c r="P156" i="9"/>
  <c r="Q156" i="9" s="1"/>
  <c r="O156" i="9" s="1"/>
  <c r="M157" i="9"/>
  <c r="P157" i="9"/>
  <c r="Q157" i="9" s="1"/>
  <c r="O157" i="9" s="1"/>
  <c r="M158" i="9"/>
  <c r="P158" i="9"/>
  <c r="Q158" i="9" s="1"/>
  <c r="O158" i="9" s="1"/>
  <c r="M159" i="9"/>
  <c r="P159" i="9"/>
  <c r="Q159" i="9" s="1"/>
  <c r="O159" i="9" s="1"/>
  <c r="M160" i="9"/>
  <c r="P160" i="9"/>
  <c r="Q160" i="9" s="1"/>
  <c r="O160" i="9" s="1"/>
  <c r="M161" i="9"/>
  <c r="P161" i="9"/>
  <c r="Q161" i="9" s="1"/>
  <c r="O161" i="9" s="1"/>
  <c r="M162" i="9"/>
  <c r="P162" i="9"/>
  <c r="Q162" i="9" s="1"/>
  <c r="O162" i="9" s="1"/>
  <c r="M163" i="9"/>
  <c r="P163" i="9"/>
  <c r="Q163" i="9" s="1"/>
  <c r="O163" i="9" s="1"/>
  <c r="M164" i="9"/>
  <c r="P164" i="9"/>
  <c r="Q164" i="9" s="1"/>
  <c r="O164" i="9" s="1"/>
  <c r="M165" i="9"/>
  <c r="P95" i="9"/>
  <c r="Q95" i="9" s="1"/>
  <c r="O95" i="9" s="1"/>
  <c r="P97" i="9"/>
  <c r="Q97" i="9" s="1"/>
  <c r="O97" i="9" s="1"/>
  <c r="P99" i="9"/>
  <c r="Q99" i="9" s="1"/>
  <c r="O99" i="9" s="1"/>
  <c r="P101" i="9"/>
  <c r="Q101" i="9" s="1"/>
  <c r="O101" i="9" s="1"/>
  <c r="P103" i="9"/>
  <c r="Q103" i="9" s="1"/>
  <c r="O103" i="9" s="1"/>
  <c r="P105" i="9"/>
  <c r="Q105" i="9" s="1"/>
  <c r="O105" i="9" s="1"/>
  <c r="P107" i="9"/>
  <c r="Q107" i="9" s="1"/>
  <c r="O107" i="9" s="1"/>
  <c r="P109" i="9"/>
  <c r="Q109" i="9" s="1"/>
  <c r="O109" i="9" s="1"/>
  <c r="P111" i="9"/>
  <c r="Q111" i="9" s="1"/>
  <c r="O111" i="9" s="1"/>
  <c r="P113" i="9"/>
  <c r="Q113" i="9" s="1"/>
  <c r="O113" i="9" s="1"/>
  <c r="P115" i="9"/>
  <c r="Q115" i="9" s="1"/>
  <c r="O115" i="9" s="1"/>
  <c r="L154" i="9"/>
  <c r="N154" i="9"/>
  <c r="L151" i="9"/>
  <c r="N151" i="9"/>
  <c r="L153" i="9"/>
  <c r="N153" i="9"/>
  <c r="L152" i="9"/>
  <c r="N152" i="9"/>
  <c r="L155" i="9"/>
  <c r="N155" i="9"/>
  <c r="L156" i="9"/>
  <c r="N156" i="9"/>
  <c r="L157" i="9"/>
  <c r="N157" i="9"/>
  <c r="L158" i="9"/>
  <c r="N158" i="9"/>
  <c r="L159" i="9"/>
  <c r="N159" i="9"/>
  <c r="L160" i="9"/>
  <c r="N160" i="9"/>
  <c r="L161" i="9"/>
  <c r="N161" i="9"/>
  <c r="L162" i="9"/>
  <c r="N162" i="9"/>
  <c r="L163" i="9"/>
  <c r="N163" i="9"/>
  <c r="L164" i="9"/>
  <c r="N164" i="9"/>
  <c r="L165" i="9"/>
  <c r="P165" i="9"/>
  <c r="Q165" i="9" s="1"/>
  <c r="O165" i="9" s="1"/>
  <c r="M166" i="9"/>
  <c r="P166" i="9"/>
  <c r="Q166" i="9" s="1"/>
  <c r="O166" i="9" s="1"/>
  <c r="M167" i="9"/>
  <c r="P167" i="9"/>
  <c r="Q167" i="9" s="1"/>
  <c r="O167" i="9" s="1"/>
  <c r="M168" i="9"/>
  <c r="P168" i="9"/>
  <c r="Q168" i="9" s="1"/>
  <c r="O168" i="9" s="1"/>
  <c r="M169" i="9"/>
  <c r="P169" i="9"/>
  <c r="Q169" i="9" s="1"/>
  <c r="O169" i="9" s="1"/>
  <c r="M170" i="9"/>
  <c r="P170" i="9"/>
  <c r="Q170" i="9" s="1"/>
  <c r="O170" i="9" s="1"/>
  <c r="M171" i="9"/>
  <c r="P171" i="9"/>
  <c r="Q171" i="9" s="1"/>
  <c r="O171" i="9" s="1"/>
  <c r="M172" i="9"/>
  <c r="P172" i="9"/>
  <c r="Q172" i="9" s="1"/>
  <c r="O172" i="9" s="1"/>
  <c r="M173" i="9"/>
  <c r="P173" i="9"/>
  <c r="Q173" i="9" s="1"/>
  <c r="O173" i="9" s="1"/>
  <c r="M174" i="9"/>
  <c r="P174" i="9"/>
  <c r="Q174" i="9" s="1"/>
  <c r="O174" i="9" s="1"/>
  <c r="M175" i="9"/>
  <c r="P175" i="9"/>
  <c r="Q175" i="9" s="1"/>
  <c r="O175" i="9" s="1"/>
  <c r="M176" i="9"/>
  <c r="P176" i="9"/>
  <c r="Q176" i="9" s="1"/>
  <c r="O176" i="9" s="1"/>
  <c r="M177" i="9"/>
  <c r="P177" i="9"/>
  <c r="Q177" i="9" s="1"/>
  <c r="O177" i="9" s="1"/>
  <c r="N3" i="9"/>
  <c r="L3" i="9"/>
  <c r="N165" i="9"/>
  <c r="L166" i="9"/>
  <c r="N166" i="9"/>
  <c r="L167" i="9"/>
  <c r="N167" i="9"/>
  <c r="L168" i="9"/>
  <c r="N168" i="9"/>
  <c r="L169" i="9"/>
  <c r="N169" i="9"/>
  <c r="L170" i="9"/>
  <c r="N170" i="9"/>
  <c r="L171" i="9"/>
  <c r="N171" i="9"/>
  <c r="L172" i="9"/>
  <c r="N172" i="9"/>
  <c r="L173" i="9"/>
  <c r="N173" i="9"/>
  <c r="L174" i="9"/>
  <c r="N174" i="9"/>
  <c r="L175" i="9"/>
  <c r="N175" i="9"/>
  <c r="L176" i="9"/>
  <c r="N176" i="9"/>
  <c r="L177" i="9"/>
  <c r="N177" i="9"/>
  <c r="P3" i="9"/>
  <c r="Q3" i="9" s="1"/>
  <c r="M3" i="9"/>
  <c r="C501" i="12"/>
  <c r="C359" i="12"/>
  <c r="C300" i="12"/>
  <c r="C191" i="12"/>
  <c r="C187" i="12"/>
  <c r="C410" i="12"/>
  <c r="C412" i="12"/>
  <c r="C221" i="12"/>
  <c r="C222" i="12"/>
  <c r="C291" i="12"/>
  <c r="C31" i="12"/>
  <c r="C144" i="12"/>
  <c r="C79" i="12"/>
  <c r="C492" i="12"/>
  <c r="C130" i="12"/>
  <c r="C401" i="12"/>
  <c r="C165" i="12"/>
  <c r="C225" i="12"/>
  <c r="C466" i="12"/>
  <c r="C33" i="12"/>
  <c r="C503" i="12"/>
  <c r="C485" i="12"/>
  <c r="C284" i="12"/>
  <c r="C72" i="12"/>
  <c r="C301" i="12"/>
  <c r="C303" i="12"/>
  <c r="C310" i="12"/>
  <c r="C468" i="12"/>
  <c r="C320" i="12"/>
  <c r="C110" i="12"/>
  <c r="C417" i="12"/>
  <c r="C65" i="12"/>
  <c r="C418" i="12"/>
  <c r="C62" i="12"/>
  <c r="C227" i="12"/>
  <c r="C22" i="12"/>
  <c r="C230" i="12"/>
  <c r="C488" i="12"/>
  <c r="C25" i="12"/>
  <c r="C203" i="12"/>
  <c r="C505" i="12"/>
  <c r="C19" i="12"/>
  <c r="C43" i="12"/>
  <c r="C424" i="12"/>
  <c r="C185" i="12"/>
  <c r="C373" i="12"/>
  <c r="C134" i="12"/>
  <c r="C286" i="12"/>
  <c r="C88" i="12"/>
  <c r="C42" i="12"/>
  <c r="C83" i="12"/>
  <c r="C295" i="12"/>
  <c r="C365" i="12"/>
  <c r="C95" i="12"/>
  <c r="C356" i="12"/>
  <c r="C391" i="12"/>
  <c r="C28" i="12"/>
  <c r="C369" i="12"/>
  <c r="C375" i="12"/>
  <c r="C479" i="12"/>
  <c r="C376" i="12"/>
  <c r="C350" i="12"/>
  <c r="C398" i="12"/>
  <c r="C307" i="12"/>
  <c r="C269" i="12"/>
  <c r="C433" i="12"/>
  <c r="C436" i="12"/>
  <c r="C27" i="12"/>
  <c r="C283" i="12"/>
  <c r="C150" i="12"/>
  <c r="C69" i="12"/>
  <c r="C423" i="12"/>
  <c r="C180" i="12"/>
  <c r="C394" i="12"/>
  <c r="C57" i="12"/>
  <c r="C451" i="12"/>
  <c r="C328" i="12"/>
  <c r="C430" i="12"/>
  <c r="C441" i="12"/>
  <c r="C443" i="12"/>
  <c r="C137" i="12"/>
  <c r="C61" i="12"/>
  <c r="C502" i="12"/>
  <c r="C51" i="12"/>
  <c r="C374" i="12"/>
  <c r="C199" i="12"/>
  <c r="C407" i="12"/>
  <c r="C200" i="12"/>
  <c r="C411" i="12"/>
  <c r="C323" i="12"/>
  <c r="C336" i="12"/>
  <c r="C471" i="12"/>
  <c r="C352" i="12"/>
  <c r="C431" i="12"/>
  <c r="C482" i="12"/>
  <c r="C366" i="12"/>
  <c r="C463" i="12"/>
  <c r="C360" i="12"/>
  <c r="C334" i="12"/>
  <c r="C223" i="12"/>
  <c r="C278" i="12"/>
  <c r="C201" i="12"/>
  <c r="C37" i="12"/>
  <c r="C169" i="12"/>
  <c r="C54" i="12"/>
  <c r="C421" i="12"/>
  <c r="C280" i="12"/>
  <c r="C302" i="12"/>
  <c r="C512" i="12"/>
  <c r="C276" i="12"/>
  <c r="C274" i="12"/>
  <c r="C413" i="12"/>
  <c r="C416" i="12"/>
  <c r="C296" i="12"/>
  <c r="C311" i="12"/>
  <c r="C465" i="12"/>
  <c r="C462" i="12"/>
  <c r="C377" i="12"/>
  <c r="C105" i="12"/>
  <c r="C113" i="12"/>
  <c r="C229" i="12"/>
  <c r="C231" i="12"/>
  <c r="C163" i="12"/>
  <c r="C68" i="12"/>
  <c r="C279" i="12"/>
  <c r="C59" i="12"/>
  <c r="C140" i="12"/>
  <c r="C35" i="12"/>
  <c r="C518" i="12"/>
  <c r="C392" i="12"/>
  <c r="C232" i="12"/>
  <c r="C233" i="12"/>
  <c r="C142" i="12"/>
  <c r="C472" i="12"/>
  <c r="C364" i="12"/>
  <c r="C399" i="12"/>
  <c r="C292" i="12"/>
  <c r="C196" i="12"/>
  <c r="C205" i="12"/>
  <c r="C379" i="12"/>
  <c r="C491" i="12"/>
  <c r="C39" i="12"/>
  <c r="C434" i="12"/>
  <c r="C400" i="12"/>
  <c r="C32" i="12"/>
  <c r="C210" i="12"/>
  <c r="C184" i="12"/>
  <c r="C450" i="12"/>
  <c r="C438" i="12"/>
  <c r="C168" i="12"/>
  <c r="C440" i="12"/>
  <c r="C351" i="12"/>
  <c r="C348" i="12"/>
  <c r="C444" i="12"/>
  <c r="C245" i="12"/>
  <c r="C494" i="12"/>
  <c r="C489" i="12"/>
  <c r="C189" i="12"/>
  <c r="C262" i="12"/>
  <c r="C89" i="12"/>
  <c r="C118" i="12"/>
  <c r="C243" i="12"/>
  <c r="C20" i="12"/>
  <c r="C195" i="12"/>
  <c r="C86" i="12"/>
  <c r="C449" i="12"/>
  <c r="C289" i="12"/>
  <c r="C252" i="12"/>
  <c r="C308" i="12"/>
  <c r="C453" i="12"/>
  <c r="C141" i="12"/>
  <c r="C45" i="12"/>
  <c r="C138" i="12"/>
  <c r="C40" i="12"/>
  <c r="C317" i="12"/>
  <c r="C362" i="12"/>
  <c r="C50" i="12"/>
  <c r="C124" i="12"/>
  <c r="C106" i="12"/>
  <c r="C447" i="12"/>
  <c r="C256" i="12"/>
  <c r="C343" i="12"/>
  <c r="C77" i="12"/>
  <c r="C517" i="12"/>
  <c r="C58" i="12"/>
  <c r="C270" i="12"/>
  <c r="C382" i="12"/>
  <c r="C312" i="12"/>
  <c r="C314" i="12"/>
  <c r="C484" i="12"/>
  <c r="C448" i="12"/>
  <c r="C103" i="12"/>
  <c r="C316" i="12"/>
  <c r="C454" i="12"/>
  <c r="C519" i="12"/>
  <c r="C190" i="12"/>
  <c r="C38" i="12"/>
  <c r="C161" i="12"/>
  <c r="C271" i="12"/>
  <c r="C324" i="12"/>
  <c r="C219" i="12"/>
  <c r="C220" i="12"/>
  <c r="C96" i="12"/>
  <c r="C64" i="12"/>
  <c r="C152" i="12"/>
  <c r="G504" i="14"/>
  <c r="G247" i="14"/>
  <c r="G436" i="14"/>
  <c r="G492" i="14"/>
  <c r="G42" i="14"/>
  <c r="G112" i="14"/>
  <c r="G84" i="14"/>
  <c r="G401" i="14"/>
  <c r="G174" i="14"/>
  <c r="G443" i="14"/>
  <c r="G432" i="14"/>
  <c r="G53" i="14"/>
  <c r="G30" i="14"/>
  <c r="G169" i="14"/>
  <c r="G279" i="14"/>
  <c r="G319" i="14"/>
  <c r="G554" i="14"/>
  <c r="G33" i="14"/>
  <c r="G28" i="14"/>
  <c r="G88" i="14"/>
  <c r="G321" i="14"/>
  <c r="G258" i="14"/>
  <c r="G489" i="14"/>
  <c r="G541" i="14"/>
  <c r="G336" i="14"/>
  <c r="G426" i="14"/>
  <c r="G542" i="14"/>
  <c r="G125" i="14"/>
  <c r="G78" i="14"/>
  <c r="G128" i="14"/>
  <c r="G282" i="14"/>
  <c r="G114" i="14"/>
  <c r="G301" i="14"/>
  <c r="G148" i="14"/>
  <c r="G156" i="14"/>
  <c r="G133" i="14"/>
  <c r="G179" i="14"/>
  <c r="G201" i="14"/>
  <c r="G563" i="14"/>
  <c r="G271" i="14"/>
  <c r="G361" i="14"/>
  <c r="G423" i="14"/>
  <c r="G435" i="14"/>
  <c r="G451" i="14"/>
  <c r="G479" i="14"/>
  <c r="G549" i="14"/>
  <c r="G402" i="14"/>
  <c r="G430" i="14"/>
  <c r="G460" i="14"/>
  <c r="G528" i="14"/>
  <c r="G544" i="14"/>
  <c r="G29" i="14"/>
  <c r="G129" i="14"/>
  <c r="G18" i="14"/>
  <c r="G150" i="14"/>
  <c r="G145" i="14"/>
  <c r="G327" i="14"/>
  <c r="G521" i="14"/>
  <c r="G403" i="14"/>
  <c r="G461" i="14"/>
  <c r="G256" i="14"/>
  <c r="G368" i="14"/>
  <c r="G196" i="14"/>
  <c r="G418" i="14"/>
  <c r="G442" i="14"/>
  <c r="G550" i="14"/>
  <c r="G52" i="14"/>
  <c r="G70" i="14"/>
  <c r="G104" i="14"/>
  <c r="G167" i="14"/>
  <c r="G9" i="14"/>
  <c r="G81" i="14"/>
  <c r="G105" i="14"/>
  <c r="G54" i="14"/>
  <c r="G64" i="14"/>
  <c r="G190" i="14"/>
  <c r="G141" i="14"/>
  <c r="G136" i="14"/>
  <c r="G475" i="14"/>
  <c r="G553" i="14"/>
  <c r="G204" i="14"/>
  <c r="G364" i="14"/>
  <c r="G394" i="14"/>
  <c r="G406" i="14"/>
  <c r="G434" i="14"/>
  <c r="G266" i="14"/>
  <c r="G478" i="14"/>
  <c r="G39" i="14"/>
  <c r="G15" i="14"/>
  <c r="G95" i="14"/>
  <c r="G46" i="14"/>
  <c r="G108" i="14"/>
  <c r="G531" i="14"/>
  <c r="G393" i="14"/>
  <c r="G211" i="14"/>
  <c r="G318" i="14"/>
  <c r="G532" i="14"/>
  <c r="G422" i="14"/>
  <c r="G486" i="14"/>
  <c r="G170" i="14"/>
  <c r="G51" i="14"/>
  <c r="G237" i="14"/>
  <c r="G5" i="14"/>
  <c r="G21" i="14"/>
  <c r="G157" i="14"/>
  <c r="G545" i="14"/>
  <c r="G342" i="14"/>
  <c r="G352" i="14"/>
  <c r="G360" i="14"/>
  <c r="G534" i="14"/>
  <c r="G87" i="14"/>
  <c r="G38" i="14"/>
  <c r="G132" i="14"/>
  <c r="G215" i="14"/>
  <c r="G203" i="14"/>
  <c r="G397" i="14"/>
  <c r="G421" i="14"/>
  <c r="G202" i="14"/>
  <c r="G500" i="14"/>
  <c r="G251" i="14"/>
  <c r="G115" i="14"/>
  <c r="G50" i="14"/>
  <c r="G172" i="14"/>
  <c r="G197" i="14"/>
  <c r="G349" i="14"/>
  <c r="G387" i="14"/>
  <c r="G487" i="14"/>
  <c r="G515" i="14"/>
  <c r="G459" i="14"/>
  <c r="G16" i="14"/>
  <c r="G457" i="14"/>
  <c r="G175" i="14"/>
  <c r="G245" i="14"/>
  <c r="G453" i="14"/>
  <c r="G366" i="14"/>
  <c r="G384" i="14"/>
  <c r="G399" i="14"/>
  <c r="G92" i="14"/>
  <c r="G535" i="14"/>
  <c r="G192" i="14"/>
  <c r="G330" i="14"/>
  <c r="G27" i="14"/>
  <c r="G22" i="14"/>
  <c r="G543" i="14"/>
  <c r="G552" i="14"/>
  <c r="G32" i="14"/>
  <c r="G383" i="14"/>
  <c r="G329" i="14"/>
  <c r="G41" i="14"/>
  <c r="G519" i="14"/>
  <c r="G474" i="14"/>
  <c r="G59" i="14"/>
  <c r="G417" i="14"/>
  <c r="G208" i="14"/>
  <c r="G333" i="14"/>
  <c r="G367" i="14"/>
  <c r="G363" i="14"/>
  <c r="G428" i="14"/>
  <c r="G481" i="14"/>
  <c r="G139" i="14"/>
  <c r="G490" i="14"/>
  <c r="G350" i="14"/>
  <c r="G135" i="14"/>
  <c r="G58" i="14"/>
  <c r="G338" i="14"/>
  <c r="G159" i="14"/>
  <c r="G440" i="14"/>
  <c r="G323" i="14"/>
  <c r="G98" i="14"/>
  <c r="G472" i="14"/>
  <c r="G357" i="14"/>
  <c r="G264" i="14"/>
  <c r="G536" i="14"/>
  <c r="G411" i="14"/>
  <c r="G186" i="14"/>
  <c r="G324" i="14"/>
  <c r="G416" i="14"/>
  <c r="G476" i="14"/>
  <c r="G246" i="14"/>
  <c r="G441" i="14"/>
  <c r="G86" i="14"/>
  <c r="G527" i="14"/>
  <c r="G341" i="14"/>
  <c r="G353" i="14"/>
  <c r="G37" i="14"/>
  <c r="G206" i="14"/>
  <c r="G143" i="14"/>
  <c r="G510" i="14"/>
  <c r="G437" i="14"/>
  <c r="G109" i="14"/>
  <c r="G328" i="14"/>
  <c r="G227" i="14"/>
  <c r="G113" i="14"/>
  <c r="G456" i="14"/>
  <c r="G524" i="14"/>
  <c r="G400" i="14"/>
  <c r="G502" i="14"/>
  <c r="G559" i="14"/>
  <c r="G483" i="14"/>
  <c r="G373" i="14"/>
  <c r="G185" i="14"/>
  <c r="G111" i="14"/>
  <c r="G465" i="14"/>
  <c r="G225" i="14"/>
  <c r="G449" i="14"/>
  <c r="G67" i="14"/>
  <c r="G396" i="14"/>
  <c r="G151" i="14"/>
  <c r="G374" i="14"/>
  <c r="G494" i="14"/>
  <c r="G431" i="14"/>
  <c r="G539" i="14"/>
  <c r="G94" i="14"/>
  <c r="G439" i="14"/>
  <c r="G345" i="14"/>
  <c r="G491" i="14"/>
  <c r="G501" i="14"/>
  <c r="G187" i="14"/>
  <c r="G138" i="14"/>
  <c r="G450" i="14"/>
  <c r="G484" i="14"/>
  <c r="G407" i="14"/>
  <c r="G455" i="14"/>
  <c r="D35" i="11"/>
  <c r="D99" i="11"/>
  <c r="D144" i="11"/>
  <c r="D98" i="11"/>
  <c r="D120" i="11"/>
  <c r="D158" i="11"/>
  <c r="D3" i="11"/>
  <c r="D5" i="11"/>
  <c r="D7" i="11"/>
  <c r="D8" i="11"/>
  <c r="D12" i="11"/>
  <c r="D14" i="11"/>
  <c r="D16" i="11"/>
  <c r="D18" i="11"/>
  <c r="D21" i="11"/>
  <c r="D22" i="11"/>
  <c r="D23" i="11"/>
  <c r="D26" i="11"/>
  <c r="D28" i="11"/>
  <c r="D30" i="11"/>
  <c r="D32" i="11"/>
  <c r="D34" i="11"/>
  <c r="D36" i="11"/>
  <c r="D37" i="11"/>
  <c r="D40" i="11"/>
  <c r="D43" i="11"/>
  <c r="D46" i="11"/>
  <c r="D48" i="11"/>
  <c r="D51" i="11"/>
  <c r="D54" i="11"/>
  <c r="D56" i="11"/>
  <c r="D58" i="11"/>
  <c r="D60" i="11"/>
  <c r="D62" i="11"/>
  <c r="D65" i="11"/>
  <c r="D66" i="11"/>
  <c r="D68" i="11"/>
  <c r="D71" i="11"/>
  <c r="D73" i="11"/>
  <c r="D75" i="11"/>
  <c r="D77" i="11"/>
  <c r="D79" i="11"/>
  <c r="D81" i="11"/>
  <c r="D83" i="11"/>
  <c r="D85" i="11"/>
  <c r="D87" i="11"/>
  <c r="D89" i="11"/>
  <c r="D91" i="11"/>
  <c r="D93" i="11"/>
  <c r="D95" i="11"/>
  <c r="D96" i="11"/>
  <c r="D100" i="11"/>
  <c r="D101" i="11"/>
  <c r="D102" i="11"/>
  <c r="D104" i="11"/>
  <c r="D106" i="11"/>
  <c r="D108" i="11"/>
  <c r="D110" i="11"/>
  <c r="D112" i="11"/>
  <c r="D114" i="11"/>
  <c r="D116" i="11"/>
  <c r="D118" i="11"/>
  <c r="D121" i="11"/>
  <c r="D122" i="11"/>
  <c r="D125" i="11"/>
  <c r="D128" i="11"/>
  <c r="D130" i="11"/>
  <c r="D132" i="11"/>
  <c r="D134" i="11"/>
  <c r="D136" i="11"/>
  <c r="D138" i="11"/>
  <c r="D140" i="11"/>
  <c r="D142" i="11"/>
  <c r="D146" i="11"/>
  <c r="D148" i="11"/>
  <c r="D151" i="11"/>
  <c r="D153" i="11"/>
  <c r="D155" i="11"/>
  <c r="D157" i="11"/>
  <c r="D4" i="11"/>
  <c r="D6" i="11"/>
  <c r="D9" i="11"/>
  <c r="D10" i="11"/>
  <c r="D11" i="11"/>
  <c r="D13" i="11"/>
  <c r="D15" i="11"/>
  <c r="D17" i="11"/>
  <c r="D20" i="11"/>
  <c r="D24" i="11"/>
  <c r="D27" i="11"/>
  <c r="D29" i="11"/>
  <c r="D31" i="11"/>
  <c r="D33" i="11"/>
  <c r="D39" i="11"/>
  <c r="D42" i="11"/>
  <c r="D44" i="11"/>
  <c r="D47" i="11"/>
  <c r="D49" i="11"/>
  <c r="D52" i="11"/>
  <c r="D55" i="11"/>
  <c r="D57" i="11"/>
  <c r="D59" i="11"/>
  <c r="D61" i="11"/>
  <c r="D64" i="11"/>
  <c r="D67" i="11"/>
  <c r="D70" i="11"/>
  <c r="D72" i="11"/>
  <c r="D74" i="11"/>
  <c r="D76" i="11"/>
  <c r="D78" i="11"/>
  <c r="D80" i="11"/>
  <c r="D82" i="11"/>
  <c r="D84" i="11"/>
  <c r="D86" i="11"/>
  <c r="D88" i="11"/>
  <c r="D90" i="11"/>
  <c r="D92" i="11"/>
  <c r="D94" i="11"/>
  <c r="D97" i="11"/>
  <c r="D103" i="11"/>
  <c r="D105" i="11"/>
  <c r="D107" i="11"/>
  <c r="D109" i="11"/>
  <c r="D111" i="11"/>
  <c r="D113" i="11"/>
  <c r="D115" i="11"/>
  <c r="D117" i="11"/>
  <c r="D119" i="11"/>
  <c r="D123" i="11"/>
  <c r="D124" i="11"/>
  <c r="D126" i="11"/>
  <c r="D127" i="11"/>
  <c r="D129" i="11"/>
  <c r="D131" i="11"/>
  <c r="D133" i="11"/>
  <c r="D135" i="11"/>
  <c r="D137" i="11"/>
  <c r="D139" i="11"/>
  <c r="D141" i="11"/>
  <c r="D143" i="11"/>
  <c r="D145" i="11"/>
  <c r="D147" i="11"/>
  <c r="D150" i="11"/>
  <c r="D152" i="11"/>
  <c r="D156" i="11"/>
  <c r="D159" i="11"/>
  <c r="D161" i="11"/>
  <c r="D162" i="11"/>
  <c r="D149" i="11"/>
  <c r="D154" i="11"/>
  <c r="D160" i="11"/>
  <c r="D2" i="11"/>
  <c r="D63" i="11"/>
  <c r="D41" i="11"/>
  <c r="D25" i="11"/>
  <c r="D53" i="11"/>
  <c r="D50" i="11"/>
  <c r="D45" i="11"/>
  <c r="D19" i="11"/>
  <c r="D69" i="11"/>
  <c r="D38" i="11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G269" i="10"/>
  <c r="G270" i="10"/>
  <c r="G271" i="10"/>
  <c r="G272" i="10"/>
  <c r="G273" i="10"/>
  <c r="G274" i="10"/>
  <c r="G275" i="10"/>
  <c r="G276" i="10"/>
  <c r="G277" i="10"/>
  <c r="G278" i="10"/>
  <c r="G279" i="10"/>
  <c r="O151" i="9" l="1"/>
  <c r="O154" i="9"/>
  <c r="O3" i="9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166" i="10" l="1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165" i="10" l="1"/>
  <c r="G164" i="10"/>
  <c r="G163" i="10"/>
  <c r="G162" i="10"/>
  <c r="G161" i="10"/>
  <c r="G160" i="10"/>
  <c r="G159" i="10"/>
  <c r="G158" i="10"/>
  <c r="G157" i="10"/>
  <c r="G156" i="10"/>
  <c r="G155" i="10"/>
  <c r="G154" i="10"/>
  <c r="G153" i="10"/>
  <c r="G152" i="10"/>
  <c r="G151" i="10"/>
  <c r="G150" i="10"/>
  <c r="G149" i="10"/>
  <c r="G148" i="10"/>
  <c r="G147" i="10"/>
  <c r="G146" i="10"/>
  <c r="G145" i="10"/>
  <c r="G144" i="10"/>
  <c r="G143" i="10"/>
  <c r="G142" i="10"/>
  <c r="G141" i="10"/>
  <c r="G140" i="10"/>
  <c r="G139" i="10"/>
  <c r="G138" i="10"/>
  <c r="G137" i="10"/>
  <c r="G136" i="10"/>
  <c r="G135" i="10"/>
  <c r="G134" i="10"/>
  <c r="G133" i="10"/>
  <c r="G132" i="10"/>
  <c r="G131" i="10"/>
  <c r="G130" i="10"/>
  <c r="G129" i="10"/>
  <c r="G128" i="10"/>
  <c r="G127" i="10"/>
  <c r="G126" i="10"/>
  <c r="G125" i="10"/>
  <c r="G124" i="10"/>
  <c r="G123" i="10"/>
  <c r="G122" i="10"/>
  <c r="G121" i="10"/>
  <c r="G120" i="10"/>
  <c r="G119" i="10"/>
  <c r="G118" i="10"/>
  <c r="G117" i="10"/>
  <c r="G116" i="10"/>
  <c r="G115" i="10"/>
  <c r="G114" i="10"/>
  <c r="G113" i="10"/>
  <c r="G112" i="10"/>
  <c r="G111" i="10"/>
  <c r="G110" i="10"/>
  <c r="G109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60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X4" i="9"/>
  <c r="X10" i="9"/>
  <c r="X11" i="9"/>
  <c r="X9" i="9"/>
  <c r="X8" i="9"/>
  <c r="X5" i="9"/>
  <c r="Y4" i="9" l="1"/>
  <c r="Y11" i="9"/>
  <c r="Y9" i="9"/>
  <c r="Y5" i="9"/>
  <c r="Y10" i="9"/>
  <c r="Y8" i="9"/>
</calcChain>
</file>

<file path=xl/connections.xml><?xml version="1.0" encoding="utf-8"?>
<connections xmlns="http://schemas.openxmlformats.org/spreadsheetml/2006/main">
  <connection id="1" name="mpg-en" type="6" refreshedVersion="4" background="1" saveData="1">
    <textPr prompt="0" codePage="65001" sourceFile="D:\Documents\MPG\mpg-en.csv" decimal="," thousands=" " tab="0" semicolon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<sst xmlns="http://schemas.openxmlformats.org/spreadsheetml/2006/main" count="6770" uniqueCount="1576">
  <si>
    <t>Poste</t>
  </si>
  <si>
    <t>Joueur</t>
  </si>
  <si>
    <t>Equipe</t>
  </si>
  <si>
    <t>Prix Achat</t>
  </si>
  <si>
    <t>Date d'achat</t>
  </si>
  <si>
    <t>Attaquant</t>
  </si>
  <si>
    <t>Milieu</t>
  </si>
  <si>
    <t>Gardien</t>
  </si>
  <si>
    <t>Défenseur</t>
  </si>
  <si>
    <t>David Luiz</t>
  </si>
  <si>
    <t>Maxwell</t>
  </si>
  <si>
    <t>Anthony Lopes</t>
  </si>
  <si>
    <t>Thiago Silva</t>
  </si>
  <si>
    <t>Fabinho</t>
  </si>
  <si>
    <t>Période</t>
  </si>
  <si>
    <t>Achat</t>
  </si>
  <si>
    <t>Sum of Prix Achat</t>
  </si>
  <si>
    <t>Gagné</t>
  </si>
  <si>
    <t>Average of Prix Achat</t>
  </si>
  <si>
    <t>Count of Joueur</t>
  </si>
  <si>
    <t>Perdu</t>
  </si>
  <si>
    <t>Montpellier</t>
  </si>
  <si>
    <t>Monaco</t>
  </si>
  <si>
    <t>Serge</t>
  </si>
  <si>
    <t>Nantes</t>
  </si>
  <si>
    <t>Marseille</t>
  </si>
  <si>
    <t>Lacazette</t>
  </si>
  <si>
    <t>Alexandre</t>
  </si>
  <si>
    <t>Lyon</t>
  </si>
  <si>
    <t>Touré</t>
  </si>
  <si>
    <t>Thomas</t>
  </si>
  <si>
    <t>Bordeaux</t>
  </si>
  <si>
    <t>Basa</t>
  </si>
  <si>
    <t>Marko</t>
  </si>
  <si>
    <t>Lille</t>
  </si>
  <si>
    <t>Da Silva</t>
  </si>
  <si>
    <t>Damien</t>
  </si>
  <si>
    <t>Caen</t>
  </si>
  <si>
    <t>Lorient</t>
  </si>
  <si>
    <t>Benjamin</t>
  </si>
  <si>
    <t>Nice</t>
  </si>
  <si>
    <t>Toulouse</t>
  </si>
  <si>
    <t>Rennes</t>
  </si>
  <si>
    <t>Mathieu</t>
  </si>
  <si>
    <t>Féret</t>
  </si>
  <si>
    <t>Julien</t>
  </si>
  <si>
    <t>Martin</t>
  </si>
  <si>
    <t>Paris</t>
  </si>
  <si>
    <t>Pied</t>
  </si>
  <si>
    <t>Jérémy</t>
  </si>
  <si>
    <t>Guingamp</t>
  </si>
  <si>
    <t>Nom</t>
  </si>
  <si>
    <t>Prénom</t>
  </si>
  <si>
    <t>€</t>
  </si>
  <si>
    <t>But</t>
  </si>
  <si>
    <t>MPG</t>
  </si>
  <si>
    <t>Tot</t>
  </si>
  <si>
    <t>Moy</t>
  </si>
  <si>
    <t>Moy avec bonus</t>
  </si>
  <si>
    <t>Club</t>
  </si>
  <si>
    <t>Moy IRL</t>
  </si>
  <si>
    <t>But IRL</t>
  </si>
  <si>
    <t>Tit IRL</t>
  </si>
  <si>
    <t>Entrée IRL</t>
  </si>
  <si>
    <t>David</t>
  </si>
  <si>
    <t>Ibrahimovic</t>
  </si>
  <si>
    <t>Nicolas</t>
  </si>
  <si>
    <t>Cheick</t>
  </si>
  <si>
    <t>Riou</t>
  </si>
  <si>
    <t>Rémy</t>
  </si>
  <si>
    <t>Anthony</t>
  </si>
  <si>
    <t>Rolan</t>
  </si>
  <si>
    <t>Diego</t>
  </si>
  <si>
    <t>Congré</t>
  </si>
  <si>
    <t>Daniel</t>
  </si>
  <si>
    <t>Cédric</t>
  </si>
  <si>
    <t>Matuidi</t>
  </si>
  <si>
    <t>Blaise</t>
  </si>
  <si>
    <t>Jordan</t>
  </si>
  <si>
    <t>Cavani</t>
  </si>
  <si>
    <t>Edinson</t>
  </si>
  <si>
    <t>Bastia</t>
  </si>
  <si>
    <t>Jean</t>
  </si>
  <si>
    <t>Jallet</t>
  </si>
  <si>
    <t>Christophe</t>
  </si>
  <si>
    <t>Romain</t>
  </si>
  <si>
    <t>Enyeama</t>
  </si>
  <si>
    <t>Vincent</t>
  </si>
  <si>
    <t>Vercoutre</t>
  </si>
  <si>
    <t>Gonalons</t>
  </si>
  <si>
    <t>Maxime</t>
  </si>
  <si>
    <t>Moukandjo</t>
  </si>
  <si>
    <t>Henri</t>
  </si>
  <si>
    <t>Franck</t>
  </si>
  <si>
    <t>Corchia</t>
  </si>
  <si>
    <t>Sébastien</t>
  </si>
  <si>
    <t>Camara</t>
  </si>
  <si>
    <t>Souleymane</t>
  </si>
  <si>
    <t>Monnet-Paquet</t>
  </si>
  <si>
    <t>Kevin</t>
  </si>
  <si>
    <t>Kurzawa</t>
  </si>
  <si>
    <t>Layvin</t>
  </si>
  <si>
    <t>Morel</t>
  </si>
  <si>
    <t>Jeremy</t>
  </si>
  <si>
    <t>Clément</t>
  </si>
  <si>
    <t>Ferri</t>
  </si>
  <si>
    <t>Lucas</t>
  </si>
  <si>
    <t>Braithwaite</t>
  </si>
  <si>
    <t>Roux</t>
  </si>
  <si>
    <t>Nolan</t>
  </si>
  <si>
    <t>Perrin</t>
  </si>
  <si>
    <t>Ruffier</t>
  </si>
  <si>
    <t>Stéphane</t>
  </si>
  <si>
    <t>Alessandrini</t>
  </si>
  <si>
    <t>Hamouma</t>
  </si>
  <si>
    <t>Khazri</t>
  </si>
  <si>
    <t>Saivet</t>
  </si>
  <si>
    <t>Aurier</t>
  </si>
  <si>
    <t>Lecomte</t>
  </si>
  <si>
    <t>Silva</t>
  </si>
  <si>
    <t>Nb joueurs</t>
  </si>
  <si>
    <t>Nb titu</t>
  </si>
  <si>
    <t>Moyenne note</t>
  </si>
  <si>
    <t/>
  </si>
  <si>
    <t>Total</t>
  </si>
  <si>
    <t>Nb buts</t>
  </si>
  <si>
    <t>Tit/Joueur</t>
  </si>
  <si>
    <t>Djibril</t>
  </si>
  <si>
    <t>Gilles</t>
  </si>
  <si>
    <t>Palmieri</t>
  </si>
  <si>
    <t>Julian</t>
  </si>
  <si>
    <t>Squillaci</t>
  </si>
  <si>
    <t>Crivelli</t>
  </si>
  <si>
    <t>Enzo</t>
  </si>
  <si>
    <t>Valentin</t>
  </si>
  <si>
    <t>Privat</t>
  </si>
  <si>
    <t>Sloan</t>
  </si>
  <si>
    <t>Paul</t>
  </si>
  <si>
    <t>Lemar</t>
  </si>
  <si>
    <t>Benezet</t>
  </si>
  <si>
    <t>Aldo</t>
  </si>
  <si>
    <t>Sylvain</t>
  </si>
  <si>
    <t>Corentin</t>
  </si>
  <si>
    <t>Jeannot</t>
  </si>
  <si>
    <t>Lautoa</t>
  </si>
  <si>
    <t>Wesley</t>
  </si>
  <si>
    <t>Mehdi</t>
  </si>
  <si>
    <t>Sunu</t>
  </si>
  <si>
    <t>Zeffane</t>
  </si>
  <si>
    <t>Germain</t>
  </si>
  <si>
    <t>Valère</t>
  </si>
  <si>
    <t>Hilton</t>
  </si>
  <si>
    <t>Vizcarrondo</t>
  </si>
  <si>
    <t>Oswaldo</t>
  </si>
  <si>
    <t>Eysseric</t>
  </si>
  <si>
    <t>Signorino</t>
  </si>
  <si>
    <t>Paul-Georges Ntep</t>
  </si>
  <si>
    <t>Armand</t>
  </si>
  <si>
    <t>Henrique</t>
  </si>
  <si>
    <t>Pedro</t>
  </si>
  <si>
    <t>Baysse</t>
  </si>
  <si>
    <t>% Tit</t>
  </si>
  <si>
    <t>Florentin</t>
  </si>
  <si>
    <t>Rolando</t>
  </si>
  <si>
    <t>Lass Diarra</t>
  </si>
  <si>
    <t>Philippoteaux</t>
  </si>
  <si>
    <t>5.00</t>
  </si>
  <si>
    <t>6.00</t>
  </si>
  <si>
    <t>5.50</t>
  </si>
  <si>
    <t>5.67</t>
  </si>
  <si>
    <t>5.33</t>
  </si>
  <si>
    <t>Kalulu</t>
  </si>
  <si>
    <t>6.50</t>
  </si>
  <si>
    <t>5.83</t>
  </si>
  <si>
    <t>Angers</t>
  </si>
  <si>
    <t>4.67</t>
  </si>
  <si>
    <t>5.17</t>
  </si>
  <si>
    <t>Ángel</t>
  </si>
  <si>
    <t>Mounir</t>
  </si>
  <si>
    <t>Ben Arfa</t>
  </si>
  <si>
    <t>Hatem</t>
  </si>
  <si>
    <t>Cheikh</t>
  </si>
  <si>
    <t>5.25</t>
  </si>
  <si>
    <t>4.83</t>
  </si>
  <si>
    <t>Sio</t>
  </si>
  <si>
    <t>Giovanni</t>
  </si>
  <si>
    <t>Civelli</t>
  </si>
  <si>
    <t>Renato</t>
  </si>
  <si>
    <t>Boufal</t>
  </si>
  <si>
    <t>Cornet</t>
  </si>
  <si>
    <t>Trapp</t>
  </si>
  <si>
    <t>Cabella</t>
  </si>
  <si>
    <t>Darder</t>
  </si>
  <si>
    <t>Sergi</t>
  </si>
  <si>
    <t>Briand</t>
  </si>
  <si>
    <t>Jimmy</t>
  </si>
  <si>
    <t>Valbuena</t>
  </si>
  <si>
    <t>Ismael Traoré</t>
  </si>
  <si>
    <t>Étiquettes de lignes</t>
  </si>
  <si>
    <t>Total général</t>
  </si>
  <si>
    <t>Tit.</t>
  </si>
  <si>
    <t>Entrée</t>
  </si>
  <si>
    <t>Buts</t>
  </si>
  <si>
    <t>M.L1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</si>
  <si>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</si>
  <si>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</si>
  <si>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</si>
  <si>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</si>
  <si>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</si>
  <si>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</si>
  <si>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</si>
  <si>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</si>
  <si>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</si>
  <si>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</si>
  <si>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</si>
  <si>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</si>
  <si>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</si>
  <si>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</si>
  <si>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</si>
  <si>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</si>
  <si>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</si>
  <si>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</si>
  <si>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</si>
  <si>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</si>
  <si>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</si>
  <si>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</si>
  <si>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</si>
  <si>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</si>
  <si>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J25</t>
  </si>
  <si>
    <t>Augustin</t>
  </si>
  <si>
    <t>Bernardo Silva</t>
  </si>
  <si>
    <t>Majeed Waris</t>
  </si>
  <si>
    <t>Lucas Moura</t>
  </si>
  <si>
    <t>João Moutinho</t>
  </si>
  <si>
    <t>Mandanda</t>
  </si>
  <si>
    <t>Fekir</t>
  </si>
  <si>
    <t>4.75</t>
  </si>
  <si>
    <t>Rodelin</t>
  </si>
  <si>
    <t>Ronny</t>
  </si>
  <si>
    <t>Sala</t>
  </si>
  <si>
    <t>Emiliano</t>
  </si>
  <si>
    <t>Andreu</t>
  </si>
  <si>
    <t>Yoann</t>
  </si>
  <si>
    <t>Sabaly</t>
  </si>
  <si>
    <t>Youssouf</t>
  </si>
  <si>
    <t>Matthieu</t>
  </si>
  <si>
    <t>Toure</t>
  </si>
  <si>
    <t>Zargo</t>
  </si>
  <si>
    <t>Leca</t>
  </si>
  <si>
    <t>Jean-Louis</t>
  </si>
  <si>
    <t>Danic</t>
  </si>
  <si>
    <t>Gaël</t>
  </si>
  <si>
    <t>5.77</t>
  </si>
  <si>
    <t>5.81</t>
  </si>
  <si>
    <t>Mangani</t>
  </si>
  <si>
    <t>Ndong</t>
  </si>
  <si>
    <t>Ndoye</t>
  </si>
  <si>
    <t>Salibur</t>
  </si>
  <si>
    <t>Yannis</t>
  </si>
  <si>
    <t>Seri</t>
  </si>
  <si>
    <t>Jonathan</t>
  </si>
  <si>
    <t>5.79</t>
  </si>
  <si>
    <t>5.82</t>
  </si>
  <si>
    <t>Bessat</t>
  </si>
  <si>
    <t>Martinez</t>
  </si>
  <si>
    <t>Pablo</t>
  </si>
  <si>
    <t>Sylla</t>
  </si>
  <si>
    <t>Issiaga</t>
  </si>
  <si>
    <t>Yahia</t>
  </si>
  <si>
    <t>Alaeddine</t>
  </si>
  <si>
    <t>Cabot</t>
  </si>
  <si>
    <t>Nabil</t>
  </si>
  <si>
    <t>Manceau</t>
  </si>
  <si>
    <t>Benzia</t>
  </si>
  <si>
    <t>Yassine</t>
  </si>
  <si>
    <t>6.20</t>
  </si>
  <si>
    <t>Pogba</t>
  </si>
  <si>
    <t>Deschateaux</t>
  </si>
  <si>
    <t>Louis</t>
  </si>
  <si>
    <t>Reulet</t>
  </si>
  <si>
    <t>5.39</t>
  </si>
  <si>
    <t>Jean-Kevin</t>
  </si>
  <si>
    <t>Boudebouz</t>
  </si>
  <si>
    <t>Ryad</t>
  </si>
  <si>
    <t>Grenier</t>
  </si>
  <si>
    <t>Koziello</t>
  </si>
  <si>
    <t>Kamano</t>
  </si>
  <si>
    <t>Francois</t>
  </si>
  <si>
    <t>5.36</t>
  </si>
  <si>
    <t>Gael</t>
  </si>
  <si>
    <t>Karamoko</t>
  </si>
  <si>
    <t>5.14</t>
  </si>
  <si>
    <t>Moulin</t>
  </si>
  <si>
    <t>Jessy</t>
  </si>
  <si>
    <t>5.38</t>
  </si>
  <si>
    <t>5.27</t>
  </si>
  <si>
    <t>Dirar</t>
  </si>
  <si>
    <t>Ketkeophomphone</t>
  </si>
  <si>
    <t>Billy</t>
  </si>
  <si>
    <t>4.62</t>
  </si>
  <si>
    <t>4.69</t>
  </si>
  <si>
    <t>Bammou</t>
  </si>
  <si>
    <t>Yacine</t>
  </si>
  <si>
    <t>4.90</t>
  </si>
  <si>
    <t>4.95</t>
  </si>
  <si>
    <t>Thelin</t>
  </si>
  <si>
    <t>Isaac</t>
  </si>
  <si>
    <t>Jeremie</t>
  </si>
  <si>
    <t>4.82</t>
  </si>
  <si>
    <t>5.41</t>
  </si>
  <si>
    <t>5.12</t>
  </si>
  <si>
    <t>5.56</t>
  </si>
  <si>
    <t>Roussillon</t>
  </si>
  <si>
    <t>Jérôme</t>
  </si>
  <si>
    <t>5.21</t>
  </si>
  <si>
    <t>Mamadou</t>
  </si>
  <si>
    <t>5.75</t>
  </si>
  <si>
    <t>Mendy</t>
  </si>
  <si>
    <t>Ounas</t>
  </si>
  <si>
    <t>Adam</t>
  </si>
  <si>
    <t>Bazile</t>
  </si>
  <si>
    <t>Herve</t>
  </si>
  <si>
    <t>5.80</t>
  </si>
  <si>
    <t>5.90</t>
  </si>
  <si>
    <t>Sissoko</t>
  </si>
  <si>
    <t>Cioni</t>
  </si>
  <si>
    <t>5.57</t>
  </si>
  <si>
    <t>5.20</t>
  </si>
  <si>
    <t>6.10</t>
  </si>
  <si>
    <t>Malcuit</t>
  </si>
  <si>
    <t>Steve</t>
  </si>
  <si>
    <t>Di María</t>
  </si>
  <si>
    <t>Jerome</t>
  </si>
  <si>
    <t>Makengo</t>
  </si>
  <si>
    <t>Jean-Victor</t>
  </si>
  <si>
    <t>Marvin</t>
  </si>
  <si>
    <t>Seube</t>
  </si>
  <si>
    <t>Grosicki</t>
  </si>
  <si>
    <t>Kamil</t>
  </si>
  <si>
    <t>Ben Youssef</t>
  </si>
  <si>
    <t>Syam</t>
  </si>
  <si>
    <t>5.31</t>
  </si>
  <si>
    <t>N'Koulou</t>
  </si>
  <si>
    <t>5.54</t>
  </si>
  <si>
    <t>Almamy</t>
  </si>
  <si>
    <t>Cardinale</t>
  </si>
  <si>
    <t>5.23</t>
  </si>
  <si>
    <t>Mario</t>
  </si>
  <si>
    <t>4.85</t>
  </si>
  <si>
    <t>4.88</t>
  </si>
  <si>
    <t>Lemaître</t>
  </si>
  <si>
    <t>Reynald</t>
  </si>
  <si>
    <t>Sidibe</t>
  </si>
  <si>
    <t>Guivarch</t>
  </si>
  <si>
    <t>Theo</t>
  </si>
  <si>
    <t>Hassen</t>
  </si>
  <si>
    <t>Mouez</t>
  </si>
  <si>
    <t>Deaux</t>
  </si>
  <si>
    <t>Didot</t>
  </si>
  <si>
    <t>StatMPG</t>
  </si>
  <si>
    <t>G</t>
  </si>
  <si>
    <t>Pelé</t>
  </si>
  <si>
    <t>Samba</t>
  </si>
  <si>
    <t>D</t>
  </si>
  <si>
    <t>&lt;</t>
  </si>
  <si>
    <t>Doria</t>
  </si>
  <si>
    <t>Andonian</t>
  </si>
  <si>
    <t>Tuiloma</t>
  </si>
  <si>
    <t>Rekik</t>
  </si>
  <si>
    <t>M</t>
  </si>
  <si>
    <t>Sarr</t>
  </si>
  <si>
    <t>Zambo Anguissa</t>
  </si>
  <si>
    <t>A</t>
  </si>
  <si>
    <t>Batshuayi</t>
  </si>
  <si>
    <t>Gorgelin</t>
  </si>
  <si>
    <t>Mocio</t>
  </si>
  <si>
    <t>Bedimo</t>
  </si>
  <si>
    <t>Rose</t>
  </si>
  <si>
    <t>Rafael</t>
  </si>
  <si>
    <t>Yanga-Mbiwa</t>
  </si>
  <si>
    <t>(-1)</t>
  </si>
  <si>
    <t>Ghezzal</t>
  </si>
  <si>
    <t>Malbranque</t>
  </si>
  <si>
    <t>Tolisso</t>
  </si>
  <si>
    <t>Tousart</t>
  </si>
  <si>
    <t>Kemen</t>
  </si>
  <si>
    <t>Marquinhos</t>
  </si>
  <si>
    <t>Verratti</t>
  </si>
  <si>
    <t>Rabiot</t>
  </si>
  <si>
    <t>Pastore</t>
  </si>
  <si>
    <t>Ongenda</t>
  </si>
  <si>
    <t>Pouplin</t>
  </si>
  <si>
    <t>Genevois</t>
  </si>
  <si>
    <t>Boscagli</t>
  </si>
  <si>
    <t>Le Marchand</t>
  </si>
  <si>
    <t>Correia</t>
  </si>
  <si>
    <t>Ricardo Pereira</t>
  </si>
  <si>
    <t>Bodmer</t>
  </si>
  <si>
    <t>Vercauteren</t>
  </si>
  <si>
    <t>Pléa</t>
  </si>
  <si>
    <t>Rafetraniaina</t>
  </si>
  <si>
    <t>Bosetti</t>
  </si>
  <si>
    <t>Constant</t>
  </si>
  <si>
    <t>Le Bihan</t>
  </si>
  <si>
    <t>Benrahma</t>
  </si>
  <si>
    <t>Théophile-Catherine</t>
  </si>
  <si>
    <t>Assou-Ekotto</t>
  </si>
  <si>
    <t>Polomat</t>
  </si>
  <si>
    <t>Pierre Gabriel</t>
  </si>
  <si>
    <t>Cohade</t>
  </si>
  <si>
    <t>Corgnet</t>
  </si>
  <si>
    <t>Diomandé</t>
  </si>
  <si>
    <t>Lemoine</t>
  </si>
  <si>
    <t>Pajot</t>
  </si>
  <si>
    <t>Beric</t>
  </si>
  <si>
    <t>Maignan</t>
  </si>
  <si>
    <t>Butez</t>
  </si>
  <si>
    <t>Soumaoro</t>
  </si>
  <si>
    <t>Amadou</t>
  </si>
  <si>
    <t>Sunzu</t>
  </si>
  <si>
    <t>Balmont</t>
  </si>
  <si>
    <t>Obbadi</t>
  </si>
  <si>
    <t>Mavuba</t>
  </si>
  <si>
    <t>Guillaume</t>
  </si>
  <si>
    <t>Nangis</t>
  </si>
  <si>
    <t>Carrasso</t>
  </si>
  <si>
    <t>Prior</t>
  </si>
  <si>
    <t>Pallois</t>
  </si>
  <si>
    <t>Contento</t>
  </si>
  <si>
    <t>Guilbert</t>
  </si>
  <si>
    <t>Gajic</t>
  </si>
  <si>
    <t>Pellenard</t>
  </si>
  <si>
    <t>Sertic</t>
  </si>
  <si>
    <t>Plasil</t>
  </si>
  <si>
    <t>Traoré</t>
  </si>
  <si>
    <t>Chantôme</t>
  </si>
  <si>
    <t>Vada</t>
  </si>
  <si>
    <t>Soni</t>
  </si>
  <si>
    <t>Kaabouni</t>
  </si>
  <si>
    <t>Laborde</t>
  </si>
  <si>
    <t>Bellugou</t>
  </si>
  <si>
    <t>Le Goff</t>
  </si>
  <si>
    <t>Paye</t>
  </si>
  <si>
    <t>Mostefa</t>
  </si>
  <si>
    <t>Mesloub</t>
  </si>
  <si>
    <t>Jouffre</t>
  </si>
  <si>
    <t>Fofana</t>
  </si>
  <si>
    <t>Jourdren</t>
  </si>
  <si>
    <t>Ligali</t>
  </si>
  <si>
    <t>Pionnier</t>
  </si>
  <si>
    <t>Deplagne</t>
  </si>
  <si>
    <t>Gissi</t>
  </si>
  <si>
    <t>Dabo</t>
  </si>
  <si>
    <t>N'Diaye</t>
  </si>
  <si>
    <t>Bensebaini</t>
  </si>
  <si>
    <t>Ribelin</t>
  </si>
  <si>
    <t>Lasne</t>
  </si>
  <si>
    <t>Marveaux</t>
  </si>
  <si>
    <t>Saihi</t>
  </si>
  <si>
    <t>Skhiri</t>
  </si>
  <si>
    <t>Sanson</t>
  </si>
  <si>
    <t>Berigaud</t>
  </si>
  <si>
    <t>Lafont</t>
  </si>
  <si>
    <t>Goicoechea</t>
  </si>
  <si>
    <t>Akpa-Akpro</t>
  </si>
  <si>
    <t>Yago</t>
  </si>
  <si>
    <t>Ninkov</t>
  </si>
  <si>
    <t>Veskovac</t>
  </si>
  <si>
    <t>Diop</t>
  </si>
  <si>
    <t>Sirieix</t>
  </si>
  <si>
    <t>Bodiger</t>
  </si>
  <si>
    <t>Doumbia</t>
  </si>
  <si>
    <t>Trejo</t>
  </si>
  <si>
    <t>Blin</t>
  </si>
  <si>
    <t>Machach</t>
  </si>
  <si>
    <t>Vincensini</t>
  </si>
  <si>
    <t>Marange</t>
  </si>
  <si>
    <t>Djiku</t>
  </si>
  <si>
    <t>Peybernes</t>
  </si>
  <si>
    <t>Cahuzac</t>
  </si>
  <si>
    <t>Diallo</t>
  </si>
  <si>
    <t>Ngando</t>
  </si>
  <si>
    <t>Raspentino</t>
  </si>
  <si>
    <t>Coulibaly</t>
  </si>
  <si>
    <t>Costil</t>
  </si>
  <si>
    <t>Mexer</t>
  </si>
  <si>
    <t>Diagne</t>
  </si>
  <si>
    <t>Moreira</t>
  </si>
  <si>
    <t>Lenjani</t>
  </si>
  <si>
    <t>Pedro Mendes</t>
  </si>
  <si>
    <t>Baal</t>
  </si>
  <si>
    <t>M'Bengue</t>
  </si>
  <si>
    <t>Hunou</t>
  </si>
  <si>
    <t>André</t>
  </si>
  <si>
    <t>Prcic</t>
  </si>
  <si>
    <t>Brüls</t>
  </si>
  <si>
    <t>Janvier</t>
  </si>
  <si>
    <t>Habibou</t>
  </si>
  <si>
    <t>Toivonen</t>
  </si>
  <si>
    <t>Bourillon</t>
  </si>
  <si>
    <t>Dupé</t>
  </si>
  <si>
    <t>Djidji</t>
  </si>
  <si>
    <t>Dubois</t>
  </si>
  <si>
    <t>Moimbé</t>
  </si>
  <si>
    <t>Kwateng</t>
  </si>
  <si>
    <t>Rongier</t>
  </si>
  <si>
    <t>Gomis</t>
  </si>
  <si>
    <t>Thomasson</t>
  </si>
  <si>
    <t>Aristeguieta</t>
  </si>
  <si>
    <t>Iloki</t>
  </si>
  <si>
    <t>Nardi</t>
  </si>
  <si>
    <t>Subasic</t>
  </si>
  <si>
    <t>Raggi</t>
  </si>
  <si>
    <t>Bakayoko</t>
  </si>
  <si>
    <t>Boschilia</t>
  </si>
  <si>
    <t>Toulalan</t>
  </si>
  <si>
    <t>Falcao</t>
  </si>
  <si>
    <t>Carrillo</t>
  </si>
  <si>
    <t>Mbappe-Lottin</t>
  </si>
  <si>
    <t>Lévêque</t>
  </si>
  <si>
    <t>Angoua</t>
  </si>
  <si>
    <t>Sankoh</t>
  </si>
  <si>
    <t>Sorbon</t>
  </si>
  <si>
    <t>Kerbrat</t>
  </si>
  <si>
    <t>Giresse</t>
  </si>
  <si>
    <t>Coco</t>
  </si>
  <si>
    <t>Blas</t>
  </si>
  <si>
    <t>Livolant</t>
  </si>
  <si>
    <t>Alhadhur</t>
  </si>
  <si>
    <t>Imorou</t>
  </si>
  <si>
    <t>Delaplace</t>
  </si>
  <si>
    <t>Leborgne</t>
  </si>
  <si>
    <t>Petric</t>
  </si>
  <si>
    <t>Dreyer</t>
  </si>
  <si>
    <t>Bernardoni</t>
  </si>
  <si>
    <t>Thiago</t>
  </si>
  <si>
    <t>Pi</t>
  </si>
  <si>
    <t>Dia</t>
  </si>
  <si>
    <t>Letellier</t>
  </si>
  <si>
    <t>Bouka Moutou</t>
  </si>
  <si>
    <t>Capelle</t>
  </si>
  <si>
    <t>Serin</t>
  </si>
  <si>
    <t>id</t>
  </si>
  <si>
    <t>id MPG</t>
  </si>
  <si>
    <t>Stats MPG</t>
  </si>
  <si>
    <t>id Stats MPG</t>
  </si>
  <si>
    <t>Rabillard</t>
  </si>
  <si>
    <t>Gourcuff</t>
  </si>
  <si>
    <t>Gillet</t>
  </si>
  <si>
    <t>Lloris</t>
  </si>
  <si>
    <t>Gnagnon</t>
  </si>
  <si>
    <t>Thauvin</t>
  </si>
  <si>
    <t>Walter</t>
  </si>
  <si>
    <t>Caddy</t>
  </si>
  <si>
    <t>Tannane</t>
  </si>
  <si>
    <t>Amalfitano</t>
  </si>
  <si>
    <t>Eder</t>
  </si>
  <si>
    <t>Arambarri</t>
  </si>
  <si>
    <t>Malcom</t>
  </si>
  <si>
    <t>El Kaoutari</t>
  </si>
  <si>
    <t>J26</t>
  </si>
  <si>
    <t>J27</t>
  </si>
  <si>
    <t>J28</t>
  </si>
  <si>
    <t>J29</t>
  </si>
  <si>
    <t>J30</t>
  </si>
  <si>
    <t>J31</t>
  </si>
  <si>
    <t>J32</t>
  </si>
  <si>
    <t>J33</t>
  </si>
  <si>
    <t>J34</t>
  </si>
  <si>
    <t>Nkunku</t>
  </si>
  <si>
    <t>Selnaes</t>
  </si>
  <si>
    <t>Musavu-King</t>
  </si>
  <si>
    <t>Erasmus</t>
  </si>
  <si>
    <t>Jemerson</t>
  </si>
  <si>
    <t>Joués</t>
  </si>
  <si>
    <t>Prix</t>
  </si>
  <si>
    <t>Acheté</t>
  </si>
  <si>
    <t>cote MPG</t>
  </si>
  <si>
    <t>Moubandje</t>
  </si>
  <si>
    <t>François</t>
  </si>
  <si>
    <t>Rüfli</t>
  </si>
  <si>
    <t>Dijon</t>
  </si>
  <si>
    <t>Jonas Pessalli</t>
  </si>
  <si>
    <t>null</t>
  </si>
  <si>
    <t>Ole</t>
  </si>
  <si>
    <t>Saint Etienne</t>
  </si>
  <si>
    <t>Somália</t>
  </si>
  <si>
    <t>Baissama</t>
  </si>
  <si>
    <t>Bouna</t>
  </si>
  <si>
    <t>Florian</t>
  </si>
  <si>
    <t>Koffi</t>
  </si>
  <si>
    <t>Brice</t>
  </si>
  <si>
    <t>Karim</t>
  </si>
  <si>
    <t>Adama</t>
  </si>
  <si>
    <t>Jean-Daniel</t>
  </si>
  <si>
    <t>Steeve</t>
  </si>
  <si>
    <t>Lenny</t>
  </si>
  <si>
    <t>Abdelhamid</t>
  </si>
  <si>
    <t>Yunis</t>
  </si>
  <si>
    <t>Sanjin</t>
  </si>
  <si>
    <t>Saint-Ruf</t>
  </si>
  <si>
    <t>Stepinski</t>
  </si>
  <si>
    <t>Mariusz</t>
  </si>
  <si>
    <t>Alassane</t>
  </si>
  <si>
    <t>Falette</t>
  </si>
  <si>
    <t>Simon</t>
  </si>
  <si>
    <t>Metz</t>
  </si>
  <si>
    <t>Sakai</t>
  </si>
  <si>
    <t>Hiroki</t>
  </si>
  <si>
    <t>Rony Lopes</t>
  </si>
  <si>
    <t>Charruau</t>
  </si>
  <si>
    <t>Bernard</t>
  </si>
  <si>
    <t>Quentin</t>
  </si>
  <si>
    <t>Alexy</t>
  </si>
  <si>
    <t>Tavares</t>
  </si>
  <si>
    <t>Júlio</t>
  </si>
  <si>
    <t>Marçal</t>
  </si>
  <si>
    <t>Fernando</t>
  </si>
  <si>
    <t>Vion</t>
  </si>
  <si>
    <t>Thibaut</t>
  </si>
  <si>
    <t>Pierre-Yves</t>
  </si>
  <si>
    <t>Pierrick</t>
  </si>
  <si>
    <t>Junior Tallo</t>
  </si>
  <si>
    <t>Jullien</t>
  </si>
  <si>
    <t>Christopher</t>
  </si>
  <si>
    <t>Motta</t>
  </si>
  <si>
    <t>Bryan</t>
  </si>
  <si>
    <t>Yoan</t>
  </si>
  <si>
    <t>Rachid</t>
  </si>
  <si>
    <t>Adrien</t>
  </si>
  <si>
    <t>Lucas Lima</t>
  </si>
  <si>
    <t>Mollet</t>
  </si>
  <si>
    <t>Florent</t>
  </si>
  <si>
    <t>Philipps</t>
  </si>
  <si>
    <t>Chris</t>
  </si>
  <si>
    <t>N'Kololo</t>
  </si>
  <si>
    <t>Chafik</t>
  </si>
  <si>
    <t>Fouad</t>
  </si>
  <si>
    <t>Adeoti</t>
  </si>
  <si>
    <t>Sido</t>
  </si>
  <si>
    <t>Fadil</t>
  </si>
  <si>
    <t>Jules</t>
  </si>
  <si>
    <t>Michel</t>
  </si>
  <si>
    <t>Kalifa Traoré</t>
  </si>
  <si>
    <t>Jaroslav</t>
  </si>
  <si>
    <t>Yrondu</t>
  </si>
  <si>
    <t>Belmonte</t>
  </si>
  <si>
    <t>Poundje</t>
  </si>
  <si>
    <t>Axel</t>
  </si>
  <si>
    <t>Benítez</t>
  </si>
  <si>
    <t>Étienne</t>
  </si>
  <si>
    <t>Morgan</t>
  </si>
  <si>
    <t>Nguette</t>
  </si>
  <si>
    <t>Opa</t>
  </si>
  <si>
    <t>Oussama</t>
  </si>
  <si>
    <t>Beria</t>
  </si>
  <si>
    <t>Ibrahim</t>
  </si>
  <si>
    <t>Ikoko</t>
  </si>
  <si>
    <t>Kimpembe</t>
  </si>
  <si>
    <t>Presnel</t>
  </si>
  <si>
    <t>Mike</t>
  </si>
  <si>
    <t>Hervin</t>
  </si>
  <si>
    <t>Moryke</t>
  </si>
  <si>
    <t>Mauro</t>
  </si>
  <si>
    <t>Fanni</t>
  </si>
  <si>
    <t>Rod</t>
  </si>
  <si>
    <t>Milan</t>
  </si>
  <si>
    <t>Guido</t>
  </si>
  <si>
    <t>Albert</t>
  </si>
  <si>
    <t>Bela</t>
  </si>
  <si>
    <t>Varrault</t>
  </si>
  <si>
    <t>Cedric</t>
  </si>
  <si>
    <t>Steven</t>
  </si>
  <si>
    <t>Gautier</t>
  </si>
  <si>
    <t>Alexander</t>
  </si>
  <si>
    <t>N'Jie</t>
  </si>
  <si>
    <t>Clinton</t>
  </si>
  <si>
    <t>Keita</t>
  </si>
  <si>
    <t>Abdoulaye</t>
  </si>
  <si>
    <t>Diony</t>
  </si>
  <si>
    <t>Lois</t>
  </si>
  <si>
    <t>Maxwel</t>
  </si>
  <si>
    <t>Diedhiou</t>
  </si>
  <si>
    <t>Famara</t>
  </si>
  <si>
    <t>Cyprien</t>
  </si>
  <si>
    <t>Wylan</t>
  </si>
  <si>
    <t>Badila</t>
  </si>
  <si>
    <t>Tobias</t>
  </si>
  <si>
    <t>Nancy</t>
  </si>
  <si>
    <t>Marié</t>
  </si>
  <si>
    <t>Grégory</t>
  </si>
  <si>
    <t>Remi</t>
  </si>
  <si>
    <t>Tait</t>
  </si>
  <si>
    <t>Flavien</t>
  </si>
  <si>
    <t>Abdou Karim</t>
  </si>
  <si>
    <t>Sane</t>
  </si>
  <si>
    <t>Pape</t>
  </si>
  <si>
    <t>Abdoulaye Touré</t>
  </si>
  <si>
    <t>Ikaunieks</t>
  </si>
  <si>
    <t>Janis</t>
  </si>
  <si>
    <t>Andrea</t>
  </si>
  <si>
    <t>Said</t>
  </si>
  <si>
    <t>Didillon</t>
  </si>
  <si>
    <t>Olivier</t>
  </si>
  <si>
    <t>Diego Carlos</t>
  </si>
  <si>
    <t>Cafú</t>
  </si>
  <si>
    <t>Gertmonas</t>
  </si>
  <si>
    <t>Edvinas</t>
  </si>
  <si>
    <t>Gaetan</t>
  </si>
  <si>
    <t>Santamaria</t>
  </si>
  <si>
    <t>Baptiste</t>
  </si>
  <si>
    <t>Cavare</t>
  </si>
  <si>
    <t>Dimitri Kevin</t>
  </si>
  <si>
    <t>Tiemoué</t>
  </si>
  <si>
    <t>Mounie</t>
  </si>
  <si>
    <t>Khaoui</t>
  </si>
  <si>
    <t>Saif-Eddine</t>
  </si>
  <si>
    <t>Cabaco</t>
  </si>
  <si>
    <t>Erick</t>
  </si>
  <si>
    <t>Modou</t>
  </si>
  <si>
    <t>Saint-Maximin</t>
  </si>
  <si>
    <t>Allan</t>
  </si>
  <si>
    <t>Jean Michael</t>
  </si>
  <si>
    <t>Lenglet</t>
  </si>
  <si>
    <t>Clement</t>
  </si>
  <si>
    <t>Younes</t>
  </si>
  <si>
    <t>Mammana</t>
  </si>
  <si>
    <t>Emanuel</t>
  </si>
  <si>
    <t>Maiga</t>
  </si>
  <si>
    <t>Digbo</t>
  </si>
  <si>
    <t>Mandrea</t>
  </si>
  <si>
    <t>Menay</t>
  </si>
  <si>
    <t>Bill Poni</t>
  </si>
  <si>
    <t>Bauchet</t>
  </si>
  <si>
    <t>Théo</t>
  </si>
  <si>
    <t>Abdou</t>
  </si>
  <si>
    <t>Kone</t>
  </si>
  <si>
    <t>Léo</t>
  </si>
  <si>
    <t>Karamoh</t>
  </si>
  <si>
    <t>Yann</t>
  </si>
  <si>
    <t>Leya Iseka</t>
  </si>
  <si>
    <t>Aaron</t>
  </si>
  <si>
    <t>Maurice-Belay</t>
  </si>
  <si>
    <t>Vanden Borre</t>
  </si>
  <si>
    <t>Rio</t>
  </si>
  <si>
    <t>Afonso Figueiredo</t>
  </si>
  <si>
    <t>Ramy</t>
  </si>
  <si>
    <t>Bahamboula</t>
  </si>
  <si>
    <t>Dylan</t>
  </si>
  <si>
    <t>Sy</t>
  </si>
  <si>
    <t>Seydou</t>
  </si>
  <si>
    <t>Lusamba</t>
  </si>
  <si>
    <t>Arnaud</t>
  </si>
  <si>
    <t>Toko Ekambi</t>
  </si>
  <si>
    <t>Karl</t>
  </si>
  <si>
    <t>Porsan-Clemente</t>
  </si>
  <si>
    <t>Jérémie</t>
  </si>
  <si>
    <t>Menez</t>
  </si>
  <si>
    <t>Erdinc</t>
  </si>
  <si>
    <t>Mevlüt</t>
  </si>
  <si>
    <t>Ellyes</t>
  </si>
  <si>
    <t>Pepe</t>
  </si>
  <si>
    <t>Loic</t>
  </si>
  <si>
    <t>Kawashima</t>
  </si>
  <si>
    <t>Eiji</t>
  </si>
  <si>
    <t>Adama Traoré</t>
  </si>
  <si>
    <t>Erwin</t>
  </si>
  <si>
    <t>Georgen</t>
  </si>
  <si>
    <t>Alec</t>
  </si>
  <si>
    <t>Edouard</t>
  </si>
  <si>
    <t>Odsonne</t>
  </si>
  <si>
    <t>Jonathan Ikone</t>
  </si>
  <si>
    <t>Walongwa</t>
  </si>
  <si>
    <t>Alexis</t>
  </si>
  <si>
    <t>Marcus</t>
  </si>
  <si>
    <t>Alphousseyni</t>
  </si>
  <si>
    <t>Selemani</t>
  </si>
  <si>
    <t>Faiz</t>
  </si>
  <si>
    <t>Benhaim</t>
  </si>
  <si>
    <t>Frederic</t>
  </si>
  <si>
    <t>Andre</t>
  </si>
  <si>
    <t>Donis</t>
  </si>
  <si>
    <t>Anastasios</t>
  </si>
  <si>
    <t>Malang</t>
  </si>
  <si>
    <t>Alban</t>
  </si>
  <si>
    <t>Mabella</t>
  </si>
  <si>
    <t>Escales</t>
  </si>
  <si>
    <t>Diakhaby</t>
  </si>
  <si>
    <t>Mouctar</t>
  </si>
  <si>
    <t>Arcus</t>
  </si>
  <si>
    <t>Carlens</t>
  </si>
  <si>
    <t>Marchetti</t>
  </si>
  <si>
    <t>Zinedine</t>
  </si>
  <si>
    <t>N'Guessan</t>
  </si>
  <si>
    <t>Sangare</t>
  </si>
  <si>
    <t>Lees-Melou</t>
  </si>
  <si>
    <t>Pierre</t>
  </si>
  <si>
    <t>Mathias</t>
  </si>
  <si>
    <t>Dalbert</t>
  </si>
  <si>
    <t>Descamps</t>
  </si>
  <si>
    <t>Remy</t>
  </si>
  <si>
    <t>D'Arpino</t>
  </si>
  <si>
    <t>Ludovic</t>
  </si>
  <si>
    <t>Lopez</t>
  </si>
  <si>
    <t>Maisonnial</t>
  </si>
  <si>
    <t>Habib</t>
  </si>
  <si>
    <t>Ait Bennasser</t>
  </si>
  <si>
    <t>Youssef</t>
  </si>
  <si>
    <t>Faitout Maouassa</t>
  </si>
  <si>
    <t>Enock</t>
  </si>
  <si>
    <t>Lassana</t>
  </si>
  <si>
    <t>Voisin</t>
  </si>
  <si>
    <t>Casimir Ninga</t>
  </si>
  <si>
    <t>Erin Pinheiro</t>
  </si>
  <si>
    <t>Olliero</t>
  </si>
  <si>
    <t>Wissa</t>
  </si>
  <si>
    <t>Yoane</t>
  </si>
  <si>
    <t>Beneddine</t>
  </si>
  <si>
    <t>Adou</t>
  </si>
  <si>
    <t>Kelvin</t>
  </si>
  <si>
    <t>Cafaro</t>
  </si>
  <si>
    <t>Badiashile</t>
  </si>
  <si>
    <t>Elandi</t>
  </si>
  <si>
    <t>Alexis Alegue</t>
  </si>
  <si>
    <t>Joris</t>
  </si>
  <si>
    <t>N'Doram</t>
  </si>
  <si>
    <t>Lukebakio</t>
  </si>
  <si>
    <t>Dodi</t>
  </si>
  <si>
    <t>Killian</t>
  </si>
  <si>
    <t>Mane</t>
  </si>
  <si>
    <t>Fito</t>
  </si>
  <si>
    <t>Issa</t>
  </si>
  <si>
    <t>Lamonge</t>
  </si>
  <si>
    <t>Ronael</t>
  </si>
  <si>
    <t>Braat</t>
  </si>
  <si>
    <t>Kylian</t>
  </si>
  <si>
    <t>Laidouni</t>
  </si>
  <si>
    <t>Aissa</t>
  </si>
  <si>
    <t>Petitgenet</t>
  </si>
  <si>
    <t>Matteo</t>
  </si>
  <si>
    <t>Antoine</t>
  </si>
  <si>
    <t>Dorian</t>
  </si>
  <si>
    <t>Udol</t>
  </si>
  <si>
    <t>Martinet</t>
  </si>
  <si>
    <t>Sullivan</t>
  </si>
  <si>
    <t>Thill</t>
  </si>
  <si>
    <t>Bissouma</t>
  </si>
  <si>
    <t>Yves</t>
  </si>
  <si>
    <t>Mazikou</t>
  </si>
  <si>
    <t>Bradley</t>
  </si>
  <si>
    <t>Ben Khemis</t>
  </si>
  <si>
    <t>Issam</t>
  </si>
  <si>
    <t>Conté</t>
  </si>
  <si>
    <t>Ibrahima Sory</t>
  </si>
  <si>
    <t>Mara</t>
  </si>
  <si>
    <t>Mohamed</t>
  </si>
  <si>
    <t>Sarrabayrouse</t>
  </si>
  <si>
    <t>Rosier</t>
  </si>
  <si>
    <t>Harit</t>
  </si>
  <si>
    <t>Amine</t>
  </si>
  <si>
    <t>Cabaton</t>
  </si>
  <si>
    <t>Saliu</t>
  </si>
  <si>
    <t>Popoola</t>
  </si>
  <si>
    <t>Mothiba</t>
  </si>
  <si>
    <t>Lebo</t>
  </si>
  <si>
    <t>Aouar</t>
  </si>
  <si>
    <t>Houssem</t>
  </si>
  <si>
    <t>Acheampong</t>
  </si>
  <si>
    <t>Geoffrey</t>
  </si>
  <si>
    <t>Petrel</t>
  </si>
  <si>
    <t>Mendyl</t>
  </si>
  <si>
    <t>Hamza</t>
  </si>
  <si>
    <t>Kouame</t>
  </si>
  <si>
    <t>Rominigue</t>
  </si>
  <si>
    <t>Terrier</t>
  </si>
  <si>
    <t>Selimovic</t>
  </si>
  <si>
    <t>Vahid</t>
  </si>
  <si>
    <t>Hein</t>
  </si>
  <si>
    <t>Gauthier</t>
  </si>
  <si>
    <t>Larriere</t>
  </si>
  <si>
    <t>Ismaila</t>
  </si>
  <si>
    <t>Nguinda Ndiffon</t>
  </si>
  <si>
    <t>Pierre-Daniel</t>
  </si>
  <si>
    <t>Burner</t>
  </si>
  <si>
    <t>Patrick</t>
  </si>
  <si>
    <t>Basin</t>
  </si>
  <si>
    <t>Marcel</t>
  </si>
  <si>
    <t>Gaspar</t>
  </si>
  <si>
    <t>Jordy</t>
  </si>
  <si>
    <t>Lavenant</t>
  </si>
  <si>
    <t>Nordin</t>
  </si>
  <si>
    <t>Mouangue Kingue</t>
  </si>
  <si>
    <t>Victor</t>
  </si>
  <si>
    <t>Dante</t>
  </si>
  <si>
    <t>Hadji</t>
  </si>
  <si>
    <t>Pereira</t>
  </si>
  <si>
    <t>Benoit</t>
  </si>
  <si>
    <t>Abou Diaby</t>
  </si>
  <si>
    <t>Lejeune</t>
  </si>
  <si>
    <t>Kévin</t>
  </si>
  <si>
    <t>Renaud</t>
  </si>
  <si>
    <t>Yohann</t>
  </si>
  <si>
    <t>Salin</t>
  </si>
  <si>
    <t>Danze</t>
  </si>
  <si>
    <t>Mouhamadou</t>
  </si>
  <si>
    <t>Bafétimbi</t>
  </si>
  <si>
    <t>Robic</t>
  </si>
  <si>
    <t>Antony</t>
  </si>
  <si>
    <t>N'Dy Assembe</t>
  </si>
  <si>
    <t>Guy</t>
  </si>
  <si>
    <t>Issiar</t>
  </si>
  <si>
    <t>Fernandes</t>
  </si>
  <si>
    <t>Gelson</t>
  </si>
  <si>
    <t>Moustapha</t>
  </si>
  <si>
    <t>Denis</t>
  </si>
  <si>
    <t>Óscar</t>
  </si>
  <si>
    <t>Vainqueur</t>
  </si>
  <si>
    <t>William</t>
  </si>
  <si>
    <t>Balotelli</t>
  </si>
  <si>
    <t>Kacaniklic</t>
  </si>
  <si>
    <t>Muratori</t>
  </si>
  <si>
    <t>Mandjeck</t>
  </si>
  <si>
    <t>Georges</t>
  </si>
  <si>
    <t>Fabien</t>
  </si>
  <si>
    <t>Arnold</t>
  </si>
  <si>
    <t>Thibault</t>
  </si>
  <si>
    <t>Yannick</t>
  </si>
  <si>
    <t>Loties</t>
  </si>
  <si>
    <t>Mandanne</t>
  </si>
  <si>
    <t>Riviere</t>
  </si>
  <si>
    <t>Ibrahima</t>
  </si>
  <si>
    <t>Jamel</t>
  </si>
  <si>
    <t>Mapou</t>
  </si>
  <si>
    <t>Bengtsson</t>
  </si>
  <si>
    <t>Sankhare</t>
  </si>
  <si>
    <t>Younousse</t>
  </si>
  <si>
    <t>Chretien</t>
  </si>
  <si>
    <t>Michael Basser</t>
  </si>
  <si>
    <t>Hubocan</t>
  </si>
  <si>
    <t>Tomas</t>
  </si>
  <si>
    <t>Guidileye</t>
  </si>
  <si>
    <t>Wilfried</t>
  </si>
  <si>
    <t>Abdou Traoré</t>
  </si>
  <si>
    <t>Dusan</t>
  </si>
  <si>
    <t>Gastien</t>
  </si>
  <si>
    <t>Johan</t>
  </si>
  <si>
    <t>Emmanuel</t>
  </si>
  <si>
    <t>Pavle</t>
  </si>
  <si>
    <t>Junior Dalé</t>
  </si>
  <si>
    <t>Ola</t>
  </si>
  <si>
    <t>Kermit</t>
  </si>
  <si>
    <t>Delecroix</t>
  </si>
  <si>
    <t>Sammaritano</t>
  </si>
  <si>
    <t>de Pauw</t>
  </si>
  <si>
    <t>Nill</t>
  </si>
  <si>
    <t>Mouhamadou Habib</t>
  </si>
  <si>
    <t>Javier</t>
  </si>
  <si>
    <t>Cetout</t>
  </si>
  <si>
    <t>Christian</t>
  </si>
  <si>
    <t>Robert</t>
  </si>
  <si>
    <t>Gueida</t>
  </si>
  <si>
    <t>Tongo</t>
  </si>
  <si>
    <t>Santini</t>
  </si>
  <si>
    <t>Ivan</t>
  </si>
  <si>
    <t>Danijel</t>
  </si>
  <si>
    <t>Marco</t>
  </si>
  <si>
    <t>Ryan Mendes</t>
  </si>
  <si>
    <t>Durmaz</t>
  </si>
  <si>
    <t>Johnsson</t>
  </si>
  <si>
    <t>Karl-Johan</t>
  </si>
  <si>
    <t>Barthelme</t>
  </si>
  <si>
    <t>Pantxi</t>
  </si>
  <si>
    <t>Søderlund</t>
  </si>
  <si>
    <t>Chernik</t>
  </si>
  <si>
    <t>Sergei</t>
  </si>
  <si>
    <t>Steed</t>
  </si>
  <si>
    <t>Nwakaeme</t>
  </si>
  <si>
    <t>Dickson</t>
  </si>
  <si>
    <t>Belhanda</t>
  </si>
  <si>
    <t>Younès</t>
  </si>
  <si>
    <t>Walid</t>
  </si>
  <si>
    <t>Pavlovic</t>
  </si>
  <si>
    <t>Mateo</t>
  </si>
  <si>
    <t>Rybus</t>
  </si>
  <si>
    <t>Maciej</t>
  </si>
  <si>
    <t>Glik</t>
  </si>
  <si>
    <t>Lewczuk</t>
  </si>
  <si>
    <t>Igor</t>
  </si>
  <si>
    <t>Krychowiak</t>
  </si>
  <si>
    <t>Grzegorz</t>
  </si>
  <si>
    <t>de Preville</t>
  </si>
  <si>
    <t>Vidal</t>
  </si>
  <si>
    <t>Marc</t>
  </si>
  <si>
    <t>De Sanctis</t>
  </si>
  <si>
    <t>Leroy</t>
  </si>
  <si>
    <t>Thomsen</t>
  </si>
  <si>
    <t>Nicolaj</t>
  </si>
  <si>
    <t>Souquet</t>
  </si>
  <si>
    <t>Doukoure</t>
  </si>
  <si>
    <t>Stoppila</t>
  </si>
  <si>
    <t>Cuffaut</t>
  </si>
  <si>
    <t>Joffrey</t>
  </si>
  <si>
    <t>Rivierez</t>
  </si>
  <si>
    <t>Sadio</t>
  </si>
  <si>
    <t>Dore</t>
  </si>
  <si>
    <t>Ferebory</t>
  </si>
  <si>
    <t>Lindsay</t>
  </si>
  <si>
    <t>Mickael</t>
  </si>
  <si>
    <t>Oberhauser</t>
  </si>
  <si>
    <t>Lacroix</t>
  </si>
  <si>
    <t>Leo</t>
  </si>
  <si>
    <t>Bautheac</t>
  </si>
  <si>
    <t>Éric</t>
  </si>
  <si>
    <t>Areola</t>
  </si>
  <si>
    <t>Alphonse</t>
  </si>
  <si>
    <t>Ermir</t>
  </si>
  <si>
    <t>Cabral</t>
  </si>
  <si>
    <t>Jerson</t>
  </si>
  <si>
    <t>Alou Diarra</t>
  </si>
  <si>
    <t>Jeff</t>
  </si>
  <si>
    <t>Yacouba</t>
  </si>
  <si>
    <t>Jesé</t>
  </si>
  <si>
    <t>Puyo</t>
  </si>
  <si>
    <t>Meunier</t>
  </si>
  <si>
    <t>Reynet</t>
  </si>
  <si>
    <t>Chaker</t>
  </si>
  <si>
    <t>Thievy</t>
  </si>
  <si>
    <t>Veretout</t>
  </si>
  <si>
    <t>Koura</t>
  </si>
  <si>
    <t>Diomande</t>
  </si>
  <si>
    <t>Ismael</t>
  </si>
  <si>
    <t>Balliu</t>
  </si>
  <si>
    <t>Iván</t>
  </si>
  <si>
    <t>Sliti</t>
  </si>
  <si>
    <t>Naim</t>
  </si>
  <si>
    <t>Pedretti</t>
  </si>
  <si>
    <t>Laurent</t>
  </si>
  <si>
    <t>21 buts</t>
  </si>
  <si>
    <t>13 buts</t>
  </si>
  <si>
    <t>10 passes</t>
  </si>
  <si>
    <t>C</t>
  </si>
  <si>
    <t>Mané</t>
  </si>
  <si>
    <t>Sané</t>
  </si>
  <si>
    <t>Nb de joueurs</t>
  </si>
  <si>
    <t>Club MPG</t>
  </si>
  <si>
    <t>Heaton</t>
  </si>
  <si>
    <t>Pope</t>
  </si>
  <si>
    <t>Robinson</t>
  </si>
  <si>
    <t>Lowton</t>
  </si>
  <si>
    <t>Keane</t>
  </si>
  <si>
    <t>Mee</t>
  </si>
  <si>
    <t>Ward</t>
  </si>
  <si>
    <t>Tarkowski</t>
  </si>
  <si>
    <t>Long</t>
  </si>
  <si>
    <t>Darikwa</t>
  </si>
  <si>
    <t>Flanagan</t>
  </si>
  <si>
    <t>Boyd</t>
  </si>
  <si>
    <t>Marney</t>
  </si>
  <si>
    <t>Jones</t>
  </si>
  <si>
    <t>Arfield</t>
  </si>
  <si>
    <t>Gudmundsson</t>
  </si>
  <si>
    <t>Defour</t>
  </si>
  <si>
    <t>O'Neill</t>
  </si>
  <si>
    <t>Hendrick</t>
  </si>
  <si>
    <t>Kightly</t>
  </si>
  <si>
    <t>Gray</t>
  </si>
  <si>
    <t>Vokes</t>
  </si>
  <si>
    <t>Jutkiewicz</t>
  </si>
  <si>
    <t>Bamford</t>
  </si>
  <si>
    <t>Burnley</t>
  </si>
  <si>
    <t>Fabianski</t>
  </si>
  <si>
    <t>Birighitti</t>
  </si>
  <si>
    <t>Nordfeldt</t>
  </si>
  <si>
    <t>Naughton</t>
  </si>
  <si>
    <t>Fernandez</t>
  </si>
  <si>
    <t>Amat</t>
  </si>
  <si>
    <t>Kingsley</t>
  </si>
  <si>
    <t>Rangel</t>
  </si>
  <si>
    <t>Taylor</t>
  </si>
  <si>
    <t>Tremmel</t>
  </si>
  <si>
    <t>van der Hoorn</t>
  </si>
  <si>
    <t>Mawson</t>
  </si>
  <si>
    <t>Cork</t>
  </si>
  <si>
    <t>Britton</t>
  </si>
  <si>
    <t>Fer</t>
  </si>
  <si>
    <t>Montero</t>
  </si>
  <si>
    <t>Sigurdsson</t>
  </si>
  <si>
    <t>Dyer</t>
  </si>
  <si>
    <t>Ki</t>
  </si>
  <si>
    <t>Fulton</t>
  </si>
  <si>
    <t>Barrow</t>
  </si>
  <si>
    <t>Llorente</t>
  </si>
  <si>
    <t>McBurnie</t>
  </si>
  <si>
    <t xml:space="preserve">Borja </t>
  </si>
  <si>
    <t>Routledge</t>
  </si>
  <si>
    <t>Swansea</t>
  </si>
  <si>
    <t>Hennessey</t>
  </si>
  <si>
    <t>Speroni</t>
  </si>
  <si>
    <t>Dann</t>
  </si>
  <si>
    <t>Delaney</t>
  </si>
  <si>
    <t>Souaré</t>
  </si>
  <si>
    <t>Kelly</t>
  </si>
  <si>
    <t>Fryers</t>
  </si>
  <si>
    <t>Townsend</t>
  </si>
  <si>
    <t>Jedinak</t>
  </si>
  <si>
    <t>Lee Chung-Yong</t>
  </si>
  <si>
    <t>Puncheon</t>
  </si>
  <si>
    <t>Zaha</t>
  </si>
  <si>
    <t>Cabaye</t>
  </si>
  <si>
    <t>Bolasie</t>
  </si>
  <si>
    <t>Ledley</t>
  </si>
  <si>
    <t>Tomkins</t>
  </si>
  <si>
    <t>Mutch</t>
  </si>
  <si>
    <t>McArthur</t>
  </si>
  <si>
    <t>Flamini</t>
  </si>
  <si>
    <t>Wickham</t>
  </si>
  <si>
    <t>Benteke</t>
  </si>
  <si>
    <t>J. Benteke</t>
  </si>
  <si>
    <t>Campbell</t>
  </si>
  <si>
    <t>Palace</t>
  </si>
  <si>
    <t>Foster</t>
  </si>
  <si>
    <t>Myhill</t>
  </si>
  <si>
    <t>Palmer</t>
  </si>
  <si>
    <t>Dawson</t>
  </si>
  <si>
    <t>McAuley</t>
  </si>
  <si>
    <t>Olsson</t>
  </si>
  <si>
    <t>Evans</t>
  </si>
  <si>
    <t>Galloway</t>
  </si>
  <si>
    <t>Nyom</t>
  </si>
  <si>
    <t>Phillips</t>
  </si>
  <si>
    <t>Fletcher</t>
  </si>
  <si>
    <t>Yacob</t>
  </si>
  <si>
    <t>Gardner</t>
  </si>
  <si>
    <t>Morrison</t>
  </si>
  <si>
    <t>McClean</t>
  </si>
  <si>
    <t>Leko</t>
  </si>
  <si>
    <t>Field</t>
  </si>
  <si>
    <t>Chadli</t>
  </si>
  <si>
    <t>Brunt</t>
  </si>
  <si>
    <t>McManaman</t>
  </si>
  <si>
    <t>Rondon</t>
  </si>
  <si>
    <t>Berahino</t>
  </si>
  <si>
    <t>Robson-Kanu</t>
  </si>
  <si>
    <t>Lambert</t>
  </si>
  <si>
    <t>WBA</t>
  </si>
  <si>
    <t>Stekelenburg</t>
  </si>
  <si>
    <t>Robles</t>
  </si>
  <si>
    <t>Holgate</t>
  </si>
  <si>
    <t>Jagielka</t>
  </si>
  <si>
    <t>Funes Mori</t>
  </si>
  <si>
    <t>Williams</t>
  </si>
  <si>
    <t>Coleman</t>
  </si>
  <si>
    <t>Baines</t>
  </si>
  <si>
    <t>Oviedo</t>
  </si>
  <si>
    <t>McCarthy</t>
  </si>
  <si>
    <t>Gueye</t>
  </si>
  <si>
    <t>Barry</t>
  </si>
  <si>
    <t>Lennon</t>
  </si>
  <si>
    <t>Cleverley</t>
  </si>
  <si>
    <t>Gibson</t>
  </si>
  <si>
    <t>Davies</t>
  </si>
  <si>
    <t>Barkley</t>
  </si>
  <si>
    <t>Deulofeu</t>
  </si>
  <si>
    <t>Mirallas</t>
  </si>
  <si>
    <t>Koné</t>
  </si>
  <si>
    <t>Lukaku</t>
  </si>
  <si>
    <t>Valencia</t>
  </si>
  <si>
    <t>Everton</t>
  </si>
  <si>
    <t>Vorm</t>
  </si>
  <si>
    <t>Pau Lopez</t>
  </si>
  <si>
    <t>Walker</t>
  </si>
  <si>
    <t>Alderweireld</t>
  </si>
  <si>
    <t>Vertonghen</t>
  </si>
  <si>
    <t>Carter-Vickers</t>
  </si>
  <si>
    <t>Trippier</t>
  </si>
  <si>
    <t>Wimmer</t>
  </si>
  <si>
    <t>Lamela</t>
  </si>
  <si>
    <t>Dier</t>
  </si>
  <si>
    <t>Dele Alli</t>
  </si>
  <si>
    <t>Wanyama</t>
  </si>
  <si>
    <t>Eriksen</t>
  </si>
  <si>
    <t>Carroll</t>
  </si>
  <si>
    <t>Onomah</t>
  </si>
  <si>
    <t>Winks</t>
  </si>
  <si>
    <t>Dembélé</t>
  </si>
  <si>
    <t>Son</t>
  </si>
  <si>
    <t>Kane</t>
  </si>
  <si>
    <t>Janssen</t>
  </si>
  <si>
    <t>Tottenham</t>
  </si>
  <si>
    <t>Adrian</t>
  </si>
  <si>
    <t>Randolph</t>
  </si>
  <si>
    <t>Spiegel</t>
  </si>
  <si>
    <t>Antonio</t>
  </si>
  <si>
    <t>Collins</t>
  </si>
  <si>
    <t>Reid</t>
  </si>
  <si>
    <t>Masuaku</t>
  </si>
  <si>
    <t>Byram</t>
  </si>
  <si>
    <t>Ogbonna</t>
  </si>
  <si>
    <t>Cresswell</t>
  </si>
  <si>
    <t>Arbeloa</t>
  </si>
  <si>
    <t>Kouyaté</t>
  </si>
  <si>
    <t>Nordveit</t>
  </si>
  <si>
    <t>Noble</t>
  </si>
  <si>
    <t>Payet</t>
  </si>
  <si>
    <t>Töre</t>
  </si>
  <si>
    <t>Obiang</t>
  </si>
  <si>
    <t>Feghouli</t>
  </si>
  <si>
    <t>Ayew</t>
  </si>
  <si>
    <t>Calleri</t>
  </si>
  <si>
    <t>Lanzini</t>
  </si>
  <si>
    <t>Sakho</t>
  </si>
  <si>
    <t>Zaza</t>
  </si>
  <si>
    <t>West Ham</t>
  </si>
  <si>
    <t>Jakupovic</t>
  </si>
  <si>
    <t>El Mohamady</t>
  </si>
  <si>
    <t>Livermore</t>
  </si>
  <si>
    <t>Robertson</t>
  </si>
  <si>
    <t>Maguire</t>
  </si>
  <si>
    <t>Lenihan</t>
  </si>
  <si>
    <t>Bruce</t>
  </si>
  <si>
    <t>Tymon</t>
  </si>
  <si>
    <t>Meyler</t>
  </si>
  <si>
    <t>Huddlestone</t>
  </si>
  <si>
    <t>Clucas</t>
  </si>
  <si>
    <t>Maloney</t>
  </si>
  <si>
    <t>Mason</t>
  </si>
  <si>
    <t>Olley</t>
  </si>
  <si>
    <t>Weir</t>
  </si>
  <si>
    <t>Clackstone</t>
  </si>
  <si>
    <t>Henriksen</t>
  </si>
  <si>
    <t>Odubajo</t>
  </si>
  <si>
    <t>Snodgrass</t>
  </si>
  <si>
    <t>Hernandez</t>
  </si>
  <si>
    <t>Mbokani</t>
  </si>
  <si>
    <t>Hinchcliffe</t>
  </si>
  <si>
    <t>Luer</t>
  </si>
  <si>
    <t>Bowen</t>
  </si>
  <si>
    <t>Hull</t>
  </si>
  <si>
    <t>Schmeichel</t>
  </si>
  <si>
    <t>Zieler</t>
  </si>
  <si>
    <t>Simpson</t>
  </si>
  <si>
    <t>Fuchs</t>
  </si>
  <si>
    <t>Huth</t>
  </si>
  <si>
    <t>Chilwell</t>
  </si>
  <si>
    <t>Wasilewski</t>
  </si>
  <si>
    <t>Mahrez</t>
  </si>
  <si>
    <t>King</t>
  </si>
  <si>
    <t>Drinkwater</t>
  </si>
  <si>
    <t>Amartey</t>
  </si>
  <si>
    <t>Albrighton</t>
  </si>
  <si>
    <t>James</t>
  </si>
  <si>
    <t>Schlupp</t>
  </si>
  <si>
    <t>Kapustka</t>
  </si>
  <si>
    <t>Musa</t>
  </si>
  <si>
    <t>Vardy</t>
  </si>
  <si>
    <t>Ulloa</t>
  </si>
  <si>
    <t>Slimani</t>
  </si>
  <si>
    <t>Okazaki</t>
  </si>
  <si>
    <t>Leicester</t>
  </si>
  <si>
    <t>Caballero</t>
  </si>
  <si>
    <t>Bravo</t>
  </si>
  <si>
    <t>Sagna</t>
  </si>
  <si>
    <t>Stones</t>
  </si>
  <si>
    <t>Kolarov</t>
  </si>
  <si>
    <t>Clichy</t>
  </si>
  <si>
    <t>Zabaleta</t>
  </si>
  <si>
    <t>Otamendi</t>
  </si>
  <si>
    <t>Kompany</t>
  </si>
  <si>
    <t>Fernandinho</t>
  </si>
  <si>
    <t>De Bruyne</t>
  </si>
  <si>
    <t>Navas</t>
  </si>
  <si>
    <t>Delph</t>
  </si>
  <si>
    <t>Nasri</t>
  </si>
  <si>
    <t>Garcia</t>
  </si>
  <si>
    <t>Gündogan</t>
  </si>
  <si>
    <t>Agüero</t>
  </si>
  <si>
    <t>Iheanacho</t>
  </si>
  <si>
    <t>Nolito</t>
  </si>
  <si>
    <t>Sterling</t>
  </si>
  <si>
    <t>Man. City</t>
  </si>
  <si>
    <t>Mannone</t>
  </si>
  <si>
    <t>Pickford</t>
  </si>
  <si>
    <t>Love</t>
  </si>
  <si>
    <t>Kaboul</t>
  </si>
  <si>
    <t>van Aanholt</t>
  </si>
  <si>
    <t>Djilobodji</t>
  </si>
  <si>
    <t>Denayer</t>
  </si>
  <si>
    <t>Manquillo</t>
  </si>
  <si>
    <t>Watmore</t>
  </si>
  <si>
    <t>Rodwell</t>
  </si>
  <si>
    <t>O'Shea</t>
  </si>
  <si>
    <t>Gooch</t>
  </si>
  <si>
    <t>Januzaj</t>
  </si>
  <si>
    <t>McNair</t>
  </si>
  <si>
    <t>Pienaar</t>
  </si>
  <si>
    <t>Asoro</t>
  </si>
  <si>
    <t>Cattermole</t>
  </si>
  <si>
    <t>Kirchhof</t>
  </si>
  <si>
    <t>Borini</t>
  </si>
  <si>
    <t>Defoe</t>
  </si>
  <si>
    <t>Lens</t>
  </si>
  <si>
    <t>Sunderland</t>
  </si>
  <si>
    <t>Valdes</t>
  </si>
  <si>
    <t>Guzan</t>
  </si>
  <si>
    <t>Konstantopoulos</t>
  </si>
  <si>
    <t>Barragan</t>
  </si>
  <si>
    <t>Friend</t>
  </si>
  <si>
    <t>Ayala</t>
  </si>
  <si>
    <t>Fabio</t>
  </si>
  <si>
    <t>Chambers</t>
  </si>
  <si>
    <t>Husband</t>
  </si>
  <si>
    <t>Adomah</t>
  </si>
  <si>
    <t>Clayton</t>
  </si>
  <si>
    <t>Ramirez</t>
  </si>
  <si>
    <t>de Roon</t>
  </si>
  <si>
    <t>Downing</t>
  </si>
  <si>
    <t>Forshaw</t>
  </si>
  <si>
    <t>Nsue</t>
  </si>
  <si>
    <t>de Sart</t>
  </si>
  <si>
    <t>Negredo</t>
  </si>
  <si>
    <t>Nugent</t>
  </si>
  <si>
    <t>Fischer</t>
  </si>
  <si>
    <t>Rhodes</t>
  </si>
  <si>
    <t>Stuani</t>
  </si>
  <si>
    <t>Middlesbrough</t>
  </si>
  <si>
    <t>Given</t>
  </si>
  <si>
    <t>Bardsley</t>
  </si>
  <si>
    <t>Shawcross</t>
  </si>
  <si>
    <t>Wollscheld</t>
  </si>
  <si>
    <t>Pieters</t>
  </si>
  <si>
    <t>Cameron</t>
  </si>
  <si>
    <t>Indi</t>
  </si>
  <si>
    <t>Muniesa</t>
  </si>
  <si>
    <t>Johnson</t>
  </si>
  <si>
    <t>Shaqiri</t>
  </si>
  <si>
    <t>Imbula</t>
  </si>
  <si>
    <t>Whelan</t>
  </si>
  <si>
    <t>Arnautovic</t>
  </si>
  <si>
    <t>Allen</t>
  </si>
  <si>
    <t>Sobhi</t>
  </si>
  <si>
    <t>Afellay</t>
  </si>
  <si>
    <t>Ireland</t>
  </si>
  <si>
    <t>Bojan</t>
  </si>
  <si>
    <t>Diouf</t>
  </si>
  <si>
    <t>Walters</t>
  </si>
  <si>
    <t>Crouch</t>
  </si>
  <si>
    <t>Bony</t>
  </si>
  <si>
    <t>Stoke City</t>
  </si>
  <si>
    <t>Forster</t>
  </si>
  <si>
    <t>Soares</t>
  </si>
  <si>
    <t>Yoshida</t>
  </si>
  <si>
    <t>van Djik</t>
  </si>
  <si>
    <t>Targett</t>
  </si>
  <si>
    <t>Fonte</t>
  </si>
  <si>
    <t>Bertrand</t>
  </si>
  <si>
    <t>Cuco Martina</t>
  </si>
  <si>
    <t>Clasie</t>
  </si>
  <si>
    <t>Davis</t>
  </si>
  <si>
    <t>Romeu</t>
  </si>
  <si>
    <t>Tadic</t>
  </si>
  <si>
    <t>Ward-Prowse</t>
  </si>
  <si>
    <t>Hojbjerg</t>
  </si>
  <si>
    <t>Reed</t>
  </si>
  <si>
    <t xml:space="preserve">Long </t>
  </si>
  <si>
    <t>Redmond</t>
  </si>
  <si>
    <t>Austin</t>
  </si>
  <si>
    <t>Rodriguez</t>
  </si>
  <si>
    <t>Southampton</t>
  </si>
  <si>
    <t>Gomes</t>
  </si>
  <si>
    <t>Pantilimon</t>
  </si>
  <si>
    <t>Gilmartin</t>
  </si>
  <si>
    <t>Cathcart</t>
  </si>
  <si>
    <t>Prödl</t>
  </si>
  <si>
    <t>Britos</t>
  </si>
  <si>
    <t>Zuniga</t>
  </si>
  <si>
    <t>Kabasele</t>
  </si>
  <si>
    <t>Janmaat</t>
  </si>
  <si>
    <t>Mariappa</t>
  </si>
  <si>
    <t>Paredes</t>
  </si>
  <si>
    <t>Amrabat</t>
  </si>
  <si>
    <t>Guédloura</t>
  </si>
  <si>
    <t>Behrami</t>
  </si>
  <si>
    <t>Capoue</t>
  </si>
  <si>
    <t>Holebas</t>
  </si>
  <si>
    <t>Watson</t>
  </si>
  <si>
    <t>Anya</t>
  </si>
  <si>
    <t>Doucouré</t>
  </si>
  <si>
    <t>Pereyra</t>
  </si>
  <si>
    <t>Deeney</t>
  </si>
  <si>
    <t>Ighalo</t>
  </si>
  <si>
    <t>Isaac Success</t>
  </si>
  <si>
    <t>Okaka</t>
  </si>
  <si>
    <t>Vydra</t>
  </si>
  <si>
    <t>Watford</t>
  </si>
  <si>
    <t>Cech</t>
  </si>
  <si>
    <t>Ospina</t>
  </si>
  <si>
    <t>Bellerin</t>
  </si>
  <si>
    <t>Holding</t>
  </si>
  <si>
    <t>Monreal</t>
  </si>
  <si>
    <t>Koscielny</t>
  </si>
  <si>
    <t>Gibbs</t>
  </si>
  <si>
    <t>Mustafi</t>
  </si>
  <si>
    <t>Gabriel</t>
  </si>
  <si>
    <t>Debuchy</t>
  </si>
  <si>
    <t>Jenkinson</t>
  </si>
  <si>
    <t>Mertesacker</t>
  </si>
  <si>
    <t>Coquelin</t>
  </si>
  <si>
    <t>Ramsey</t>
  </si>
  <si>
    <t>Elneny</t>
  </si>
  <si>
    <t>Iwobi</t>
  </si>
  <si>
    <t>Cazorla</t>
  </si>
  <si>
    <t>Oxlade-Chamberlain</t>
  </si>
  <si>
    <t>Xhaka</t>
  </si>
  <si>
    <t>Özil</t>
  </si>
  <si>
    <t>Wilshere</t>
  </si>
  <si>
    <t>Welbeck</t>
  </si>
  <si>
    <t>Reine-Adelaïde</t>
  </si>
  <si>
    <t>Walcott</t>
  </si>
  <si>
    <t>Sanchez</t>
  </si>
  <si>
    <t>Giroud</t>
  </si>
  <si>
    <t>Lucas Pérez</t>
  </si>
  <si>
    <t>Akpom</t>
  </si>
  <si>
    <t>Sanogo</t>
  </si>
  <si>
    <t>Arsenal</t>
  </si>
  <si>
    <t>Mignolet</t>
  </si>
  <si>
    <t>Manninger</t>
  </si>
  <si>
    <t>Karius</t>
  </si>
  <si>
    <t>Clyne</t>
  </si>
  <si>
    <t>Lovren</t>
  </si>
  <si>
    <t>Klavan</t>
  </si>
  <si>
    <t>Moreno</t>
  </si>
  <si>
    <t>Stewart</t>
  </si>
  <si>
    <t>Matip</t>
  </si>
  <si>
    <t>Ilori</t>
  </si>
  <si>
    <t>Lallana</t>
  </si>
  <si>
    <t>Henderson</t>
  </si>
  <si>
    <t>Wijnaldum</t>
  </si>
  <si>
    <t>Can</t>
  </si>
  <si>
    <t>Milner</t>
  </si>
  <si>
    <t>Grujic</t>
  </si>
  <si>
    <t>Lucas Leiva</t>
  </si>
  <si>
    <t>Coutinho</t>
  </si>
  <si>
    <t>Firmino</t>
  </si>
  <si>
    <t>Origi</t>
  </si>
  <si>
    <t>Sturridge</t>
  </si>
  <si>
    <t>Ings</t>
  </si>
  <si>
    <t>Liverpool</t>
  </si>
  <si>
    <t>Boruc</t>
  </si>
  <si>
    <t>Federici</t>
  </si>
  <si>
    <t>Allsop</t>
  </si>
  <si>
    <t>Holmes</t>
  </si>
  <si>
    <t>B. Smith</t>
  </si>
  <si>
    <t>Francis</t>
  </si>
  <si>
    <t>S. Cook</t>
  </si>
  <si>
    <t>Daniels</t>
  </si>
  <si>
    <t>Aké</t>
  </si>
  <si>
    <t>Mings</t>
  </si>
  <si>
    <t>Buckley</t>
  </si>
  <si>
    <t>Lee</t>
  </si>
  <si>
    <t>L. Cook</t>
  </si>
  <si>
    <t>Surman</t>
  </si>
  <si>
    <t>Arter</t>
  </si>
  <si>
    <t>Fraser</t>
  </si>
  <si>
    <t>Gosling</t>
  </si>
  <si>
    <t>Stanislas</t>
  </si>
  <si>
    <t>Hyndman</t>
  </si>
  <si>
    <t>A. Smith</t>
  </si>
  <si>
    <t>Pugh</t>
  </si>
  <si>
    <t>Ibe</t>
  </si>
  <si>
    <t>Wilson</t>
  </si>
  <si>
    <t>Afobe</t>
  </si>
  <si>
    <t>Gradel</t>
  </si>
  <si>
    <t>Mousset</t>
  </si>
  <si>
    <t>Grabban</t>
  </si>
  <si>
    <t>Bournemouth</t>
  </si>
  <si>
    <t>de Gea</t>
  </si>
  <si>
    <t>Romero</t>
  </si>
  <si>
    <t>Johnstone</t>
  </si>
  <si>
    <t>Bailly</t>
  </si>
  <si>
    <t>Blind</t>
  </si>
  <si>
    <t>Shaw</t>
  </si>
  <si>
    <t>Smalling</t>
  </si>
  <si>
    <t>Darmian</t>
  </si>
  <si>
    <t>Rojo</t>
  </si>
  <si>
    <t>Herrera</t>
  </si>
  <si>
    <t>Fellaini</t>
  </si>
  <si>
    <t>Schnelderlin</t>
  </si>
  <si>
    <t>Mkhitaryan</t>
  </si>
  <si>
    <t>Lingard</t>
  </si>
  <si>
    <t>Schweinsteiger</t>
  </si>
  <si>
    <t>Ashley Young</t>
  </si>
  <si>
    <t>Carrick</t>
  </si>
  <si>
    <t>Mata</t>
  </si>
  <si>
    <t>Rooney</t>
  </si>
  <si>
    <t>Martial</t>
  </si>
  <si>
    <t>Depay</t>
  </si>
  <si>
    <t>Rashford</t>
  </si>
  <si>
    <t>Man. United</t>
  </si>
  <si>
    <t>Courtois</t>
  </si>
  <si>
    <t>Begovic</t>
  </si>
  <si>
    <t>Eduardo</t>
  </si>
  <si>
    <t>Ivanovic</t>
  </si>
  <si>
    <t>Cahill</t>
  </si>
  <si>
    <t>Terry</t>
  </si>
  <si>
    <t>Azpilicueta</t>
  </si>
  <si>
    <t>Zouma</t>
  </si>
  <si>
    <t>Aina</t>
  </si>
  <si>
    <t>Alonso</t>
  </si>
  <si>
    <t>Willian</t>
  </si>
  <si>
    <t>Oscar</t>
  </si>
  <si>
    <t>Kanté</t>
  </si>
  <si>
    <t>Matic</t>
  </si>
  <si>
    <t>Hazard</t>
  </si>
  <si>
    <t>Moses</t>
  </si>
  <si>
    <t>Loftus-Cheek</t>
  </si>
  <si>
    <t>Mikel</t>
  </si>
  <si>
    <t>Chalobah</t>
  </si>
  <si>
    <t>Fabregas</t>
  </si>
  <si>
    <t>Diego Costa</t>
  </si>
  <si>
    <t>Chelsea</t>
  </si>
  <si>
    <t>Man City</t>
  </si>
  <si>
    <t>Man United</t>
  </si>
  <si>
    <t>Crystal Palace</t>
  </si>
  <si>
    <t>West Bromwich</t>
  </si>
  <si>
    <t>Hull city</t>
  </si>
  <si>
    <t>Joueurs</t>
  </si>
  <si>
    <t>Équipe</t>
  </si>
  <si>
    <t>MYT</t>
  </si>
  <si>
    <t>21/09 à 13:48:10</t>
  </si>
  <si>
    <t>FTF</t>
  </si>
  <si>
    <t>20/09 à 21:56:40</t>
  </si>
  <si>
    <t>SFC</t>
  </si>
  <si>
    <t>22/09 à 21:20:50</t>
  </si>
  <si>
    <t>TBA</t>
  </si>
  <si>
    <t>20/09 à 20:33:37</t>
  </si>
  <si>
    <t>NFC</t>
  </si>
  <si>
    <t>21/09 à 07:45:11</t>
  </si>
  <si>
    <t>RPZ</t>
  </si>
  <si>
    <t>21/09 à 10:48:48</t>
  </si>
  <si>
    <t>SOY</t>
  </si>
  <si>
    <t>21/09 à 19:59:12</t>
  </si>
  <si>
    <t>ISE</t>
  </si>
  <si>
    <t>20/09 à 20:23:26</t>
  </si>
  <si>
    <t>Roberto Firmino</t>
  </si>
  <si>
    <t>Bellerín</t>
  </si>
  <si>
    <t>José Fonte</t>
  </si>
  <si>
    <t>Marc Wilson</t>
  </si>
  <si>
    <t>Bernardo</t>
  </si>
  <si>
    <t>De Pena</t>
  </si>
  <si>
    <t>Tosin Adarabioyo</t>
  </si>
  <si>
    <t>Ngoy</t>
  </si>
  <si>
    <t>Besic</t>
  </si>
  <si>
    <t>Randall</t>
  </si>
  <si>
    <t>Ethan Robson</t>
  </si>
  <si>
    <t>Saxe-Gambetta FC</t>
  </si>
  <si>
    <t>Shame On You</t>
  </si>
  <si>
    <t>myteam</t>
  </si>
  <si>
    <t>nut fc</t>
  </si>
  <si>
    <t>van Dijk</t>
  </si>
  <si>
    <t>Fuck-Tonio FC</t>
  </si>
  <si>
    <t>Son Heung-Min</t>
  </si>
  <si>
    <t>I speak pas english</t>
  </si>
  <si>
    <t>74 c'est la champion's league</t>
  </si>
  <si>
    <t>The Bastards</t>
  </si>
  <si>
    <t>Rondón</t>
  </si>
  <si>
    <t>Juan Zuñiga</t>
  </si>
  <si>
    <t>Sánchez</t>
  </si>
  <si>
    <t>Dja Djédjé</t>
  </si>
  <si>
    <t>Georges-Kévin Nkoudou</t>
  </si>
  <si>
    <t>(vide)</t>
  </si>
  <si>
    <t>Nkoudou</t>
  </si>
  <si>
    <t>Marshall</t>
  </si>
  <si>
    <t>Anichebe</t>
  </si>
  <si>
    <t>Grant</t>
  </si>
  <si>
    <t>Cook</t>
  </si>
  <si>
    <t>Smith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</si>
</sst>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#,##0.00\ &quot;€&quot;;[Red]\-#,##0.00\ &quot;€&quot;"/>
    <numFmt numFmtId="43" formatCode="_-* #,##0.00\ _€_-;\-* #,##0.00\ _€_-;_-* &quot;-&quot;??\ _€_-;_-@_-"/>
    <numFmt numFmtId="164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FFFFFF"/>
      <name val="Verdana"/>
      <family val="2"/>
    </font>
    <font>
      <sz val="9"/>
      <color rgb="FF555555"/>
      <name val="Verdana"/>
      <family val="2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8"/>
      <color rgb="FF959DAF"/>
      <name val="Arial"/>
      <family val="2"/>
    </font>
    <font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FFFFFF"/>
      <name val="Arial"/>
      <family val="2"/>
    </font>
    <font>
      <b/>
      <sz val="11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FBB6A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5F6F8"/>
        <bgColor indexed="64"/>
      </patternFill>
    </fill>
    <fill>
      <patternFill patternType="solid">
        <fgColor rgb="FF45C945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rgb="FFE9EBEE"/>
      </bottom>
      <diagonal/>
    </border>
    <border>
      <left/>
      <right/>
      <top/>
      <bottom style="thick">
        <color rgb="FFE9EBEE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325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0" fontId="0" fillId="0" borderId="0" xfId="0" applyAlignment="1">
      <alignment horizontal="left" indent="1"/>
    </xf>
    <xf numFmtId="0" fontId="1" fillId="2" borderId="1" xfId="0" applyFont="1" applyFill="1" applyBorder="1"/>
    <xf numFmtId="2" fontId="0" fillId="0" borderId="0" xfId="0" applyNumberFormat="1"/>
    <xf numFmtId="2" fontId="1" fillId="2" borderId="2" xfId="0" applyNumberFormat="1" applyFont="1" applyFill="1" applyBorder="1"/>
    <xf numFmtId="9" fontId="0" fillId="0" borderId="0" xfId="1" applyFont="1"/>
    <xf numFmtId="0" fontId="3" fillId="4" borderId="0" xfId="0" applyFont="1" applyFill="1" applyAlignment="1">
      <alignment vertical="center" wrapText="1"/>
    </xf>
    <xf numFmtId="0" fontId="0" fillId="0" borderId="3" xfId="0" applyBorder="1"/>
    <xf numFmtId="0" fontId="0" fillId="0" borderId="5" xfId="0" applyBorder="1"/>
    <xf numFmtId="2" fontId="0" fillId="5" borderId="8" xfId="0" applyNumberFormat="1" applyFill="1" applyBorder="1"/>
    <xf numFmtId="1" fontId="0" fillId="0" borderId="9" xfId="0" applyNumberFormat="1" applyFill="1" applyBorder="1"/>
    <xf numFmtId="0" fontId="6" fillId="0" borderId="9" xfId="0" applyFont="1" applyFill="1" applyBorder="1"/>
    <xf numFmtId="0" fontId="0" fillId="0" borderId="9" xfId="0" applyFont="1" applyFill="1" applyBorder="1"/>
    <xf numFmtId="0" fontId="0" fillId="0" borderId="9" xfId="0" applyFill="1" applyBorder="1"/>
    <xf numFmtId="0" fontId="6" fillId="6" borderId="9" xfId="0" applyFont="1" applyFill="1" applyBorder="1"/>
    <xf numFmtId="0" fontId="0" fillId="0" borderId="10" xfId="0" applyFill="1" applyBorder="1" applyAlignment="1">
      <alignment horizontal="right"/>
    </xf>
    <xf numFmtId="0" fontId="0" fillId="0" borderId="10" xfId="0" applyFill="1" applyBorder="1"/>
    <xf numFmtId="0" fontId="6" fillId="0" borderId="10" xfId="0" applyFont="1" applyFill="1" applyBorder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9" xfId="0" applyBorder="1"/>
    <xf numFmtId="2" fontId="0" fillId="5" borderId="14" xfId="0" applyNumberFormat="1" applyFill="1" applyBorder="1"/>
    <xf numFmtId="0" fontId="0" fillId="0" borderId="9" xfId="0" applyFill="1" applyBorder="1" applyAlignment="1">
      <alignment horizontal="right"/>
    </xf>
    <xf numFmtId="0" fontId="0" fillId="0" borderId="0" xfId="0" applyFill="1" applyBorder="1"/>
    <xf numFmtId="0" fontId="7" fillId="7" borderId="15" xfId="0" applyFont="1" applyFill="1" applyBorder="1"/>
    <xf numFmtId="0" fontId="7" fillId="7" borderId="16" xfId="0" applyFont="1" applyFill="1" applyBorder="1"/>
    <xf numFmtId="0" fontId="7" fillId="7" borderId="17" xfId="0" applyFont="1" applyFill="1" applyBorder="1"/>
    <xf numFmtId="0" fontId="0" fillId="7" borderId="9" xfId="0" applyFill="1" applyBorder="1"/>
    <xf numFmtId="0" fontId="0" fillId="7" borderId="10" xfId="0" applyFill="1" applyBorder="1"/>
    <xf numFmtId="0" fontId="0" fillId="0" borderId="0" xfId="0" applyFill="1"/>
    <xf numFmtId="0" fontId="0" fillId="0" borderId="21" xfId="0" applyFont="1" applyFill="1" applyBorder="1"/>
    <xf numFmtId="0" fontId="7" fillId="7" borderId="11" xfId="0" applyFont="1" applyFill="1" applyBorder="1"/>
    <xf numFmtId="0" fontId="6" fillId="7" borderId="0" xfId="0" applyFont="1" applyFill="1" applyBorder="1"/>
    <xf numFmtId="0" fontId="7" fillId="7" borderId="12" xfId="0" applyFont="1" applyFill="1" applyBorder="1"/>
    <xf numFmtId="0" fontId="7" fillId="7" borderId="9" xfId="0" applyFont="1" applyFill="1" applyBorder="1"/>
    <xf numFmtId="0" fontId="0" fillId="7" borderId="9" xfId="0" applyFill="1" applyBorder="1" applyAlignment="1">
      <alignment horizontal="right"/>
    </xf>
    <xf numFmtId="0" fontId="0" fillId="7" borderId="10" xfId="0" applyFill="1" applyBorder="1" applyAlignment="1">
      <alignment horizontal="right"/>
    </xf>
    <xf numFmtId="0" fontId="7" fillId="7" borderId="0" xfId="0" applyFont="1" applyFill="1" applyBorder="1"/>
    <xf numFmtId="0" fontId="6" fillId="7" borderId="9" xfId="0" applyFont="1" applyFill="1" applyBorder="1"/>
    <xf numFmtId="0" fontId="0" fillId="0" borderId="0" xfId="0" applyFont="1" applyBorder="1"/>
    <xf numFmtId="0" fontId="7" fillId="7" borderId="9" xfId="0" applyFont="1" applyFill="1" applyBorder="1" applyAlignment="1">
      <alignment horizontal="right"/>
    </xf>
    <xf numFmtId="0" fontId="7" fillId="7" borderId="10" xfId="0" applyFont="1" applyFill="1" applyBorder="1" applyAlignment="1">
      <alignment horizontal="right"/>
    </xf>
    <xf numFmtId="0" fontId="7" fillId="7" borderId="10" xfId="0" applyFont="1" applyFill="1" applyBorder="1"/>
    <xf numFmtId="0" fontId="7" fillId="7" borderId="0" xfId="0" applyFont="1" applyFill="1"/>
    <xf numFmtId="0" fontId="1" fillId="0" borderId="0" xfId="0" applyFont="1" applyFill="1" applyBorder="1"/>
    <xf numFmtId="0" fontId="0" fillId="6" borderId="9" xfId="0" applyFill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2" fontId="0" fillId="5" borderId="20" xfId="0" applyNumberFormat="1" applyFill="1" applyBorder="1"/>
    <xf numFmtId="0" fontId="0" fillId="0" borderId="21" xfId="0" applyBorder="1"/>
    <xf numFmtId="1" fontId="0" fillId="0" borderId="9" xfId="0" applyNumberFormat="1" applyFill="1" applyBorder="1" applyAlignment="1">
      <alignment horizontal="right"/>
    </xf>
    <xf numFmtId="0" fontId="6" fillId="6" borderId="9" xfId="0" applyFont="1" applyFill="1" applyBorder="1" applyAlignment="1">
      <alignment horizontal="right"/>
    </xf>
    <xf numFmtId="0" fontId="0" fillId="0" borderId="9" xfId="0" applyFont="1" applyFill="1" applyBorder="1" applyAlignment="1">
      <alignment horizontal="right"/>
    </xf>
    <xf numFmtId="0" fontId="6" fillId="0" borderId="9" xfId="0" applyFont="1" applyFill="1" applyBorder="1" applyAlignment="1">
      <alignment horizontal="right"/>
    </xf>
    <xf numFmtId="0" fontId="0" fillId="0" borderId="21" xfId="0" applyFont="1" applyBorder="1"/>
    <xf numFmtId="164" fontId="0" fillId="0" borderId="9" xfId="0" applyNumberFormat="1" applyFill="1" applyBorder="1" applyAlignment="1">
      <alignment horizontal="right"/>
    </xf>
    <xf numFmtId="2" fontId="7" fillId="5" borderId="14" xfId="0" applyNumberFormat="1" applyFont="1" applyFill="1" applyBorder="1"/>
    <xf numFmtId="0" fontId="6" fillId="7" borderId="9" xfId="0" applyFont="1" applyFill="1" applyBorder="1" applyAlignment="1">
      <alignment horizontal="right"/>
    </xf>
    <xf numFmtId="0" fontId="0" fillId="8" borderId="9" xfId="0" applyFill="1" applyBorder="1"/>
    <xf numFmtId="0" fontId="0" fillId="6" borderId="9" xfId="0" applyFont="1" applyFill="1" applyBorder="1"/>
    <xf numFmtId="0" fontId="0" fillId="6" borderId="9" xfId="0" applyFill="1" applyBorder="1" applyAlignment="1">
      <alignment horizontal="right"/>
    </xf>
    <xf numFmtId="0" fontId="0" fillId="0" borderId="22" xfId="0" applyBorder="1"/>
    <xf numFmtId="0" fontId="0" fillId="0" borderId="22" xfId="0" applyFill="1" applyBorder="1"/>
    <xf numFmtId="0" fontId="0" fillId="0" borderId="0" xfId="0" applyFill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6" fillId="0" borderId="10" xfId="0" applyFont="1" applyFill="1" applyBorder="1" applyAlignment="1">
      <alignment horizontal="right"/>
    </xf>
    <xf numFmtId="0" fontId="0" fillId="0" borderId="28" xfId="0" applyBorder="1"/>
    <xf numFmtId="0" fontId="0" fillId="0" borderId="11" xfId="0" applyFont="1" applyBorder="1"/>
    <xf numFmtId="0" fontId="0" fillId="0" borderId="10" xfId="0" applyBorder="1"/>
    <xf numFmtId="0" fontId="0" fillId="5" borderId="14" xfId="0" applyFill="1" applyBorder="1"/>
    <xf numFmtId="0" fontId="0" fillId="0" borderId="0" xfId="0" applyFill="1" applyBorder="1" applyAlignment="1">
      <alignment horizontal="right"/>
    </xf>
    <xf numFmtId="0" fontId="0" fillId="0" borderId="15" xfId="0" applyFont="1" applyFill="1" applyBorder="1"/>
    <xf numFmtId="0" fontId="0" fillId="0" borderId="16" xfId="0" applyFont="1" applyFill="1" applyBorder="1"/>
    <xf numFmtId="0" fontId="7" fillId="0" borderId="16" xfId="0" applyFont="1" applyFill="1" applyBorder="1"/>
    <xf numFmtId="0" fontId="7" fillId="0" borderId="0" xfId="0" applyFont="1" applyFill="1" applyBorder="1" applyAlignment="1">
      <alignment horizontal="right"/>
    </xf>
    <xf numFmtId="0" fontId="7" fillId="0" borderId="9" xfId="0" applyFont="1" applyFill="1" applyBorder="1" applyAlignment="1">
      <alignment horizontal="right"/>
    </xf>
    <xf numFmtId="0" fontId="7" fillId="0" borderId="9" xfId="0" applyFont="1" applyFill="1" applyBorder="1"/>
    <xf numFmtId="0" fontId="7" fillId="0" borderId="10" xfId="0" applyFont="1" applyFill="1" applyBorder="1"/>
    <xf numFmtId="0" fontId="0" fillId="0" borderId="21" xfId="0" applyBorder="1" applyAlignment="1">
      <alignment horizontal="right"/>
    </xf>
    <xf numFmtId="0" fontId="0" fillId="0" borderId="30" xfId="0" applyBorder="1"/>
    <xf numFmtId="0" fontId="0" fillId="0" borderId="0" xfId="0" applyFont="1" applyFill="1" applyBorder="1" applyAlignment="1">
      <alignment horizontal="right"/>
    </xf>
    <xf numFmtId="0" fontId="1" fillId="0" borderId="21" xfId="0" applyFont="1" applyFill="1" applyBorder="1"/>
    <xf numFmtId="0" fontId="0" fillId="0" borderId="31" xfId="0" applyBorder="1"/>
    <xf numFmtId="2" fontId="0" fillId="5" borderId="27" xfId="0" applyNumberFormat="1" applyFill="1" applyBorder="1"/>
    <xf numFmtId="0" fontId="1" fillId="0" borderId="22" xfId="0" applyFont="1" applyFill="1" applyBorder="1"/>
    <xf numFmtId="2" fontId="0" fillId="5" borderId="33" xfId="0" applyNumberFormat="1" applyFill="1" applyBorder="1"/>
    <xf numFmtId="0" fontId="1" fillId="0" borderId="0" xfId="0" applyFont="1"/>
    <xf numFmtId="1" fontId="6" fillId="6" borderId="9" xfId="0" applyNumberFormat="1" applyFont="1" applyFill="1" applyBorder="1" applyAlignment="1">
      <alignment horizontal="right"/>
    </xf>
    <xf numFmtId="0" fontId="0" fillId="6" borderId="9" xfId="0" applyFont="1" applyFill="1" applyBorder="1" applyAlignment="1">
      <alignment horizontal="right"/>
    </xf>
    <xf numFmtId="0" fontId="6" fillId="6" borderId="10" xfId="0" applyFont="1" applyFill="1" applyBorder="1" applyAlignment="1">
      <alignment horizontal="right"/>
    </xf>
    <xf numFmtId="0" fontId="0" fillId="0" borderId="10" xfId="0" applyFont="1" applyFill="1" applyBorder="1" applyAlignment="1">
      <alignment horizontal="right"/>
    </xf>
    <xf numFmtId="0" fontId="0" fillId="0" borderId="34" xfId="0" applyBorder="1"/>
    <xf numFmtId="0" fontId="0" fillId="0" borderId="10" xfId="0" applyFont="1" applyFill="1" applyBorder="1"/>
    <xf numFmtId="1" fontId="6" fillId="0" borderId="9" xfId="0" applyNumberFormat="1" applyFont="1" applyFill="1" applyBorder="1"/>
    <xf numFmtId="0" fontId="7" fillId="7" borderId="21" xfId="0" applyFont="1" applyFill="1" applyBorder="1"/>
    <xf numFmtId="0" fontId="0" fillId="0" borderId="11" xfId="0" applyFont="1" applyFill="1" applyBorder="1"/>
    <xf numFmtId="0" fontId="0" fillId="0" borderId="0" xfId="0" applyFont="1" applyFill="1"/>
    <xf numFmtId="0" fontId="0" fillId="0" borderId="12" xfId="0" applyFont="1" applyFill="1" applyBorder="1"/>
    <xf numFmtId="0" fontId="7" fillId="7" borderId="0" xfId="0" applyFont="1" applyFill="1" applyAlignment="1">
      <alignment horizontal="right"/>
    </xf>
    <xf numFmtId="0" fontId="6" fillId="6" borderId="0" xfId="0" applyFont="1" applyFill="1" applyAlignment="1">
      <alignment horizontal="right"/>
    </xf>
    <xf numFmtId="0" fontId="0" fillId="0" borderId="0" xfId="0" applyFont="1" applyFill="1" applyBorder="1"/>
    <xf numFmtId="0" fontId="0" fillId="0" borderId="16" xfId="0" applyFont="1" applyBorder="1"/>
    <xf numFmtId="0" fontId="0" fillId="0" borderId="22" xfId="0" applyFont="1" applyFill="1" applyBorder="1"/>
    <xf numFmtId="0" fontId="0" fillId="0" borderId="29" xfId="0" applyBorder="1"/>
    <xf numFmtId="1" fontId="0" fillId="0" borderId="0" xfId="0" applyNumberFormat="1" applyFont="1" applyFill="1"/>
    <xf numFmtId="0" fontId="0" fillId="8" borderId="9" xfId="0" applyFont="1" applyFill="1" applyBorder="1"/>
    <xf numFmtId="0" fontId="6" fillId="7" borderId="10" xfId="0" applyFont="1" applyFill="1" applyBorder="1"/>
    <xf numFmtId="0" fontId="0" fillId="0" borderId="34" xfId="0" applyFont="1" applyFill="1" applyBorder="1"/>
    <xf numFmtId="0" fontId="1" fillId="0" borderId="34" xfId="0" applyFont="1" applyFill="1" applyBorder="1"/>
    <xf numFmtId="0" fontId="0" fillId="0" borderId="25" xfId="0" applyFont="1" applyFill="1" applyBorder="1"/>
    <xf numFmtId="0" fontId="0" fillId="0" borderId="31" xfId="0" applyFont="1" applyFill="1" applyBorder="1"/>
    <xf numFmtId="0" fontId="0" fillId="0" borderId="24" xfId="0" applyFont="1" applyFill="1" applyBorder="1"/>
    <xf numFmtId="0" fontId="0" fillId="8" borderId="9" xfId="0" applyFill="1" applyBorder="1" applyAlignment="1">
      <alignment horizontal="right"/>
    </xf>
    <xf numFmtId="1" fontId="0" fillId="0" borderId="0" xfId="0" applyNumberFormat="1" applyFill="1" applyAlignment="1">
      <alignment horizontal="right"/>
    </xf>
    <xf numFmtId="0" fontId="0" fillId="0" borderId="30" xfId="0" applyFont="1" applyFill="1" applyBorder="1"/>
    <xf numFmtId="0" fontId="0" fillId="0" borderId="0" xfId="0" applyFont="1" applyFill="1" applyAlignment="1">
      <alignment horizontal="right"/>
    </xf>
    <xf numFmtId="0" fontId="7" fillId="0" borderId="10" xfId="0" applyFont="1" applyFill="1" applyBorder="1" applyAlignment="1">
      <alignment horizontal="right"/>
    </xf>
    <xf numFmtId="0" fontId="6" fillId="0" borderId="0" xfId="0" applyFont="1" applyFill="1" applyAlignment="1">
      <alignment horizontal="right"/>
    </xf>
    <xf numFmtId="0" fontId="1" fillId="0" borderId="0" xfId="0" applyFont="1" applyBorder="1"/>
    <xf numFmtId="0" fontId="0" fillId="0" borderId="23" xfId="0" applyFont="1" applyFill="1" applyBorder="1"/>
    <xf numFmtId="0" fontId="7" fillId="0" borderId="0" xfId="0" applyFont="1" applyFill="1" applyAlignment="1">
      <alignment horizontal="right"/>
    </xf>
    <xf numFmtId="1" fontId="6" fillId="0" borderId="9" xfId="0" applyNumberFormat="1" applyFont="1" applyFill="1" applyBorder="1" applyAlignment="1">
      <alignment horizontal="right"/>
    </xf>
    <xf numFmtId="0" fontId="0" fillId="0" borderId="10" xfId="0" applyBorder="1" applyAlignment="1">
      <alignment horizontal="right"/>
    </xf>
    <xf numFmtId="0" fontId="0" fillId="6" borderId="10" xfId="0" applyFill="1" applyBorder="1" applyAlignment="1">
      <alignment horizontal="right"/>
    </xf>
    <xf numFmtId="2" fontId="0" fillId="5" borderId="21" xfId="0" applyNumberFormat="1" applyFill="1" applyBorder="1"/>
    <xf numFmtId="1" fontId="0" fillId="0" borderId="10" xfId="0" applyNumberFormat="1" applyFont="1" applyFill="1" applyBorder="1"/>
    <xf numFmtId="2" fontId="0" fillId="5" borderId="14" xfId="0" applyNumberFormat="1" applyFont="1" applyFill="1" applyBorder="1"/>
    <xf numFmtId="1" fontId="0" fillId="0" borderId="9" xfId="0" applyNumberFormat="1" applyFont="1" applyFill="1" applyBorder="1" applyAlignment="1">
      <alignment horizontal="right"/>
    </xf>
    <xf numFmtId="0" fontId="0" fillId="0" borderId="17" xfId="0" applyFont="1" applyFill="1" applyBorder="1"/>
    <xf numFmtId="2" fontId="0" fillId="5" borderId="20" xfId="0" applyNumberFormat="1" applyFont="1" applyFill="1" applyBorder="1"/>
    <xf numFmtId="1" fontId="6" fillId="6" borderId="9" xfId="0" applyNumberFormat="1" applyFont="1" applyFill="1" applyBorder="1"/>
    <xf numFmtId="0" fontId="1" fillId="0" borderId="4" xfId="0" applyFont="1" applyBorder="1"/>
    <xf numFmtId="1" fontId="0" fillId="0" borderId="10" xfId="0" applyNumberFormat="1" applyFill="1" applyBorder="1"/>
    <xf numFmtId="0" fontId="7" fillId="7" borderId="22" xfId="0" applyFont="1" applyFill="1" applyBorder="1"/>
    <xf numFmtId="0" fontId="7" fillId="7" borderId="30" xfId="0" applyFont="1" applyFill="1" applyBorder="1"/>
    <xf numFmtId="0" fontId="0" fillId="7" borderId="9" xfId="0" applyFont="1" applyFill="1" applyBorder="1"/>
    <xf numFmtId="0" fontId="0" fillId="8" borderId="9" xfId="0" applyFont="1" applyFill="1" applyBorder="1" applyAlignment="1">
      <alignment horizontal="right"/>
    </xf>
    <xf numFmtId="2" fontId="0" fillId="5" borderId="16" xfId="0" applyNumberFormat="1" applyFill="1" applyBorder="1"/>
    <xf numFmtId="0" fontId="0" fillId="8" borderId="10" xfId="0" applyFill="1" applyBorder="1"/>
    <xf numFmtId="0" fontId="0" fillId="0" borderId="15" xfId="0" applyFill="1" applyBorder="1"/>
    <xf numFmtId="0" fontId="0" fillId="0" borderId="12" xfId="0" applyFont="1" applyBorder="1"/>
    <xf numFmtId="0" fontId="0" fillId="0" borderId="10" xfId="0" applyFont="1" applyBorder="1"/>
    <xf numFmtId="0" fontId="0" fillId="6" borderId="0" xfId="0" applyFont="1" applyFill="1" applyAlignment="1">
      <alignment horizontal="right"/>
    </xf>
    <xf numFmtId="0" fontId="0" fillId="0" borderId="11" xfId="0" applyFill="1" applyBorder="1"/>
    <xf numFmtId="0" fontId="6" fillId="6" borderId="10" xfId="0" applyFont="1" applyFill="1" applyBorder="1"/>
    <xf numFmtId="0" fontId="0" fillId="0" borderId="0" xfId="0" applyAlignment="1">
      <alignment horizontal="center"/>
    </xf>
    <xf numFmtId="0" fontId="0" fillId="9" borderId="0" xfId="0" applyFill="1"/>
    <xf numFmtId="0" fontId="0" fillId="8" borderId="10" xfId="0" applyFill="1" applyBorder="1" applyAlignment="1">
      <alignment horizontal="right"/>
    </xf>
    <xf numFmtId="0" fontId="6" fillId="7" borderId="0" xfId="0" applyFont="1" applyFill="1" applyAlignment="1">
      <alignment horizontal="right"/>
    </xf>
    <xf numFmtId="0" fontId="7" fillId="7" borderId="16" xfId="0" applyFont="1" applyFill="1" applyBorder="1" applyAlignment="1">
      <alignment horizontal="right"/>
    </xf>
    <xf numFmtId="0" fontId="0" fillId="7" borderId="0" xfId="0" applyFont="1" applyFill="1" applyAlignment="1">
      <alignment horizontal="right"/>
    </xf>
    <xf numFmtId="2" fontId="7" fillId="5" borderId="20" xfId="0" applyNumberFormat="1" applyFont="1" applyFill="1" applyBorder="1"/>
    <xf numFmtId="0" fontId="0" fillId="0" borderId="32" xfId="0" applyFont="1" applyFill="1" applyBorder="1" applyAlignment="1">
      <alignment horizontal="right"/>
    </xf>
    <xf numFmtId="2" fontId="0" fillId="0" borderId="0" xfId="1" applyNumberFormat="1" applyFont="1"/>
    <xf numFmtId="0" fontId="0" fillId="0" borderId="21" xfId="0" applyFill="1" applyBorder="1"/>
    <xf numFmtId="0" fontId="6" fillId="6" borderId="0" xfId="0" applyFont="1" applyFill="1" applyBorder="1" applyAlignment="1">
      <alignment horizontal="right"/>
    </xf>
    <xf numFmtId="0" fontId="6" fillId="0" borderId="0" xfId="0" applyFont="1" applyFill="1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1" fontId="0" fillId="0" borderId="0" xfId="0" applyNumberFormat="1" applyFill="1" applyBorder="1" applyAlignment="1">
      <alignment horizontal="right"/>
    </xf>
    <xf numFmtId="0" fontId="0" fillId="0" borderId="13" xfId="0" applyFont="1" applyFill="1" applyBorder="1"/>
    <xf numFmtId="164" fontId="0" fillId="0" borderId="9" xfId="0" applyNumberFormat="1" applyFont="1" applyFill="1" applyBorder="1"/>
    <xf numFmtId="1" fontId="0" fillId="0" borderId="10" xfId="0" applyNumberFormat="1" applyFont="1" applyFill="1" applyBorder="1" applyAlignment="1">
      <alignment horizontal="right"/>
    </xf>
    <xf numFmtId="0" fontId="0" fillId="8" borderId="0" xfId="0" applyFont="1" applyFill="1" applyAlignment="1">
      <alignment horizontal="right"/>
    </xf>
    <xf numFmtId="0" fontId="0" fillId="0" borderId="34" xfId="0" applyFill="1" applyBorder="1"/>
    <xf numFmtId="0" fontId="0" fillId="0" borderId="21" xfId="0" applyFill="1" applyBorder="1" applyAlignment="1">
      <alignment horizontal="right"/>
    </xf>
    <xf numFmtId="0" fontId="0" fillId="0" borderId="24" xfId="0" applyFill="1" applyBorder="1"/>
    <xf numFmtId="0" fontId="6" fillId="0" borderId="0" xfId="0" applyFont="1" applyFill="1"/>
    <xf numFmtId="0" fontId="0" fillId="0" borderId="5" xfId="0" applyFont="1" applyBorder="1"/>
    <xf numFmtId="0" fontId="0" fillId="0" borderId="28" xfId="0" applyFont="1" applyBorder="1"/>
    <xf numFmtId="0" fontId="0" fillId="0" borderId="17" xfId="0" applyFont="1" applyBorder="1"/>
    <xf numFmtId="0" fontId="0" fillId="0" borderId="30" xfId="0" applyFont="1" applyBorder="1"/>
    <xf numFmtId="1" fontId="0" fillId="8" borderId="9" xfId="0" applyNumberFormat="1" applyFont="1" applyFill="1" applyBorder="1"/>
    <xf numFmtId="1" fontId="0" fillId="0" borderId="9" xfId="0" applyNumberFormat="1" applyFont="1" applyFill="1" applyBorder="1"/>
    <xf numFmtId="164" fontId="0" fillId="0" borderId="9" xfId="0" applyNumberFormat="1" applyFont="1" applyFill="1" applyBorder="1" applyAlignment="1">
      <alignment horizontal="right"/>
    </xf>
    <xf numFmtId="0" fontId="0" fillId="8" borderId="0" xfId="0" applyFont="1" applyFill="1"/>
    <xf numFmtId="0" fontId="0" fillId="0" borderId="23" xfId="0" applyFill="1" applyBorder="1"/>
    <xf numFmtId="1" fontId="0" fillId="0" borderId="0" xfId="0" applyNumberFormat="1" applyFont="1" applyFill="1" applyAlignment="1">
      <alignment horizontal="right"/>
    </xf>
    <xf numFmtId="0" fontId="0" fillId="0" borderId="32" xfId="0" applyFont="1" applyFill="1" applyBorder="1"/>
    <xf numFmtId="0" fontId="0" fillId="0" borderId="15" xfId="0" applyFont="1" applyBorder="1"/>
    <xf numFmtId="0" fontId="0" fillId="0" borderId="16" xfId="0" applyFont="1" applyFill="1" applyBorder="1" applyAlignment="1">
      <alignment horizontal="right"/>
    </xf>
    <xf numFmtId="0" fontId="0" fillId="0" borderId="21" xfId="0" applyFont="1" applyFill="1" applyBorder="1" applyAlignment="1">
      <alignment horizontal="right"/>
    </xf>
    <xf numFmtId="164" fontId="0" fillId="0" borderId="0" xfId="0" applyNumberFormat="1" applyFont="1" applyFill="1" applyAlignment="1">
      <alignment horizontal="right"/>
    </xf>
    <xf numFmtId="1" fontId="0" fillId="6" borderId="9" xfId="0" applyNumberFormat="1" applyFont="1" applyFill="1" applyBorder="1" applyAlignment="1">
      <alignment horizontal="right"/>
    </xf>
    <xf numFmtId="0" fontId="0" fillId="0" borderId="12" xfId="0" applyFill="1" applyBorder="1"/>
    <xf numFmtId="0" fontId="0" fillId="0" borderId="17" xfId="0" applyFill="1" applyBorder="1"/>
    <xf numFmtId="0" fontId="0" fillId="0" borderId="30" xfId="0" applyFill="1" applyBorder="1"/>
    <xf numFmtId="0" fontId="0" fillId="0" borderId="16" xfId="0" applyFill="1" applyBorder="1"/>
    <xf numFmtId="0" fontId="0" fillId="0" borderId="25" xfId="0" applyFill="1" applyBorder="1"/>
    <xf numFmtId="0" fontId="0" fillId="0" borderId="31" xfId="0" applyFill="1" applyBorder="1"/>
    <xf numFmtId="1" fontId="0" fillId="8" borderId="9" xfId="0" applyNumberFormat="1" applyFont="1" applyFill="1" applyBorder="1" applyAlignment="1">
      <alignment horizontal="right"/>
    </xf>
    <xf numFmtId="0" fontId="7" fillId="0" borderId="21" xfId="0" applyFont="1" applyFill="1" applyBorder="1"/>
    <xf numFmtId="0" fontId="0" fillId="0" borderId="3" xfId="0" applyFill="1" applyBorder="1"/>
    <xf numFmtId="0" fontId="0" fillId="0" borderId="5" xfId="0" applyFont="1" applyFill="1" applyBorder="1"/>
    <xf numFmtId="0" fontId="0" fillId="0" borderId="28" xfId="0" applyFont="1" applyFill="1" applyBorder="1"/>
    <xf numFmtId="0" fontId="0" fillId="0" borderId="29" xfId="0" applyFont="1" applyFill="1" applyBorder="1"/>
    <xf numFmtId="2" fontId="0" fillId="5" borderId="8" xfId="0" applyNumberFormat="1" applyFont="1" applyFill="1" applyBorder="1"/>
    <xf numFmtId="0" fontId="0" fillId="0" borderId="29" xfId="0" applyFont="1" applyBorder="1"/>
    <xf numFmtId="0" fontId="0" fillId="0" borderId="21" xfId="0" applyFont="1" applyBorder="1" applyAlignment="1">
      <alignment horizontal="right"/>
    </xf>
    <xf numFmtId="0" fontId="1" fillId="0" borderId="24" xfId="0" applyFont="1" applyFill="1" applyBorder="1"/>
    <xf numFmtId="2" fontId="0" fillId="5" borderId="27" xfId="0" applyNumberFormat="1" applyFont="1" applyFill="1" applyBorder="1"/>
    <xf numFmtId="0" fontId="0" fillId="10" borderId="0" xfId="0" applyFill="1"/>
    <xf numFmtId="0" fontId="0" fillId="11" borderId="0" xfId="0" applyFill="1"/>
    <xf numFmtId="0" fontId="6" fillId="7" borderId="22" xfId="0" applyFont="1" applyFill="1" applyBorder="1"/>
    <xf numFmtId="0" fontId="0" fillId="0" borderId="5" xfId="0" applyFill="1" applyBorder="1"/>
    <xf numFmtId="0" fontId="0" fillId="0" borderId="28" xfId="0" applyFill="1" applyBorder="1"/>
    <xf numFmtId="0" fontId="0" fillId="0" borderId="29" xfId="0" applyFill="1" applyBorder="1"/>
    <xf numFmtId="0" fontId="0" fillId="0" borderId="4" xfId="0" applyFont="1" applyFill="1" applyBorder="1"/>
    <xf numFmtId="0" fontId="0" fillId="0" borderId="3" xfId="0" applyFont="1" applyFill="1" applyBorder="1"/>
    <xf numFmtId="0" fontId="0" fillId="0" borderId="4" xfId="0" applyFill="1" applyBorder="1"/>
    <xf numFmtId="1" fontId="0" fillId="0" borderId="0" xfId="0" applyNumberFormat="1" applyFont="1" applyFill="1" applyBorder="1"/>
    <xf numFmtId="0" fontId="0" fillId="0" borderId="13" xfId="0" applyFill="1" applyBorder="1"/>
    <xf numFmtId="0" fontId="0" fillId="0" borderId="29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0" fontId="1" fillId="0" borderId="9" xfId="0" applyFont="1" applyFill="1" applyBorder="1"/>
    <xf numFmtId="0" fontId="1" fillId="0" borderId="9" xfId="0" applyFont="1" applyFill="1" applyBorder="1" applyAlignment="1">
      <alignment horizontal="right"/>
    </xf>
    <xf numFmtId="0" fontId="1" fillId="0" borderId="10" xfId="0" applyFont="1" applyFill="1" applyBorder="1"/>
    <xf numFmtId="1" fontId="0" fillId="8" borderId="9" xfId="0" applyNumberFormat="1" applyFill="1" applyBorder="1"/>
    <xf numFmtId="1" fontId="0" fillId="8" borderId="0" xfId="0" applyNumberFormat="1" applyFill="1" applyAlignment="1">
      <alignment horizontal="right"/>
    </xf>
    <xf numFmtId="0" fontId="1" fillId="0" borderId="0" xfId="0" applyFont="1" applyFill="1" applyAlignment="1">
      <alignment horizontal="right"/>
    </xf>
    <xf numFmtId="2" fontId="0" fillId="5" borderId="29" xfId="0" applyNumberFormat="1" applyFill="1" applyBorder="1"/>
    <xf numFmtId="43" fontId="0" fillId="0" borderId="9" xfId="2" applyFont="1" applyFill="1" applyBorder="1" applyAlignment="1">
      <alignment horizontal="right"/>
    </xf>
    <xf numFmtId="0" fontId="0" fillId="0" borderId="9" xfId="2" applyNumberFormat="1" applyFont="1" applyFill="1" applyBorder="1" applyAlignment="1">
      <alignment horizontal="right"/>
    </xf>
    <xf numFmtId="0" fontId="0" fillId="8" borderId="10" xfId="0" applyFont="1" applyFill="1" applyBorder="1"/>
    <xf numFmtId="0" fontId="8" fillId="12" borderId="0" xfId="0" applyFont="1" applyFill="1" applyAlignment="1">
      <alignment horizontal="left" vertical="center" wrapText="1" indent="1"/>
    </xf>
    <xf numFmtId="0" fontId="8" fillId="12" borderId="0" xfId="0" applyFont="1" applyFill="1" applyAlignment="1">
      <alignment horizontal="left" vertical="center" wrapText="1"/>
    </xf>
    <xf numFmtId="0" fontId="8" fillId="12" borderId="0" xfId="0" applyFont="1" applyFill="1" applyAlignment="1">
      <alignment horizontal="right" vertical="center" wrapText="1" indent="1"/>
    </xf>
    <xf numFmtId="0" fontId="10" fillId="13" borderId="39" xfId="0" applyFont="1" applyFill="1" applyBorder="1" applyAlignment="1">
      <alignment horizontal="left" vertical="center" wrapText="1" indent="1"/>
    </xf>
    <xf numFmtId="0" fontId="11" fillId="13" borderId="39" xfId="0" applyFont="1" applyFill="1" applyBorder="1" applyAlignment="1">
      <alignment vertical="center" wrapText="1"/>
    </xf>
    <xf numFmtId="0" fontId="10" fillId="13" borderId="39" xfId="0" applyFont="1" applyFill="1" applyBorder="1" applyAlignment="1">
      <alignment horizontal="right" vertical="center" wrapText="1" indent="1"/>
    </xf>
    <xf numFmtId="0" fontId="12" fillId="3" borderId="39" xfId="0" applyFont="1" applyFill="1" applyBorder="1" applyAlignment="1">
      <alignment horizontal="left" vertical="center" wrapText="1" indent="1"/>
    </xf>
    <xf numFmtId="0" fontId="9" fillId="3" borderId="39" xfId="0" applyFont="1" applyFill="1" applyBorder="1" applyAlignment="1">
      <alignment vertical="center" wrapText="1"/>
    </xf>
    <xf numFmtId="0" fontId="12" fillId="3" borderId="39" xfId="0" applyFont="1" applyFill="1" applyBorder="1" applyAlignment="1">
      <alignment horizontal="right" vertical="center" wrapText="1" indent="1"/>
    </xf>
    <xf numFmtId="0" fontId="12" fillId="3" borderId="40" xfId="0" applyFont="1" applyFill="1" applyBorder="1" applyAlignment="1">
      <alignment horizontal="left" vertical="center" wrapText="1" indent="1"/>
    </xf>
    <xf numFmtId="0" fontId="9" fillId="3" borderId="40" xfId="0" applyFont="1" applyFill="1" applyBorder="1" applyAlignment="1">
      <alignment vertical="center" wrapText="1"/>
    </xf>
    <xf numFmtId="0" fontId="12" fillId="3" borderId="40" xfId="0" applyFont="1" applyFill="1" applyBorder="1" applyAlignment="1">
      <alignment horizontal="right" vertical="center" wrapText="1" indent="1"/>
    </xf>
    <xf numFmtId="0" fontId="10" fillId="13" borderId="40" xfId="0" applyFont="1" applyFill="1" applyBorder="1" applyAlignment="1">
      <alignment horizontal="left" vertical="center" wrapText="1" indent="1"/>
    </xf>
    <xf numFmtId="0" fontId="11" fillId="13" borderId="40" xfId="0" applyFont="1" applyFill="1" applyBorder="1" applyAlignment="1">
      <alignment vertical="center" wrapText="1"/>
    </xf>
    <xf numFmtId="0" fontId="10" fillId="13" borderId="40" xfId="0" applyFont="1" applyFill="1" applyBorder="1" applyAlignment="1">
      <alignment horizontal="right" vertical="center" wrapText="1" indent="1"/>
    </xf>
    <xf numFmtId="0" fontId="10" fillId="13" borderId="0" xfId="0" applyFont="1" applyFill="1" applyAlignment="1">
      <alignment horizontal="left" vertical="center" wrapText="1" indent="1"/>
    </xf>
    <xf numFmtId="0" fontId="11" fillId="13" borderId="0" xfId="0" applyFont="1" applyFill="1" applyAlignment="1">
      <alignment vertical="center" wrapText="1"/>
    </xf>
    <xf numFmtId="0" fontId="10" fillId="13" borderId="0" xfId="0" applyFont="1" applyFill="1" applyAlignment="1">
      <alignment horizontal="right" vertical="center" wrapText="1" indent="1"/>
    </xf>
    <xf numFmtId="0" fontId="10" fillId="13" borderId="0" xfId="0" applyFont="1" applyFill="1" applyBorder="1" applyAlignment="1">
      <alignment horizontal="left" vertical="center" wrapText="1" indent="1"/>
    </xf>
    <xf numFmtId="0" fontId="11" fillId="13" borderId="0" xfId="0" applyFont="1" applyFill="1" applyBorder="1" applyAlignment="1">
      <alignment vertical="center" wrapText="1"/>
    </xf>
    <xf numFmtId="0" fontId="10" fillId="13" borderId="0" xfId="0" applyFont="1" applyFill="1" applyBorder="1" applyAlignment="1">
      <alignment horizontal="right" vertical="center" wrapText="1" indent="1"/>
    </xf>
    <xf numFmtId="0" fontId="12" fillId="3" borderId="0" xfId="0" applyFont="1" applyFill="1" applyBorder="1" applyAlignment="1">
      <alignment horizontal="left" vertical="center" wrapText="1" indent="1"/>
    </xf>
    <xf numFmtId="0" fontId="9" fillId="3" borderId="0" xfId="0" applyFont="1" applyFill="1" applyBorder="1" applyAlignment="1">
      <alignment vertical="center" wrapText="1"/>
    </xf>
    <xf numFmtId="0" fontId="12" fillId="3" borderId="0" xfId="0" applyFont="1" applyFill="1" applyBorder="1" applyAlignment="1">
      <alignment horizontal="right" vertical="center" wrapText="1" indent="1"/>
    </xf>
    <xf numFmtId="0" fontId="3" fillId="0" borderId="0" xfId="0" applyFont="1" applyFill="1" applyAlignment="1">
      <alignment vertical="center" wrapText="1"/>
    </xf>
    <xf numFmtId="22" fontId="3" fillId="0" borderId="0" xfId="0" applyNumberFormat="1" applyFont="1" applyFill="1" applyAlignment="1">
      <alignment vertical="center" wrapText="1"/>
    </xf>
    <xf numFmtId="0" fontId="4" fillId="0" borderId="0" xfId="0" applyFont="1" applyFill="1" applyAlignment="1">
      <alignment vertical="center" wrapText="1"/>
    </xf>
    <xf numFmtId="22" fontId="4" fillId="0" borderId="0" xfId="0" applyNumberFormat="1" applyFont="1" applyFill="1" applyAlignment="1">
      <alignment vertical="center" wrapText="1"/>
    </xf>
    <xf numFmtId="0" fontId="0" fillId="0" borderId="19" xfId="0" applyFont="1" applyFill="1" applyBorder="1"/>
    <xf numFmtId="0" fontId="0" fillId="0" borderId="26" xfId="0" applyFont="1" applyFill="1" applyBorder="1"/>
    <xf numFmtId="0" fontId="0" fillId="0" borderId="29" xfId="0" applyFont="1" applyFill="1" applyBorder="1" applyAlignment="1">
      <alignment horizontal="right"/>
    </xf>
    <xf numFmtId="0" fontId="0" fillId="0" borderId="6" xfId="0" applyFill="1" applyBorder="1"/>
    <xf numFmtId="0" fontId="0" fillId="0" borderId="13" xfId="0" applyFill="1" applyBorder="1" applyAlignment="1">
      <alignment horizontal="right"/>
    </xf>
    <xf numFmtId="0" fontId="0" fillId="0" borderId="18" xfId="0" applyFill="1" applyBorder="1"/>
    <xf numFmtId="0" fontId="0" fillId="0" borderId="19" xfId="0" applyFill="1" applyBorder="1"/>
    <xf numFmtId="0" fontId="1" fillId="0" borderId="10" xfId="0" applyFont="1" applyFill="1" applyBorder="1" applyAlignment="1">
      <alignment horizontal="right"/>
    </xf>
    <xf numFmtId="0" fontId="6" fillId="6" borderId="0" xfId="0" applyFont="1" applyFill="1"/>
    <xf numFmtId="1" fontId="0" fillId="0" borderId="0" xfId="0" applyNumberFormat="1" applyFill="1"/>
    <xf numFmtId="0" fontId="0" fillId="0" borderId="4" xfId="0" applyBorder="1"/>
    <xf numFmtId="0" fontId="0" fillId="0" borderId="29" xfId="0" applyBorder="1" applyAlignment="1">
      <alignment horizontal="right"/>
    </xf>
    <xf numFmtId="8" fontId="0" fillId="0" borderId="11" xfId="0" applyNumberFormat="1" applyFont="1" applyFill="1" applyBorder="1"/>
    <xf numFmtId="8" fontId="0" fillId="0" borderId="11" xfId="0" applyNumberFormat="1" applyFill="1" applyBorder="1"/>
    <xf numFmtId="8" fontId="0" fillId="0" borderId="15" xfId="0" applyNumberFormat="1" applyFont="1" applyFill="1" applyBorder="1"/>
    <xf numFmtId="0" fontId="0" fillId="0" borderId="3" xfId="0" applyFont="1" applyBorder="1"/>
    <xf numFmtId="164" fontId="7" fillId="0" borderId="10" xfId="0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0" fontId="9" fillId="3" borderId="0" xfId="0" applyFont="1" applyFill="1" applyAlignment="1">
      <alignment vertical="center" wrapText="1"/>
    </xf>
    <xf numFmtId="0" fontId="0" fillId="8" borderId="0" xfId="0" applyFont="1" applyFill="1" applyBorder="1"/>
    <xf numFmtId="0" fontId="0" fillId="6" borderId="10" xfId="0" applyFont="1" applyFill="1" applyBorder="1" applyAlignment="1">
      <alignment horizontal="right"/>
    </xf>
    <xf numFmtId="0" fontId="0" fillId="6" borderId="0" xfId="0" applyFont="1" applyFill="1" applyBorder="1"/>
    <xf numFmtId="8" fontId="0" fillId="0" borderId="23" xfId="0" applyNumberFormat="1" applyFont="1" applyFill="1" applyBorder="1"/>
    <xf numFmtId="0" fontId="0" fillId="0" borderId="0" xfId="0" applyFont="1" applyFill="1" applyBorder="1" applyAlignment="1">
      <alignment horizontal="left"/>
    </xf>
    <xf numFmtId="0" fontId="7" fillId="0" borderId="12" xfId="0" applyFont="1" applyFill="1" applyBorder="1"/>
    <xf numFmtId="0" fontId="0" fillId="0" borderId="25" xfId="0" applyFont="1" applyBorder="1"/>
    <xf numFmtId="0" fontId="0" fillId="0" borderId="31" xfId="0" applyFont="1" applyBorder="1"/>
    <xf numFmtId="0" fontId="0" fillId="0" borderId="24" xfId="0" applyFont="1" applyFill="1" applyBorder="1" applyAlignment="1">
      <alignment horizontal="right"/>
    </xf>
    <xf numFmtId="0" fontId="0" fillId="0" borderId="13" xfId="0" applyBorder="1"/>
    <xf numFmtId="0" fontId="0" fillId="0" borderId="16" xfId="0" applyFill="1" applyBorder="1" applyAlignment="1">
      <alignment horizontal="right"/>
    </xf>
    <xf numFmtId="0" fontId="0" fillId="0" borderId="13" xfId="0" applyFont="1" applyFill="1" applyBorder="1" applyAlignment="1">
      <alignment horizontal="right"/>
    </xf>
    <xf numFmtId="0" fontId="7" fillId="0" borderId="0" xfId="0" applyFont="1" applyFill="1" applyBorder="1"/>
    <xf numFmtId="0" fontId="0" fillId="0" borderId="24" xfId="0" applyFont="1" applyBorder="1"/>
    <xf numFmtId="164" fontId="0" fillId="5" borderId="14" xfId="0" applyNumberFormat="1" applyFill="1" applyBorder="1"/>
    <xf numFmtId="1" fontId="0" fillId="0" borderId="0" xfId="0" applyNumberFormat="1" applyFill="1" applyBorder="1"/>
    <xf numFmtId="0" fontId="0" fillId="0" borderId="32" xfId="0" applyFill="1" applyBorder="1" applyAlignment="1">
      <alignment horizontal="right"/>
    </xf>
    <xf numFmtId="0" fontId="1" fillId="0" borderId="0" xfId="0" applyFont="1" applyFill="1" applyBorder="1" applyAlignment="1">
      <alignment horizontal="right"/>
    </xf>
    <xf numFmtId="164" fontId="0" fillId="0" borderId="0" xfId="0" applyNumberFormat="1" applyFont="1" applyFill="1" applyBorder="1"/>
    <xf numFmtId="1" fontId="0" fillId="0" borderId="0" xfId="0" applyNumberFormat="1" applyFont="1" applyFill="1" applyBorder="1" applyAlignment="1">
      <alignment horizontal="right"/>
    </xf>
    <xf numFmtId="0" fontId="7" fillId="7" borderId="0" xfId="0" applyFont="1" applyFill="1" applyBorder="1" applyAlignment="1">
      <alignment horizontal="right"/>
    </xf>
    <xf numFmtId="164" fontId="0" fillId="0" borderId="9" xfId="0" applyNumberFormat="1" applyFill="1" applyBorder="1"/>
    <xf numFmtId="0" fontId="0" fillId="6" borderId="0" xfId="0" applyFont="1" applyFill="1" applyBorder="1" applyAlignment="1">
      <alignment horizontal="right"/>
    </xf>
    <xf numFmtId="0" fontId="0" fillId="0" borderId="32" xfId="0" applyFill="1" applyBorder="1"/>
    <xf numFmtId="0" fontId="7" fillId="7" borderId="23" xfId="0" applyFont="1" applyFill="1" applyBorder="1"/>
    <xf numFmtId="8" fontId="0" fillId="0" borderId="3" xfId="0" applyNumberFormat="1" applyFont="1" applyFill="1" applyBorder="1"/>
    <xf numFmtId="0" fontId="0" fillId="0" borderId="4" xfId="0" applyFont="1" applyBorder="1"/>
    <xf numFmtId="0" fontId="7" fillId="7" borderId="34" xfId="0" applyFont="1" applyFill="1" applyBorder="1"/>
    <xf numFmtId="0" fontId="7" fillId="7" borderId="25" xfId="0" applyFont="1" applyFill="1" applyBorder="1"/>
    <xf numFmtId="0" fontId="0" fillId="0" borderId="18" xfId="0" applyBorder="1"/>
    <xf numFmtId="0" fontId="0" fillId="0" borderId="31" xfId="0" applyFont="1" applyFill="1" applyBorder="1" applyAlignment="1">
      <alignment horizontal="right"/>
    </xf>
    <xf numFmtId="0" fontId="0" fillId="0" borderId="38" xfId="0" applyFill="1" applyBorder="1"/>
    <xf numFmtId="0" fontId="0" fillId="0" borderId="7" xfId="0" applyFill="1" applyBorder="1" applyAlignment="1">
      <alignment horizontal="right"/>
    </xf>
    <xf numFmtId="0" fontId="0" fillId="0" borderId="19" xfId="0" applyBorder="1" applyAlignment="1">
      <alignment horizontal="right"/>
    </xf>
    <xf numFmtId="0" fontId="0" fillId="0" borderId="24" xfId="0" applyFill="1" applyBorder="1" applyAlignment="1">
      <alignment horizontal="right"/>
    </xf>
    <xf numFmtId="0" fontId="0" fillId="0" borderId="22" xfId="0" applyFill="1" applyBorder="1" applyAlignment="1">
      <alignment horizontal="right"/>
    </xf>
    <xf numFmtId="0" fontId="0" fillId="0" borderId="13" xfId="0" applyBorder="1" applyAlignment="1">
      <alignment horizontal="right"/>
    </xf>
    <xf numFmtId="0" fontId="7" fillId="7" borderId="26" xfId="0" applyFont="1" applyFill="1" applyBorder="1" applyAlignment="1">
      <alignment horizontal="right"/>
    </xf>
    <xf numFmtId="0" fontId="0" fillId="0" borderId="4" xfId="0" applyFill="1" applyBorder="1" applyAlignment="1">
      <alignment horizontal="right"/>
    </xf>
    <xf numFmtId="2" fontId="7" fillId="5" borderId="24" xfId="0" applyNumberFormat="1" applyFont="1" applyFill="1" applyBorder="1"/>
    <xf numFmtId="164" fontId="0" fillId="0" borderId="0" xfId="0" applyNumberFormat="1" applyFont="1" applyFill="1" applyBorder="1" applyAlignment="1">
      <alignment horizontal="right"/>
    </xf>
    <xf numFmtId="1" fontId="0" fillId="8" borderId="0" xfId="0" applyNumberFormat="1" applyFont="1" applyFill="1" applyBorder="1"/>
    <xf numFmtId="0" fontId="0" fillId="8" borderId="0" xfId="0" applyFont="1" applyFill="1" applyBorder="1" applyAlignment="1">
      <alignment horizontal="right"/>
    </xf>
    <xf numFmtId="164" fontId="0" fillId="0" borderId="10" xfId="0" applyNumberFormat="1" applyFont="1" applyFill="1" applyBorder="1"/>
  </cellXfs>
  <cellStyles count="3">
    <cellStyle name="Milliers" xfId="2" builtinId="3"/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0</xdr:row>
          <xdr:rowOff>47625</xdr:rowOff>
        </xdr:from>
        <xdr:to>
          <xdr:col>8</xdr:col>
          <xdr:colOff>361950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ippolyte Durix" refreshedDate="42641.912135300925" createdVersion="4" refreshedVersion="4" minRefreshableVersion="3" recordCount="175">
  <cacheSource type="worksheet">
    <worksheetSource ref="A2:O177" sheet="MPG 2016"/>
  </cacheSource>
  <cacheFields count="15">
    <cacheField name="id" numFmtId="0">
      <sharedItems/>
    </cacheField>
    <cacheField name="Club" numFmtId="0">
      <sharedItems containsBlank="1"/>
    </cacheField>
    <cacheField name="Nom" numFmtId="0">
      <sharedItems containsBlank="1"/>
    </cacheField>
    <cacheField name="Poste" numFmtId="0">
      <sharedItems containsBlank="1"/>
    </cacheField>
    <cacheField name="Equipe" numFmtId="0">
      <sharedItems containsBlank="1" count="41">
        <s v="Everton"/>
        <s v="Tottenham"/>
        <s v="Leicester"/>
        <s v="Middlesbrough"/>
        <s v="Man City"/>
        <s v="Swansea"/>
        <s v="Bournemouth"/>
        <s v="West Ham"/>
        <s v="Liverpool"/>
        <s v="Man United"/>
        <s v="Arsenal"/>
        <s v="Chelsea"/>
        <s v="Southampton"/>
        <s v="Crystal Palace"/>
        <s v="Hull city"/>
        <s v="Watford"/>
        <s v="Sunderland"/>
        <s v="Stoke City"/>
        <s v="West Bromwich"/>
        <s v="Burnley"/>
        <m/>
        <s v="Paris" u="1"/>
        <s v="Rennes" u="1"/>
        <s v="Metz" u="1"/>
        <s v="Montpellier" u="1"/>
        <s v="Dijon" u="1"/>
        <s v="Lyon" u="1"/>
        <s v="Guingamp" u="1"/>
        <s v="Toulouse" u="1"/>
        <s v="Nice" u="1"/>
        <s v="Lille" u="1"/>
        <s v="Angers" u="1"/>
        <s v="Bordeaux" u="1"/>
        <s v="Bastia" u="1"/>
        <s v="Caen" u="1"/>
        <s v="Monaco" u="1"/>
        <s v="Saint Etienne" u="1"/>
        <s v="Nantes" u="1"/>
        <s v="Nancy" u="1"/>
        <s v="Lorient" u="1"/>
        <s v="Marseille" u="1"/>
      </sharedItems>
    </cacheField>
    <cacheField name="€" numFmtId="0">
      <sharedItems containsString="0" containsBlank="1" containsNumber="1" containsInteger="1" minValue="1" maxValue="161"/>
    </cacheField>
    <cacheField name="But" numFmtId="0">
      <sharedItems containsString="0" containsBlank="1" containsNumber="1" containsInteger="1" minValue="0" maxValue="8"/>
    </cacheField>
    <cacheField name="MPG" numFmtId="0">
      <sharedItems containsString="0" containsBlank="1" containsNumber="1" containsInteger="1" minValue="0" maxValue="1"/>
    </cacheField>
    <cacheField name="Tot" numFmtId="0">
      <sharedItems containsString="0" containsBlank="1" containsNumber="1" containsInteger="1" minValue="0" maxValue="8"/>
    </cacheField>
    <cacheField name="Moy" numFmtId="0">
      <sharedItems containsBlank="1"/>
    </cacheField>
    <cacheField name="Moy avec bonus" numFmtId="0">
      <sharedItems containsBlank="1"/>
    </cacheField>
    <cacheField name="Moy IRL" numFmtId="0">
      <sharedItems containsBlank="1" containsMixedTypes="1" containsNumber="1" minValue="4" maxValue="7.333333333333333"/>
    </cacheField>
    <cacheField name="Tit IRL" numFmtId="0">
      <sharedItems containsBlank="1" containsMixedTypes="1" containsNumber="1" containsInteger="1" minValue="0" maxValue="6"/>
    </cacheField>
    <cacheField name="Entrée IRL" numFmtId="0">
      <sharedItems containsBlank="1" containsMixedTypes="1" containsNumber="1" containsInteger="1" minValue="0" maxValue="4"/>
    </cacheField>
    <cacheField name="But IRL" numFmtId="0">
      <sharedItems containsBlank="1" containsMixedTypes="1" containsNumber="1" containsInteger="1" minValue="0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ippolyte Durix" refreshedDate="42641.912135763887" createdVersion="4" refreshedVersion="4" minRefreshableVersion="3" recordCount="278">
  <cacheSource type="worksheet">
    <worksheetSource name="_STATS"/>
  </cacheSource>
  <cacheFields count="7">
    <cacheField name="Poste" numFmtId="0">
      <sharedItems containsBlank="1"/>
    </cacheField>
    <cacheField name="Joueur" numFmtId="0">
      <sharedItems containsBlank="1"/>
    </cacheField>
    <cacheField name="Equipe" numFmtId="0">
      <sharedItems containsBlank="1" count="17">
        <s v="MYT"/>
        <s v="FTF"/>
        <s v="SFC"/>
        <s v="TBA"/>
        <s v="NFC"/>
        <s v="RPZ"/>
        <s v="SOY"/>
        <s v="ISE"/>
        <m/>
        <s v="Gros Zguegue FC" u="1"/>
        <s v="Arâches FC" u="1"/>
        <s v="asse la revanche" u="1"/>
        <s v="Croix-Rousse FC" u="1"/>
        <s v="Mon équipe" u="1"/>
        <s v="FC Pine-Antoine" u="1"/>
        <s v="Les Bâtards" u="1"/>
        <s v="Les galactiques" u="1"/>
      </sharedItems>
    </cacheField>
    <cacheField name="Prix Achat" numFmtId="0">
      <sharedItems containsBlank="1"/>
    </cacheField>
    <cacheField name="Date d'achat" numFmtId="0">
      <sharedItems containsString="0" containsBlank="1" containsNumber="1" containsInteger="1" minValue="1" maxValue="161"/>
    </cacheField>
    <cacheField name="Période" numFmtId="0">
      <sharedItems containsSemiMixedTypes="0" containsString="0" containsNumber="1" containsInteger="1" minValue="1" maxValue="1"/>
    </cacheField>
    <cacheField name="Achat" numFmtId="0">
      <sharedItems containsBlank="1" count="3">
        <s v="Gagné"/>
        <s v="Perdu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ippolyte Durix" refreshedDate="42641.916863310187" createdVersion="4" refreshedVersion="4" minRefreshableVersion="3" recordCount="176">
  <cacheSource type="worksheet">
    <worksheetSource name="_MPG"/>
  </cacheSource>
  <cacheFields count="15">
    <cacheField name="id" numFmtId="0">
      <sharedItems containsBlank="1"/>
    </cacheField>
    <cacheField name="Club" numFmtId="0">
      <sharedItems containsBlank="1" count="20">
        <s v="74 c'est la champion's league"/>
        <s v="Fuck-Tonio FC"/>
        <s v="I speak pas english"/>
        <s v="Saxe-Gambetta FC"/>
        <s v="Shame On You"/>
        <s v="The Bastards"/>
        <s v="myteam"/>
        <s v="nut fc"/>
        <m/>
        <s v="Les Batârds" u="1"/>
        <s v="asse la revanche " u="1"/>
        <s v="Gros Zguegue FC" u="1"/>
        <s v="Arâches FC" u="1"/>
        <s v="FC Pine-Tonio" u="1"/>
        <s v="asse la revanche" u="1"/>
        <s v="Croix-Rousse FC" u="1"/>
        <s v="Mon équipe" u="1"/>
        <s v="FC Pine-Antoine" u="1"/>
        <s v="Les Bâtards" u="1"/>
        <s v="Les galactiques" u="1"/>
      </sharedItems>
    </cacheField>
    <cacheField name="Nom" numFmtId="0">
      <sharedItems containsBlank="1"/>
    </cacheField>
    <cacheField name="Poste" numFmtId="0">
      <sharedItems containsBlank="1"/>
    </cacheField>
    <cacheField name="Equipe" numFmtId="0">
      <sharedItems containsBlank="1"/>
    </cacheField>
    <cacheField name="€" numFmtId="0">
      <sharedItems containsString="0" containsBlank="1" containsNumber="1" containsInteger="1" minValue="1" maxValue="161"/>
    </cacheField>
    <cacheField name="But" numFmtId="0">
      <sharedItems containsString="0" containsBlank="1" containsNumber="1" containsInteger="1" minValue="0" maxValue="8"/>
    </cacheField>
    <cacheField name="MPG" numFmtId="0">
      <sharedItems containsString="0" containsBlank="1" containsNumber="1" containsInteger="1" minValue="0" maxValue="1"/>
    </cacheField>
    <cacheField name="Tot" numFmtId="0">
      <sharedItems containsString="0" containsBlank="1" containsNumber="1" containsInteger="1" minValue="0" maxValue="8"/>
    </cacheField>
    <cacheField name="Moy" numFmtId="0">
      <sharedItems containsBlank="1"/>
    </cacheField>
    <cacheField name="Moy avec bonus" numFmtId="0">
      <sharedItems containsBlank="1"/>
    </cacheField>
    <cacheField name="Moy IRL" numFmtId="0">
      <sharedItems containsBlank="1" containsMixedTypes="1" containsNumber="1" minValue="4" maxValue="7.333333333333333"/>
    </cacheField>
    <cacheField name="Tit IRL" numFmtId="0">
      <sharedItems containsBlank="1" containsMixedTypes="1" containsNumber="1" containsInteger="1" minValue="0" maxValue="6"/>
    </cacheField>
    <cacheField name="Entrée IRL" numFmtId="0">
      <sharedItems containsBlank="1" containsMixedTypes="1" containsNumber="1" containsInteger="1" minValue="0" maxValue="4"/>
    </cacheField>
    <cacheField name="But IRL" numFmtId="0">
      <sharedItems containsBlank="1" containsMixedTypes="1" containsNumber="1" containsInteger="1" minValue="0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">
  <r>
    <s v="Everton - Coleman"/>
    <s v="74 c'est la champion's league"/>
    <s v="Coleman"/>
    <s v="Défenseur"/>
    <x v="0"/>
    <n v="3"/>
    <n v="0"/>
    <n v="0"/>
    <n v="0"/>
    <m/>
    <m/>
    <n v="6.333333333333333"/>
    <n v="3"/>
    <n v="0"/>
    <n v="1"/>
  </r>
  <r>
    <s v="Tottenham - Dier"/>
    <s v="74 c'est la champion's league"/>
    <s v="Dier"/>
    <s v="Milieu"/>
    <x v="1"/>
    <n v="22"/>
    <n v="0"/>
    <n v="0"/>
    <n v="0"/>
    <m/>
    <m/>
    <n v="5.2"/>
    <n v="5"/>
    <n v="0"/>
    <n v="0"/>
  </r>
  <r>
    <s v="Leicester - Fuchs"/>
    <s v="74 c'est la champion's league"/>
    <s v="Fuchs"/>
    <s v="Défenseur"/>
    <x v="2"/>
    <n v="15"/>
    <n v="0"/>
    <n v="0"/>
    <n v="0"/>
    <m/>
    <m/>
    <n v="4.666666666666667"/>
    <n v="6"/>
    <n v="0"/>
    <n v="0"/>
  </r>
  <r>
    <s v="Middlesbrough - Husband"/>
    <s v="74 c'est la champion's league"/>
    <s v="Husband"/>
    <s v="Défenseur"/>
    <x v="3"/>
    <n v="1"/>
    <n v="0"/>
    <n v="0"/>
    <n v="0"/>
    <m/>
    <m/>
    <s v=""/>
    <n v="0"/>
    <n v="0"/>
    <n v="0"/>
  </r>
  <r>
    <s v="Man City - Iheanacho"/>
    <s v="74 c'est la champion's league"/>
    <s v="Iheanacho"/>
    <s v="Attaquant"/>
    <x v="4"/>
    <n v="44"/>
    <n v="0"/>
    <n v="0"/>
    <n v="0"/>
    <m/>
    <m/>
    <n v="7"/>
    <n v="2"/>
    <n v="2"/>
    <n v="2"/>
  </r>
  <r>
    <s v="Swansea - Llorente"/>
    <s v="74 c'est la champion's league"/>
    <s v="Llorente"/>
    <s v="Attaquant"/>
    <x v="5"/>
    <n v="36"/>
    <n v="0"/>
    <n v="0"/>
    <n v="0"/>
    <m/>
    <m/>
    <n v="4.666666666666667"/>
    <n v="6"/>
    <n v="0"/>
    <n v="1"/>
  </r>
  <r>
    <s v="Bournemouth - Mings"/>
    <s v="74 c'est la champion's league"/>
    <s v="Mings"/>
    <s v="Défenseur"/>
    <x v="6"/>
    <n v="1"/>
    <n v="0"/>
    <n v="0"/>
    <n v="0"/>
    <m/>
    <m/>
    <s v=""/>
    <n v="0"/>
    <n v="0"/>
    <n v="0"/>
  </r>
  <r>
    <s v="Everton - Mirallas"/>
    <s v="74 c'est la champion's league"/>
    <s v="Mirallas"/>
    <s v="Milieu"/>
    <x v="0"/>
    <n v="35"/>
    <n v="0"/>
    <n v="0"/>
    <n v="0"/>
    <m/>
    <m/>
    <n v="5.5"/>
    <n v="6"/>
    <n v="0"/>
    <n v="1"/>
  </r>
  <r>
    <s v="Man City - Otamendi"/>
    <s v="74 c'est la champion's league"/>
    <s v="Otamendi"/>
    <s v="Défenseur"/>
    <x v="4"/>
    <n v="25"/>
    <n v="0"/>
    <n v="0"/>
    <n v="0"/>
    <m/>
    <m/>
    <n v="6"/>
    <n v="5"/>
    <n v="0"/>
    <n v="0"/>
  </r>
  <r>
    <s v="West Ham - Payet"/>
    <s v="74 c'est la champion's league"/>
    <s v="Payet"/>
    <s v="Milieu"/>
    <x v="7"/>
    <n v="43"/>
    <n v="0"/>
    <n v="0"/>
    <n v="0"/>
    <m/>
    <m/>
    <n v="6"/>
    <n v="3"/>
    <n v="1"/>
    <n v="0"/>
  </r>
  <r>
    <s v="Liverpool - Roberto Firmino"/>
    <s v="74 c'est la champion's league"/>
    <s v="Roberto Firmino"/>
    <s v="Attaquant"/>
    <x v="8"/>
    <n v="31"/>
    <n v="0"/>
    <n v="0"/>
    <n v="0"/>
    <m/>
    <m/>
    <n v="6"/>
    <n v="5"/>
    <n v="0"/>
    <n v="2"/>
  </r>
  <r>
    <s v="Everton - Robles"/>
    <s v="74 c'est la champion's league"/>
    <s v="Robles"/>
    <s v="Gardien"/>
    <x v="0"/>
    <n v="9"/>
    <n v="0"/>
    <n v="0"/>
    <n v="0"/>
    <m/>
    <m/>
    <s v=""/>
    <n v="0"/>
    <n v="0"/>
    <n v="0"/>
  </r>
  <r>
    <s v="Man United - Schweinsteiger"/>
    <s v="74 c'est la champion's league"/>
    <s v="Schweinsteiger"/>
    <s v="Milieu"/>
    <x v="9"/>
    <n v="1"/>
    <n v="0"/>
    <n v="0"/>
    <n v="0"/>
    <m/>
    <m/>
    <s v=""/>
    <n v="0"/>
    <n v="0"/>
    <n v="0"/>
  </r>
  <r>
    <s v="Swansea - Sigurdsson"/>
    <s v="74 c'est la champion's league"/>
    <s v="Sigurdsson"/>
    <s v="Milieu"/>
    <x v="5"/>
    <n v="31"/>
    <n v="0"/>
    <n v="0"/>
    <n v="0"/>
    <m/>
    <m/>
    <n v="5.2"/>
    <n v="5"/>
    <n v="1"/>
    <n v="1"/>
  </r>
  <r>
    <s v="Man City - Silva"/>
    <s v="74 c'est la champion's league"/>
    <s v="Silva"/>
    <s v="Milieu"/>
    <x v="4"/>
    <n v="51"/>
    <n v="2"/>
    <n v="0"/>
    <n v="2"/>
    <s v="4.90"/>
    <s v="4.95"/>
    <n v="6.2"/>
    <n v="5"/>
    <n v="0"/>
    <n v="0"/>
  </r>
  <r>
    <s v="Man United - Smalling"/>
    <s v="74 c'est la champion's league"/>
    <s v="Smalling"/>
    <s v="Défenseur"/>
    <x v="9"/>
    <n v="18"/>
    <n v="0"/>
    <n v="0"/>
    <n v="0"/>
    <m/>
    <m/>
    <n v="6"/>
    <n v="2"/>
    <n v="2"/>
    <n v="1"/>
  </r>
  <r>
    <s v="Everton - Stekelenburg"/>
    <s v="74 c'est la champion's league"/>
    <s v="Stekelenburg"/>
    <s v="Gardien"/>
    <x v="0"/>
    <n v="21"/>
    <n v="0"/>
    <n v="0"/>
    <n v="0"/>
    <m/>
    <m/>
    <n v="5.333333333333333"/>
    <n v="6"/>
    <n v="0"/>
    <n v="0"/>
  </r>
  <r>
    <s v="Man City - Sterling"/>
    <s v="74 c'est la champion's league"/>
    <s v="Sterling"/>
    <s v="Attaquant"/>
    <x v="4"/>
    <n v="48"/>
    <n v="0"/>
    <n v="0"/>
    <n v="0"/>
    <m/>
    <m/>
    <n v="6.333333333333333"/>
    <n v="6"/>
    <n v="0"/>
    <n v="4"/>
  </r>
  <r>
    <s v="Arsenal - Walcott"/>
    <s v="74 c'est la champion's league"/>
    <s v="Walcott"/>
    <s v="Attaquant"/>
    <x v="10"/>
    <n v="24"/>
    <n v="0"/>
    <n v="0"/>
    <n v="0"/>
    <m/>
    <m/>
    <n v="6.166666666666667"/>
    <n v="6"/>
    <n v="0"/>
    <n v="3"/>
  </r>
  <r>
    <s v="Chelsea - Willian"/>
    <s v="74 c'est la champion's league"/>
    <s v="Willian"/>
    <s v="Milieu"/>
    <x v="11"/>
    <n v="41"/>
    <n v="2"/>
    <n v="0"/>
    <n v="2"/>
    <s v="5.75"/>
    <s v="5.81"/>
    <n v="5.6"/>
    <n v="5"/>
    <n v="0"/>
    <n v="1"/>
  </r>
  <r>
    <s v="Man United - Blind"/>
    <s v="Fuck-Tonio FC"/>
    <s v="Blind"/>
    <s v="Défenseur"/>
    <x v="9"/>
    <n v="17"/>
    <n v="0"/>
    <n v="0"/>
    <n v="0"/>
    <s v="5.14"/>
    <s v="5.21"/>
    <n v="6.4"/>
    <n v="5"/>
    <n v="0"/>
    <n v="0"/>
  </r>
  <r>
    <s v="Southampton - Boufal"/>
    <s v="Fuck-Tonio FC"/>
    <s v="Boufal"/>
    <s v="Milieu"/>
    <x v="12"/>
    <n v="19"/>
    <n v="0"/>
    <n v="0"/>
    <n v="0"/>
    <m/>
    <m/>
    <s v=""/>
    <n v="0"/>
    <n v="0"/>
    <n v="0"/>
  </r>
  <r>
    <s v="Man United - Fellaini"/>
    <s v="Fuck-Tonio FC"/>
    <s v="Fellaini"/>
    <s v="Milieu"/>
    <x v="9"/>
    <n v="29"/>
    <n v="0"/>
    <n v="0"/>
    <n v="0"/>
    <s v="5.00"/>
    <s v="5.54"/>
    <n v="6.2"/>
    <n v="5"/>
    <n v="0"/>
    <n v="0"/>
  </r>
  <r>
    <s v="Arsenal - Giroud"/>
    <s v="Fuck-Tonio FC"/>
    <s v="Giroud"/>
    <s v="Attaquant"/>
    <x v="10"/>
    <n v="32"/>
    <n v="0"/>
    <n v="0"/>
    <n v="0"/>
    <m/>
    <m/>
    <s v=""/>
    <n v="0"/>
    <n v="2"/>
    <n v="0"/>
  </r>
  <r>
    <s v="Leicester - Gray"/>
    <s v="Fuck-Tonio FC"/>
    <s v="Gray"/>
    <s v="Milieu"/>
    <x v="2"/>
    <n v="8"/>
    <n v="0"/>
    <n v="0"/>
    <n v="0"/>
    <s v="4.75"/>
    <s v="5.31"/>
    <n v="5"/>
    <n v="1"/>
    <n v="2"/>
    <n v="1"/>
  </r>
  <r>
    <s v="Liverpool - Henderson"/>
    <s v="Fuck-Tonio FC"/>
    <s v="Henderson"/>
    <s v="Milieu"/>
    <x v="8"/>
    <n v="17"/>
    <n v="0"/>
    <n v="0"/>
    <n v="0"/>
    <s v="4.67"/>
    <s v="4.83"/>
    <n v="6.166666666666667"/>
    <n v="6"/>
    <n v="0"/>
    <n v="1"/>
  </r>
  <r>
    <s v="Man City - Kompany"/>
    <s v="Fuck-Tonio FC"/>
    <s v="Kompany"/>
    <s v="Défenseur"/>
    <x v="4"/>
    <n v="15"/>
    <n v="0"/>
    <n v="0"/>
    <n v="0"/>
    <m/>
    <m/>
    <s v=""/>
    <n v="0"/>
    <n v="0"/>
    <n v="0"/>
  </r>
  <r>
    <s v="Arsenal - Koscielny"/>
    <s v="Fuck-Tonio FC"/>
    <s v="Koscielny"/>
    <s v="Défenseur"/>
    <x v="10"/>
    <n v="20"/>
    <n v="0"/>
    <n v="0"/>
    <n v="0"/>
    <m/>
    <m/>
    <n v="6.2"/>
    <n v="5"/>
    <n v="0"/>
    <n v="1"/>
  </r>
  <r>
    <s v="Tottenham - Lloris"/>
    <s v="Fuck-Tonio FC"/>
    <s v="Lloris"/>
    <s v="Gardien"/>
    <x v="1"/>
    <n v="25"/>
    <n v="0"/>
    <n v="0"/>
    <n v="0"/>
    <m/>
    <m/>
    <n v="5.75"/>
    <n v="4"/>
    <n v="0"/>
    <n v="0"/>
  </r>
  <r>
    <s v="Everton - Lukaku"/>
    <s v="Fuck-Tonio FC"/>
    <s v="Lukaku"/>
    <s v="Attaquant"/>
    <x v="0"/>
    <n v="103"/>
    <n v="0"/>
    <n v="0"/>
    <n v="0"/>
    <m/>
    <m/>
    <n v="6.25"/>
    <n v="4"/>
    <n v="1"/>
    <n v="4"/>
  </r>
  <r>
    <s v="Leicester - Morgan"/>
    <s v="Fuck-Tonio FC"/>
    <s v="Morgan"/>
    <s v="Défenseur"/>
    <x v="2"/>
    <n v="18"/>
    <n v="0"/>
    <n v="0"/>
    <n v="0"/>
    <m/>
    <m/>
    <n v="4.333333333333333"/>
    <n v="6"/>
    <n v="0"/>
    <n v="1"/>
  </r>
  <r>
    <s v="Arsenal - Mustafi"/>
    <s v="Fuck-Tonio FC"/>
    <s v="Mustafi"/>
    <s v="Défenseur"/>
    <x v="10"/>
    <n v="24"/>
    <n v="0"/>
    <n v="0"/>
    <n v="0"/>
    <m/>
    <m/>
    <n v="5.666666666666667"/>
    <n v="3"/>
    <n v="0"/>
    <n v="0"/>
  </r>
  <r>
    <s v="Liverpool - Origi"/>
    <s v="Fuck-Tonio FC"/>
    <s v="Origi"/>
    <s v="Attaquant"/>
    <x v="8"/>
    <n v="25"/>
    <n v="0"/>
    <n v="0"/>
    <n v="0"/>
    <m/>
    <m/>
    <s v=""/>
    <n v="0"/>
    <n v="4"/>
    <n v="0"/>
  </r>
  <r>
    <s v="Man United - Pogba"/>
    <s v="Fuck-Tonio FC"/>
    <s v="Pogba"/>
    <s v="Milieu"/>
    <x v="9"/>
    <n v="35"/>
    <n v="0"/>
    <n v="0"/>
    <n v="0"/>
    <m/>
    <m/>
    <n v="6"/>
    <n v="5"/>
    <n v="0"/>
    <n v="1"/>
  </r>
  <r>
    <s v="Tottenham - Son Heung-Min"/>
    <s v="Fuck-Tonio FC"/>
    <s v="Son Heung-Min"/>
    <s v="Milieu"/>
    <x v="1"/>
    <n v="6"/>
    <n v="0"/>
    <n v="0"/>
    <n v="0"/>
    <m/>
    <m/>
    <n v="7.333333333333333"/>
    <n v="3"/>
    <n v="0"/>
    <n v="4"/>
  </r>
  <r>
    <s v="Arsenal - Sánchez"/>
    <s v="Fuck-Tonio FC"/>
    <s v="Sánchez"/>
    <s v="Attaquant"/>
    <x v="10"/>
    <n v="81"/>
    <n v="0"/>
    <n v="0"/>
    <n v="0"/>
    <m/>
    <m/>
    <n v="6.4"/>
    <n v="5"/>
    <n v="0"/>
    <n v="4"/>
  </r>
  <r>
    <s v="Tottenham - Vorm"/>
    <s v="Fuck-Tonio FC"/>
    <s v="Vorm"/>
    <s v="Gardien"/>
    <x v="1"/>
    <n v="12"/>
    <n v="0"/>
    <n v="0"/>
    <n v="0"/>
    <m/>
    <m/>
    <e v="#N/A"/>
    <e v="#N/A"/>
    <e v="#N/A"/>
    <e v="#N/A"/>
  </r>
  <r>
    <s v="Arsenal - Xhaka"/>
    <s v="Fuck-Tonio FC"/>
    <s v="Xhaka"/>
    <s v="Milieu"/>
    <x v="10"/>
    <n v="12"/>
    <n v="0"/>
    <n v="0"/>
    <n v="0"/>
    <s v="5.38"/>
    <s v="5.27"/>
    <n v="5.5"/>
    <n v="2"/>
    <n v="3"/>
    <n v="1"/>
  </r>
  <r>
    <s v="Arsenal - Bellerín"/>
    <s v="I speak pas english"/>
    <s v="Bellerín"/>
    <s v="Défenseur"/>
    <x v="10"/>
    <n v="17"/>
    <n v="0"/>
    <n v="0"/>
    <n v="0"/>
    <m/>
    <m/>
    <n v="5.5"/>
    <n v="6"/>
    <n v="0"/>
    <n v="0"/>
  </r>
  <r>
    <s v="Crystal Palace - Benteke"/>
    <s v="I speak pas english"/>
    <s v="Benteke"/>
    <s v="Attaquant"/>
    <x v="13"/>
    <n v="25"/>
    <n v="0"/>
    <n v="0"/>
    <n v="0"/>
    <m/>
    <m/>
    <n v="5.5"/>
    <n v="4"/>
    <n v="0"/>
    <n v="2"/>
  </r>
  <r>
    <s v="Man City - Bravo"/>
    <s v="I speak pas english"/>
    <s v="Bravo"/>
    <s v="Gardien"/>
    <x v="4"/>
    <n v="14"/>
    <n v="0"/>
    <n v="0"/>
    <n v="0"/>
    <m/>
    <m/>
    <n v="5.333333333333333"/>
    <n v="3"/>
    <n v="0"/>
    <n v="0"/>
  </r>
  <r>
    <s v="Hull city - Dawson"/>
    <s v="I speak pas english"/>
    <s v="Dawson"/>
    <s v="Défenseur"/>
    <x v="14"/>
    <n v="9"/>
    <n v="0"/>
    <n v="0"/>
    <n v="0"/>
    <m/>
    <m/>
    <s v=""/>
    <n v="0"/>
    <n v="0"/>
    <n v="0"/>
  </r>
  <r>
    <s v="Man City - De Bruyne"/>
    <s v="I speak pas english"/>
    <s v="De Bruyne"/>
    <s v="Milieu"/>
    <x v="4"/>
    <n v="80"/>
    <n v="0"/>
    <n v="0"/>
    <n v="0"/>
    <m/>
    <m/>
    <m/>
    <m/>
    <m/>
    <m/>
  </r>
  <r>
    <s v="Watford - Dja Djédjé"/>
    <s v="I speak pas english"/>
    <s v="Dja Djédjé"/>
    <s v="Défenseur"/>
    <x v="15"/>
    <n v="13"/>
    <n v="2"/>
    <n v="0"/>
    <n v="2"/>
    <s v="5.00"/>
    <s v="5.14"/>
    <e v="#N/A"/>
    <e v="#N/A"/>
    <e v="#N/A"/>
    <e v="#N/A"/>
  </r>
  <r>
    <s v="Swansea - Fabianski"/>
    <s v="I speak pas english"/>
    <s v="Fabianski"/>
    <s v="Gardien"/>
    <x v="5"/>
    <n v="14"/>
    <n v="2"/>
    <n v="0"/>
    <n v="2"/>
    <s v="5.75"/>
    <s v="5.75"/>
    <m/>
    <m/>
    <m/>
    <m/>
  </r>
  <r>
    <s v="Tottenham - Georges-Kévin Nkoudou"/>
    <s v="I speak pas english"/>
    <s v="Georges-Kévin Nkoudou"/>
    <s v="Milieu"/>
    <x v="1"/>
    <n v="15"/>
    <n v="0"/>
    <n v="0"/>
    <n v="0"/>
    <m/>
    <m/>
    <e v="#N/A"/>
    <e v="#N/A"/>
    <e v="#N/A"/>
    <e v="#N/A"/>
  </r>
  <r>
    <s v="Man City - Gündogan"/>
    <s v="I speak pas english"/>
    <s v="Gündogan"/>
    <s v="Milieu"/>
    <x v="4"/>
    <n v="15"/>
    <n v="0"/>
    <n v="0"/>
    <n v="0"/>
    <m/>
    <m/>
    <n v="6.5"/>
    <n v="2"/>
    <n v="0"/>
    <n v="1"/>
  </r>
  <r>
    <s v="Sunderland - Januzaj"/>
    <s v="I speak pas english"/>
    <s v="Januzaj"/>
    <s v="Milieu"/>
    <x v="16"/>
    <n v="17"/>
    <n v="0"/>
    <n v="0"/>
    <n v="0"/>
    <m/>
    <m/>
    <n v="4.2"/>
    <n v="5"/>
    <n v="1"/>
    <n v="0"/>
  </r>
  <r>
    <s v="Southampton - José Fonte"/>
    <s v="I speak pas english"/>
    <s v="José Fonte"/>
    <s v="Défenseur"/>
    <x v="12"/>
    <n v="14"/>
    <n v="0"/>
    <n v="0"/>
    <n v="0"/>
    <m/>
    <m/>
    <n v="4.8"/>
    <n v="5"/>
    <n v="0"/>
    <n v="0"/>
  </r>
  <r>
    <s v="Man City - Kolarov"/>
    <s v="I speak pas english"/>
    <s v="Kolarov"/>
    <s v="Défenseur"/>
    <x v="4"/>
    <n v="17"/>
    <n v="0"/>
    <n v="0"/>
    <n v="0"/>
    <m/>
    <m/>
    <n v="5.6"/>
    <n v="5"/>
    <n v="1"/>
    <n v="0"/>
  </r>
  <r>
    <s v="Liverpool - Lovren"/>
    <s v="I speak pas english"/>
    <s v="Lovren"/>
    <s v="Défenseur"/>
    <x v="8"/>
    <n v="18"/>
    <n v="0"/>
    <n v="0"/>
    <n v="0"/>
    <m/>
    <m/>
    <n v="5.25"/>
    <n v="4"/>
    <n v="0"/>
    <n v="1"/>
  </r>
  <r>
    <s v="Leicester - Mahrez"/>
    <s v="I speak pas english"/>
    <s v="Mahrez"/>
    <s v="Milieu"/>
    <x v="2"/>
    <n v="52"/>
    <n v="0"/>
    <n v="0"/>
    <n v="0"/>
    <m/>
    <m/>
    <n v="4.666666666666667"/>
    <n v="6"/>
    <n v="0"/>
    <n v="1"/>
  </r>
  <r>
    <s v="Man United - Martial"/>
    <s v="I speak pas english"/>
    <s v="Martial"/>
    <s v="Attaquant"/>
    <x v="9"/>
    <n v="32"/>
    <m/>
    <m/>
    <m/>
    <m/>
    <m/>
    <n v="5"/>
    <n v="4"/>
    <n v="1"/>
    <n v="0"/>
  </r>
  <r>
    <s v="Man City - Nolito"/>
    <s v="I speak pas english"/>
    <s v="Nolito"/>
    <s v="Attaquant"/>
    <x v="4"/>
    <n v="22"/>
    <n v="0"/>
    <n v="0"/>
    <n v="0"/>
    <m/>
    <m/>
    <n v="5.75"/>
    <n v="4"/>
    <n v="1"/>
    <n v="2"/>
  </r>
  <r>
    <s v="Arsenal - Ramsey"/>
    <s v="I speak pas english"/>
    <s v="Ramsey"/>
    <s v="Milieu"/>
    <x v="10"/>
    <n v="23"/>
    <n v="8"/>
    <n v="0"/>
    <n v="8"/>
    <s v="5.79"/>
    <s v="5.82"/>
    <n v="4"/>
    <n v="1"/>
    <n v="0"/>
    <n v="0"/>
  </r>
  <r>
    <s v="Tottenham - Sissoko"/>
    <s v="I speak pas english"/>
    <s v="Sissoko"/>
    <s v="Milieu"/>
    <x v="1"/>
    <n v="23"/>
    <n v="0"/>
    <n v="0"/>
    <n v="0"/>
    <m/>
    <m/>
    <n v="4.5"/>
    <n v="2"/>
    <n v="1"/>
    <n v="0"/>
  </r>
  <r>
    <s v="Leicester - Vardy"/>
    <s v="I speak pas english"/>
    <s v="Vardy"/>
    <s v="Attaquant"/>
    <x v="2"/>
    <n v="62"/>
    <n v="0"/>
    <n v="0"/>
    <n v="0"/>
    <m/>
    <m/>
    <n v="4.5"/>
    <n v="6"/>
    <n v="0"/>
    <n v="2"/>
  </r>
  <r>
    <s v="Tottenham - Vertonghen"/>
    <s v="I speak pas english"/>
    <s v="Vertonghen"/>
    <s v="Défenseur"/>
    <x v="1"/>
    <n v="18"/>
    <n v="0"/>
    <n v="0"/>
    <n v="0"/>
    <m/>
    <m/>
    <m/>
    <m/>
    <m/>
    <m/>
  </r>
  <r>
    <s v="Middlesbrough - Bernardo"/>
    <s v="Saxe-Gambetta FC"/>
    <s v="Bernardo"/>
    <s v="Défenseur"/>
    <x v="3"/>
    <n v="3"/>
    <n v="0"/>
    <n v="0"/>
    <n v="0"/>
    <m/>
    <m/>
    <e v="#N/A"/>
    <e v="#N/A"/>
    <e v="#N/A"/>
    <e v="#N/A"/>
  </r>
  <r>
    <s v="Stoke City - Bojan"/>
    <s v="Saxe-Gambetta FC"/>
    <s v="Bojan"/>
    <s v="Attaquant"/>
    <x v="17"/>
    <n v="11"/>
    <n v="0"/>
    <n v="0"/>
    <n v="0"/>
    <m/>
    <m/>
    <n v="4.666666666666667"/>
    <n v="3"/>
    <n v="1"/>
    <n v="0"/>
  </r>
  <r>
    <s v="Chelsea - Cahill"/>
    <s v="Saxe-Gambetta FC"/>
    <s v="Cahill"/>
    <s v="Défenseur"/>
    <x v="11"/>
    <n v="28"/>
    <n v="0"/>
    <n v="0"/>
    <n v="0"/>
    <m/>
    <m/>
    <m/>
    <m/>
    <m/>
    <m/>
  </r>
  <r>
    <s v="Middlesbrough - De Pena"/>
    <s v="Saxe-Gambetta FC"/>
    <s v="De Pena"/>
    <s v="Milieu"/>
    <x v="3"/>
    <n v="3"/>
    <n v="0"/>
    <n v="0"/>
    <n v="0"/>
    <m/>
    <m/>
    <e v="#N/A"/>
    <e v="#N/A"/>
    <e v="#N/A"/>
    <e v="#N/A"/>
  </r>
  <r>
    <s v="Tottenham - Dele Alli"/>
    <s v="Saxe-Gambetta FC"/>
    <s v="Dele Alli"/>
    <s v="Milieu"/>
    <x v="1"/>
    <n v="25"/>
    <n v="0"/>
    <n v="0"/>
    <n v="0"/>
    <m/>
    <m/>
    <n v="5.4"/>
    <n v="5"/>
    <n v="1"/>
    <n v="1"/>
  </r>
  <r>
    <s v="West Bromwich - Fletcher"/>
    <s v="Saxe-Gambetta FC"/>
    <s v="Fletcher"/>
    <s v="Milieu"/>
    <x v="18"/>
    <n v="7"/>
    <n v="0"/>
    <n v="0"/>
    <n v="0"/>
    <m/>
    <m/>
    <n v="4.5"/>
    <n v="6"/>
    <n v="0"/>
    <n v="0"/>
  </r>
  <r>
    <s v="Southampton - Forster"/>
    <s v="Saxe-Gambetta FC"/>
    <s v="Forster"/>
    <s v="Gardien"/>
    <x v="12"/>
    <n v="17"/>
    <n v="0"/>
    <n v="0"/>
    <n v="0"/>
    <m/>
    <m/>
    <n v="4.833333333333333"/>
    <n v="6"/>
    <n v="0"/>
    <n v="0"/>
  </r>
  <r>
    <s v="Chelsea - Ivanovic"/>
    <s v="Saxe-Gambetta FC"/>
    <s v="Ivanovic"/>
    <s v="Défenseur"/>
    <x v="11"/>
    <n v="24"/>
    <n v="0"/>
    <n v="0"/>
    <n v="0"/>
    <m/>
    <m/>
    <n v="5.5"/>
    <n v="6"/>
    <n v="0"/>
    <n v="0"/>
  </r>
  <r>
    <s v="Tottenham - Kane"/>
    <s v="Saxe-Gambetta FC"/>
    <s v="Kane"/>
    <s v="Attaquant"/>
    <x v="1"/>
    <n v="90"/>
    <n v="0"/>
    <n v="0"/>
    <n v="0"/>
    <m/>
    <m/>
    <n v="5.6"/>
    <n v="5"/>
    <n v="0"/>
    <n v="2"/>
  </r>
  <r>
    <s v="West Bromwich - Leko"/>
    <s v="Saxe-Gambetta FC"/>
    <s v="Leko"/>
    <s v="Milieu"/>
    <x v="18"/>
    <n v="9"/>
    <n v="0"/>
    <n v="0"/>
    <n v="0"/>
    <m/>
    <m/>
    <s v=""/>
    <n v="0"/>
    <n v="4"/>
    <n v="0"/>
  </r>
  <r>
    <s v="Hull city - Maguire"/>
    <s v="Saxe-Gambetta FC"/>
    <s v="Maguire"/>
    <s v="Défenseur"/>
    <x v="14"/>
    <n v="7"/>
    <n v="0"/>
    <n v="0"/>
    <n v="0"/>
    <m/>
    <m/>
    <s v=""/>
    <n v="0"/>
    <n v="3"/>
    <n v="0"/>
  </r>
  <r>
    <s v="Man United - Mata"/>
    <s v="Saxe-Gambetta FC"/>
    <s v="Mata"/>
    <s v="Milieu"/>
    <x v="9"/>
    <n v="31"/>
    <n v="1"/>
    <n v="0"/>
    <n v="1"/>
    <s v="4.62"/>
    <s v="4.69"/>
    <n v="6.75"/>
    <n v="4"/>
    <n v="1"/>
    <n v="2"/>
  </r>
  <r>
    <s v="Southampton - McCarthy"/>
    <s v="Saxe-Gambetta FC"/>
    <s v="McCarthy"/>
    <s v="Gardien"/>
    <x v="12"/>
    <n v="10"/>
    <n v="0"/>
    <n v="0"/>
    <n v="0"/>
    <m/>
    <m/>
    <s v=""/>
    <n v="0"/>
    <n v="0"/>
    <n v="0"/>
  </r>
  <r>
    <s v="Man United - Rooney"/>
    <s v="Saxe-Gambetta FC"/>
    <s v="Rooney"/>
    <s v="Attaquant"/>
    <x v="9"/>
    <n v="58"/>
    <n v="0"/>
    <n v="0"/>
    <n v="0"/>
    <m/>
    <m/>
    <n v="5.6"/>
    <n v="5"/>
    <n v="1"/>
    <n v="1"/>
  </r>
  <r>
    <s v="Tottenham - Rose"/>
    <s v="Saxe-Gambetta FC"/>
    <s v="Rose"/>
    <s v="Défenseur"/>
    <x v="1"/>
    <n v="19"/>
    <n v="0"/>
    <n v="0"/>
    <n v="0"/>
    <m/>
    <m/>
    <n v="5.666666666666667"/>
    <n v="3"/>
    <n v="0"/>
    <n v="1"/>
  </r>
  <r>
    <s v="Leicester - Simpson"/>
    <s v="Saxe-Gambetta FC"/>
    <s v="Simpson"/>
    <s v="Défenseur"/>
    <x v="2"/>
    <n v="13"/>
    <n v="0"/>
    <n v="0"/>
    <n v="0"/>
    <m/>
    <m/>
    <n v="4.333333333333333"/>
    <n v="6"/>
    <n v="0"/>
    <n v="0"/>
  </r>
  <r>
    <s v="Liverpool - Sturridge"/>
    <s v="Saxe-Gambetta FC"/>
    <s v="Sturridge"/>
    <s v="Attaquant"/>
    <x v="8"/>
    <n v="80"/>
    <n v="0"/>
    <n v="0"/>
    <n v="0"/>
    <m/>
    <m/>
    <n v="5"/>
    <n v="3"/>
    <n v="2"/>
    <n v="0"/>
  </r>
  <r>
    <s v="Arsenal - Özil"/>
    <s v="Saxe-Gambetta FC"/>
    <s v="Özil"/>
    <s v="Milieu"/>
    <x v="10"/>
    <n v="65"/>
    <n v="0"/>
    <n v="0"/>
    <n v="0"/>
    <m/>
    <m/>
    <n v="6"/>
    <n v="4"/>
    <n v="1"/>
    <n v="2"/>
  </r>
  <r>
    <s v="Chelsea - Azpilicueta"/>
    <s v="Shame On You"/>
    <s v="Azpilicueta"/>
    <s v="Défenseur"/>
    <x v="11"/>
    <n v="28"/>
    <n v="0"/>
    <n v="0"/>
    <n v="0"/>
    <m/>
    <m/>
    <n v="5"/>
    <n v="6"/>
    <n v="0"/>
    <n v="0"/>
  </r>
  <r>
    <s v="Everton - Baines"/>
    <s v="Shame On You"/>
    <s v="Baines"/>
    <s v="Défenseur"/>
    <x v="0"/>
    <n v="22"/>
    <n v="0"/>
    <n v="0"/>
    <n v="0"/>
    <m/>
    <m/>
    <n v="6"/>
    <n v="5"/>
    <n v="0"/>
    <n v="0"/>
  </r>
  <r>
    <s v="Arsenal - Cazorla"/>
    <s v="Shame On You"/>
    <s v="Cazorla"/>
    <s v="Milieu"/>
    <x v="10"/>
    <n v="45"/>
    <n v="0"/>
    <n v="0"/>
    <n v="0"/>
    <m/>
    <m/>
    <n v="6.2"/>
    <n v="5"/>
    <n v="1"/>
    <n v="2"/>
  </r>
  <r>
    <s v="Man City - Fernandinho"/>
    <s v="Shame On You"/>
    <s v="Fernandinho"/>
    <s v="Milieu"/>
    <x v="4"/>
    <n v="33"/>
    <n v="0"/>
    <n v="0"/>
    <n v="0"/>
    <m/>
    <m/>
    <n v="6.333333333333333"/>
    <n v="6"/>
    <n v="0"/>
    <n v="1"/>
  </r>
  <r>
    <s v="Burnley - Heaton"/>
    <s v="Shame On You"/>
    <s v="Heaton"/>
    <s v="Gardien"/>
    <x v="19"/>
    <n v="13"/>
    <n v="0"/>
    <n v="0"/>
    <n v="0"/>
    <m/>
    <m/>
    <n v="5.5"/>
    <n v="6"/>
    <n v="0"/>
    <n v="0"/>
  </r>
  <r>
    <s v="Leicester - Huth"/>
    <s v="Shame On You"/>
    <s v="Huth"/>
    <s v="Défenseur"/>
    <x v="2"/>
    <n v="13"/>
    <n v="0"/>
    <n v="0"/>
    <n v="0"/>
    <m/>
    <m/>
    <n v="4.4000000000000004"/>
    <n v="5"/>
    <n v="0"/>
    <n v="0"/>
  </r>
  <r>
    <s v="Man United - Ibrahimovic"/>
    <s v="Shame On You"/>
    <s v="Ibrahimovic"/>
    <s v="Attaquant"/>
    <x v="9"/>
    <n v="120"/>
    <n v="3"/>
    <n v="1"/>
    <n v="4"/>
    <s v="5.77"/>
    <s v="5.81"/>
    <n v="5.666666666666667"/>
    <n v="6"/>
    <n v="0"/>
    <n v="4"/>
  </r>
  <r>
    <s v="Watford - Juan Zuñiga"/>
    <s v="Shame On You"/>
    <s v="Juan Zuñiga"/>
    <s v="Défenseur"/>
    <x v="15"/>
    <n v="17"/>
    <n v="0"/>
    <n v="0"/>
    <n v="0"/>
    <s v="5.50"/>
    <s v="5.39"/>
    <s v=""/>
    <n v="0"/>
    <n v="3"/>
    <n v="1"/>
  </r>
  <r>
    <s v="Bournemouth - King"/>
    <s v="Shame On You"/>
    <s v="King"/>
    <s v="Attaquant"/>
    <x v="6"/>
    <n v="20"/>
    <n v="0"/>
    <n v="0"/>
    <n v="0"/>
    <m/>
    <m/>
    <n v="5"/>
    <n v="5"/>
    <n v="0"/>
    <n v="1"/>
  </r>
  <r>
    <s v="Liverpool - Mané"/>
    <s v="Shame On You"/>
    <s v="Mané"/>
    <s v="Milieu"/>
    <x v="8"/>
    <n v="20"/>
    <n v="0"/>
    <n v="0"/>
    <n v="0"/>
    <m/>
    <m/>
    <n v="5.6"/>
    <n v="5"/>
    <n v="0"/>
    <n v="3"/>
  </r>
  <r>
    <s v="West Bromwich - McClean"/>
    <s v="Shame On You"/>
    <s v="McClean"/>
    <s v="Milieu"/>
    <x v="18"/>
    <n v="10"/>
    <n v="0"/>
    <n v="0"/>
    <n v="0"/>
    <m/>
    <m/>
    <n v="5.333333333333333"/>
    <n v="3"/>
    <n v="2"/>
    <n v="1"/>
  </r>
  <r>
    <s v="Swansea - Naughton"/>
    <s v="Shame On You"/>
    <s v="Naughton"/>
    <s v="Défenseur"/>
    <x v="5"/>
    <n v="14"/>
    <n v="0"/>
    <n v="0"/>
    <n v="0"/>
    <s v="5.33"/>
    <s v="5.21"/>
    <n v="4.666666666666667"/>
    <n v="6"/>
    <n v="0"/>
    <n v="0"/>
  </r>
  <r>
    <s v="Middlesbrough - Negredo"/>
    <s v="Shame On You"/>
    <s v="Negredo"/>
    <s v="Attaquant"/>
    <x v="3"/>
    <n v="28"/>
    <n v="0"/>
    <n v="0"/>
    <n v="0"/>
    <m/>
    <m/>
    <n v="4.666666666666667"/>
    <n v="6"/>
    <n v="0"/>
    <n v="1"/>
  </r>
  <r>
    <s v="West Bromwich - Rondón"/>
    <s v="Shame On You"/>
    <s v="Rondón"/>
    <s v="Attaquant"/>
    <x v="18"/>
    <n v="43"/>
    <n v="0"/>
    <n v="1"/>
    <n v="1"/>
    <s v="5.12"/>
    <s v="5.56"/>
    <n v="5.6"/>
    <n v="5"/>
    <n v="1"/>
    <n v="3"/>
  </r>
  <r>
    <s v="Leicester - Schmeichel"/>
    <s v="Shame On You"/>
    <s v="Schmeichel"/>
    <s v="Gardien"/>
    <x v="2"/>
    <n v="17"/>
    <n v="0"/>
    <n v="0"/>
    <n v="0"/>
    <m/>
    <m/>
    <n v="5"/>
    <n v="4"/>
    <n v="0"/>
    <n v="0"/>
  </r>
  <r>
    <s v="Man United - Shaw"/>
    <s v="Shame On You"/>
    <s v="Shaw"/>
    <s v="Défenseur"/>
    <x v="9"/>
    <n v="19"/>
    <n v="2"/>
    <n v="1"/>
    <n v="3"/>
    <s v="5.57"/>
    <s v="6.50"/>
    <n v="5"/>
    <n v="5"/>
    <n v="0"/>
    <n v="0"/>
  </r>
  <r>
    <s v="Hull city - Snodgrass"/>
    <s v="Shame On You"/>
    <s v="Snodgrass"/>
    <s v="Milieu"/>
    <x v="14"/>
    <n v="22"/>
    <n v="0"/>
    <n v="0"/>
    <n v="0"/>
    <m/>
    <m/>
    <n v="5.5"/>
    <n v="6"/>
    <n v="0"/>
    <n v="3"/>
  </r>
  <r>
    <s v="Crystal Palace - Zaha"/>
    <s v="Shame On You"/>
    <s v="Zaha"/>
    <s v="Milieu"/>
    <x v="13"/>
    <n v="16"/>
    <n v="0"/>
    <n v="0"/>
    <n v="0"/>
    <m/>
    <m/>
    <n v="5.25"/>
    <n v="4"/>
    <n v="1"/>
    <n v="1"/>
  </r>
  <r>
    <s v="West Ham - Antonio"/>
    <s v="The Bastards"/>
    <s v="Antonio"/>
    <s v="Milieu"/>
    <x v="7"/>
    <n v="25"/>
    <n v="0"/>
    <n v="0"/>
    <n v="0"/>
    <m/>
    <m/>
    <n v="5.166666666666667"/>
    <n v="6"/>
    <n v="0"/>
    <n v="4"/>
  </r>
  <r>
    <s v="Middlesbrough - Ayala"/>
    <s v="The Bastards"/>
    <s v="Ayala"/>
    <s v="Défenseur"/>
    <x v="3"/>
    <n v="14"/>
    <n v="0"/>
    <n v="0"/>
    <n v="0"/>
    <m/>
    <m/>
    <n v="5"/>
    <n v="3"/>
    <n v="1"/>
    <n v="1"/>
  </r>
  <r>
    <s v="Everton - Barry"/>
    <s v="The Bastards"/>
    <s v="Barry"/>
    <s v="Milieu"/>
    <x v="0"/>
    <n v="24"/>
    <n v="0"/>
    <n v="0"/>
    <n v="0"/>
    <m/>
    <m/>
    <n v="5.833333333333333"/>
    <n v="6"/>
    <n v="0"/>
    <n v="2"/>
  </r>
  <r>
    <s v="Watford - Capoue"/>
    <s v="The Bastards"/>
    <s v="Capoue"/>
    <s v="Milieu"/>
    <x v="15"/>
    <n v="33"/>
    <n v="0"/>
    <n v="0"/>
    <n v="0"/>
    <m/>
    <m/>
    <n v="6"/>
    <n v="6"/>
    <n v="0"/>
    <n v="4"/>
  </r>
  <r>
    <s v="Crystal Palace - Dann"/>
    <s v="The Bastards"/>
    <s v="Dann"/>
    <s v="Défenseur"/>
    <x v="13"/>
    <n v="24"/>
    <n v="0"/>
    <n v="0"/>
    <n v="0"/>
    <m/>
    <m/>
    <n v="5.8"/>
    <n v="5"/>
    <n v="0"/>
    <n v="2"/>
  </r>
  <r>
    <s v="Hull city - Davies"/>
    <s v="The Bastards"/>
    <s v="Davies"/>
    <s v="Défenseur"/>
    <x v="14"/>
    <n v="24"/>
    <n v="0"/>
    <n v="0"/>
    <n v="0"/>
    <m/>
    <m/>
    <n v="5.333333333333333"/>
    <n v="6"/>
    <n v="0"/>
    <n v="0"/>
  </r>
  <r>
    <s v="Watford - Deeney"/>
    <s v="The Bastards"/>
    <s v="Deeney"/>
    <s v="Attaquant"/>
    <x v="15"/>
    <n v="22"/>
    <n v="0"/>
    <n v="0"/>
    <n v="0"/>
    <m/>
    <m/>
    <n v="5"/>
    <n v="6"/>
    <n v="0"/>
    <n v="2"/>
  </r>
  <r>
    <s v="Sunderland - Defoe"/>
    <s v="The Bastards"/>
    <s v="Defoe"/>
    <s v="Attaquant"/>
    <x v="16"/>
    <n v="48"/>
    <n v="0"/>
    <n v="0"/>
    <n v="0"/>
    <m/>
    <m/>
    <n v="4.833333333333333"/>
    <n v="6"/>
    <n v="0"/>
    <n v="4"/>
  </r>
  <r>
    <s v="Hull city - Diomande"/>
    <s v="The Bastards"/>
    <s v="Diomande"/>
    <s v="Attaquant"/>
    <x v="14"/>
    <n v="28"/>
    <n v="0"/>
    <n v="0"/>
    <n v="0"/>
    <s v="5.20"/>
    <s v="6.10"/>
    <n v="4.666666666666667"/>
    <n v="6"/>
    <n v="0"/>
    <n v="1"/>
  </r>
  <r>
    <s v="Swansea - Fer"/>
    <s v="The Bastards"/>
    <s v="Fer"/>
    <s v="Milieu"/>
    <x v="5"/>
    <n v="22"/>
    <n v="0"/>
    <n v="0"/>
    <n v="0"/>
    <m/>
    <m/>
    <n v="5.666666666666667"/>
    <n v="6"/>
    <n v="0"/>
    <n v="3"/>
  </r>
  <r>
    <s v="West Bromwich - Foster"/>
    <s v="The Bastards"/>
    <s v="Foster"/>
    <s v="Gardien"/>
    <x v="18"/>
    <n v="13"/>
    <n v="0"/>
    <n v="0"/>
    <n v="0"/>
    <m/>
    <m/>
    <n v="5.833333333333333"/>
    <n v="6"/>
    <n v="0"/>
    <n v="0"/>
  </r>
  <r>
    <s v="Everton - Gueye"/>
    <s v="The Bastards"/>
    <s v="Gueye"/>
    <s v="Milieu"/>
    <x v="0"/>
    <n v="24"/>
    <n v="0"/>
    <n v="0"/>
    <n v="0"/>
    <m/>
    <m/>
    <n v="6.333333333333333"/>
    <n v="6"/>
    <n v="0"/>
    <n v="0"/>
  </r>
  <r>
    <s v="Everton - Jagielka"/>
    <s v="The Bastards"/>
    <s v="Jagielka"/>
    <s v="Défenseur"/>
    <x v="0"/>
    <n v="24"/>
    <n v="0"/>
    <n v="0"/>
    <n v="0"/>
    <m/>
    <m/>
    <n v="5.666666666666667"/>
    <n v="6"/>
    <n v="0"/>
    <n v="0"/>
  </r>
  <r>
    <s v="Tottenham - Janssen"/>
    <s v="The Bastards"/>
    <s v="Janssen"/>
    <s v="Attaquant"/>
    <x v="1"/>
    <n v="16"/>
    <n v="0"/>
    <n v="0"/>
    <n v="0"/>
    <m/>
    <m/>
    <n v="4.5"/>
    <n v="2"/>
    <n v="3"/>
    <n v="0"/>
  </r>
  <r>
    <s v="Liverpool - Lallana"/>
    <s v="The Bastards"/>
    <s v="Lallana"/>
    <s v="Milieu"/>
    <x v="8"/>
    <n v="21"/>
    <n v="0"/>
    <n v="0"/>
    <n v="0"/>
    <m/>
    <m/>
    <n v="5.833333333333333"/>
    <n v="6"/>
    <n v="0"/>
    <n v="3"/>
  </r>
  <r>
    <s v="Crystal Palace - McArthur"/>
    <s v="The Bastards"/>
    <s v="McArthur"/>
    <s v="Milieu"/>
    <x v="13"/>
    <n v="8"/>
    <n v="0"/>
    <n v="0"/>
    <n v="0"/>
    <m/>
    <m/>
    <e v="#N/A"/>
    <e v="#N/A"/>
    <e v="#N/A"/>
    <e v="#N/A"/>
  </r>
  <r>
    <s v="West Bromwich - McAuley"/>
    <s v="The Bastards"/>
    <s v="McAuley"/>
    <s v="Défenseur"/>
    <x v="18"/>
    <n v="16"/>
    <n v="0"/>
    <n v="0"/>
    <n v="0"/>
    <m/>
    <m/>
    <n v="5"/>
    <n v="6"/>
    <n v="0"/>
    <n v="1"/>
  </r>
  <r>
    <s v="West Bromwich - Myhill"/>
    <s v="The Bastards"/>
    <s v="Myhill"/>
    <s v="Gardien"/>
    <x v="18"/>
    <n v="7"/>
    <n v="0"/>
    <n v="0"/>
    <n v="0"/>
    <m/>
    <m/>
    <s v=""/>
    <n v="0"/>
    <n v="0"/>
    <n v="0"/>
  </r>
  <r>
    <s v="Leicester - Slimani"/>
    <s v="The Bastards"/>
    <s v="Slimani"/>
    <s v="Attaquant"/>
    <x v="2"/>
    <n v="36"/>
    <n v="0"/>
    <n v="0"/>
    <n v="0"/>
    <m/>
    <m/>
    <n v="6"/>
    <n v="2"/>
    <n v="0"/>
    <n v="2"/>
  </r>
  <r>
    <s v="Crystal Palace - Tomkins"/>
    <s v="The Bastards"/>
    <s v="Tomkins"/>
    <s v="Défenseur"/>
    <x v="13"/>
    <n v="8"/>
    <n v="3"/>
    <n v="1"/>
    <n v="4"/>
    <s v="5.50"/>
    <s v="5.50"/>
    <e v="#N/A"/>
    <e v="#N/A"/>
    <e v="#N/A"/>
    <e v="#N/A"/>
  </r>
  <r>
    <s v="Crystal Palace - Townsend"/>
    <s v="The Bastards"/>
    <s v="Townsend"/>
    <s v="Milieu"/>
    <x v="13"/>
    <n v="15"/>
    <n v="0"/>
    <n v="0"/>
    <n v="0"/>
    <m/>
    <m/>
    <n v="5.166666666666667"/>
    <n v="6"/>
    <n v="0"/>
    <n v="1"/>
  </r>
  <r>
    <s v="Tottenham - Walker"/>
    <s v="The Bastards"/>
    <s v="Walker"/>
    <s v="Défenseur"/>
    <x v="1"/>
    <n v="21"/>
    <n v="0"/>
    <n v="0"/>
    <n v="0"/>
    <m/>
    <m/>
    <n v="6"/>
    <n v="6"/>
    <n v="0"/>
    <n v="0"/>
  </r>
  <r>
    <s v="Crystal Palace - Ward"/>
    <s v="The Bastards"/>
    <s v="Ward"/>
    <s v="Défenseur"/>
    <x v="13"/>
    <n v="5"/>
    <n v="0"/>
    <n v="0"/>
    <n v="0"/>
    <m/>
    <m/>
    <n v="5.166666666666667"/>
    <n v="6"/>
    <n v="0"/>
    <n v="0"/>
  </r>
  <r>
    <s v="Bournemouth - Wilson"/>
    <s v="The Bastards"/>
    <s v="Wilson"/>
    <s v="Attaquant"/>
    <x v="6"/>
    <n v="13"/>
    <n v="0"/>
    <n v="0"/>
    <n v="0"/>
    <m/>
    <m/>
    <n v="4"/>
    <n v="5"/>
    <n v="1"/>
    <n v="1"/>
  </r>
  <r>
    <s v="Man City - Agüero"/>
    <s v="myteam"/>
    <s v="Agüero"/>
    <s v="Attaquant"/>
    <x v="4"/>
    <n v="161"/>
    <n v="0"/>
    <n v="0"/>
    <n v="0"/>
    <m/>
    <m/>
    <n v="6.25"/>
    <n v="4"/>
    <n v="0"/>
    <n v="5"/>
  </r>
  <r>
    <s v="Bournemouth - Boruc"/>
    <s v="myteam"/>
    <s v="Boruc"/>
    <s v="Gardien"/>
    <x v="6"/>
    <n v="10"/>
    <n v="0"/>
    <n v="0"/>
    <n v="0"/>
    <m/>
    <m/>
    <n v="5.5"/>
    <n v="6"/>
    <n v="0"/>
    <n v="0"/>
  </r>
  <r>
    <s v="Bournemouth - Cook"/>
    <s v="myteam"/>
    <s v="Cook"/>
    <s v="Défenseur"/>
    <x v="6"/>
    <n v="9"/>
    <n v="0"/>
    <n v="0"/>
    <n v="0"/>
    <m/>
    <m/>
    <e v="#N/A"/>
    <e v="#N/A"/>
    <e v="#N/A"/>
    <e v="#N/A"/>
  </r>
  <r>
    <s v="Arsenal - Coquelin"/>
    <s v="myteam"/>
    <s v="Coquelin"/>
    <s v="Milieu"/>
    <x v="10"/>
    <n v="10"/>
    <n v="0"/>
    <n v="0"/>
    <n v="0"/>
    <m/>
    <m/>
    <e v="#N/A"/>
    <e v="#N/A"/>
    <e v="#N/A"/>
    <e v="#N/A"/>
  </r>
  <r>
    <s v="West Bromwich - Dawson"/>
    <s v="myteam"/>
    <s v="Dawson"/>
    <s v="Défenseur"/>
    <x v="18"/>
    <n v="12"/>
    <n v="0"/>
    <n v="0"/>
    <n v="0"/>
    <m/>
    <m/>
    <n v="5.166666666666667"/>
    <n v="6"/>
    <n v="0"/>
    <n v="0"/>
  </r>
  <r>
    <s v="Crystal Palace - Delaney"/>
    <s v="myteam"/>
    <s v="Delaney"/>
    <s v="Défenseur"/>
    <x v="13"/>
    <n v="12"/>
    <n v="0"/>
    <n v="0"/>
    <n v="0"/>
    <m/>
    <m/>
    <n v="4.8"/>
    <n v="5"/>
    <n v="1"/>
    <n v="0"/>
  </r>
  <r>
    <s v="Chelsea - Diego Costa"/>
    <s v="myteam"/>
    <s v="Diego Costa"/>
    <s v="Attaquant"/>
    <x v="11"/>
    <n v="161"/>
    <n v="2"/>
    <n v="1"/>
    <n v="3"/>
    <s v="6.20"/>
    <s v="6.20"/>
    <n v="5.833333333333333"/>
    <n v="6"/>
    <n v="0"/>
    <n v="5"/>
  </r>
  <r>
    <s v="Bournemouth - Federici"/>
    <s v="myteam"/>
    <s v="Federici"/>
    <s v="Gardien"/>
    <x v="6"/>
    <n v="5"/>
    <n v="0"/>
    <n v="0"/>
    <n v="0"/>
    <m/>
    <m/>
    <s v=""/>
    <n v="0"/>
    <n v="0"/>
    <n v="0"/>
  </r>
  <r>
    <s v="Chelsea - Kanté"/>
    <s v="myteam"/>
    <s v="Kanté"/>
    <s v="Milieu"/>
    <x v="11"/>
    <n v="28"/>
    <n v="0"/>
    <n v="0"/>
    <n v="0"/>
    <m/>
    <m/>
    <n v="5.5"/>
    <n v="6"/>
    <n v="0"/>
    <n v="0"/>
  </r>
  <r>
    <s v="Crystal Palace - Ledley"/>
    <s v="myteam"/>
    <s v="Ledley"/>
    <s v="Milieu"/>
    <x v="13"/>
    <n v="12"/>
    <n v="1"/>
    <n v="1"/>
    <n v="2"/>
    <s v="5.17"/>
    <s v="5.67"/>
    <n v="5.5"/>
    <n v="4"/>
    <n v="0"/>
    <n v="1"/>
  </r>
  <r>
    <s v="Liverpool - Matip"/>
    <s v="myteam"/>
    <s v="Matip"/>
    <s v="Défenseur"/>
    <x v="8"/>
    <n v="16"/>
    <n v="0"/>
    <n v="0"/>
    <n v="0"/>
    <m/>
    <m/>
    <e v="#N/A"/>
    <e v="#N/A"/>
    <e v="#N/A"/>
    <e v="#N/A"/>
  </r>
  <r>
    <s v="Southampton - Redmond"/>
    <s v="myteam"/>
    <s v="Redmond"/>
    <s v="Milieu"/>
    <x v="12"/>
    <n v="14"/>
    <n v="0"/>
    <n v="0"/>
    <n v="0"/>
    <m/>
    <m/>
    <e v="#N/A"/>
    <e v="#N/A"/>
    <e v="#N/A"/>
    <e v="#N/A"/>
  </r>
  <r>
    <s v="Bournemouth - Smith"/>
    <s v="myteam"/>
    <s v="Smith"/>
    <s v="Défenseur"/>
    <x v="6"/>
    <n v="13"/>
    <n v="0"/>
    <n v="0"/>
    <n v="0"/>
    <m/>
    <m/>
    <e v="#N/A"/>
    <e v="#N/A"/>
    <e v="#N/A"/>
    <e v="#N/A"/>
  </r>
  <r>
    <s v="Bournemouth - Stanislas"/>
    <s v="myteam"/>
    <s v="Stanislas"/>
    <s v="Milieu"/>
    <x v="6"/>
    <n v="3"/>
    <n v="0"/>
    <n v="0"/>
    <n v="0"/>
    <m/>
    <m/>
    <e v="#N/A"/>
    <e v="#N/A"/>
    <e v="#N/A"/>
    <e v="#N/A"/>
  </r>
  <r>
    <s v="Tottenham - Wanyama"/>
    <s v="myteam"/>
    <s v="Wanyama"/>
    <s v="Milieu"/>
    <x v="1"/>
    <n v="17"/>
    <n v="4"/>
    <n v="0"/>
    <n v="4"/>
    <s v="4.85"/>
    <s v="4.88"/>
    <e v="#N/A"/>
    <e v="#N/A"/>
    <e v="#N/A"/>
    <e v="#N/A"/>
  </r>
  <r>
    <s v="Everton - Williams"/>
    <s v="myteam"/>
    <s v="Williams"/>
    <s v="Défenseur"/>
    <x v="0"/>
    <n v="16"/>
    <n v="0"/>
    <n v="0"/>
    <n v="0"/>
    <m/>
    <m/>
    <e v="#N/A"/>
    <e v="#N/A"/>
    <e v="#N/A"/>
    <e v="#N/A"/>
  </r>
  <r>
    <s v="Tottenham - Alderweireld"/>
    <s v="nut fc"/>
    <s v="Alderweireld"/>
    <s v="Défenseur"/>
    <x v="1"/>
    <n v="16"/>
    <n v="0"/>
    <n v="0"/>
    <n v="0"/>
    <m/>
    <m/>
    <m/>
    <m/>
    <m/>
    <m/>
  </r>
  <r>
    <s v="Stoke City - Arnautovic"/>
    <s v="nut fc"/>
    <s v="Arnautovic"/>
    <s v="Attaquant"/>
    <x v="17"/>
    <n v="14"/>
    <n v="1"/>
    <n v="0"/>
    <n v="1"/>
    <s v="5.14"/>
    <s v="5.25"/>
    <n v="4.166666666666667"/>
    <n v="6"/>
    <n v="0"/>
    <n v="1"/>
  </r>
  <r>
    <s v="Southampton - Austin"/>
    <s v="nut fc"/>
    <s v="Austin"/>
    <s v="Attaquant"/>
    <x v="12"/>
    <n v="14"/>
    <n v="0"/>
    <n v="0"/>
    <n v="0"/>
    <m/>
    <m/>
    <n v="5.5"/>
    <n v="2"/>
    <n v="3"/>
    <n v="2"/>
  </r>
  <r>
    <s v="Liverpool - Clyne"/>
    <s v="nut fc"/>
    <s v="Clyne"/>
    <s v="Défenseur"/>
    <x v="8"/>
    <n v="15"/>
    <n v="1"/>
    <n v="0"/>
    <n v="1"/>
    <s v="4.67"/>
    <s v="4.75"/>
    <e v="#N/A"/>
    <e v="#N/A"/>
    <e v="#N/A"/>
    <e v="#N/A"/>
  </r>
  <r>
    <s v="Liverpool - Coutinho"/>
    <s v="nut fc"/>
    <s v="Coutinho"/>
    <s v="Milieu"/>
    <x v="8"/>
    <n v="67"/>
    <n v="0"/>
    <n v="0"/>
    <n v="0"/>
    <m/>
    <m/>
    <n v="6.6"/>
    <n v="5"/>
    <n v="1"/>
    <n v="3"/>
  </r>
  <r>
    <s v="Man United - Darmian"/>
    <s v="nut fc"/>
    <s v="Darmian"/>
    <s v="Défenseur"/>
    <x v="9"/>
    <n v="14"/>
    <n v="0"/>
    <n v="0"/>
    <n v="0"/>
    <m/>
    <m/>
    <s v=""/>
    <n v="0"/>
    <n v="0"/>
    <n v="0"/>
  </r>
  <r>
    <s v="Tottenham - Eriksen"/>
    <s v="nut fc"/>
    <s v="Eriksen"/>
    <s v="Milieu"/>
    <x v="1"/>
    <n v="17"/>
    <n v="0"/>
    <n v="0"/>
    <n v="0"/>
    <m/>
    <m/>
    <n v="5.4"/>
    <n v="5"/>
    <n v="0"/>
    <n v="0"/>
  </r>
  <r>
    <s v="Sunderland - Ethan Robson"/>
    <s v="nut fc"/>
    <s v="Ethan Robson"/>
    <s v="Milieu"/>
    <x v="16"/>
    <n v="1"/>
    <n v="1"/>
    <n v="0"/>
    <n v="1"/>
    <s v="4.67"/>
    <s v="4.67"/>
    <e v="#N/A"/>
    <e v="#N/A"/>
    <e v="#N/A"/>
    <e v="#N/A"/>
  </r>
  <r>
    <s v="Burnley - Flanagan"/>
    <s v="nut fc"/>
    <s v="Flanagan"/>
    <s v="Défenseur"/>
    <x v="19"/>
    <n v="1"/>
    <n v="0"/>
    <n v="0"/>
    <n v="0"/>
    <m/>
    <m/>
    <s v=""/>
    <n v="0"/>
    <n v="0"/>
    <n v="0"/>
  </r>
  <r>
    <s v="Middlesbrough - Gibson"/>
    <s v="nut fc"/>
    <s v="Gibson"/>
    <s v="Défenseur"/>
    <x v="3"/>
    <n v="15"/>
    <n v="0"/>
    <n v="0"/>
    <n v="0"/>
    <m/>
    <m/>
    <n v="5"/>
    <n v="6"/>
    <n v="0"/>
    <n v="1"/>
  </r>
  <r>
    <s v="Chelsea - Hazard"/>
    <s v="nut fc"/>
    <s v="Hazard"/>
    <s v="Milieu"/>
    <x v="11"/>
    <n v="76"/>
    <n v="0"/>
    <n v="0"/>
    <n v="0"/>
    <m/>
    <m/>
    <n v="5.666666666666667"/>
    <n v="6"/>
    <n v="0"/>
    <n v="2"/>
  </r>
  <r>
    <s v="Liverpool - Karius"/>
    <s v="nut fc"/>
    <s v="Karius"/>
    <s v="Gardien"/>
    <x v="8"/>
    <n v="1"/>
    <n v="0"/>
    <n v="0"/>
    <n v="0"/>
    <m/>
    <m/>
    <e v="#N/A"/>
    <e v="#N/A"/>
    <e v="#N/A"/>
    <e v="#N/A"/>
  </r>
  <r>
    <s v="Tottenham - Lamela"/>
    <s v="nut fc"/>
    <s v="Lamela"/>
    <s v="Milieu"/>
    <x v="1"/>
    <n v="28"/>
    <n v="0"/>
    <n v="0"/>
    <n v="0"/>
    <m/>
    <m/>
    <n v="5.666666666666667"/>
    <n v="3"/>
    <n v="3"/>
    <n v="1"/>
  </r>
  <r>
    <s v="Liverpool - Manninger"/>
    <s v="nut fc"/>
    <s v="Manninger"/>
    <s v="Gardien"/>
    <x v="8"/>
    <n v="9"/>
    <n v="0"/>
    <n v="0"/>
    <n v="0"/>
    <m/>
    <m/>
    <e v="#N/A"/>
    <e v="#N/A"/>
    <e v="#N/A"/>
    <e v="#N/A"/>
  </r>
  <r>
    <s v="Bournemouth - Marc Wilson"/>
    <s v="nut fc"/>
    <s v="Marc Wilson"/>
    <s v="Défenseur"/>
    <x v="6"/>
    <n v="5"/>
    <n v="0"/>
    <n v="0"/>
    <n v="0"/>
    <m/>
    <m/>
    <n v="4"/>
    <n v="5"/>
    <n v="1"/>
    <n v="1"/>
  </r>
  <r>
    <s v="Liverpool - Mignolet"/>
    <s v="nut fc"/>
    <s v="Mignolet"/>
    <s v="Gardien"/>
    <x v="8"/>
    <n v="18"/>
    <n v="0"/>
    <n v="0"/>
    <n v="0"/>
    <m/>
    <m/>
    <n v="5.2"/>
    <n v="5"/>
    <n v="0"/>
    <n v="0"/>
  </r>
  <r>
    <s v="Liverpool - Milner"/>
    <s v="nut fc"/>
    <s v="Milner"/>
    <s v="Milieu"/>
    <x v="8"/>
    <n v="20"/>
    <n v="0"/>
    <n v="0"/>
    <n v="0"/>
    <s v="4.82"/>
    <s v="5.41"/>
    <e v="#N/A"/>
    <e v="#N/A"/>
    <e v="#N/A"/>
    <e v="#N/A"/>
  </r>
  <r>
    <s v="Arsenal - Monreal"/>
    <s v="nut fc"/>
    <s v="Monreal"/>
    <s v="Défenseur"/>
    <x v="10"/>
    <n v="16"/>
    <n v="8"/>
    <n v="0"/>
    <n v="8"/>
    <s v="5.36"/>
    <s v="5.39"/>
    <n v="5.333333333333333"/>
    <n v="6"/>
    <n v="0"/>
    <n v="0"/>
  </r>
  <r>
    <s v="Chelsea - Oscar"/>
    <s v="nut fc"/>
    <s v="Oscar"/>
    <s v="Milieu"/>
    <x v="11"/>
    <n v="49"/>
    <n v="0"/>
    <n v="0"/>
    <n v="0"/>
    <m/>
    <m/>
    <n v="5.6"/>
    <n v="5"/>
    <n v="0"/>
    <n v="0"/>
  </r>
  <r>
    <s v="Arsenal - Oxlade-Chamberlain"/>
    <s v="nut fc"/>
    <s v="Oxlade-Chamberlain"/>
    <s v="Milieu"/>
    <x v="10"/>
    <n v="26"/>
    <n v="0"/>
    <n v="0"/>
    <n v="0"/>
    <m/>
    <m/>
    <n v="5"/>
    <n v="3"/>
    <n v="1"/>
    <n v="1"/>
  </r>
  <r>
    <s v="Man United - Rashford"/>
    <s v="nut fc"/>
    <s v="Rashford"/>
    <s v="Attaquant"/>
    <x v="9"/>
    <n v="25"/>
    <n v="0"/>
    <n v="0"/>
    <n v="0"/>
    <m/>
    <m/>
    <n v="5.5"/>
    <n v="2"/>
    <n v="2"/>
    <n v="3"/>
  </r>
  <r>
    <s v="Southampton - Tadic"/>
    <s v="nut fc"/>
    <s v="Tadic"/>
    <s v="Milieu"/>
    <x v="12"/>
    <n v="19"/>
    <n v="0"/>
    <n v="0"/>
    <n v="0"/>
    <m/>
    <m/>
    <n v="5.166666666666667"/>
    <n v="6"/>
    <n v="0"/>
    <n v="1"/>
  </r>
  <r>
    <s v="West Ham - Zaza"/>
    <s v="nut fc"/>
    <s v="Zaza"/>
    <s v="Attaquant"/>
    <x v="7"/>
    <n v="15"/>
    <n v="0"/>
    <n v="0"/>
    <n v="0"/>
    <m/>
    <m/>
    <e v="#N/A"/>
    <e v="#N/A"/>
    <e v="#N/A"/>
    <e v="#N/A"/>
  </r>
  <r>
    <s v="Southampton - van Dijk"/>
    <s v="nut fc"/>
    <s v="van Dijk"/>
    <s v="Défenseur"/>
    <x v="12"/>
    <n v="13"/>
    <n v="0"/>
    <n v="0"/>
    <n v="0"/>
    <m/>
    <m/>
    <n v="5.5"/>
    <n v="6"/>
    <n v="0"/>
    <n v="0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0"/>
    <n v="0"/>
    <n v="0"/>
    <s v="6.00"/>
    <s v="6.00"/>
    <e v="#N/A"/>
    <e v="#N/A"/>
    <e v="#N/A"/>
    <e v="#N/A"/>
  </r>
  <r>
    <s v=" - "/>
    <m/>
    <m/>
    <m/>
    <x v="20"/>
    <m/>
    <n v="0"/>
    <n v="0"/>
    <n v="0"/>
    <s v="5.23"/>
    <s v="5.23"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3"/>
    <n v="0"/>
    <n v="3"/>
    <s v="5.80"/>
    <s v="5.90"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m/>
    <m/>
    <m/>
    <m/>
    <m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m/>
    <m/>
    <m/>
    <m/>
    <m/>
    <e v="#N/A"/>
    <e v="#N/A"/>
    <e v="#N/A"/>
    <e v="#N/A"/>
  </r>
  <r>
    <s v=" - "/>
    <m/>
    <m/>
    <m/>
    <x v="20"/>
    <m/>
    <n v="0"/>
    <n v="0"/>
    <n v="0"/>
    <s v="5.33"/>
    <s v="5.83"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78">
  <r>
    <s v="Agüero"/>
    <s v="A"/>
    <x v="0"/>
    <s v="21/09 à 13:48:10"/>
    <n v="161"/>
    <n v="1"/>
    <x v="0"/>
  </r>
  <r>
    <s v="Agüero"/>
    <s v="A"/>
    <x v="1"/>
    <s v="20/09 à 21:56:40"/>
    <n v="124"/>
    <n v="1"/>
    <x v="1"/>
  </r>
  <r>
    <s v="Agüero"/>
    <s v="A"/>
    <x v="2"/>
    <s v="22/09 à 21:20:50"/>
    <n v="102"/>
    <n v="1"/>
    <x v="1"/>
  </r>
  <r>
    <s v="Diego Costa"/>
    <s v="A"/>
    <x v="0"/>
    <s v="21/09 à 13:48:10"/>
    <n v="161"/>
    <n v="1"/>
    <x v="1"/>
  </r>
  <r>
    <s v="Diego Costa"/>
    <s v="A"/>
    <x v="1"/>
    <s v="20/09 à 21:56:40"/>
    <n v="100"/>
    <n v="1"/>
    <x v="1"/>
  </r>
  <r>
    <s v="Diego Costa"/>
    <s v="A"/>
    <x v="3"/>
    <s v="20/09 à 20:33:37"/>
    <n v="73"/>
    <n v="1"/>
    <x v="1"/>
  </r>
  <r>
    <s v="Diego Costa"/>
    <s v="A"/>
    <x v="4"/>
    <s v="21/09 à 07:45:11"/>
    <n v="52"/>
    <n v="1"/>
    <x v="1"/>
  </r>
  <r>
    <s v="Diego Costa"/>
    <s v="A"/>
    <x v="5"/>
    <s v="21/09 à 10:48:48"/>
    <n v="51"/>
    <n v="1"/>
    <x v="1"/>
  </r>
  <r>
    <s v="Diego Costa"/>
    <s v="A"/>
    <x v="6"/>
    <s v="21/09 à 19:59:12"/>
    <n v="38"/>
    <n v="1"/>
    <x v="1"/>
  </r>
  <r>
    <s v="Ibrahimovic"/>
    <s v="A"/>
    <x v="6"/>
    <s v="21/09 à 19:59:12"/>
    <n v="120"/>
    <n v="1"/>
    <x v="1"/>
  </r>
  <r>
    <s v="Ibrahimovic"/>
    <s v="A"/>
    <x v="7"/>
    <s v="20/09 à 20:23:26"/>
    <n v="54"/>
    <n v="1"/>
    <x v="1"/>
  </r>
  <r>
    <s v="Lukaku"/>
    <s v="A"/>
    <x v="1"/>
    <s v="20/09 à 21:56:40"/>
    <n v="103"/>
    <n v="1"/>
    <x v="1"/>
  </r>
  <r>
    <s v="Lukaku"/>
    <s v="A"/>
    <x v="3"/>
    <s v="20/09 à 20:33:37"/>
    <n v="69"/>
    <n v="1"/>
    <x v="1"/>
  </r>
  <r>
    <s v="Lukaku"/>
    <s v="A"/>
    <x v="2"/>
    <s v="22/09 à 21:20:50"/>
    <n v="56"/>
    <n v="1"/>
    <x v="1"/>
  </r>
  <r>
    <s v="Lukaku"/>
    <s v="A"/>
    <x v="4"/>
    <s v="21/09 à 07:45:11"/>
    <n v="54"/>
    <n v="1"/>
    <x v="1"/>
  </r>
  <r>
    <s v="De Bruyne"/>
    <s v="M"/>
    <x v="7"/>
    <s v="20/09 à 20:23:26"/>
    <n v="80"/>
    <n v="1"/>
    <x v="0"/>
  </r>
  <r>
    <s v="Hazard"/>
    <s v="M"/>
    <x v="4"/>
    <s v="21/09 à 07:45:11"/>
    <n v="76"/>
    <n v="1"/>
    <x v="1"/>
  </r>
  <r>
    <s v="Coutinho"/>
    <s v="M"/>
    <x v="4"/>
    <s v="21/09 à 07:45:11"/>
    <n v="67"/>
    <n v="1"/>
    <x v="1"/>
  </r>
  <r>
    <s v="Coutinho"/>
    <s v="M"/>
    <x v="2"/>
    <s v="22/09 à 21:20:50"/>
    <n v="39"/>
    <n v="1"/>
    <x v="1"/>
  </r>
  <r>
    <s v="Coutinho"/>
    <s v="M"/>
    <x v="7"/>
    <s v="20/09 à 20:23:26"/>
    <n v="31"/>
    <n v="1"/>
    <x v="1"/>
  </r>
  <r>
    <s v="Vardy"/>
    <s v="A"/>
    <x v="7"/>
    <s v="20/09 à 20:23:26"/>
    <n v="62"/>
    <n v="1"/>
    <x v="0"/>
  </r>
  <r>
    <s v="Rooney"/>
    <s v="A"/>
    <x v="2"/>
    <s v="22/09 à 21:20:50"/>
    <n v="58"/>
    <n v="1"/>
    <x v="1"/>
  </r>
  <r>
    <s v="Mahrez"/>
    <s v="M"/>
    <x v="7"/>
    <s v="20/09 à 20:23:26"/>
    <n v="52"/>
    <n v="1"/>
    <x v="0"/>
  </r>
  <r>
    <s v="Mahrez"/>
    <s v="M"/>
    <x v="5"/>
    <s v="21/09 à 10:48:48"/>
    <n v="51"/>
    <n v="1"/>
    <x v="1"/>
  </r>
  <r>
    <s v="Oscar"/>
    <s v="M"/>
    <x v="4"/>
    <s v="21/09 à 07:45:11"/>
    <n v="49"/>
    <n v="1"/>
    <x v="1"/>
  </r>
  <r>
    <s v="Oscar"/>
    <s v="M"/>
    <x v="1"/>
    <s v="20/09 à 21:56:40"/>
    <n v="26"/>
    <n v="1"/>
    <x v="1"/>
  </r>
  <r>
    <s v="Sterling"/>
    <s v="A"/>
    <x v="5"/>
    <s v="21/09 à 10:48:48"/>
    <n v="48"/>
    <n v="1"/>
    <x v="0"/>
  </r>
  <r>
    <s v="Cazorla"/>
    <s v="M"/>
    <x v="6"/>
    <s v="21/09 à 19:59:12"/>
    <n v="45"/>
    <n v="1"/>
    <x v="0"/>
  </r>
  <r>
    <s v="Iheanacho"/>
    <s v="A"/>
    <x v="5"/>
    <s v="21/09 à 10:48:48"/>
    <n v="44"/>
    <n v="1"/>
    <x v="0"/>
  </r>
  <r>
    <s v="Iheanacho"/>
    <s v="A"/>
    <x v="4"/>
    <s v="21/09 à 07:45:11"/>
    <n v="21"/>
    <n v="1"/>
    <x v="1"/>
  </r>
  <r>
    <s v="Iheanacho"/>
    <s v="A"/>
    <x v="3"/>
    <s v="20/09 à 20:33:37"/>
    <n v="16"/>
    <n v="1"/>
    <x v="1"/>
  </r>
  <r>
    <s v="Payet"/>
    <s v="M"/>
    <x v="5"/>
    <s v="21/09 à 10:48:48"/>
    <n v="43"/>
    <n v="1"/>
    <x v="0"/>
  </r>
  <r>
    <s v="Payet"/>
    <s v="M"/>
    <x v="2"/>
    <s v="22/09 à 21:20:50"/>
    <n v="30"/>
    <n v="1"/>
    <x v="1"/>
  </r>
  <r>
    <s v="Capoue"/>
    <s v="M"/>
    <x v="3"/>
    <s v="20/09 à 20:33:37"/>
    <n v="33"/>
    <n v="1"/>
    <x v="1"/>
  </r>
  <r>
    <s v="Capoue"/>
    <s v="M"/>
    <x v="5"/>
    <s v="21/09 à 10:48:48"/>
    <n v="23"/>
    <n v="1"/>
    <x v="1"/>
  </r>
  <r>
    <s v="Capoue"/>
    <s v="M"/>
    <x v="6"/>
    <s v="21/09 à 19:59:12"/>
    <n v="17"/>
    <n v="1"/>
    <x v="1"/>
  </r>
  <r>
    <s v="Roberto Firmino"/>
    <s v="A"/>
    <x v="5"/>
    <s v="21/09 à 10:48:48"/>
    <n v="31"/>
    <n v="1"/>
    <x v="0"/>
  </r>
  <r>
    <s v="Mata"/>
    <s v="M"/>
    <x v="2"/>
    <s v="22/09 à 21:20:50"/>
    <n v="31"/>
    <n v="1"/>
    <x v="0"/>
  </r>
  <r>
    <s v="Lamela"/>
    <s v="M"/>
    <x v="4"/>
    <s v="21/09 à 07:45:11"/>
    <n v="28"/>
    <n v="1"/>
    <x v="1"/>
  </r>
  <r>
    <s v="Lamela"/>
    <s v="M"/>
    <x v="2"/>
    <s v="22/09 à 21:20:50"/>
    <n v="24"/>
    <n v="1"/>
    <x v="1"/>
  </r>
  <r>
    <s v="Negredo"/>
    <s v="A"/>
    <x v="6"/>
    <s v="21/09 à 19:59:12"/>
    <n v="28"/>
    <n v="1"/>
    <x v="0"/>
  </r>
  <r>
    <s v="Cahill"/>
    <s v="D"/>
    <x v="2"/>
    <s v="22/09 à 21:20:50"/>
    <n v="28"/>
    <n v="1"/>
    <x v="0"/>
  </r>
  <r>
    <s v="Cahill"/>
    <s v="D"/>
    <x v="5"/>
    <s v="21/09 à 10:48:48"/>
    <n v="22"/>
    <n v="1"/>
    <x v="1"/>
  </r>
  <r>
    <s v="Benteke"/>
    <s v="A"/>
    <x v="7"/>
    <s v="20/09 à 20:23:26"/>
    <n v="25"/>
    <n v="1"/>
    <x v="0"/>
  </r>
  <r>
    <s v="Antonio"/>
    <s v="M"/>
    <x v="3"/>
    <s v="20/09 à 20:33:37"/>
    <n v="25"/>
    <n v="1"/>
    <x v="0"/>
  </r>
  <r>
    <s v="Antonio"/>
    <s v="M"/>
    <x v="5"/>
    <s v="21/09 à 10:48:48"/>
    <n v="13"/>
    <n v="1"/>
    <x v="1"/>
  </r>
  <r>
    <s v="Antonio"/>
    <s v="M"/>
    <x v="1"/>
    <s v="20/09 à 21:56:40"/>
    <n v="10"/>
    <n v="1"/>
    <x v="1"/>
  </r>
  <r>
    <s v="Antonio"/>
    <s v="M"/>
    <x v="0"/>
    <s v="21/09 à 13:48:10"/>
    <n v="9"/>
    <n v="1"/>
    <x v="1"/>
  </r>
  <r>
    <s v="Rashford"/>
    <s v="A"/>
    <x v="4"/>
    <s v="21/09 à 07:45:11"/>
    <n v="25"/>
    <n v="1"/>
    <x v="0"/>
  </r>
  <r>
    <s v="Dele Alli"/>
    <s v="M"/>
    <x v="2"/>
    <s v="22/09 à 21:20:50"/>
    <n v="25"/>
    <n v="1"/>
    <x v="0"/>
  </r>
  <r>
    <s v="Dele Alli"/>
    <s v="M"/>
    <x v="5"/>
    <s v="21/09 à 10:48:48"/>
    <n v="23"/>
    <n v="1"/>
    <x v="1"/>
  </r>
  <r>
    <s v="Gueye"/>
    <s v="M"/>
    <x v="3"/>
    <s v="20/09 à 20:33:37"/>
    <n v="24"/>
    <n v="1"/>
    <x v="1"/>
  </r>
  <r>
    <s v="Barry"/>
    <s v="M"/>
    <x v="3"/>
    <s v="20/09 à 20:33:37"/>
    <n v="24"/>
    <n v="1"/>
    <x v="1"/>
  </r>
  <r>
    <s v="Barry"/>
    <s v="M"/>
    <x v="6"/>
    <s v="21/09 à 19:59:12"/>
    <n v="20"/>
    <n v="1"/>
    <x v="1"/>
  </r>
  <r>
    <s v="Dann"/>
    <s v="D"/>
    <x v="3"/>
    <s v="20/09 à 20:33:37"/>
    <n v="24"/>
    <n v="1"/>
    <x v="0"/>
  </r>
  <r>
    <s v="Dann"/>
    <s v="D"/>
    <x v="6"/>
    <s v="21/09 à 19:59:12"/>
    <n v="18"/>
    <n v="1"/>
    <x v="1"/>
  </r>
  <r>
    <s v="Walcott"/>
    <s v="A"/>
    <x v="5"/>
    <s v="21/09 à 10:48:48"/>
    <n v="24"/>
    <n v="1"/>
    <x v="0"/>
  </r>
  <r>
    <s v="Ivanovic"/>
    <s v="D"/>
    <x v="2"/>
    <s v="22/09 à 21:20:50"/>
    <n v="24"/>
    <n v="1"/>
    <x v="0"/>
  </r>
  <r>
    <s v="Ivanovic"/>
    <s v="D"/>
    <x v="6"/>
    <s v="21/09 à 19:59:12"/>
    <n v="20"/>
    <n v="1"/>
    <x v="1"/>
  </r>
  <r>
    <s v="Ramsey"/>
    <s v="M"/>
    <x v="7"/>
    <s v="20/09 à 20:23:26"/>
    <n v="23"/>
    <n v="1"/>
    <x v="0"/>
  </r>
  <r>
    <s v="Nolito"/>
    <s v="A"/>
    <x v="7"/>
    <s v="20/09 à 20:23:26"/>
    <n v="22"/>
    <n v="1"/>
    <x v="0"/>
  </r>
  <r>
    <s v="Deeney"/>
    <s v="A"/>
    <x v="3"/>
    <s v="20/09 à 20:33:37"/>
    <n v="22"/>
    <n v="1"/>
    <x v="1"/>
  </r>
  <r>
    <s v="Fer"/>
    <s v="M"/>
    <x v="3"/>
    <s v="20/09 à 20:33:37"/>
    <n v="22"/>
    <n v="1"/>
    <x v="0"/>
  </r>
  <r>
    <s v="Fer"/>
    <s v="M"/>
    <x v="6"/>
    <s v="21/09 à 19:59:12"/>
    <n v="16"/>
    <n v="1"/>
    <x v="1"/>
  </r>
  <r>
    <s v="Dier"/>
    <s v="M"/>
    <x v="5"/>
    <s v="21/09 à 10:48:48"/>
    <n v="22"/>
    <n v="1"/>
    <x v="1"/>
  </r>
  <r>
    <s v="Snodgrass"/>
    <s v="M"/>
    <x v="6"/>
    <s v="21/09 à 19:59:12"/>
    <n v="22"/>
    <n v="1"/>
    <x v="1"/>
  </r>
  <r>
    <s v="Baines"/>
    <s v="D"/>
    <x v="6"/>
    <s v="21/09 à 19:59:12"/>
    <n v="22"/>
    <n v="1"/>
    <x v="0"/>
  </r>
  <r>
    <s v="Baines"/>
    <s v="D"/>
    <x v="5"/>
    <s v="21/09 à 10:48:48"/>
    <n v="21"/>
    <n v="1"/>
    <x v="1"/>
  </r>
  <r>
    <s v="Baines"/>
    <s v="D"/>
    <x v="3"/>
    <s v="20/09 à 20:33:37"/>
    <n v="18"/>
    <n v="1"/>
    <x v="1"/>
  </r>
  <r>
    <s v="Baines"/>
    <s v="D"/>
    <x v="4"/>
    <s v="21/09 à 07:45:11"/>
    <n v="17"/>
    <n v="1"/>
    <x v="1"/>
  </r>
  <r>
    <s v="Lallana"/>
    <s v="M"/>
    <x v="3"/>
    <s v="20/09 à 20:33:37"/>
    <n v="21"/>
    <n v="1"/>
    <x v="0"/>
  </r>
  <r>
    <s v="Lallana"/>
    <s v="M"/>
    <x v="7"/>
    <s v="20/09 à 20:23:26"/>
    <n v="17"/>
    <n v="1"/>
    <x v="1"/>
  </r>
  <r>
    <s v="Walker"/>
    <s v="D"/>
    <x v="3"/>
    <s v="20/09 à 20:33:37"/>
    <n v="21"/>
    <n v="1"/>
    <x v="0"/>
  </r>
  <r>
    <s v="Walker"/>
    <s v="D"/>
    <x v="6"/>
    <s v="21/09 à 19:59:12"/>
    <n v="20"/>
    <n v="1"/>
    <x v="1"/>
  </r>
  <r>
    <s v="Walker"/>
    <s v="D"/>
    <x v="4"/>
    <s v="21/09 à 07:45:11"/>
    <n v="16"/>
    <n v="1"/>
    <x v="1"/>
  </r>
  <r>
    <s v="Stekelenburg"/>
    <s v="G"/>
    <x v="5"/>
    <s v="21/09 à 10:48:48"/>
    <n v="21"/>
    <n v="1"/>
    <x v="0"/>
  </r>
  <r>
    <s v="Mandanda"/>
    <s v="G"/>
    <x v="0"/>
    <s v="21/09 à 13:48:10"/>
    <n v="20"/>
    <n v="1"/>
    <x v="1"/>
  </r>
  <r>
    <s v="King"/>
    <s v="A"/>
    <x v="6"/>
    <s v="21/09 à 19:59:12"/>
    <n v="20"/>
    <n v="1"/>
    <x v="0"/>
  </r>
  <r>
    <s v="Mané"/>
    <s v="M"/>
    <x v="6"/>
    <s v="21/09 à 19:59:12"/>
    <n v="20"/>
    <n v="1"/>
    <x v="0"/>
  </r>
  <r>
    <s v="Boufal"/>
    <s v="M"/>
    <x v="1"/>
    <s v="20/09 à 21:56:40"/>
    <n v="19"/>
    <n v="1"/>
    <x v="1"/>
  </r>
  <r>
    <s v="Tadic"/>
    <s v="M"/>
    <x v="4"/>
    <s v="21/09 à 07:45:11"/>
    <n v="19"/>
    <n v="1"/>
    <x v="1"/>
  </r>
  <r>
    <s v="Shaw"/>
    <s v="D"/>
    <x v="6"/>
    <s v="21/09 à 19:59:12"/>
    <n v="19"/>
    <n v="1"/>
    <x v="0"/>
  </r>
  <r>
    <s v="Rose"/>
    <s v="D"/>
    <x v="2"/>
    <s v="22/09 à 21:20:50"/>
    <n v="19"/>
    <n v="1"/>
    <x v="1"/>
  </r>
  <r>
    <s v="Vertonghen"/>
    <s v="D"/>
    <x v="7"/>
    <s v="20/09 à 20:23:26"/>
    <n v="18"/>
    <n v="1"/>
    <x v="1"/>
  </r>
  <r>
    <s v="Vertonghen"/>
    <s v="D"/>
    <x v="1"/>
    <s v="20/09 à 21:56:40"/>
    <n v="18"/>
    <n v="1"/>
    <x v="1"/>
  </r>
  <r>
    <s v="Vertonghen"/>
    <s v="D"/>
    <x v="5"/>
    <s v="21/09 à 10:48:48"/>
    <n v="18"/>
    <n v="1"/>
    <x v="1"/>
  </r>
  <r>
    <s v="Lovren"/>
    <s v="D"/>
    <x v="7"/>
    <s v="20/09 à 20:23:26"/>
    <n v="18"/>
    <n v="1"/>
    <x v="1"/>
  </r>
  <r>
    <s v="Lovren"/>
    <s v="D"/>
    <x v="1"/>
    <s v="20/09 à 21:56:40"/>
    <n v="18"/>
    <n v="1"/>
    <x v="1"/>
  </r>
  <r>
    <s v="Morgan"/>
    <s v="D"/>
    <x v="1"/>
    <s v="20/09 à 21:56:40"/>
    <n v="18"/>
    <n v="1"/>
    <x v="1"/>
  </r>
  <r>
    <s v="Mignolet"/>
    <s v="G"/>
    <x v="4"/>
    <s v="21/09 à 07:45:11"/>
    <n v="18"/>
    <n v="1"/>
    <x v="0"/>
  </r>
  <r>
    <s v="Smalling"/>
    <s v="D"/>
    <x v="5"/>
    <s v="21/09 à 10:48:48"/>
    <n v="18"/>
    <n v="1"/>
    <x v="0"/>
  </r>
  <r>
    <s v="Smalling"/>
    <s v="D"/>
    <x v="4"/>
    <s v="21/09 à 07:45:11"/>
    <n v="13"/>
    <n v="1"/>
    <x v="1"/>
  </r>
  <r>
    <s v="Bellerín"/>
    <s v="D"/>
    <x v="7"/>
    <s v="20/09 à 20:23:26"/>
    <n v="17"/>
    <n v="1"/>
    <x v="1"/>
  </r>
  <r>
    <s v="Kolarov"/>
    <s v="D"/>
    <x v="7"/>
    <s v="20/09 à 20:23:26"/>
    <n v="17"/>
    <n v="1"/>
    <x v="1"/>
  </r>
  <r>
    <s v="Blind"/>
    <s v="D"/>
    <x v="1"/>
    <s v="20/09 à 21:56:40"/>
    <n v="17"/>
    <n v="1"/>
    <x v="1"/>
  </r>
  <r>
    <s v="Henderson"/>
    <s v="M"/>
    <x v="1"/>
    <s v="20/09 à 21:56:40"/>
    <n v="17"/>
    <n v="1"/>
    <x v="0"/>
  </r>
  <r>
    <s v="Schmeichel"/>
    <s v="G"/>
    <x v="6"/>
    <s v="21/09 à 19:59:12"/>
    <n v="17"/>
    <n v="1"/>
    <x v="0"/>
  </r>
  <r>
    <s v="Schmeichel"/>
    <s v="G"/>
    <x v="1"/>
    <s v="20/09 à 21:56:40"/>
    <n v="16"/>
    <n v="1"/>
    <x v="1"/>
  </r>
  <r>
    <s v="Forster"/>
    <s v="G"/>
    <x v="2"/>
    <s v="22/09 à 21:20:50"/>
    <n v="17"/>
    <n v="1"/>
    <x v="1"/>
  </r>
  <r>
    <s v="McAuley"/>
    <s v="D"/>
    <x v="3"/>
    <s v="20/09 à 20:33:37"/>
    <n v="16"/>
    <n v="1"/>
    <x v="0"/>
  </r>
  <r>
    <s v="McAuley"/>
    <s v="D"/>
    <x v="6"/>
    <s v="21/09 à 19:59:12"/>
    <n v="15"/>
    <n v="1"/>
    <x v="1"/>
  </r>
  <r>
    <s v="McAuley"/>
    <s v="D"/>
    <x v="0"/>
    <s v="21/09 à 13:48:10"/>
    <n v="14"/>
    <n v="1"/>
    <x v="1"/>
  </r>
  <r>
    <s v="Alderweireld"/>
    <s v="D"/>
    <x v="4"/>
    <s v="21/09 à 07:45:11"/>
    <n v="16"/>
    <n v="1"/>
    <x v="1"/>
  </r>
  <r>
    <s v="Gündogan"/>
    <s v="M"/>
    <x v="7"/>
    <s v="20/09 à 20:23:26"/>
    <n v="15"/>
    <n v="1"/>
    <x v="0"/>
  </r>
  <r>
    <s v="Townsend"/>
    <s v="M"/>
    <x v="3"/>
    <s v="20/09 à 20:33:37"/>
    <n v="15"/>
    <n v="1"/>
    <x v="1"/>
  </r>
  <r>
    <s v="Fuchs"/>
    <s v="D"/>
    <x v="5"/>
    <s v="21/09 à 10:48:48"/>
    <n v="15"/>
    <n v="1"/>
    <x v="0"/>
  </r>
  <r>
    <s v="Noble"/>
    <s v="M"/>
    <x v="0"/>
    <s v="21/09 à 13:48:10"/>
    <n v="15"/>
    <n v="1"/>
    <x v="0"/>
  </r>
  <r>
    <s v="José Fonte"/>
    <s v="D"/>
    <x v="7"/>
    <s v="20/09 à 20:23:26"/>
    <n v="14"/>
    <n v="1"/>
    <x v="0"/>
  </r>
  <r>
    <s v="Bravo"/>
    <s v="G"/>
    <x v="7"/>
    <s v="20/09 à 20:23:26"/>
    <n v="14"/>
    <n v="1"/>
    <x v="0"/>
  </r>
  <r>
    <s v="Ayala"/>
    <s v="D"/>
    <x v="3"/>
    <s v="20/09 à 20:33:37"/>
    <n v="14"/>
    <n v="1"/>
    <x v="0"/>
  </r>
  <r>
    <s v="Darmian"/>
    <s v="D"/>
    <x v="4"/>
    <s v="21/09 à 07:45:11"/>
    <n v="14"/>
    <n v="1"/>
    <x v="1"/>
  </r>
  <r>
    <s v="Behrami"/>
    <s v="M"/>
    <x v="0"/>
    <s v="21/09 à 13:48:10"/>
    <n v="14"/>
    <n v="1"/>
    <x v="0"/>
  </r>
  <r>
    <s v="Wilson"/>
    <s v="A"/>
    <x v="3"/>
    <s v="20/09 à 20:33:37"/>
    <n v="13"/>
    <n v="1"/>
    <x v="0"/>
  </r>
  <r>
    <s v="Foster"/>
    <s v="G"/>
    <x v="3"/>
    <s v="20/09 à 20:33:37"/>
    <n v="13"/>
    <n v="1"/>
    <x v="0"/>
  </r>
  <r>
    <s v="Foster"/>
    <s v="G"/>
    <x v="7"/>
    <s v="20/09 à 20:23:26"/>
    <n v="12"/>
    <n v="1"/>
    <x v="1"/>
  </r>
  <r>
    <s v="Kingsley"/>
    <s v="D"/>
    <x v="3"/>
    <s v="20/09 à 20:33:37"/>
    <n v="13"/>
    <n v="1"/>
    <x v="0"/>
  </r>
  <r>
    <s v="Yacob"/>
    <s v="M"/>
    <x v="0"/>
    <s v="21/09 à 13:48:10"/>
    <n v="13"/>
    <n v="1"/>
    <x v="0"/>
  </r>
  <r>
    <s v="Holebas"/>
    <s v="D"/>
    <x v="0"/>
    <s v="21/09 à 13:48:10"/>
    <n v="13"/>
    <n v="1"/>
    <x v="0"/>
  </r>
  <r>
    <s v="Heaton"/>
    <s v="G"/>
    <x v="6"/>
    <s v="21/09 à 19:59:12"/>
    <n v="13"/>
    <n v="1"/>
    <x v="0"/>
  </r>
  <r>
    <s v="Simpson"/>
    <s v="D"/>
    <x v="2"/>
    <s v="22/09 à 21:20:50"/>
    <n v="13"/>
    <n v="1"/>
    <x v="0"/>
  </r>
  <r>
    <s v="Kouyaté"/>
    <s v="M"/>
    <x v="3"/>
    <s v="20/09 à 20:33:37"/>
    <n v="12"/>
    <n v="1"/>
    <x v="0"/>
  </r>
  <r>
    <s v="Kouyaté"/>
    <s v="M"/>
    <x v="0"/>
    <s v="21/09 à 13:48:10"/>
    <n v="11"/>
    <n v="1"/>
    <x v="1"/>
  </r>
  <r>
    <s v="Evans"/>
    <s v="D"/>
    <x v="0"/>
    <s v="21/09 à 13:48:10"/>
    <n v="12"/>
    <n v="1"/>
    <x v="0"/>
  </r>
  <r>
    <s v="Delaney"/>
    <s v="D"/>
    <x v="0"/>
    <s v="21/09 à 13:48:10"/>
    <n v="12"/>
    <n v="1"/>
    <x v="1"/>
  </r>
  <r>
    <s v="Ledley"/>
    <s v="M"/>
    <x v="0"/>
    <s v="21/09 à 13:48:10"/>
    <n v="12"/>
    <n v="1"/>
    <x v="0"/>
  </r>
  <r>
    <s v="Dawson"/>
    <s v="D"/>
    <x v="0"/>
    <s v="21/09 à 13:48:10"/>
    <n v="12"/>
    <n v="1"/>
    <x v="0"/>
  </r>
  <r>
    <s v="Bojan"/>
    <s v="A"/>
    <x v="2"/>
    <s v="22/09 à 21:20:50"/>
    <n v="11"/>
    <n v="1"/>
    <x v="0"/>
  </r>
  <r>
    <s v="Boruc"/>
    <s v="G"/>
    <x v="0"/>
    <s v="21/09 à 13:48:10"/>
    <n v="10"/>
    <n v="1"/>
    <x v="0"/>
  </r>
  <r>
    <s v="McClean"/>
    <s v="M"/>
    <x v="6"/>
    <s v="21/09 à 19:59:12"/>
    <n v="10"/>
    <n v="1"/>
    <x v="0"/>
  </r>
  <r>
    <s v="McCarthy"/>
    <s v="G"/>
    <x v="2"/>
    <s v="22/09 à 21:20:50"/>
    <n v="10"/>
    <n v="1"/>
    <x v="0"/>
  </r>
  <r>
    <s v="Dawson"/>
    <s v="D"/>
    <x v="7"/>
    <s v="20/09 à 20:23:26"/>
    <n v="9"/>
    <n v="1"/>
    <x v="0"/>
  </r>
  <r>
    <s v="Zieler"/>
    <s v="G"/>
    <x v="1"/>
    <s v="20/09 à 21:56:40"/>
    <n v="9"/>
    <n v="1"/>
    <x v="0"/>
  </r>
  <r>
    <s v="Manninger"/>
    <s v="G"/>
    <x v="4"/>
    <s v="21/09 à 07:45:11"/>
    <n v="9"/>
    <n v="1"/>
    <x v="1"/>
  </r>
  <r>
    <s v="Robles"/>
    <s v="G"/>
    <x v="5"/>
    <s v="21/09 à 10:48:48"/>
    <n v="9"/>
    <n v="1"/>
    <x v="1"/>
  </r>
  <r>
    <s v="Kelly"/>
    <s v="D"/>
    <x v="0"/>
    <s v="21/09 à 13:48:10"/>
    <n v="9"/>
    <n v="1"/>
    <x v="0"/>
  </r>
  <r>
    <s v="Myhill"/>
    <s v="G"/>
    <x v="3"/>
    <s v="20/09 à 20:33:37"/>
    <n v="7"/>
    <n v="1"/>
    <x v="0"/>
  </r>
  <r>
    <s v="Maguire"/>
    <s v="D"/>
    <x v="2"/>
    <s v="22/09 à 21:20:50"/>
    <n v="7"/>
    <n v="1"/>
    <x v="0"/>
  </r>
  <r>
    <s v="Ward"/>
    <s v="D"/>
    <x v="3"/>
    <s v="20/09 à 20:33:37"/>
    <n v="5"/>
    <n v="1"/>
    <x v="1"/>
  </r>
  <r>
    <s v="Marc Wilson"/>
    <s v="D"/>
    <x v="4"/>
    <s v="21/09 à 07:45:11"/>
    <n v="5"/>
    <n v="1"/>
    <x v="1"/>
  </r>
  <r>
    <s v="Coleman"/>
    <s v="D"/>
    <x v="5"/>
    <s v="21/09 à 10:48:48"/>
    <n v="3"/>
    <n v="1"/>
    <x v="1"/>
  </r>
  <r>
    <s v="Bernardo"/>
    <s v="D"/>
    <x v="2"/>
    <s v="22/09 à 21:20:50"/>
    <n v="3"/>
    <n v="1"/>
    <x v="1"/>
  </r>
  <r>
    <s v="De Pena"/>
    <s v="M"/>
    <x v="2"/>
    <s v="22/09 à 21:20:50"/>
    <n v="3"/>
    <n v="1"/>
    <x v="0"/>
  </r>
  <r>
    <s v="Tosin Adarabioyo"/>
    <s v="D"/>
    <x v="1"/>
    <s v="20/09 à 21:56:40"/>
    <n v="1"/>
    <n v="1"/>
    <x v="0"/>
  </r>
  <r>
    <s v="Ngoy"/>
    <s v="A"/>
    <x v="1"/>
    <s v="20/09 à 21:56:40"/>
    <n v="1"/>
    <n v="1"/>
    <x v="0"/>
  </r>
  <r>
    <s v="Besic"/>
    <s v="M"/>
    <x v="1"/>
    <s v="20/09 à 21:56:40"/>
    <n v="1"/>
    <n v="1"/>
    <x v="0"/>
  </r>
  <r>
    <s v="Randall"/>
    <s v="D"/>
    <x v="1"/>
    <s v="20/09 à 21:56:40"/>
    <n v="1"/>
    <n v="1"/>
    <x v="0"/>
  </r>
  <r>
    <s v="Mason"/>
    <s v="M"/>
    <x v="1"/>
    <s v="20/09 à 21:56:40"/>
    <n v="1"/>
    <n v="1"/>
    <x v="0"/>
  </r>
  <r>
    <s v="Ethan Robson"/>
    <s v="M"/>
    <x v="4"/>
    <s v="21/09 à 07:45:11"/>
    <n v="1"/>
    <n v="1"/>
    <x v="1"/>
  </r>
  <r>
    <s v="Akpom"/>
    <s v="A"/>
    <x v="0"/>
    <s v="21/09 à 13:48:10"/>
    <n v="1"/>
    <n v="1"/>
    <x v="0"/>
  </r>
  <r>
    <s v="Bowen"/>
    <s v="A"/>
    <x v="0"/>
    <s v="21/09 à 13:48:10"/>
    <n v="1"/>
    <n v="1"/>
    <x v="1"/>
  </r>
  <r>
    <m/>
    <m/>
    <x v="8"/>
    <m/>
    <m/>
    <n v="1"/>
    <x v="0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76">
  <r>
    <s v="Everton - Coleman"/>
    <x v="0"/>
    <s v="Coleman"/>
    <s v="Défenseur"/>
    <s v="Everton"/>
    <n v="3"/>
    <n v="0"/>
    <n v="0"/>
    <n v="0"/>
    <m/>
    <m/>
    <n v="6.333333333333333"/>
    <n v="3"/>
    <n v="0"/>
    <n v="1"/>
  </r>
  <r>
    <s v="Tottenham - Dier"/>
    <x v="0"/>
    <s v="Dier"/>
    <s v="Milieu"/>
    <s v="Tottenham"/>
    <n v="22"/>
    <n v="0"/>
    <n v="0"/>
    <n v="0"/>
    <m/>
    <m/>
    <n v="5.2"/>
    <n v="5"/>
    <n v="0"/>
    <n v="0"/>
  </r>
  <r>
    <s v="Leicester - Fuchs"/>
    <x v="0"/>
    <s v="Fuchs"/>
    <s v="Défenseur"/>
    <s v="Leicester"/>
    <n v="15"/>
    <n v="0"/>
    <n v="0"/>
    <n v="0"/>
    <m/>
    <m/>
    <n v="4.666666666666667"/>
    <n v="6"/>
    <n v="0"/>
    <n v="0"/>
  </r>
  <r>
    <s v="Middlesbrough - Husband"/>
    <x v="0"/>
    <s v="Husband"/>
    <s v="Défenseur"/>
    <s v="Middlesbrough"/>
    <n v="1"/>
    <n v="0"/>
    <n v="0"/>
    <n v="0"/>
    <m/>
    <m/>
    <s v=""/>
    <n v="0"/>
    <n v="0"/>
    <n v="0"/>
  </r>
  <r>
    <s v="Man City - Iheanacho"/>
    <x v="0"/>
    <s v="Iheanacho"/>
    <s v="Attaquant"/>
    <s v="Man City"/>
    <n v="44"/>
    <n v="0"/>
    <n v="0"/>
    <n v="0"/>
    <m/>
    <m/>
    <n v="7"/>
    <n v="2"/>
    <n v="2"/>
    <n v="2"/>
  </r>
  <r>
    <s v="Swansea - Llorente"/>
    <x v="0"/>
    <s v="Llorente"/>
    <s v="Attaquant"/>
    <s v="Swansea"/>
    <n v="36"/>
    <n v="0"/>
    <n v="0"/>
    <n v="0"/>
    <m/>
    <m/>
    <n v="4.666666666666667"/>
    <n v="6"/>
    <n v="0"/>
    <n v="1"/>
  </r>
  <r>
    <s v="Bournemouth - Mings"/>
    <x v="0"/>
    <s v="Mings"/>
    <s v="Défenseur"/>
    <s v="Bournemouth"/>
    <n v="1"/>
    <n v="0"/>
    <n v="0"/>
    <n v="0"/>
    <m/>
    <m/>
    <s v=""/>
    <n v="0"/>
    <n v="0"/>
    <n v="0"/>
  </r>
  <r>
    <s v="Everton - Mirallas"/>
    <x v="0"/>
    <s v="Mirallas"/>
    <s v="Milieu"/>
    <s v="Everton"/>
    <n v="35"/>
    <n v="0"/>
    <n v="0"/>
    <n v="0"/>
    <m/>
    <m/>
    <n v="5.5"/>
    <n v="6"/>
    <n v="0"/>
    <n v="1"/>
  </r>
  <r>
    <s v="Man City - Otamendi"/>
    <x v="0"/>
    <s v="Otamendi"/>
    <s v="Défenseur"/>
    <s v="Man City"/>
    <n v="25"/>
    <n v="0"/>
    <n v="0"/>
    <n v="0"/>
    <m/>
    <m/>
    <n v="6"/>
    <n v="5"/>
    <n v="0"/>
    <n v="0"/>
  </r>
  <r>
    <s v="West Ham - Payet"/>
    <x v="0"/>
    <s v="Payet"/>
    <s v="Milieu"/>
    <s v="West Ham"/>
    <n v="43"/>
    <n v="0"/>
    <n v="0"/>
    <n v="0"/>
    <m/>
    <m/>
    <n v="6"/>
    <n v="3"/>
    <n v="1"/>
    <n v="0"/>
  </r>
  <r>
    <s v="Liverpool - Roberto Firmino"/>
    <x v="0"/>
    <s v="Roberto Firmino"/>
    <s v="Attaquant"/>
    <s v="Liverpool"/>
    <n v="31"/>
    <n v="0"/>
    <n v="0"/>
    <n v="0"/>
    <m/>
    <m/>
    <n v="6"/>
    <n v="5"/>
    <n v="0"/>
    <n v="2"/>
  </r>
  <r>
    <s v="Everton - Robles"/>
    <x v="0"/>
    <s v="Robles"/>
    <s v="Gardien"/>
    <s v="Everton"/>
    <n v="9"/>
    <n v="0"/>
    <n v="0"/>
    <n v="0"/>
    <m/>
    <m/>
    <s v=""/>
    <n v="0"/>
    <n v="0"/>
    <n v="0"/>
  </r>
  <r>
    <s v="Man United - Schweinsteiger"/>
    <x v="0"/>
    <s v="Schweinsteiger"/>
    <s v="Milieu"/>
    <s v="Man United"/>
    <n v="1"/>
    <n v="0"/>
    <n v="0"/>
    <n v="0"/>
    <m/>
    <m/>
    <s v=""/>
    <n v="0"/>
    <n v="0"/>
    <n v="0"/>
  </r>
  <r>
    <s v="Swansea - Sigurdsson"/>
    <x v="0"/>
    <s v="Sigurdsson"/>
    <s v="Milieu"/>
    <s v="Swansea"/>
    <n v="31"/>
    <n v="0"/>
    <n v="0"/>
    <n v="0"/>
    <m/>
    <m/>
    <n v="5.2"/>
    <n v="5"/>
    <n v="1"/>
    <n v="1"/>
  </r>
  <r>
    <s v="Man City - Silva"/>
    <x v="0"/>
    <s v="Silva"/>
    <s v="Milieu"/>
    <s v="Man City"/>
    <n v="51"/>
    <n v="2"/>
    <n v="0"/>
    <n v="2"/>
    <s v="4.90"/>
    <s v="4.95"/>
    <n v="6.2"/>
    <n v="5"/>
    <n v="0"/>
    <n v="0"/>
  </r>
  <r>
    <s v="Man United - Smalling"/>
    <x v="0"/>
    <s v="Smalling"/>
    <s v="Défenseur"/>
    <s v="Man United"/>
    <n v="18"/>
    <n v="0"/>
    <n v="0"/>
    <n v="0"/>
    <m/>
    <m/>
    <n v="6"/>
    <n v="2"/>
    <n v="2"/>
    <n v="1"/>
  </r>
  <r>
    <s v="Everton - Stekelenburg"/>
    <x v="0"/>
    <s v="Stekelenburg"/>
    <s v="Gardien"/>
    <s v="Everton"/>
    <n v="21"/>
    <n v="0"/>
    <n v="0"/>
    <n v="0"/>
    <m/>
    <m/>
    <n v="5.333333333333333"/>
    <n v="6"/>
    <n v="0"/>
    <n v="0"/>
  </r>
  <r>
    <s v="Man City - Sterling"/>
    <x v="0"/>
    <s v="Sterling"/>
    <s v="Attaquant"/>
    <s v="Man City"/>
    <n v="48"/>
    <n v="0"/>
    <n v="0"/>
    <n v="0"/>
    <m/>
    <m/>
    <n v="6.333333333333333"/>
    <n v="6"/>
    <n v="0"/>
    <n v="4"/>
  </r>
  <r>
    <s v="Arsenal - Walcott"/>
    <x v="0"/>
    <s v="Walcott"/>
    <s v="Attaquant"/>
    <s v="Arsenal"/>
    <n v="24"/>
    <n v="0"/>
    <n v="0"/>
    <n v="0"/>
    <m/>
    <m/>
    <n v="6.166666666666667"/>
    <n v="6"/>
    <n v="0"/>
    <n v="3"/>
  </r>
  <r>
    <s v="Chelsea - Willian"/>
    <x v="0"/>
    <s v="Willian"/>
    <s v="Milieu"/>
    <s v="Chelsea"/>
    <n v="41"/>
    <n v="2"/>
    <n v="0"/>
    <n v="2"/>
    <s v="5.75"/>
    <s v="5.81"/>
    <n v="5.6"/>
    <n v="5"/>
    <n v="0"/>
    <n v="1"/>
  </r>
  <r>
    <s v="Man United - Blind"/>
    <x v="1"/>
    <s v="Blind"/>
    <s v="Défenseur"/>
    <s v="Man United"/>
    <n v="17"/>
    <n v="0"/>
    <n v="0"/>
    <n v="0"/>
    <s v="5.14"/>
    <s v="5.21"/>
    <n v="6.4"/>
    <n v="5"/>
    <n v="0"/>
    <n v="0"/>
  </r>
  <r>
    <s v="Southampton - Boufal"/>
    <x v="1"/>
    <s v="Boufal"/>
    <s v="Milieu"/>
    <s v="Southampton"/>
    <n v="19"/>
    <n v="0"/>
    <n v="0"/>
    <n v="0"/>
    <m/>
    <m/>
    <s v=""/>
    <n v="0"/>
    <n v="0"/>
    <n v="0"/>
  </r>
  <r>
    <s v="Man United - Fellaini"/>
    <x v="1"/>
    <s v="Fellaini"/>
    <s v="Milieu"/>
    <s v="Man United"/>
    <n v="29"/>
    <n v="0"/>
    <n v="0"/>
    <n v="0"/>
    <s v="5.00"/>
    <s v="5.54"/>
    <n v="6.2"/>
    <n v="5"/>
    <n v="0"/>
    <n v="0"/>
  </r>
  <r>
    <s v="Arsenal - Giroud"/>
    <x v="1"/>
    <s v="Giroud"/>
    <s v="Attaquant"/>
    <s v="Arsenal"/>
    <n v="32"/>
    <n v="0"/>
    <n v="0"/>
    <n v="0"/>
    <m/>
    <m/>
    <s v=""/>
    <n v="0"/>
    <n v="2"/>
    <n v="0"/>
  </r>
  <r>
    <s v="Leicester - Gray"/>
    <x v="1"/>
    <s v="Gray"/>
    <s v="Milieu"/>
    <s v="Leicester"/>
    <n v="8"/>
    <n v="0"/>
    <n v="0"/>
    <n v="0"/>
    <s v="4.75"/>
    <s v="5.31"/>
    <n v="5"/>
    <n v="1"/>
    <n v="2"/>
    <n v="1"/>
  </r>
  <r>
    <s v="Liverpool - Henderson"/>
    <x v="1"/>
    <s v="Henderson"/>
    <s v="Milieu"/>
    <s v="Liverpool"/>
    <n v="17"/>
    <n v="0"/>
    <n v="0"/>
    <n v="0"/>
    <s v="4.67"/>
    <s v="4.83"/>
    <n v="6.166666666666667"/>
    <n v="6"/>
    <n v="0"/>
    <n v="1"/>
  </r>
  <r>
    <s v="Man City - Kompany"/>
    <x v="1"/>
    <s v="Kompany"/>
    <s v="Défenseur"/>
    <s v="Man City"/>
    <n v="15"/>
    <n v="0"/>
    <n v="0"/>
    <n v="0"/>
    <m/>
    <m/>
    <s v=""/>
    <n v="0"/>
    <n v="0"/>
    <n v="0"/>
  </r>
  <r>
    <s v="Arsenal - Koscielny"/>
    <x v="1"/>
    <s v="Koscielny"/>
    <s v="Défenseur"/>
    <s v="Arsenal"/>
    <n v="20"/>
    <n v="0"/>
    <n v="0"/>
    <n v="0"/>
    <m/>
    <m/>
    <n v="6.2"/>
    <n v="5"/>
    <n v="0"/>
    <n v="1"/>
  </r>
  <r>
    <s v="Tottenham - Lloris"/>
    <x v="1"/>
    <s v="Lloris"/>
    <s v="Gardien"/>
    <s v="Tottenham"/>
    <n v="25"/>
    <n v="0"/>
    <n v="0"/>
    <n v="0"/>
    <m/>
    <m/>
    <n v="5.75"/>
    <n v="4"/>
    <n v="0"/>
    <n v="0"/>
  </r>
  <r>
    <s v="Everton - Lukaku"/>
    <x v="1"/>
    <s v="Lukaku"/>
    <s v="Attaquant"/>
    <s v="Everton"/>
    <n v="103"/>
    <n v="0"/>
    <n v="0"/>
    <n v="0"/>
    <m/>
    <m/>
    <n v="6.25"/>
    <n v="4"/>
    <n v="1"/>
    <n v="4"/>
  </r>
  <r>
    <s v="Leicester - Morgan"/>
    <x v="1"/>
    <s v="Morgan"/>
    <s v="Défenseur"/>
    <s v="Leicester"/>
    <n v="18"/>
    <n v="0"/>
    <n v="0"/>
    <n v="0"/>
    <m/>
    <m/>
    <n v="4.333333333333333"/>
    <n v="6"/>
    <n v="0"/>
    <n v="1"/>
  </r>
  <r>
    <s v="Arsenal - Mustafi"/>
    <x v="1"/>
    <s v="Mustafi"/>
    <s v="Défenseur"/>
    <s v="Arsenal"/>
    <n v="24"/>
    <n v="0"/>
    <n v="0"/>
    <n v="0"/>
    <m/>
    <m/>
    <n v="5.666666666666667"/>
    <n v="3"/>
    <n v="0"/>
    <n v="0"/>
  </r>
  <r>
    <s v="Liverpool - Origi"/>
    <x v="1"/>
    <s v="Origi"/>
    <s v="Attaquant"/>
    <s v="Liverpool"/>
    <n v="25"/>
    <n v="0"/>
    <n v="0"/>
    <n v="0"/>
    <m/>
    <m/>
    <s v=""/>
    <n v="0"/>
    <n v="4"/>
    <n v="0"/>
  </r>
  <r>
    <s v="Man United - Pogba"/>
    <x v="1"/>
    <s v="Pogba"/>
    <s v="Milieu"/>
    <s v="Man United"/>
    <n v="35"/>
    <n v="0"/>
    <n v="0"/>
    <n v="0"/>
    <m/>
    <m/>
    <n v="6"/>
    <n v="5"/>
    <n v="0"/>
    <n v="1"/>
  </r>
  <r>
    <s v="Tottenham - Son Heung-Min"/>
    <x v="1"/>
    <s v="Son Heung-Min"/>
    <s v="Milieu"/>
    <s v="Tottenham"/>
    <n v="6"/>
    <n v="0"/>
    <n v="0"/>
    <n v="0"/>
    <m/>
    <m/>
    <n v="7.333333333333333"/>
    <n v="3"/>
    <n v="0"/>
    <n v="4"/>
  </r>
  <r>
    <s v="Arsenal - Sánchez"/>
    <x v="1"/>
    <s v="Sánchez"/>
    <s v="Attaquant"/>
    <s v="Arsenal"/>
    <n v="81"/>
    <n v="0"/>
    <n v="0"/>
    <n v="0"/>
    <m/>
    <m/>
    <n v="6.4"/>
    <n v="5"/>
    <n v="0"/>
    <n v="4"/>
  </r>
  <r>
    <s v="Tottenham - Vorm"/>
    <x v="1"/>
    <s v="Vorm"/>
    <s v="Gardien"/>
    <s v="Tottenham"/>
    <n v="12"/>
    <n v="0"/>
    <n v="0"/>
    <n v="0"/>
    <m/>
    <m/>
    <n v="6"/>
    <n v="2"/>
    <n v="1"/>
    <n v="0"/>
  </r>
  <r>
    <s v="Arsenal - Xhaka"/>
    <x v="1"/>
    <s v="Xhaka"/>
    <s v="Milieu"/>
    <s v="Arsenal"/>
    <n v="12"/>
    <n v="0"/>
    <n v="0"/>
    <n v="0"/>
    <s v="5.38"/>
    <s v="5.27"/>
    <n v="5.5"/>
    <n v="2"/>
    <n v="3"/>
    <n v="1"/>
  </r>
  <r>
    <s v="Arsenal - Bellerín"/>
    <x v="2"/>
    <s v="Bellerín"/>
    <s v="Défenseur"/>
    <s v="Arsenal"/>
    <n v="17"/>
    <n v="0"/>
    <n v="0"/>
    <n v="0"/>
    <m/>
    <m/>
    <n v="5.5"/>
    <n v="6"/>
    <n v="0"/>
    <n v="0"/>
  </r>
  <r>
    <s v="Crystal Palace - Benteke"/>
    <x v="2"/>
    <s v="Benteke"/>
    <s v="Attaquant"/>
    <s v="Crystal Palace"/>
    <n v="25"/>
    <n v="0"/>
    <n v="0"/>
    <n v="0"/>
    <m/>
    <m/>
    <n v="5.5"/>
    <n v="4"/>
    <n v="0"/>
    <n v="2"/>
  </r>
  <r>
    <s v="Man City - Bravo"/>
    <x v="2"/>
    <s v="Bravo"/>
    <s v="Gardien"/>
    <s v="Man City"/>
    <n v="14"/>
    <n v="0"/>
    <n v="0"/>
    <n v="0"/>
    <m/>
    <m/>
    <n v="5.333333333333333"/>
    <n v="3"/>
    <n v="0"/>
    <n v="0"/>
  </r>
  <r>
    <s v="Hull city - Dawson"/>
    <x v="2"/>
    <s v="Dawson"/>
    <s v="Défenseur"/>
    <s v="Hull city"/>
    <n v="9"/>
    <n v="0"/>
    <n v="0"/>
    <n v="0"/>
    <m/>
    <m/>
    <s v=""/>
    <n v="0"/>
    <n v="0"/>
    <n v="0"/>
  </r>
  <r>
    <s v="Man City - De Bruyne"/>
    <x v="2"/>
    <s v="De Bruyne"/>
    <s v="Milieu"/>
    <s v="Man City"/>
    <n v="80"/>
    <n v="0"/>
    <n v="0"/>
    <n v="0"/>
    <m/>
    <m/>
    <m/>
    <m/>
    <m/>
    <m/>
  </r>
  <r>
    <s v="Watford - Dja Djédjé"/>
    <x v="2"/>
    <s v="Dja Djédjé"/>
    <s v="Défenseur"/>
    <s v="Watford"/>
    <n v="13"/>
    <n v="2"/>
    <n v="0"/>
    <n v="2"/>
    <s v="5.00"/>
    <s v="5.14"/>
    <m/>
    <m/>
    <m/>
    <m/>
  </r>
  <r>
    <s v="Swansea - Fabianski"/>
    <x v="2"/>
    <s v="Fabianski"/>
    <s v="Gardien"/>
    <s v="Swansea"/>
    <n v="14"/>
    <n v="2"/>
    <n v="0"/>
    <n v="2"/>
    <s v="5.75"/>
    <s v="5.75"/>
    <m/>
    <m/>
    <m/>
    <m/>
  </r>
  <r>
    <s v="Tottenham - Georges-Kévin Nkoudou"/>
    <x v="2"/>
    <s v="Georges-Kévin Nkoudou"/>
    <s v="Milieu"/>
    <s v="Tottenham"/>
    <n v="15"/>
    <n v="0"/>
    <n v="0"/>
    <n v="0"/>
    <m/>
    <m/>
    <s v=""/>
    <n v="0"/>
    <n v="1"/>
    <n v="0"/>
  </r>
  <r>
    <s v="Man City - Gündogan"/>
    <x v="2"/>
    <s v="Gündogan"/>
    <s v="Milieu"/>
    <s v="Man City"/>
    <n v="15"/>
    <n v="0"/>
    <n v="0"/>
    <n v="0"/>
    <m/>
    <m/>
    <n v="6.5"/>
    <n v="2"/>
    <n v="0"/>
    <n v="1"/>
  </r>
  <r>
    <s v="Sunderland - Januzaj"/>
    <x v="2"/>
    <s v="Januzaj"/>
    <s v="Milieu"/>
    <s v="Sunderland"/>
    <n v="17"/>
    <n v="0"/>
    <n v="0"/>
    <n v="0"/>
    <m/>
    <m/>
    <n v="4.2"/>
    <n v="5"/>
    <n v="1"/>
    <n v="0"/>
  </r>
  <r>
    <s v="Southampton - José Fonte"/>
    <x v="2"/>
    <s v="José Fonte"/>
    <s v="Défenseur"/>
    <s v="Southampton"/>
    <n v="14"/>
    <n v="0"/>
    <n v="0"/>
    <n v="0"/>
    <m/>
    <m/>
    <n v="4.8"/>
    <n v="5"/>
    <n v="0"/>
    <n v="0"/>
  </r>
  <r>
    <s v="Man City - Kolarov"/>
    <x v="2"/>
    <s v="Kolarov"/>
    <s v="Défenseur"/>
    <s v="Man City"/>
    <n v="17"/>
    <n v="0"/>
    <n v="0"/>
    <n v="0"/>
    <m/>
    <m/>
    <n v="5.6"/>
    <n v="5"/>
    <n v="1"/>
    <n v="0"/>
  </r>
  <r>
    <s v="Liverpool - Lovren"/>
    <x v="2"/>
    <s v="Lovren"/>
    <s v="Défenseur"/>
    <s v="Liverpool"/>
    <n v="18"/>
    <n v="0"/>
    <n v="0"/>
    <n v="0"/>
    <m/>
    <m/>
    <n v="5.25"/>
    <n v="4"/>
    <n v="0"/>
    <n v="1"/>
  </r>
  <r>
    <s v="Leicester - Mahrez"/>
    <x v="2"/>
    <s v="Mahrez"/>
    <s v="Milieu"/>
    <s v="Leicester"/>
    <n v="52"/>
    <n v="0"/>
    <n v="0"/>
    <n v="0"/>
    <m/>
    <m/>
    <n v="4.666666666666667"/>
    <n v="6"/>
    <n v="0"/>
    <n v="1"/>
  </r>
  <r>
    <s v="Man United - Martial"/>
    <x v="2"/>
    <s v="Martial"/>
    <s v="Attaquant"/>
    <s v="Man United"/>
    <n v="32"/>
    <m/>
    <m/>
    <m/>
    <m/>
    <m/>
    <n v="5"/>
    <n v="4"/>
    <n v="1"/>
    <n v="0"/>
  </r>
  <r>
    <s v="Man City - Nolito"/>
    <x v="2"/>
    <s v="Nolito"/>
    <s v="Attaquant"/>
    <s v="Man City"/>
    <n v="22"/>
    <n v="0"/>
    <n v="0"/>
    <n v="0"/>
    <m/>
    <m/>
    <n v="5.75"/>
    <n v="4"/>
    <n v="1"/>
    <n v="2"/>
  </r>
  <r>
    <s v="Arsenal - Ramsey"/>
    <x v="2"/>
    <s v="Ramsey"/>
    <s v="Milieu"/>
    <s v="Arsenal"/>
    <n v="23"/>
    <n v="8"/>
    <n v="0"/>
    <n v="8"/>
    <s v="5.79"/>
    <s v="5.82"/>
    <n v="4"/>
    <n v="1"/>
    <n v="0"/>
    <n v="0"/>
  </r>
  <r>
    <s v="Tottenham - Sissoko"/>
    <x v="2"/>
    <s v="Sissoko"/>
    <s v="Milieu"/>
    <s v="Tottenham"/>
    <n v="23"/>
    <n v="0"/>
    <n v="0"/>
    <n v="0"/>
    <m/>
    <m/>
    <n v="4.5"/>
    <n v="2"/>
    <n v="1"/>
    <n v="0"/>
  </r>
  <r>
    <s v="Leicester - Vardy"/>
    <x v="2"/>
    <s v="Vardy"/>
    <s v="Attaquant"/>
    <s v="Leicester"/>
    <n v="62"/>
    <n v="0"/>
    <n v="0"/>
    <n v="0"/>
    <m/>
    <m/>
    <n v="4.5"/>
    <n v="6"/>
    <n v="0"/>
    <n v="2"/>
  </r>
  <r>
    <s v="Tottenham - Vertonghen"/>
    <x v="2"/>
    <s v="Vertonghen"/>
    <s v="Défenseur"/>
    <s v="Tottenham"/>
    <n v="18"/>
    <n v="0"/>
    <n v="0"/>
    <n v="0"/>
    <m/>
    <m/>
    <m/>
    <m/>
    <m/>
    <m/>
  </r>
  <r>
    <s v="Middlesbrough - Bernardo"/>
    <x v="3"/>
    <s v="Bernardo"/>
    <s v="Défenseur"/>
    <s v="Middlesbrough"/>
    <n v="3"/>
    <n v="0"/>
    <n v="0"/>
    <n v="0"/>
    <m/>
    <m/>
    <m/>
    <m/>
    <m/>
    <m/>
  </r>
  <r>
    <s v="Stoke City - Bojan"/>
    <x v="3"/>
    <s v="Bojan"/>
    <s v="Attaquant"/>
    <s v="Stoke City"/>
    <n v="11"/>
    <n v="0"/>
    <n v="0"/>
    <n v="0"/>
    <m/>
    <m/>
    <n v="4.666666666666667"/>
    <n v="3"/>
    <n v="1"/>
    <n v="0"/>
  </r>
  <r>
    <s v="Chelsea - Cahill"/>
    <x v="3"/>
    <s v="Cahill"/>
    <s v="Défenseur"/>
    <s v="Chelsea"/>
    <n v="28"/>
    <n v="0"/>
    <n v="0"/>
    <n v="0"/>
    <m/>
    <m/>
    <m/>
    <m/>
    <m/>
    <m/>
  </r>
  <r>
    <s v="Middlesbrough - De Pena"/>
    <x v="3"/>
    <s v="De Pena"/>
    <s v="Milieu"/>
    <s v="Middlesbrough"/>
    <n v="3"/>
    <n v="0"/>
    <n v="0"/>
    <n v="0"/>
    <m/>
    <m/>
    <m/>
    <m/>
    <m/>
    <m/>
  </r>
  <r>
    <s v="Tottenham - Dele Alli"/>
    <x v="3"/>
    <s v="Dele Alli"/>
    <s v="Milieu"/>
    <s v="Tottenham"/>
    <n v="25"/>
    <n v="0"/>
    <n v="0"/>
    <n v="0"/>
    <m/>
    <m/>
    <n v="5.4"/>
    <n v="5"/>
    <n v="1"/>
    <n v="1"/>
  </r>
  <r>
    <s v="West Bromwich - Fletcher"/>
    <x v="3"/>
    <s v="Fletcher"/>
    <s v="Milieu"/>
    <s v="West Bromwich"/>
    <n v="7"/>
    <n v="0"/>
    <n v="0"/>
    <n v="0"/>
    <m/>
    <m/>
    <n v="4.5"/>
    <n v="6"/>
    <n v="0"/>
    <n v="0"/>
  </r>
  <r>
    <s v="Southampton - Forster"/>
    <x v="3"/>
    <s v="Forster"/>
    <s v="Gardien"/>
    <s v="Southampton"/>
    <n v="17"/>
    <n v="0"/>
    <n v="0"/>
    <n v="0"/>
    <m/>
    <m/>
    <n v="4.833333333333333"/>
    <n v="6"/>
    <n v="0"/>
    <n v="0"/>
  </r>
  <r>
    <s v="Chelsea - Ivanovic"/>
    <x v="3"/>
    <s v="Ivanovic"/>
    <s v="Défenseur"/>
    <s v="Chelsea"/>
    <n v="24"/>
    <n v="0"/>
    <n v="0"/>
    <n v="0"/>
    <m/>
    <m/>
    <n v="5.5"/>
    <n v="6"/>
    <n v="0"/>
    <n v="0"/>
  </r>
  <r>
    <s v="Tottenham - Kane"/>
    <x v="3"/>
    <s v="Kane"/>
    <s v="Attaquant"/>
    <s v="Tottenham"/>
    <n v="90"/>
    <n v="0"/>
    <n v="0"/>
    <n v="0"/>
    <m/>
    <m/>
    <n v="5.6"/>
    <n v="5"/>
    <n v="0"/>
    <n v="2"/>
  </r>
  <r>
    <s v="West Bromwich - Leko"/>
    <x v="3"/>
    <s v="Leko"/>
    <s v="Milieu"/>
    <s v="West Bromwich"/>
    <n v="9"/>
    <n v="0"/>
    <n v="0"/>
    <n v="0"/>
    <m/>
    <m/>
    <s v=""/>
    <n v="0"/>
    <n v="4"/>
    <n v="0"/>
  </r>
  <r>
    <s v="Hull city - Maguire"/>
    <x v="3"/>
    <s v="Maguire"/>
    <s v="Défenseur"/>
    <s v="Hull city"/>
    <n v="7"/>
    <n v="0"/>
    <n v="0"/>
    <n v="0"/>
    <m/>
    <m/>
    <s v=""/>
    <n v="0"/>
    <n v="3"/>
    <n v="0"/>
  </r>
  <r>
    <s v="Man United - Mata"/>
    <x v="3"/>
    <s v="Mata"/>
    <s v="Milieu"/>
    <s v="Man United"/>
    <n v="31"/>
    <n v="1"/>
    <n v="0"/>
    <n v="1"/>
    <s v="4.62"/>
    <s v="4.69"/>
    <n v="6.75"/>
    <n v="4"/>
    <n v="1"/>
    <n v="2"/>
  </r>
  <r>
    <s v="Southampton - McCarthy"/>
    <x v="3"/>
    <s v="McCarthy"/>
    <s v="Gardien"/>
    <s v="Southampton"/>
    <n v="10"/>
    <n v="0"/>
    <n v="0"/>
    <n v="0"/>
    <m/>
    <m/>
    <s v=""/>
    <n v="0"/>
    <n v="0"/>
    <n v="0"/>
  </r>
  <r>
    <s v="Man United - Rooney"/>
    <x v="3"/>
    <s v="Rooney"/>
    <s v="Attaquant"/>
    <s v="Man United"/>
    <n v="58"/>
    <n v="0"/>
    <n v="0"/>
    <n v="0"/>
    <m/>
    <m/>
    <n v="5.6"/>
    <n v="5"/>
    <n v="1"/>
    <n v="1"/>
  </r>
  <r>
    <s v="Tottenham - Rose"/>
    <x v="3"/>
    <s v="Rose"/>
    <s v="Défenseur"/>
    <s v="Tottenham"/>
    <n v="19"/>
    <n v="0"/>
    <n v="0"/>
    <n v="0"/>
    <m/>
    <m/>
    <n v="5.666666666666667"/>
    <n v="3"/>
    <n v="0"/>
    <n v="1"/>
  </r>
  <r>
    <s v="Leicester - Simpson"/>
    <x v="3"/>
    <s v="Simpson"/>
    <s v="Défenseur"/>
    <s v="Leicester"/>
    <n v="13"/>
    <n v="0"/>
    <n v="0"/>
    <n v="0"/>
    <m/>
    <m/>
    <n v="4.333333333333333"/>
    <n v="6"/>
    <n v="0"/>
    <n v="0"/>
  </r>
  <r>
    <s v="Liverpool - Sturridge"/>
    <x v="3"/>
    <s v="Sturridge"/>
    <s v="Attaquant"/>
    <s v="Liverpool"/>
    <n v="80"/>
    <n v="0"/>
    <n v="0"/>
    <n v="0"/>
    <m/>
    <m/>
    <n v="5"/>
    <n v="3"/>
    <n v="2"/>
    <n v="0"/>
  </r>
  <r>
    <s v="Arsenal - Özil"/>
    <x v="3"/>
    <s v="Özil"/>
    <s v="Milieu"/>
    <s v="Arsenal"/>
    <n v="65"/>
    <n v="0"/>
    <n v="0"/>
    <n v="0"/>
    <m/>
    <m/>
    <n v="6"/>
    <n v="4"/>
    <n v="1"/>
    <n v="2"/>
  </r>
  <r>
    <s v="Chelsea - Azpilicueta"/>
    <x v="4"/>
    <s v="Azpilicueta"/>
    <s v="Défenseur"/>
    <s v="Chelsea"/>
    <n v="28"/>
    <n v="0"/>
    <n v="0"/>
    <n v="0"/>
    <m/>
    <m/>
    <n v="5"/>
    <n v="6"/>
    <n v="0"/>
    <n v="0"/>
  </r>
  <r>
    <s v="Everton - Baines"/>
    <x v="4"/>
    <s v="Baines"/>
    <s v="Défenseur"/>
    <s v="Everton"/>
    <n v="22"/>
    <n v="0"/>
    <n v="0"/>
    <n v="0"/>
    <m/>
    <m/>
    <n v="6"/>
    <n v="5"/>
    <n v="0"/>
    <n v="0"/>
  </r>
  <r>
    <s v="Arsenal - Cazorla"/>
    <x v="4"/>
    <s v="Cazorla"/>
    <s v="Milieu"/>
    <s v="Arsenal"/>
    <n v="45"/>
    <n v="0"/>
    <n v="0"/>
    <n v="0"/>
    <m/>
    <m/>
    <n v="6.2"/>
    <n v="5"/>
    <n v="1"/>
    <n v="2"/>
  </r>
  <r>
    <s v="Man City - Fernandinho"/>
    <x v="4"/>
    <s v="Fernandinho"/>
    <s v="Milieu"/>
    <s v="Man City"/>
    <n v="33"/>
    <n v="0"/>
    <n v="0"/>
    <n v="0"/>
    <m/>
    <m/>
    <n v="6.333333333333333"/>
    <n v="6"/>
    <n v="0"/>
    <n v="1"/>
  </r>
  <r>
    <s v="Burnley - Heaton"/>
    <x v="4"/>
    <s v="Heaton"/>
    <s v="Gardien"/>
    <s v="Burnley"/>
    <n v="13"/>
    <n v="0"/>
    <n v="0"/>
    <n v="0"/>
    <m/>
    <m/>
    <n v="5.5"/>
    <n v="6"/>
    <n v="0"/>
    <n v="0"/>
  </r>
  <r>
    <s v="Leicester - Huth"/>
    <x v="4"/>
    <s v="Huth"/>
    <s v="Défenseur"/>
    <s v="Leicester"/>
    <n v="13"/>
    <n v="0"/>
    <n v="0"/>
    <n v="0"/>
    <m/>
    <m/>
    <n v="4.4000000000000004"/>
    <n v="5"/>
    <n v="0"/>
    <n v="0"/>
  </r>
  <r>
    <s v="Man United - Ibrahimovic"/>
    <x v="4"/>
    <s v="Ibrahimovic"/>
    <s v="Attaquant"/>
    <s v="Man United"/>
    <n v="120"/>
    <n v="3"/>
    <n v="1"/>
    <n v="4"/>
    <s v="5.77"/>
    <s v="5.81"/>
    <n v="5.666666666666667"/>
    <n v="6"/>
    <n v="0"/>
    <n v="4"/>
  </r>
  <r>
    <s v="Watford - Juan Zuñiga"/>
    <x v="4"/>
    <s v="Juan Zuñiga"/>
    <s v="Défenseur"/>
    <s v="Watford"/>
    <n v="17"/>
    <n v="0"/>
    <n v="0"/>
    <n v="0"/>
    <s v="5.50"/>
    <s v="5.39"/>
    <s v=""/>
    <n v="0"/>
    <n v="3"/>
    <n v="1"/>
  </r>
  <r>
    <s v="Bournemouth - King"/>
    <x v="4"/>
    <s v="King"/>
    <s v="Attaquant"/>
    <s v="Bournemouth"/>
    <n v="20"/>
    <n v="0"/>
    <n v="0"/>
    <n v="0"/>
    <m/>
    <m/>
    <n v="5"/>
    <n v="5"/>
    <n v="0"/>
    <n v="1"/>
  </r>
  <r>
    <s v="Liverpool - Mané"/>
    <x v="4"/>
    <s v="Mané"/>
    <s v="Milieu"/>
    <s v="Liverpool"/>
    <n v="20"/>
    <n v="0"/>
    <n v="0"/>
    <n v="0"/>
    <m/>
    <m/>
    <n v="5.6"/>
    <n v="5"/>
    <n v="0"/>
    <n v="3"/>
  </r>
  <r>
    <s v="West Bromwich - McClean"/>
    <x v="4"/>
    <s v="McClean"/>
    <s v="Milieu"/>
    <s v="West Bromwich"/>
    <n v="10"/>
    <n v="0"/>
    <n v="0"/>
    <n v="0"/>
    <m/>
    <m/>
    <n v="5.333333333333333"/>
    <n v="3"/>
    <n v="2"/>
    <n v="1"/>
  </r>
  <r>
    <s v="Swansea - Naughton"/>
    <x v="4"/>
    <s v="Naughton"/>
    <s v="Défenseur"/>
    <s v="Swansea"/>
    <n v="14"/>
    <n v="0"/>
    <n v="0"/>
    <n v="0"/>
    <s v="5.33"/>
    <s v="5.21"/>
    <n v="4.666666666666667"/>
    <n v="6"/>
    <n v="0"/>
    <n v="0"/>
  </r>
  <r>
    <s v="Middlesbrough - Negredo"/>
    <x v="4"/>
    <s v="Negredo"/>
    <s v="Attaquant"/>
    <s v="Middlesbrough"/>
    <n v="28"/>
    <n v="0"/>
    <n v="0"/>
    <n v="0"/>
    <m/>
    <m/>
    <n v="4.666666666666667"/>
    <n v="6"/>
    <n v="0"/>
    <n v="1"/>
  </r>
  <r>
    <s v="West Bromwich - Rondón"/>
    <x v="4"/>
    <s v="Rondón"/>
    <s v="Attaquant"/>
    <s v="West Bromwich"/>
    <n v="43"/>
    <n v="0"/>
    <n v="1"/>
    <n v="1"/>
    <s v="5.12"/>
    <s v="5.56"/>
    <n v="5.6"/>
    <n v="5"/>
    <n v="1"/>
    <n v="3"/>
  </r>
  <r>
    <s v="Leicester - Schmeichel"/>
    <x v="4"/>
    <s v="Schmeichel"/>
    <s v="Gardien"/>
    <s v="Leicester"/>
    <n v="17"/>
    <n v="0"/>
    <n v="0"/>
    <n v="0"/>
    <m/>
    <m/>
    <n v="5"/>
    <n v="4"/>
    <n v="0"/>
    <n v="0"/>
  </r>
  <r>
    <s v="Man United - Shaw"/>
    <x v="4"/>
    <s v="Shaw"/>
    <s v="Défenseur"/>
    <s v="Man United"/>
    <n v="19"/>
    <n v="2"/>
    <n v="1"/>
    <n v="3"/>
    <s v="5.57"/>
    <s v="6.50"/>
    <n v="5"/>
    <n v="5"/>
    <n v="0"/>
    <n v="0"/>
  </r>
  <r>
    <s v="Hull city - Snodgrass"/>
    <x v="4"/>
    <s v="Snodgrass"/>
    <s v="Milieu"/>
    <s v="Hull city"/>
    <n v="22"/>
    <n v="0"/>
    <n v="0"/>
    <n v="0"/>
    <m/>
    <m/>
    <n v="5.5"/>
    <n v="6"/>
    <n v="0"/>
    <n v="3"/>
  </r>
  <r>
    <s v="Crystal Palace - Zaha"/>
    <x v="4"/>
    <s v="Zaha"/>
    <s v="Milieu"/>
    <s v="Crystal Palace"/>
    <n v="16"/>
    <n v="0"/>
    <n v="0"/>
    <n v="0"/>
    <m/>
    <m/>
    <n v="5.25"/>
    <n v="4"/>
    <n v="1"/>
    <n v="1"/>
  </r>
  <r>
    <s v="West Ham - Antonio"/>
    <x v="5"/>
    <s v="Antonio"/>
    <s v="Milieu"/>
    <s v="West Ham"/>
    <n v="25"/>
    <n v="0"/>
    <n v="0"/>
    <n v="0"/>
    <m/>
    <m/>
    <n v="5.166666666666667"/>
    <n v="6"/>
    <n v="0"/>
    <n v="4"/>
  </r>
  <r>
    <s v="Middlesbrough - Ayala"/>
    <x v="5"/>
    <s v="Ayala"/>
    <s v="Défenseur"/>
    <s v="Middlesbrough"/>
    <n v="14"/>
    <n v="0"/>
    <n v="0"/>
    <n v="0"/>
    <m/>
    <m/>
    <n v="5"/>
    <n v="3"/>
    <n v="1"/>
    <n v="1"/>
  </r>
  <r>
    <s v="Everton - Barry"/>
    <x v="5"/>
    <s v="Barry"/>
    <s v="Milieu"/>
    <s v="Everton"/>
    <n v="24"/>
    <n v="0"/>
    <n v="0"/>
    <n v="0"/>
    <m/>
    <m/>
    <n v="5.833333333333333"/>
    <n v="6"/>
    <n v="0"/>
    <n v="2"/>
  </r>
  <r>
    <s v="Watford - Capoue"/>
    <x v="5"/>
    <s v="Capoue"/>
    <s v="Milieu"/>
    <s v="Watford"/>
    <n v="33"/>
    <n v="0"/>
    <n v="0"/>
    <n v="0"/>
    <m/>
    <m/>
    <n v="6"/>
    <n v="6"/>
    <n v="0"/>
    <n v="4"/>
  </r>
  <r>
    <s v="Crystal Palace - Dann"/>
    <x v="5"/>
    <s v="Dann"/>
    <s v="Défenseur"/>
    <s v="Crystal Palace"/>
    <n v="24"/>
    <n v="0"/>
    <n v="0"/>
    <n v="0"/>
    <m/>
    <m/>
    <n v="5.8"/>
    <n v="5"/>
    <n v="0"/>
    <n v="2"/>
  </r>
  <r>
    <s v="Hull city - Davies"/>
    <x v="5"/>
    <s v="Davies"/>
    <s v="Défenseur"/>
    <s v="Hull city"/>
    <n v="24"/>
    <n v="0"/>
    <n v="0"/>
    <n v="0"/>
    <m/>
    <m/>
    <n v="5.333333333333333"/>
    <n v="6"/>
    <n v="0"/>
    <n v="0"/>
  </r>
  <r>
    <s v="Watford - Deeney"/>
    <x v="5"/>
    <s v="Deeney"/>
    <s v="Attaquant"/>
    <s v="Watford"/>
    <n v="22"/>
    <n v="0"/>
    <n v="0"/>
    <n v="0"/>
    <m/>
    <m/>
    <n v="5"/>
    <n v="6"/>
    <n v="0"/>
    <n v="2"/>
  </r>
  <r>
    <s v="Sunderland - Defoe"/>
    <x v="5"/>
    <s v="Defoe"/>
    <s v="Attaquant"/>
    <s v="Sunderland"/>
    <n v="48"/>
    <n v="0"/>
    <n v="0"/>
    <n v="0"/>
    <m/>
    <m/>
    <n v="4.833333333333333"/>
    <n v="6"/>
    <n v="0"/>
    <n v="4"/>
  </r>
  <r>
    <s v="Hull city - Diomande"/>
    <x v="5"/>
    <s v="Diomande"/>
    <s v="Attaquant"/>
    <s v="Hull city"/>
    <n v="28"/>
    <n v="0"/>
    <n v="0"/>
    <n v="0"/>
    <s v="5.20"/>
    <s v="6.10"/>
    <n v="4.666666666666667"/>
    <n v="6"/>
    <n v="0"/>
    <n v="1"/>
  </r>
  <r>
    <s v="Swansea - Fer"/>
    <x v="5"/>
    <s v="Fer"/>
    <s v="Milieu"/>
    <s v="Swansea"/>
    <n v="22"/>
    <n v="0"/>
    <n v="0"/>
    <n v="0"/>
    <m/>
    <m/>
    <n v="5.666666666666667"/>
    <n v="6"/>
    <n v="0"/>
    <n v="3"/>
  </r>
  <r>
    <s v="West Bromwich - Foster"/>
    <x v="5"/>
    <s v="Foster"/>
    <s v="Gardien"/>
    <s v="West Bromwich"/>
    <n v="13"/>
    <n v="0"/>
    <n v="0"/>
    <n v="0"/>
    <m/>
    <m/>
    <n v="5.833333333333333"/>
    <n v="6"/>
    <n v="0"/>
    <n v="0"/>
  </r>
  <r>
    <s v="Everton - Gueye"/>
    <x v="5"/>
    <s v="Gueye"/>
    <s v="Milieu"/>
    <s v="Everton"/>
    <n v="24"/>
    <n v="0"/>
    <n v="0"/>
    <n v="0"/>
    <m/>
    <m/>
    <n v="6.333333333333333"/>
    <n v="6"/>
    <n v="0"/>
    <n v="0"/>
  </r>
  <r>
    <s v="Everton - Jagielka"/>
    <x v="5"/>
    <s v="Jagielka"/>
    <s v="Défenseur"/>
    <s v="Everton"/>
    <n v="24"/>
    <n v="0"/>
    <n v="0"/>
    <n v="0"/>
    <m/>
    <m/>
    <n v="5.666666666666667"/>
    <n v="6"/>
    <n v="0"/>
    <n v="0"/>
  </r>
  <r>
    <s v="Tottenham - Janssen"/>
    <x v="5"/>
    <s v="Janssen"/>
    <s v="Attaquant"/>
    <s v="Tottenham"/>
    <n v="16"/>
    <n v="0"/>
    <n v="0"/>
    <n v="0"/>
    <m/>
    <m/>
    <n v="4.5"/>
    <n v="2"/>
    <n v="3"/>
    <n v="0"/>
  </r>
  <r>
    <s v="Liverpool - Lallana"/>
    <x v="5"/>
    <s v="Lallana"/>
    <s v="Milieu"/>
    <s v="Liverpool"/>
    <n v="21"/>
    <n v="0"/>
    <n v="0"/>
    <n v="0"/>
    <m/>
    <m/>
    <n v="5.833333333333333"/>
    <n v="6"/>
    <n v="0"/>
    <n v="3"/>
  </r>
  <r>
    <s v="Crystal Palace - McArthur"/>
    <x v="5"/>
    <s v="McArthur"/>
    <s v="Milieu"/>
    <s v="Crystal Palace"/>
    <n v="8"/>
    <n v="0"/>
    <n v="0"/>
    <n v="0"/>
    <m/>
    <m/>
    <n v="6"/>
    <n v="4"/>
    <n v="0"/>
    <n v="2"/>
  </r>
  <r>
    <s v="West Bromwich - McAuley"/>
    <x v="5"/>
    <s v="McAuley"/>
    <s v="Défenseur"/>
    <s v="West Bromwich"/>
    <n v="16"/>
    <n v="0"/>
    <n v="0"/>
    <n v="0"/>
    <m/>
    <m/>
    <n v="5"/>
    <n v="6"/>
    <n v="0"/>
    <n v="1"/>
  </r>
  <r>
    <s v="West Bromwich - Myhill"/>
    <x v="5"/>
    <s v="Myhill"/>
    <s v="Gardien"/>
    <s v="West Bromwich"/>
    <n v="7"/>
    <n v="0"/>
    <n v="0"/>
    <n v="0"/>
    <m/>
    <m/>
    <s v=""/>
    <n v="0"/>
    <n v="0"/>
    <n v="0"/>
  </r>
  <r>
    <s v="Leicester - Slimani"/>
    <x v="5"/>
    <s v="Slimani"/>
    <s v="Attaquant"/>
    <s v="Leicester"/>
    <n v="36"/>
    <n v="0"/>
    <n v="0"/>
    <n v="0"/>
    <m/>
    <m/>
    <n v="6"/>
    <n v="2"/>
    <n v="0"/>
    <n v="2"/>
  </r>
  <r>
    <s v="Crystal Palace - Tomkins"/>
    <x v="5"/>
    <s v="Tomkins"/>
    <s v="Défenseur"/>
    <s v="Crystal Palace"/>
    <n v="8"/>
    <n v="3"/>
    <n v="1"/>
    <n v="4"/>
    <s v="5.50"/>
    <s v="5.50"/>
    <n v="6"/>
    <n v="2"/>
    <n v="1"/>
    <n v="1"/>
  </r>
  <r>
    <s v="Crystal Palace - Townsend"/>
    <x v="5"/>
    <s v="Townsend"/>
    <s v="Milieu"/>
    <s v="Crystal Palace"/>
    <n v="15"/>
    <n v="0"/>
    <n v="0"/>
    <n v="0"/>
    <m/>
    <m/>
    <n v="5.166666666666667"/>
    <n v="6"/>
    <n v="0"/>
    <n v="1"/>
  </r>
  <r>
    <s v="Tottenham - Walker"/>
    <x v="5"/>
    <s v="Walker"/>
    <s v="Défenseur"/>
    <s v="Tottenham"/>
    <n v="21"/>
    <n v="0"/>
    <n v="0"/>
    <n v="0"/>
    <m/>
    <m/>
    <n v="6"/>
    <n v="6"/>
    <n v="0"/>
    <n v="0"/>
  </r>
  <r>
    <s v="Crystal Palace - Ward"/>
    <x v="5"/>
    <s v="Ward"/>
    <s v="Défenseur"/>
    <s v="Crystal Palace"/>
    <n v="5"/>
    <n v="0"/>
    <n v="0"/>
    <n v="0"/>
    <m/>
    <m/>
    <n v="5.166666666666667"/>
    <n v="6"/>
    <n v="0"/>
    <n v="0"/>
  </r>
  <r>
    <s v="Bournemouth - Wilson"/>
    <x v="5"/>
    <s v="Wilson"/>
    <s v="Attaquant"/>
    <s v="Bournemouth"/>
    <n v="13"/>
    <n v="0"/>
    <n v="0"/>
    <n v="0"/>
    <m/>
    <m/>
    <n v="4"/>
    <n v="5"/>
    <n v="1"/>
    <n v="1"/>
  </r>
  <r>
    <s v="Man City - Agüero"/>
    <x v="6"/>
    <s v="Agüero"/>
    <s v="Attaquant"/>
    <s v="Man City"/>
    <n v="161"/>
    <n v="0"/>
    <n v="0"/>
    <n v="0"/>
    <m/>
    <m/>
    <n v="6.25"/>
    <n v="4"/>
    <n v="0"/>
    <n v="5"/>
  </r>
  <r>
    <s v="Bournemouth - Boruc"/>
    <x v="6"/>
    <s v="Boruc"/>
    <s v="Gardien"/>
    <s v="Bournemouth"/>
    <n v="10"/>
    <n v="0"/>
    <n v="0"/>
    <n v="0"/>
    <m/>
    <m/>
    <n v="5.5"/>
    <n v="6"/>
    <n v="0"/>
    <n v="0"/>
  </r>
  <r>
    <s v="Bournemouth - Cook"/>
    <x v="6"/>
    <s v="Cook"/>
    <s v="Défenseur"/>
    <s v="Bournemouth"/>
    <n v="9"/>
    <n v="0"/>
    <n v="0"/>
    <n v="0"/>
    <m/>
    <m/>
    <n v="5"/>
    <n v="6"/>
    <n v="0"/>
    <n v="0"/>
  </r>
  <r>
    <s v="Arsenal - Coquelin"/>
    <x v="6"/>
    <s v="Coquelin"/>
    <s v="Milieu"/>
    <s v="Arsenal"/>
    <n v="10"/>
    <n v="0"/>
    <n v="0"/>
    <n v="0"/>
    <m/>
    <m/>
    <n v="5.2"/>
    <n v="5"/>
    <n v="0"/>
    <n v="0"/>
  </r>
  <r>
    <s v="West Bromwich - Dawson"/>
    <x v="6"/>
    <s v="Dawson"/>
    <s v="Défenseur"/>
    <s v="West Bromwich"/>
    <n v="12"/>
    <n v="0"/>
    <n v="0"/>
    <n v="0"/>
    <m/>
    <m/>
    <n v="5.166666666666667"/>
    <n v="6"/>
    <n v="0"/>
    <n v="0"/>
  </r>
  <r>
    <s v="Crystal Palace - Delaney"/>
    <x v="6"/>
    <s v="Delaney"/>
    <s v="Défenseur"/>
    <s v="Crystal Palace"/>
    <n v="12"/>
    <n v="0"/>
    <n v="0"/>
    <n v="0"/>
    <m/>
    <m/>
    <n v="4.8"/>
    <n v="5"/>
    <n v="1"/>
    <n v="0"/>
  </r>
  <r>
    <s v="Chelsea - Diego Costa"/>
    <x v="6"/>
    <s v="Diego Costa"/>
    <s v="Attaquant"/>
    <s v="Chelsea"/>
    <n v="161"/>
    <n v="2"/>
    <n v="1"/>
    <n v="3"/>
    <s v="6.20"/>
    <s v="6.20"/>
    <n v="5.833333333333333"/>
    <n v="6"/>
    <n v="0"/>
    <n v="5"/>
  </r>
  <r>
    <s v="Bournemouth - Federici"/>
    <x v="6"/>
    <s v="Federici"/>
    <s v="Gardien"/>
    <s v="Bournemouth"/>
    <n v="5"/>
    <n v="0"/>
    <n v="0"/>
    <n v="0"/>
    <m/>
    <m/>
    <s v=""/>
    <n v="0"/>
    <n v="0"/>
    <n v="0"/>
  </r>
  <r>
    <s v="Chelsea - Kanté"/>
    <x v="6"/>
    <s v="Kanté"/>
    <s v="Milieu"/>
    <s v="Chelsea"/>
    <n v="28"/>
    <n v="0"/>
    <n v="0"/>
    <n v="0"/>
    <m/>
    <m/>
    <n v="5.5"/>
    <n v="6"/>
    <n v="0"/>
    <n v="0"/>
  </r>
  <r>
    <s v="Crystal Palace - Ledley"/>
    <x v="6"/>
    <s v="Ledley"/>
    <s v="Milieu"/>
    <s v="Crystal Palace"/>
    <n v="12"/>
    <n v="1"/>
    <n v="1"/>
    <n v="2"/>
    <s v="5.17"/>
    <s v="5.67"/>
    <n v="5.5"/>
    <n v="4"/>
    <n v="0"/>
    <n v="1"/>
  </r>
  <r>
    <s v="Liverpool - Matip"/>
    <x v="6"/>
    <s v="Matip"/>
    <s v="Défenseur"/>
    <s v="Liverpool"/>
    <n v="16"/>
    <n v="0"/>
    <n v="0"/>
    <n v="0"/>
    <m/>
    <m/>
    <n v="5.75"/>
    <n v="4"/>
    <n v="0"/>
    <n v="0"/>
  </r>
  <r>
    <s v="Southampton - Redmond"/>
    <x v="6"/>
    <s v="Redmond"/>
    <s v="Milieu"/>
    <s v="Southampton"/>
    <n v="14"/>
    <n v="0"/>
    <n v="0"/>
    <n v="0"/>
    <m/>
    <m/>
    <n v="5.666666666666667"/>
    <n v="6"/>
    <n v="0"/>
    <n v="1"/>
  </r>
  <r>
    <s v="Bournemouth - Smith"/>
    <x v="6"/>
    <s v="Smith"/>
    <s v="Défenseur"/>
    <s v="Bournemouth"/>
    <n v="13"/>
    <n v="0"/>
    <n v="0"/>
    <n v="0"/>
    <m/>
    <m/>
    <n v="4.8"/>
    <n v="5"/>
    <n v="0"/>
    <n v="1"/>
  </r>
  <r>
    <s v="Bournemouth - Stanislas"/>
    <x v="6"/>
    <s v="Stanislas"/>
    <s v="Milieu"/>
    <s v="Bournemouth"/>
    <n v="3"/>
    <n v="0"/>
    <n v="0"/>
    <n v="0"/>
    <m/>
    <m/>
    <n v="4.666666666666667"/>
    <n v="3"/>
    <n v="0"/>
    <n v="1"/>
  </r>
  <r>
    <s v="Tottenham - Wanyama"/>
    <x v="6"/>
    <s v="Wanyama"/>
    <s v="Milieu"/>
    <s v="Tottenham"/>
    <n v="17"/>
    <n v="4"/>
    <n v="0"/>
    <n v="4"/>
    <s v="4.85"/>
    <s v="4.88"/>
    <n v="5.666666666666667"/>
    <n v="6"/>
    <n v="0"/>
    <n v="1"/>
  </r>
  <r>
    <s v="Everton - Williams"/>
    <x v="6"/>
    <s v="Williams"/>
    <s v="Défenseur"/>
    <s v="Everton"/>
    <n v="16"/>
    <n v="0"/>
    <n v="0"/>
    <n v="0"/>
    <m/>
    <m/>
    <n v="5.75"/>
    <n v="4"/>
    <n v="1"/>
    <n v="0"/>
  </r>
  <r>
    <s v="Tottenham - Alderweireld"/>
    <x v="7"/>
    <s v="Alderweireld"/>
    <s v="Défenseur"/>
    <s v="Tottenham"/>
    <n v="16"/>
    <n v="0"/>
    <n v="0"/>
    <n v="0"/>
    <m/>
    <m/>
    <m/>
    <m/>
    <m/>
    <m/>
  </r>
  <r>
    <s v="Stoke City - Arnautovic"/>
    <x v="7"/>
    <s v="Arnautovic"/>
    <s v="Attaquant"/>
    <s v="Stoke City"/>
    <n v="14"/>
    <n v="1"/>
    <n v="0"/>
    <n v="1"/>
    <s v="5.14"/>
    <s v="5.25"/>
    <n v="4.166666666666667"/>
    <n v="6"/>
    <n v="0"/>
    <n v="1"/>
  </r>
  <r>
    <s v="Southampton - Austin"/>
    <x v="7"/>
    <s v="Austin"/>
    <s v="Attaquant"/>
    <s v="Southampton"/>
    <n v="14"/>
    <n v="0"/>
    <n v="0"/>
    <n v="0"/>
    <m/>
    <m/>
    <n v="5.5"/>
    <n v="2"/>
    <n v="3"/>
    <n v="2"/>
  </r>
  <r>
    <s v="Liverpool - Clyne"/>
    <x v="7"/>
    <s v="Clyne"/>
    <s v="Défenseur"/>
    <s v="Liverpool"/>
    <n v="15"/>
    <n v="1"/>
    <n v="0"/>
    <n v="1"/>
    <s v="4.67"/>
    <s v="4.75"/>
    <n v="4.833333333333333"/>
    <n v="6"/>
    <n v="0"/>
    <n v="0"/>
  </r>
  <r>
    <s v="Liverpool - Coutinho"/>
    <x v="7"/>
    <s v="Coutinho"/>
    <s v="Milieu"/>
    <s v="Liverpool"/>
    <n v="67"/>
    <n v="0"/>
    <n v="0"/>
    <n v="0"/>
    <m/>
    <m/>
    <n v="6.6"/>
    <n v="5"/>
    <n v="1"/>
    <n v="3"/>
  </r>
  <r>
    <s v="Man United - Darmian"/>
    <x v="7"/>
    <s v="Darmian"/>
    <s v="Défenseur"/>
    <s v="Man United"/>
    <n v="14"/>
    <n v="0"/>
    <n v="0"/>
    <n v="0"/>
    <m/>
    <m/>
    <s v=""/>
    <n v="0"/>
    <n v="0"/>
    <n v="0"/>
  </r>
  <r>
    <s v="Tottenham - Eriksen"/>
    <x v="7"/>
    <s v="Eriksen"/>
    <s v="Milieu"/>
    <s v="Tottenham"/>
    <n v="17"/>
    <n v="0"/>
    <n v="0"/>
    <n v="0"/>
    <m/>
    <m/>
    <n v="5.4"/>
    <n v="5"/>
    <n v="0"/>
    <n v="0"/>
  </r>
  <r>
    <s v="Sunderland - Ethan Robson"/>
    <x v="7"/>
    <s v="Ethan Robson"/>
    <s v="Milieu"/>
    <s v="Sunderland"/>
    <n v="1"/>
    <n v="1"/>
    <n v="0"/>
    <n v="1"/>
    <s v="4.67"/>
    <s v="4.67"/>
    <m/>
    <m/>
    <m/>
    <m/>
  </r>
  <r>
    <s v="Burnley - Flanagan"/>
    <x v="7"/>
    <s v="Flanagan"/>
    <s v="Défenseur"/>
    <s v="Burnley"/>
    <n v="1"/>
    <n v="0"/>
    <n v="0"/>
    <n v="0"/>
    <m/>
    <m/>
    <s v=""/>
    <n v="0"/>
    <n v="0"/>
    <n v="0"/>
  </r>
  <r>
    <s v="Middlesbrough - Gibson"/>
    <x v="7"/>
    <s v="Gibson"/>
    <s v="Défenseur"/>
    <s v="Middlesbrough"/>
    <n v="15"/>
    <n v="0"/>
    <n v="0"/>
    <n v="0"/>
    <m/>
    <m/>
    <n v="5"/>
    <n v="6"/>
    <n v="0"/>
    <n v="1"/>
  </r>
  <r>
    <s v="Chelsea - Hazard"/>
    <x v="7"/>
    <s v="Hazard"/>
    <s v="Milieu"/>
    <s v="Chelsea"/>
    <n v="76"/>
    <n v="0"/>
    <n v="0"/>
    <n v="0"/>
    <m/>
    <m/>
    <n v="5.666666666666667"/>
    <n v="6"/>
    <n v="0"/>
    <n v="2"/>
  </r>
  <r>
    <s v="Liverpool - Karius"/>
    <x v="7"/>
    <s v="Karius"/>
    <s v="Gardien"/>
    <s v="Liverpool"/>
    <n v="1"/>
    <n v="0"/>
    <n v="0"/>
    <n v="0"/>
    <m/>
    <m/>
    <n v="5"/>
    <n v="1"/>
    <n v="0"/>
    <n v="0"/>
  </r>
  <r>
    <s v="Tottenham - Lamela"/>
    <x v="7"/>
    <s v="Lamela"/>
    <s v="Milieu"/>
    <s v="Tottenham"/>
    <n v="28"/>
    <n v="0"/>
    <n v="0"/>
    <n v="0"/>
    <m/>
    <m/>
    <n v="5.666666666666667"/>
    <n v="3"/>
    <n v="3"/>
    <n v="1"/>
  </r>
  <r>
    <s v="Liverpool - Manninger"/>
    <x v="7"/>
    <s v="Manninger"/>
    <s v="Gardien"/>
    <s v="Liverpool"/>
    <n v="9"/>
    <n v="0"/>
    <n v="0"/>
    <n v="0"/>
    <m/>
    <m/>
    <s v=""/>
    <n v="0"/>
    <n v="0"/>
    <n v="0"/>
  </r>
  <r>
    <s v="Bournemouth - Marc Wilson"/>
    <x v="7"/>
    <s v="Marc Wilson"/>
    <s v="Défenseur"/>
    <s v="Bournemouth"/>
    <n v="5"/>
    <n v="0"/>
    <n v="0"/>
    <n v="0"/>
    <m/>
    <m/>
    <n v="4"/>
    <n v="5"/>
    <n v="1"/>
    <n v="1"/>
  </r>
  <r>
    <s v="Liverpool - Mignolet"/>
    <x v="7"/>
    <s v="Mignolet"/>
    <s v="Gardien"/>
    <s v="Liverpool"/>
    <n v="18"/>
    <n v="0"/>
    <n v="0"/>
    <n v="0"/>
    <m/>
    <m/>
    <n v="5.2"/>
    <n v="5"/>
    <n v="0"/>
    <n v="0"/>
  </r>
  <r>
    <s v="Liverpool - Milner"/>
    <x v="7"/>
    <s v="Milner"/>
    <s v="Milieu"/>
    <s v="Liverpool"/>
    <n v="20"/>
    <n v="0"/>
    <n v="0"/>
    <n v="0"/>
    <s v="4.82"/>
    <s v="5.41"/>
    <n v="5.8"/>
    <n v="5"/>
    <n v="0"/>
    <n v="3"/>
  </r>
  <r>
    <s v="Arsenal - Monreal"/>
    <x v="7"/>
    <s v="Monreal"/>
    <s v="Défenseur"/>
    <s v="Arsenal"/>
    <n v="16"/>
    <n v="8"/>
    <n v="0"/>
    <n v="8"/>
    <s v="5.36"/>
    <s v="5.39"/>
    <n v="5.333333333333333"/>
    <n v="6"/>
    <n v="0"/>
    <n v="0"/>
  </r>
  <r>
    <s v="Chelsea - Oscar"/>
    <x v="7"/>
    <s v="Oscar"/>
    <s v="Milieu"/>
    <s v="Chelsea"/>
    <n v="49"/>
    <n v="0"/>
    <n v="0"/>
    <n v="0"/>
    <m/>
    <m/>
    <n v="5.6"/>
    <n v="5"/>
    <n v="0"/>
    <n v="0"/>
  </r>
  <r>
    <s v="Arsenal - Oxlade-Chamberlain"/>
    <x v="7"/>
    <s v="Oxlade-Chamberlain"/>
    <s v="Milieu"/>
    <s v="Arsenal"/>
    <n v="26"/>
    <n v="0"/>
    <n v="0"/>
    <n v="0"/>
    <m/>
    <m/>
    <n v="5"/>
    <n v="3"/>
    <n v="1"/>
    <n v="1"/>
  </r>
  <r>
    <s v="Man United - Rashford"/>
    <x v="7"/>
    <s v="Rashford"/>
    <s v="Attaquant"/>
    <s v="Man United"/>
    <n v="25"/>
    <n v="0"/>
    <n v="0"/>
    <n v="0"/>
    <m/>
    <m/>
    <n v="5.5"/>
    <n v="2"/>
    <n v="2"/>
    <n v="3"/>
  </r>
  <r>
    <s v="Southampton - Tadic"/>
    <x v="7"/>
    <s v="Tadic"/>
    <s v="Milieu"/>
    <s v="Southampton"/>
    <n v="19"/>
    <n v="0"/>
    <n v="0"/>
    <n v="0"/>
    <m/>
    <m/>
    <n v="5.166666666666667"/>
    <n v="6"/>
    <n v="0"/>
    <n v="1"/>
  </r>
  <r>
    <s v="West Ham - Zaza"/>
    <x v="7"/>
    <s v="Zaza"/>
    <s v="Attaquant"/>
    <s v="West Ham"/>
    <n v="15"/>
    <n v="0"/>
    <n v="0"/>
    <n v="0"/>
    <m/>
    <m/>
    <n v="4"/>
    <n v="3"/>
    <n v="0"/>
    <n v="0"/>
  </r>
  <r>
    <s v="Southampton - van Dijk"/>
    <x v="7"/>
    <s v="van Dijk"/>
    <s v="Défenseur"/>
    <s v="Southampton"/>
    <n v="13"/>
    <n v="0"/>
    <n v="0"/>
    <n v="0"/>
    <m/>
    <m/>
    <n v="5.5"/>
    <n v="6"/>
    <n v="0"/>
    <n v="0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s v="6.00"/>
    <s v="6.00"/>
    <e v="#N/A"/>
    <e v="#N/A"/>
    <e v="#N/A"/>
    <e v="#N/A"/>
  </r>
  <r>
    <s v=" - "/>
    <x v="8"/>
    <m/>
    <m/>
    <m/>
    <m/>
    <n v="0"/>
    <n v="0"/>
    <n v="0"/>
    <s v="5.23"/>
    <s v="5.23"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3"/>
    <n v="0"/>
    <n v="3"/>
    <s v="5.80"/>
    <s v="5.90"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m/>
    <m/>
    <m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m/>
    <m/>
    <m/>
    <m/>
    <m/>
    <e v="#N/A"/>
    <e v="#N/A"/>
    <e v="#N/A"/>
    <e v="#N/A"/>
  </r>
  <r>
    <s v=" - "/>
    <x v="8"/>
    <m/>
    <m/>
    <m/>
    <m/>
    <n v="0"/>
    <n v="0"/>
    <n v="0"/>
    <s v="5.33"/>
    <s v="5.83"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m/>
    <x v="8"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1" cacheId="2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3:M13" firstHeaderRow="0" firstDataRow="1" firstDataCol="1" rowPageCount="1" colPageCount="1"/>
  <pivotFields count="7">
    <pivotField showAll="0"/>
    <pivotField dataField="1" showAll="0"/>
    <pivotField axis="axisRow" showAll="0" sortType="ascending">
      <items count="18">
        <item m="1" x="10"/>
        <item m="1" x="12"/>
        <item m="1" x="13"/>
        <item m="1" x="11"/>
        <item m="1" x="14"/>
        <item m="1" x="15"/>
        <item m="1" x="9"/>
        <item m="1" x="16"/>
        <item x="0"/>
        <item x="1"/>
        <item x="2"/>
        <item x="3"/>
        <item x="4"/>
        <item x="5"/>
        <item x="6"/>
        <item x="7"/>
        <item x="8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howAll="0"/>
    <pivotField numFmtId="22" showAll="0"/>
    <pivotField showAll="0"/>
    <pivotField axis="axisPage" showAll="0">
      <items count="4">
        <item x="0"/>
        <item x="1"/>
        <item m="1" x="2"/>
        <item t="default"/>
      </items>
    </pivotField>
  </pivotFields>
  <rowFields count="1">
    <field x="2"/>
  </rowFields>
  <rowItems count="10">
    <i>
      <x v="16"/>
    </i>
    <i>
      <x v="12"/>
    </i>
    <i>
      <x v="13"/>
    </i>
    <i>
      <x v="10"/>
    </i>
    <i>
      <x v="14"/>
    </i>
    <i>
      <x v="8"/>
    </i>
    <i>
      <x v="15"/>
    </i>
    <i>
      <x v="11"/>
    </i>
    <i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item="0" hier="-1"/>
  </pageFields>
  <dataFields count="3">
    <dataField name="Sum of Prix Achat" fld="3" baseField="0" baseItem="0"/>
    <dataField name="Count of Joueur" fld="1" subtotal="count" baseField="0" baseItem="0"/>
    <dataField name="Average of Prix Achat" fld="3" subtotal="average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2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16:K44" firstHeaderRow="1" firstDataRow="1" firstDataCol="1"/>
  <pivotFields count="7">
    <pivotField showAll="0"/>
    <pivotField dataField="1" showAll="0"/>
    <pivotField axis="axisRow" showAll="0">
      <items count="18">
        <item m="1" x="10"/>
        <item m="1" x="12"/>
        <item m="1" x="13"/>
        <item m="1" x="11"/>
        <item m="1" x="14"/>
        <item m="1" x="15"/>
        <item m="1" x="9"/>
        <item m="1" x="16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numFmtId="22" showAll="0"/>
    <pivotField showAll="0"/>
    <pivotField axis="axisRow" showAll="0">
      <items count="4">
        <item x="0"/>
        <item x="1"/>
        <item m="1" x="2"/>
        <item t="default"/>
      </items>
    </pivotField>
  </pivotFields>
  <rowFields count="2">
    <field x="2"/>
    <field x="6"/>
  </rowFields>
  <rowItems count="28">
    <i>
      <x v="8"/>
    </i>
    <i r="1">
      <x/>
    </i>
    <i r="1">
      <x v="1"/>
    </i>
    <i>
      <x v="9"/>
    </i>
    <i r="1">
      <x/>
    </i>
    <i r="1">
      <x v="1"/>
    </i>
    <i>
      <x v="10"/>
    </i>
    <i r="1">
      <x/>
    </i>
    <i r="1">
      <x v="1"/>
    </i>
    <i>
      <x v="11"/>
    </i>
    <i r="1">
      <x/>
    </i>
    <i r="1">
      <x v="1"/>
    </i>
    <i>
      <x v="12"/>
    </i>
    <i r="1">
      <x/>
    </i>
    <i r="1">
      <x v="1"/>
    </i>
    <i>
      <x v="13"/>
    </i>
    <i r="1">
      <x/>
    </i>
    <i r="1">
      <x v="1"/>
    </i>
    <i>
      <x v="14"/>
    </i>
    <i r="1">
      <x/>
    </i>
    <i r="1">
      <x v="1"/>
    </i>
    <i>
      <x v="15"/>
    </i>
    <i r="1">
      <x/>
    </i>
    <i r="1">
      <x v="1"/>
    </i>
    <i>
      <x v="16"/>
    </i>
    <i r="1">
      <x/>
    </i>
    <i r="1">
      <x v="1"/>
    </i>
    <i t="grand">
      <x/>
    </i>
  </rowItems>
  <colItems count="1">
    <i/>
  </colItems>
  <dataFields count="1">
    <dataField name="Count of Joueur" fld="1" subtotal="count" baseField="6" baseItem="0" numFmtId="10">
      <extLst>
        <ext xmlns:x14="http://schemas.microsoft.com/office/spreadsheetml/2009/9/main" uri="{E15A36E0-9728-4e99-A89B-3F7291B0FE68}">
          <x14:dataField pivotShowAs="percentOfParentRow"/>
        </ext>
      </extLst>
    </dataField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eau croisé dynamique1" cacheId="2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multipleFieldFilters="0" rowHeaderCaption="Equipe">
  <location ref="S19:T40" firstHeaderRow="1" firstDataRow="1" firstDataCol="1"/>
  <pivotFields count="15">
    <pivotField dataField="1" showAll="0"/>
    <pivotField showAll="0"/>
    <pivotField showAll="0"/>
    <pivotField showAll="0"/>
    <pivotField axis="axisRow" showAll="0" sortType="descending">
      <items count="42">
        <item m="1" x="31"/>
        <item m="1" x="33"/>
        <item m="1" x="32"/>
        <item m="1" x="34"/>
        <item m="1" x="25"/>
        <item m="1" x="27"/>
        <item m="1" x="30"/>
        <item m="1" x="39"/>
        <item m="1" x="26"/>
        <item m="1" x="40"/>
        <item m="1" x="23"/>
        <item m="1" x="35"/>
        <item m="1" x="24"/>
        <item m="1" x="38"/>
        <item m="1" x="37"/>
        <item m="1" x="29"/>
        <item m="1" x="21"/>
        <item m="1" x="22"/>
        <item m="1" x="36"/>
        <item m="1" x="2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h="1"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1">
    <i>
      <x v="21"/>
    </i>
    <i>
      <x v="28"/>
    </i>
    <i>
      <x v="30"/>
    </i>
    <i>
      <x v="24"/>
    </i>
    <i>
      <x v="29"/>
    </i>
    <i>
      <x v="20"/>
    </i>
    <i>
      <x v="26"/>
    </i>
    <i>
      <x v="33"/>
    </i>
    <i>
      <x v="22"/>
    </i>
    <i>
      <x v="38"/>
    </i>
    <i>
      <x v="31"/>
    </i>
    <i>
      <x v="32"/>
    </i>
    <i>
      <x v="23"/>
    </i>
    <i>
      <x v="34"/>
    </i>
    <i>
      <x v="25"/>
    </i>
    <i>
      <x v="35"/>
    </i>
    <i>
      <x v="27"/>
    </i>
    <i>
      <x v="36"/>
    </i>
    <i>
      <x v="39"/>
    </i>
    <i>
      <x v="37"/>
    </i>
    <i t="grand">
      <x/>
    </i>
  </rowItems>
  <colItems count="1">
    <i/>
  </colItems>
  <dataFields count="1">
    <dataField name="Nb de joueur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2" cacheId="27" applyNumberFormats="0" applyBorderFormats="0" applyFontFormats="0" applyPatternFormats="0" applyAlignmentFormats="0" applyWidthHeightFormats="1" dataCaption="Values" grandTotalCaption="Total" updatedVersion="4" minRefreshableVersion="3" useAutoFormatting="1" itemPrintTitles="1" createdVersion="4" indent="0" outline="1" outlineData="1" multipleFieldFilters="0" rowHeaderCaption="">
  <location ref="S3:W12" firstHeaderRow="0" firstDataRow="1" firstDataCol="1"/>
  <pivotFields count="15">
    <pivotField showAll="0" defaultSubtotal="0"/>
    <pivotField axis="axisRow" showAll="0" sortType="ascending">
      <items count="21">
        <item x="0"/>
        <item m="1" x="12"/>
        <item m="1" x="14"/>
        <item m="1" x="10"/>
        <item m="1" x="15"/>
        <item m="1" x="17"/>
        <item m="1" x="13"/>
        <item x="1"/>
        <item m="1" x="11"/>
        <item x="2"/>
        <item m="1" x="18"/>
        <item m="1" x="9"/>
        <item m="1" x="19"/>
        <item m="1" x="16"/>
        <item x="6"/>
        <item x="7"/>
        <item x="3"/>
        <item x="4"/>
        <item x="5"/>
        <item h="1" x="8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multipleItemSelectionAllowed="1" showAll="0"/>
    <pivotField dataField="1" showAll="0"/>
    <pivotField showAll="0"/>
    <pivotField dataField="1" showAll="0"/>
  </pivotFields>
  <rowFields count="1">
    <field x="1"/>
  </rowFields>
  <rowItems count="9">
    <i>
      <x/>
    </i>
    <i>
      <x v="7"/>
    </i>
    <i>
      <x v="9"/>
    </i>
    <i>
      <x v="14"/>
    </i>
    <i>
      <x v="15"/>
    </i>
    <i>
      <x v="16"/>
    </i>
    <i>
      <x v="17"/>
    </i>
    <i>
      <x v="1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b joueurs" fld="2" subtotal="count" baseField="0" baseItem="0"/>
    <dataField name="Nb titu" fld="12" baseField="0" baseItem="0"/>
    <dataField name="Nb buts" fld="14" baseField="0" baseItem="4"/>
    <dataField name="Moyenne note" fld="11" subtotal="average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mpg-fr" growShrinkType="overwriteClear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 filterMode="1"/>
  <dimension ref="A1:M312"/>
  <sheetViews>
    <sheetView workbookViewId="0">
      <selection activeCell="B289" sqref="B289"/>
    </sheetView>
  </sheetViews>
  <sheetFormatPr baseColWidth="10" defaultColWidth="9.125" defaultRowHeight="15" x14ac:dyDescent="0.25"/>
  <cols>
    <col min="1" max="1" width="19" customWidth="1"/>
    <col min="2" max="2" width="9.25" bestFit="1" customWidth="1"/>
    <col min="3" max="3" width="9.375" bestFit="1" customWidth="1"/>
    <col min="4" max="4" width="19.75" customWidth="1"/>
    <col min="5" max="5" width="17.75" bestFit="1" customWidth="1"/>
    <col min="6" max="6" width="10.25" bestFit="1" customWidth="1"/>
    <col min="7" max="7" width="8.25" bestFit="1" customWidth="1"/>
    <col min="8" max="8" width="15.875" bestFit="1" customWidth="1"/>
    <col min="10" max="10" width="18.375" customWidth="1"/>
    <col min="11" max="12" width="13.125" customWidth="1"/>
    <col min="13" max="13" width="17.5" customWidth="1"/>
    <col min="14" max="14" width="2" customWidth="1"/>
    <col min="15" max="56" width="3" customWidth="1"/>
    <col min="57" max="59" width="4" customWidth="1"/>
    <col min="60" max="60" width="11.25" bestFit="1" customWidth="1"/>
  </cols>
  <sheetData>
    <row r="1" spans="1:13" x14ac:dyDescent="0.25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t="s">
        <v>14</v>
      </c>
      <c r="G1" t="s">
        <v>15</v>
      </c>
      <c r="H1" s="1">
        <v>42373.874699074076</v>
      </c>
      <c r="J1" s="2" t="s">
        <v>15</v>
      </c>
      <c r="K1" t="s">
        <v>17</v>
      </c>
    </row>
    <row r="2" spans="1:13" hidden="1" x14ac:dyDescent="0.25">
      <c r="A2" s="252" t="s">
        <v>1275</v>
      </c>
      <c r="B2" s="253" t="s">
        <v>372</v>
      </c>
      <c r="C2" s="253" t="s">
        <v>1527</v>
      </c>
      <c r="D2" s="253" t="s">
        <v>1528</v>
      </c>
      <c r="E2" s="254">
        <v>161</v>
      </c>
      <c r="F2">
        <f>IF(E2&gt;$H$1,IF(E2&gt;$H$2,IF(E2&gt;$H$3,IF(E2&gt;$H$4,5,4),3),2),1)</f>
        <v>1</v>
      </c>
      <c r="G2" t="str">
        <f>IF(B2=B1,"Perdu","Gagné")</f>
        <v>Gagné</v>
      </c>
      <c r="H2" s="1">
        <v>42374.43953703704</v>
      </c>
    </row>
    <row r="3" spans="1:13" hidden="1" x14ac:dyDescent="0.25">
      <c r="A3" s="255" t="s">
        <v>1275</v>
      </c>
      <c r="B3" s="256" t="s">
        <v>372</v>
      </c>
      <c r="C3" s="256" t="s">
        <v>1529</v>
      </c>
      <c r="D3" s="256" t="s">
        <v>1530</v>
      </c>
      <c r="E3" s="257">
        <v>124</v>
      </c>
      <c r="F3">
        <f t="shared" ref="F3:F66" si="0">IF(E3&gt;$H$1,IF(E3&gt;$H$2,IF(E3&gt;$H$3,IF(E3&gt;$H$4,5,4),3),2),1)</f>
        <v>1</v>
      </c>
      <c r="G3" t="str">
        <f t="shared" ref="G3:G66" si="1">IF(B3=B2,"Perdu","Gagné")</f>
        <v>Perdu</v>
      </c>
      <c r="H3" s="1">
        <v>42374.532986111109</v>
      </c>
      <c r="J3" s="2" t="s">
        <v>198</v>
      </c>
      <c r="K3" t="s">
        <v>16</v>
      </c>
      <c r="L3" t="s">
        <v>19</v>
      </c>
      <c r="M3" t="s">
        <v>18</v>
      </c>
    </row>
    <row r="4" spans="1:13" hidden="1" x14ac:dyDescent="0.25">
      <c r="A4" s="255" t="s">
        <v>1275</v>
      </c>
      <c r="B4" s="256" t="s">
        <v>372</v>
      </c>
      <c r="C4" s="256" t="s">
        <v>1531</v>
      </c>
      <c r="D4" s="256" t="s">
        <v>1532</v>
      </c>
      <c r="E4" s="257">
        <v>102</v>
      </c>
      <c r="F4">
        <f t="shared" si="0"/>
        <v>1</v>
      </c>
      <c r="G4" t="str">
        <f t="shared" si="1"/>
        <v>Perdu</v>
      </c>
      <c r="H4" s="1">
        <v>42374.858888888892</v>
      </c>
      <c r="J4" s="3" t="s">
        <v>1569</v>
      </c>
      <c r="K4" s="4"/>
      <c r="L4" s="4"/>
      <c r="M4" s="4"/>
    </row>
    <row r="5" spans="1:13" hidden="1" x14ac:dyDescent="0.25">
      <c r="A5" s="252" t="s">
        <v>1518</v>
      </c>
      <c r="B5" s="253" t="s">
        <v>372</v>
      </c>
      <c r="C5" s="253" t="s">
        <v>1527</v>
      </c>
      <c r="D5" s="253" t="s">
        <v>1528</v>
      </c>
      <c r="E5" s="254">
        <v>161</v>
      </c>
      <c r="F5">
        <f t="shared" si="0"/>
        <v>1</v>
      </c>
      <c r="G5" t="str">
        <f t="shared" si="1"/>
        <v>Perdu</v>
      </c>
      <c r="H5" s="1"/>
      <c r="J5" s="3" t="s">
        <v>1535</v>
      </c>
      <c r="K5" s="4">
        <v>0</v>
      </c>
      <c r="L5" s="4">
        <v>2</v>
      </c>
      <c r="M5" s="4" t="e">
        <v>#DIV/0!</v>
      </c>
    </row>
    <row r="6" spans="1:13" hidden="1" x14ac:dyDescent="0.25">
      <c r="A6" s="255" t="s">
        <v>1518</v>
      </c>
      <c r="B6" s="256" t="s">
        <v>372</v>
      </c>
      <c r="C6" s="256" t="s">
        <v>1529</v>
      </c>
      <c r="D6" s="256" t="s">
        <v>1530</v>
      </c>
      <c r="E6" s="257">
        <v>100</v>
      </c>
      <c r="F6">
        <f t="shared" si="0"/>
        <v>1</v>
      </c>
      <c r="G6" t="str">
        <f t="shared" si="1"/>
        <v>Perdu</v>
      </c>
      <c r="J6" s="3" t="s">
        <v>1537</v>
      </c>
      <c r="K6" s="4">
        <v>0</v>
      </c>
      <c r="L6" s="4">
        <v>8</v>
      </c>
      <c r="M6" s="4" t="e">
        <v>#DIV/0!</v>
      </c>
    </row>
    <row r="7" spans="1:13" x14ac:dyDescent="0.25">
      <c r="A7" s="255" t="s">
        <v>1518</v>
      </c>
      <c r="B7" s="256" t="s">
        <v>372</v>
      </c>
      <c r="C7" s="256" t="s">
        <v>1533</v>
      </c>
      <c r="D7" s="256" t="s">
        <v>1534</v>
      </c>
      <c r="E7" s="257">
        <v>73</v>
      </c>
      <c r="F7">
        <f t="shared" si="0"/>
        <v>1</v>
      </c>
      <c r="G7" t="str">
        <f t="shared" si="1"/>
        <v>Perdu</v>
      </c>
      <c r="J7" s="3" t="s">
        <v>1531</v>
      </c>
      <c r="K7" s="4">
        <v>0</v>
      </c>
      <c r="L7" s="4">
        <v>9</v>
      </c>
      <c r="M7" s="4" t="e">
        <v>#DIV/0!</v>
      </c>
    </row>
    <row r="8" spans="1:13" hidden="1" x14ac:dyDescent="0.25">
      <c r="A8" s="255" t="s">
        <v>1518</v>
      </c>
      <c r="B8" s="256" t="s">
        <v>372</v>
      </c>
      <c r="C8" s="256" t="s">
        <v>1535</v>
      </c>
      <c r="D8" s="256" t="s">
        <v>1536</v>
      </c>
      <c r="E8" s="257">
        <v>52</v>
      </c>
      <c r="F8">
        <f t="shared" si="0"/>
        <v>1</v>
      </c>
      <c r="G8" t="str">
        <f t="shared" si="1"/>
        <v>Perdu</v>
      </c>
      <c r="J8" s="3" t="s">
        <v>1539</v>
      </c>
      <c r="K8" s="4">
        <v>0</v>
      </c>
      <c r="L8" s="4">
        <v>9</v>
      </c>
      <c r="M8" s="4" t="e">
        <v>#DIV/0!</v>
      </c>
    </row>
    <row r="9" spans="1:13" hidden="1" x14ac:dyDescent="0.25">
      <c r="A9" s="255" t="s">
        <v>1518</v>
      </c>
      <c r="B9" s="256" t="s">
        <v>372</v>
      </c>
      <c r="C9" s="256" t="s">
        <v>1537</v>
      </c>
      <c r="D9" s="256" t="s">
        <v>1538</v>
      </c>
      <c r="E9" s="257">
        <v>51</v>
      </c>
      <c r="F9">
        <f t="shared" si="0"/>
        <v>1</v>
      </c>
      <c r="G9" t="str">
        <f t="shared" si="1"/>
        <v>Perdu</v>
      </c>
      <c r="J9" s="3" t="s">
        <v>1527</v>
      </c>
      <c r="K9" s="4">
        <v>0</v>
      </c>
      <c r="L9" s="4">
        <v>11</v>
      </c>
      <c r="M9" s="4" t="e">
        <v>#DIV/0!</v>
      </c>
    </row>
    <row r="10" spans="1:13" hidden="1" x14ac:dyDescent="0.25">
      <c r="A10" s="255" t="s">
        <v>1518</v>
      </c>
      <c r="B10" s="256" t="s">
        <v>372</v>
      </c>
      <c r="C10" s="256" t="s">
        <v>1539</v>
      </c>
      <c r="D10" s="256" t="s">
        <v>1540</v>
      </c>
      <c r="E10" s="257">
        <v>38</v>
      </c>
      <c r="F10">
        <f t="shared" si="0"/>
        <v>1</v>
      </c>
      <c r="G10" t="str">
        <f t="shared" si="1"/>
        <v>Perdu</v>
      </c>
      <c r="J10" s="3" t="s">
        <v>1541</v>
      </c>
      <c r="K10" s="4">
        <v>0</v>
      </c>
      <c r="L10" s="4">
        <v>10</v>
      </c>
      <c r="M10" s="4" t="e">
        <v>#DIV/0!</v>
      </c>
    </row>
    <row r="11" spans="1:13" hidden="1" x14ac:dyDescent="0.25">
      <c r="A11" s="252" t="s">
        <v>65</v>
      </c>
      <c r="B11" s="253" t="s">
        <v>372</v>
      </c>
      <c r="C11" s="253" t="s">
        <v>1539</v>
      </c>
      <c r="D11" s="253" t="s">
        <v>1540</v>
      </c>
      <c r="E11" s="254">
        <v>120</v>
      </c>
      <c r="F11">
        <f t="shared" si="0"/>
        <v>1</v>
      </c>
      <c r="G11" t="str">
        <f t="shared" si="1"/>
        <v>Perdu</v>
      </c>
      <c r="J11" s="3" t="s">
        <v>1533</v>
      </c>
      <c r="K11" s="4">
        <v>0</v>
      </c>
      <c r="L11" s="4">
        <v>12</v>
      </c>
      <c r="M11" s="4" t="e">
        <v>#DIV/0!</v>
      </c>
    </row>
    <row r="12" spans="1:13" hidden="1" x14ac:dyDescent="0.25">
      <c r="A12" s="255" t="s">
        <v>65</v>
      </c>
      <c r="B12" s="256" t="s">
        <v>372</v>
      </c>
      <c r="C12" s="256" t="s">
        <v>1541</v>
      </c>
      <c r="D12" s="256" t="s">
        <v>1542</v>
      </c>
      <c r="E12" s="257">
        <v>54</v>
      </c>
      <c r="F12">
        <f t="shared" si="0"/>
        <v>1</v>
      </c>
      <c r="G12" t="str">
        <f t="shared" si="1"/>
        <v>Perdu</v>
      </c>
      <c r="J12" s="3" t="s">
        <v>1529</v>
      </c>
      <c r="K12" s="4">
        <v>0</v>
      </c>
      <c r="L12" s="4">
        <v>7</v>
      </c>
      <c r="M12" s="4" t="e">
        <v>#DIV/0!</v>
      </c>
    </row>
    <row r="13" spans="1:13" hidden="1" x14ac:dyDescent="0.25">
      <c r="A13" s="252" t="s">
        <v>1165</v>
      </c>
      <c r="B13" s="253" t="s">
        <v>372</v>
      </c>
      <c r="C13" s="253" t="s">
        <v>1529</v>
      </c>
      <c r="D13" s="253" t="s">
        <v>1530</v>
      </c>
      <c r="E13" s="254">
        <v>103</v>
      </c>
      <c r="F13">
        <f t="shared" si="0"/>
        <v>1</v>
      </c>
      <c r="G13" t="str">
        <f t="shared" si="1"/>
        <v>Perdu</v>
      </c>
      <c r="J13" s="3" t="s">
        <v>199</v>
      </c>
      <c r="K13" s="4">
        <v>0</v>
      </c>
      <c r="L13" s="4">
        <v>68</v>
      </c>
      <c r="M13" s="4" t="e">
        <v>#DIV/0!</v>
      </c>
    </row>
    <row r="14" spans="1:13" x14ac:dyDescent="0.25">
      <c r="A14" s="255" t="s">
        <v>1165</v>
      </c>
      <c r="B14" s="256" t="s">
        <v>372</v>
      </c>
      <c r="C14" s="256" t="s">
        <v>1533</v>
      </c>
      <c r="D14" s="256" t="s">
        <v>1534</v>
      </c>
      <c r="E14" s="257">
        <v>69</v>
      </c>
      <c r="F14">
        <f t="shared" si="0"/>
        <v>1</v>
      </c>
      <c r="G14" t="str">
        <f t="shared" si="1"/>
        <v>Perdu</v>
      </c>
    </row>
    <row r="15" spans="1:13" hidden="1" x14ac:dyDescent="0.25">
      <c r="A15" s="255" t="s">
        <v>1165</v>
      </c>
      <c r="B15" s="256" t="s">
        <v>372</v>
      </c>
      <c r="C15" s="256" t="s">
        <v>1531</v>
      </c>
      <c r="D15" s="256" t="s">
        <v>1532</v>
      </c>
      <c r="E15" s="257">
        <v>56</v>
      </c>
      <c r="F15">
        <f t="shared" si="0"/>
        <v>1</v>
      </c>
      <c r="G15" t="str">
        <f t="shared" si="1"/>
        <v>Perdu</v>
      </c>
    </row>
    <row r="16" spans="1:13" hidden="1" x14ac:dyDescent="0.25">
      <c r="A16" s="255" t="s">
        <v>1165</v>
      </c>
      <c r="B16" s="256" t="s">
        <v>372</v>
      </c>
      <c r="C16" s="256" t="s">
        <v>1535</v>
      </c>
      <c r="D16" s="256" t="s">
        <v>1536</v>
      </c>
      <c r="E16" s="257">
        <v>54</v>
      </c>
      <c r="F16">
        <f t="shared" si="0"/>
        <v>1</v>
      </c>
      <c r="G16" t="str">
        <f t="shared" si="1"/>
        <v>Perdu</v>
      </c>
      <c r="J16" s="2" t="s">
        <v>198</v>
      </c>
      <c r="K16" t="s">
        <v>19</v>
      </c>
    </row>
    <row r="17" spans="1:11" hidden="1" x14ac:dyDescent="0.25">
      <c r="A17" s="252" t="s">
        <v>1269</v>
      </c>
      <c r="B17" s="253" t="s">
        <v>369</v>
      </c>
      <c r="C17" s="253" t="s">
        <v>1541</v>
      </c>
      <c r="D17" s="253" t="s">
        <v>1542</v>
      </c>
      <c r="E17" s="254">
        <v>80</v>
      </c>
      <c r="F17">
        <f t="shared" si="0"/>
        <v>1</v>
      </c>
      <c r="G17" t="str">
        <f t="shared" si="1"/>
        <v>Gagné</v>
      </c>
      <c r="J17" s="3" t="s">
        <v>1527</v>
      </c>
      <c r="K17" s="5">
        <v>0.12</v>
      </c>
    </row>
    <row r="18" spans="1:11" hidden="1" x14ac:dyDescent="0.25">
      <c r="A18" s="252" t="s">
        <v>1512</v>
      </c>
      <c r="B18" s="253" t="s">
        <v>369</v>
      </c>
      <c r="C18" s="253" t="s">
        <v>1535</v>
      </c>
      <c r="D18" s="253" t="s">
        <v>1536</v>
      </c>
      <c r="E18" s="254">
        <v>76</v>
      </c>
      <c r="F18">
        <f t="shared" si="0"/>
        <v>1</v>
      </c>
      <c r="G18" t="str">
        <f t="shared" si="1"/>
        <v>Perdu</v>
      </c>
      <c r="J18" s="6" t="s">
        <v>17</v>
      </c>
      <c r="K18" s="5">
        <v>0.61111111111111116</v>
      </c>
    </row>
    <row r="19" spans="1:11" hidden="1" x14ac:dyDescent="0.25">
      <c r="A19" s="252" t="s">
        <v>1441</v>
      </c>
      <c r="B19" s="253" t="s">
        <v>369</v>
      </c>
      <c r="C19" s="253" t="s">
        <v>1535</v>
      </c>
      <c r="D19" s="253" t="s">
        <v>1536</v>
      </c>
      <c r="E19" s="254">
        <v>67</v>
      </c>
      <c r="F19">
        <f t="shared" si="0"/>
        <v>1</v>
      </c>
      <c r="G19" t="str">
        <f t="shared" si="1"/>
        <v>Perdu</v>
      </c>
      <c r="J19" s="6" t="s">
        <v>20</v>
      </c>
      <c r="K19" s="5">
        <v>0.3888888888888889</v>
      </c>
    </row>
    <row r="20" spans="1:11" hidden="1" x14ac:dyDescent="0.25">
      <c r="A20" s="255" t="s">
        <v>1441</v>
      </c>
      <c r="B20" s="256" t="s">
        <v>369</v>
      </c>
      <c r="C20" s="256" t="s">
        <v>1531</v>
      </c>
      <c r="D20" s="256" t="s">
        <v>1532</v>
      </c>
      <c r="E20" s="257">
        <v>39</v>
      </c>
      <c r="F20">
        <f t="shared" si="0"/>
        <v>1</v>
      </c>
      <c r="G20" t="str">
        <f t="shared" si="1"/>
        <v>Perdu</v>
      </c>
      <c r="J20" s="3" t="s">
        <v>1529</v>
      </c>
      <c r="K20" s="5">
        <v>0.12</v>
      </c>
    </row>
    <row r="21" spans="1:11" hidden="1" x14ac:dyDescent="0.25">
      <c r="A21" s="255" t="s">
        <v>1441</v>
      </c>
      <c r="B21" s="256" t="s">
        <v>369</v>
      </c>
      <c r="C21" s="256" t="s">
        <v>1541</v>
      </c>
      <c r="D21" s="256" t="s">
        <v>1542</v>
      </c>
      <c r="E21" s="257">
        <v>31</v>
      </c>
      <c r="F21">
        <f t="shared" si="0"/>
        <v>1</v>
      </c>
      <c r="G21" t="str">
        <f t="shared" si="1"/>
        <v>Perdu</v>
      </c>
      <c r="J21" s="6" t="s">
        <v>17</v>
      </c>
      <c r="K21" s="5">
        <v>0.3888888888888889</v>
      </c>
    </row>
    <row r="22" spans="1:11" hidden="1" x14ac:dyDescent="0.25">
      <c r="A22" s="252" t="s">
        <v>1254</v>
      </c>
      <c r="B22" s="253" t="s">
        <v>372</v>
      </c>
      <c r="C22" s="253" t="s">
        <v>1541</v>
      </c>
      <c r="D22" s="253" t="s">
        <v>1542</v>
      </c>
      <c r="E22" s="254">
        <v>62</v>
      </c>
      <c r="F22">
        <f t="shared" si="0"/>
        <v>1</v>
      </c>
      <c r="G22" t="str">
        <f t="shared" si="1"/>
        <v>Gagné</v>
      </c>
      <c r="J22" s="6" t="s">
        <v>20</v>
      </c>
      <c r="K22" s="5">
        <v>0.61111111111111116</v>
      </c>
    </row>
    <row r="23" spans="1:11" hidden="1" x14ac:dyDescent="0.25">
      <c r="A23" s="252" t="s">
        <v>1493</v>
      </c>
      <c r="B23" s="253" t="s">
        <v>372</v>
      </c>
      <c r="C23" s="253" t="s">
        <v>1531</v>
      </c>
      <c r="D23" s="253" t="s">
        <v>1532</v>
      </c>
      <c r="E23" s="254">
        <v>58</v>
      </c>
      <c r="F23">
        <f t="shared" si="0"/>
        <v>1</v>
      </c>
      <c r="G23" t="str">
        <f t="shared" si="1"/>
        <v>Perdu</v>
      </c>
      <c r="J23" s="3" t="s">
        <v>1531</v>
      </c>
      <c r="K23" s="5">
        <v>0.12</v>
      </c>
    </row>
    <row r="24" spans="1:11" hidden="1" x14ac:dyDescent="0.25">
      <c r="A24" s="252" t="s">
        <v>1245</v>
      </c>
      <c r="B24" s="253" t="s">
        <v>369</v>
      </c>
      <c r="C24" s="253" t="s">
        <v>1541</v>
      </c>
      <c r="D24" s="253" t="s">
        <v>1542</v>
      </c>
      <c r="E24" s="254">
        <v>52</v>
      </c>
      <c r="F24">
        <f t="shared" si="0"/>
        <v>1</v>
      </c>
      <c r="G24" t="str">
        <f t="shared" si="1"/>
        <v>Gagné</v>
      </c>
      <c r="J24" s="6" t="s">
        <v>17</v>
      </c>
      <c r="K24" s="5">
        <v>0.5</v>
      </c>
    </row>
    <row r="25" spans="1:11" hidden="1" x14ac:dyDescent="0.25">
      <c r="A25" s="255" t="s">
        <v>1245</v>
      </c>
      <c r="B25" s="256" t="s">
        <v>369</v>
      </c>
      <c r="C25" s="256" t="s">
        <v>1537</v>
      </c>
      <c r="D25" s="256" t="s">
        <v>1538</v>
      </c>
      <c r="E25" s="257">
        <v>51</v>
      </c>
      <c r="F25">
        <f t="shared" si="0"/>
        <v>1</v>
      </c>
      <c r="G25" t="str">
        <f t="shared" si="1"/>
        <v>Perdu</v>
      </c>
      <c r="J25" s="6" t="s">
        <v>20</v>
      </c>
      <c r="K25" s="5">
        <v>0.5</v>
      </c>
    </row>
    <row r="26" spans="1:11" hidden="1" x14ac:dyDescent="0.25">
      <c r="A26" s="252" t="s">
        <v>1509</v>
      </c>
      <c r="B26" s="253" t="s">
        <v>369</v>
      </c>
      <c r="C26" s="253" t="s">
        <v>1535</v>
      </c>
      <c r="D26" s="253" t="s">
        <v>1536</v>
      </c>
      <c r="E26" s="254">
        <v>49</v>
      </c>
      <c r="F26">
        <f t="shared" si="0"/>
        <v>1</v>
      </c>
      <c r="G26" t="str">
        <f t="shared" si="1"/>
        <v>Perdu</v>
      </c>
      <c r="J26" s="3" t="s">
        <v>1533</v>
      </c>
      <c r="K26" s="5">
        <v>0.14666666666666667</v>
      </c>
    </row>
    <row r="27" spans="1:11" hidden="1" x14ac:dyDescent="0.25">
      <c r="A27" s="255" t="s">
        <v>1509</v>
      </c>
      <c r="B27" s="256" t="s">
        <v>369</v>
      </c>
      <c r="C27" s="256" t="s">
        <v>1529</v>
      </c>
      <c r="D27" s="256" t="s">
        <v>1530</v>
      </c>
      <c r="E27" s="257">
        <v>26</v>
      </c>
      <c r="F27">
        <f t="shared" si="0"/>
        <v>1</v>
      </c>
      <c r="G27" t="str">
        <f t="shared" si="1"/>
        <v>Perdu</v>
      </c>
      <c r="J27" s="6" t="s">
        <v>17</v>
      </c>
      <c r="K27" s="5">
        <v>0.54545454545454541</v>
      </c>
    </row>
    <row r="28" spans="1:11" hidden="1" x14ac:dyDescent="0.25">
      <c r="A28" s="252" t="s">
        <v>1278</v>
      </c>
      <c r="B28" s="253" t="s">
        <v>372</v>
      </c>
      <c r="C28" s="253" t="s">
        <v>1537</v>
      </c>
      <c r="D28" s="253" t="s">
        <v>1538</v>
      </c>
      <c r="E28" s="254">
        <v>48</v>
      </c>
      <c r="F28">
        <f t="shared" si="0"/>
        <v>1</v>
      </c>
      <c r="G28" t="str">
        <f t="shared" si="1"/>
        <v>Gagné</v>
      </c>
      <c r="J28" s="6" t="s">
        <v>20</v>
      </c>
      <c r="K28" s="5">
        <v>0.45454545454545453</v>
      </c>
    </row>
    <row r="29" spans="1:11" hidden="1" x14ac:dyDescent="0.25">
      <c r="A29" s="252" t="s">
        <v>1410</v>
      </c>
      <c r="B29" s="253" t="s">
        <v>369</v>
      </c>
      <c r="C29" s="253" t="s">
        <v>1539</v>
      </c>
      <c r="D29" s="253" t="s">
        <v>1540</v>
      </c>
      <c r="E29" s="254">
        <v>45</v>
      </c>
      <c r="F29">
        <f t="shared" si="0"/>
        <v>1</v>
      </c>
      <c r="G29" t="str">
        <f t="shared" si="1"/>
        <v>Gagné</v>
      </c>
      <c r="J29" s="3" t="s">
        <v>1535</v>
      </c>
      <c r="K29" s="5">
        <v>0.12</v>
      </c>
    </row>
    <row r="30" spans="1:11" hidden="1" x14ac:dyDescent="0.25">
      <c r="A30" s="252" t="s">
        <v>1276</v>
      </c>
      <c r="B30" s="253" t="s">
        <v>372</v>
      </c>
      <c r="C30" s="253" t="s">
        <v>1537</v>
      </c>
      <c r="D30" s="253" t="s">
        <v>1538</v>
      </c>
      <c r="E30" s="254">
        <v>44</v>
      </c>
      <c r="F30">
        <f t="shared" si="0"/>
        <v>1</v>
      </c>
      <c r="G30" t="str">
        <f t="shared" si="1"/>
        <v>Gagné</v>
      </c>
      <c r="J30" s="6" t="s">
        <v>17</v>
      </c>
      <c r="K30" s="5">
        <v>0.1111111111111111</v>
      </c>
    </row>
    <row r="31" spans="1:11" hidden="1" x14ac:dyDescent="0.25">
      <c r="A31" s="255" t="s">
        <v>1276</v>
      </c>
      <c r="B31" s="256" t="s">
        <v>372</v>
      </c>
      <c r="C31" s="256" t="s">
        <v>1535</v>
      </c>
      <c r="D31" s="256" t="s">
        <v>1536</v>
      </c>
      <c r="E31" s="257">
        <v>21</v>
      </c>
      <c r="F31">
        <f t="shared" si="0"/>
        <v>1</v>
      </c>
      <c r="G31" t="str">
        <f t="shared" si="1"/>
        <v>Perdu</v>
      </c>
      <c r="J31" s="6" t="s">
        <v>20</v>
      </c>
      <c r="K31" s="5">
        <v>0.88888888888888884</v>
      </c>
    </row>
    <row r="32" spans="1:11" x14ac:dyDescent="0.25">
      <c r="A32" s="255" t="s">
        <v>1276</v>
      </c>
      <c r="B32" s="256" t="s">
        <v>372</v>
      </c>
      <c r="C32" s="256" t="s">
        <v>1533</v>
      </c>
      <c r="D32" s="256" t="s">
        <v>1534</v>
      </c>
      <c r="E32" s="257">
        <v>16</v>
      </c>
      <c r="F32">
        <f t="shared" si="0"/>
        <v>1</v>
      </c>
      <c r="G32" t="str">
        <f t="shared" si="1"/>
        <v>Perdu</v>
      </c>
      <c r="J32" s="3" t="s">
        <v>1537</v>
      </c>
      <c r="K32" s="5">
        <v>0.12666666666666668</v>
      </c>
    </row>
    <row r="33" spans="1:11" hidden="1" x14ac:dyDescent="0.25">
      <c r="A33" s="252" t="s">
        <v>1203</v>
      </c>
      <c r="B33" s="253" t="s">
        <v>369</v>
      </c>
      <c r="C33" s="253" t="s">
        <v>1537</v>
      </c>
      <c r="D33" s="253" t="s">
        <v>1538</v>
      </c>
      <c r="E33" s="254">
        <v>43</v>
      </c>
      <c r="F33">
        <f t="shared" si="0"/>
        <v>1</v>
      </c>
      <c r="G33" t="str">
        <f t="shared" si="1"/>
        <v>Gagné</v>
      </c>
      <c r="J33" s="6" t="s">
        <v>17</v>
      </c>
      <c r="K33" s="5">
        <v>0.42105263157894735</v>
      </c>
    </row>
    <row r="34" spans="1:11" hidden="1" x14ac:dyDescent="0.25">
      <c r="A34" s="255" t="s">
        <v>1203</v>
      </c>
      <c r="B34" s="256" t="s">
        <v>369</v>
      </c>
      <c r="C34" s="256" t="s">
        <v>1531</v>
      </c>
      <c r="D34" s="256" t="s">
        <v>1532</v>
      </c>
      <c r="E34" s="257">
        <v>30</v>
      </c>
      <c r="F34">
        <f t="shared" si="0"/>
        <v>1</v>
      </c>
      <c r="G34" t="str">
        <f t="shared" si="1"/>
        <v>Perdu</v>
      </c>
      <c r="J34" s="6" t="s">
        <v>20</v>
      </c>
      <c r="K34" s="5">
        <v>0.57894736842105265</v>
      </c>
    </row>
    <row r="35" spans="1:11" x14ac:dyDescent="0.25">
      <c r="A35" s="252" t="s">
        <v>1382</v>
      </c>
      <c r="B35" s="253" t="s">
        <v>369</v>
      </c>
      <c r="C35" s="253" t="s">
        <v>1533</v>
      </c>
      <c r="D35" s="253" t="s">
        <v>1534</v>
      </c>
      <c r="E35" s="254">
        <v>33</v>
      </c>
      <c r="F35">
        <f t="shared" si="0"/>
        <v>1</v>
      </c>
      <c r="G35" t="str">
        <f t="shared" si="1"/>
        <v>Perdu</v>
      </c>
      <c r="J35" s="3" t="s">
        <v>1539</v>
      </c>
      <c r="K35" s="5">
        <v>0.12666666666666668</v>
      </c>
    </row>
    <row r="36" spans="1:11" hidden="1" x14ac:dyDescent="0.25">
      <c r="A36" s="255" t="s">
        <v>1382</v>
      </c>
      <c r="B36" s="256" t="s">
        <v>369</v>
      </c>
      <c r="C36" s="256" t="s">
        <v>1537</v>
      </c>
      <c r="D36" s="256" t="s">
        <v>1538</v>
      </c>
      <c r="E36" s="257">
        <v>23</v>
      </c>
      <c r="F36">
        <f t="shared" si="0"/>
        <v>1</v>
      </c>
      <c r="G36" t="str">
        <f t="shared" si="1"/>
        <v>Perdu</v>
      </c>
      <c r="J36" s="6" t="s">
        <v>17</v>
      </c>
      <c r="K36" s="5">
        <v>0.47368421052631576</v>
      </c>
    </row>
    <row r="37" spans="1:11" hidden="1" x14ac:dyDescent="0.25">
      <c r="A37" s="255" t="s">
        <v>1382</v>
      </c>
      <c r="B37" s="256" t="s">
        <v>369</v>
      </c>
      <c r="C37" s="256" t="s">
        <v>1539</v>
      </c>
      <c r="D37" s="256" t="s">
        <v>1540</v>
      </c>
      <c r="E37" s="257">
        <v>17</v>
      </c>
      <c r="F37">
        <f t="shared" si="0"/>
        <v>1</v>
      </c>
      <c r="G37" t="str">
        <f t="shared" si="1"/>
        <v>Perdu</v>
      </c>
      <c r="J37" s="6" t="s">
        <v>20</v>
      </c>
      <c r="K37" s="5">
        <v>0.52631578947368418</v>
      </c>
    </row>
    <row r="38" spans="1:11" hidden="1" x14ac:dyDescent="0.25">
      <c r="A38" s="252" t="s">
        <v>1543</v>
      </c>
      <c r="B38" s="253" t="s">
        <v>372</v>
      </c>
      <c r="C38" s="253" t="s">
        <v>1537</v>
      </c>
      <c r="D38" s="253" t="s">
        <v>1538</v>
      </c>
      <c r="E38" s="254">
        <v>31</v>
      </c>
      <c r="F38">
        <f t="shared" si="0"/>
        <v>1</v>
      </c>
      <c r="G38" t="str">
        <f t="shared" si="1"/>
        <v>Gagné</v>
      </c>
      <c r="J38" s="3" t="s">
        <v>1541</v>
      </c>
      <c r="K38" s="5">
        <v>0.12</v>
      </c>
    </row>
    <row r="39" spans="1:11" hidden="1" x14ac:dyDescent="0.25">
      <c r="A39" s="252" t="s">
        <v>1492</v>
      </c>
      <c r="B39" s="253" t="s">
        <v>369</v>
      </c>
      <c r="C39" s="253" t="s">
        <v>1531</v>
      </c>
      <c r="D39" s="253" t="s">
        <v>1532</v>
      </c>
      <c r="E39" s="254">
        <v>31</v>
      </c>
      <c r="F39">
        <f t="shared" si="0"/>
        <v>1</v>
      </c>
      <c r="G39" t="str">
        <f t="shared" si="1"/>
        <v>Gagné</v>
      </c>
      <c r="J39" s="6" t="s">
        <v>17</v>
      </c>
      <c r="K39" s="5">
        <v>0.55555555555555558</v>
      </c>
    </row>
    <row r="40" spans="1:11" hidden="1" x14ac:dyDescent="0.25">
      <c r="A40" s="252" t="s">
        <v>1176</v>
      </c>
      <c r="B40" s="253" t="s">
        <v>369</v>
      </c>
      <c r="C40" s="253" t="s">
        <v>1535</v>
      </c>
      <c r="D40" s="253" t="s">
        <v>1536</v>
      </c>
      <c r="E40" s="254">
        <v>28</v>
      </c>
      <c r="F40">
        <f t="shared" si="0"/>
        <v>1</v>
      </c>
      <c r="G40" t="str">
        <f t="shared" si="1"/>
        <v>Perdu</v>
      </c>
      <c r="J40" s="6" t="s">
        <v>20</v>
      </c>
      <c r="K40" s="5">
        <v>0.44444444444444442</v>
      </c>
    </row>
    <row r="41" spans="1:11" hidden="1" x14ac:dyDescent="0.25">
      <c r="A41" s="255" t="s">
        <v>1176</v>
      </c>
      <c r="B41" s="256" t="s">
        <v>369</v>
      </c>
      <c r="C41" s="256" t="s">
        <v>1531</v>
      </c>
      <c r="D41" s="256" t="s">
        <v>1532</v>
      </c>
      <c r="E41" s="257">
        <v>24</v>
      </c>
      <c r="F41">
        <f t="shared" si="0"/>
        <v>1</v>
      </c>
      <c r="G41" t="str">
        <f t="shared" si="1"/>
        <v>Perdu</v>
      </c>
      <c r="J41" s="3" t="s">
        <v>1569</v>
      </c>
      <c r="K41" s="5">
        <v>0</v>
      </c>
    </row>
    <row r="42" spans="1:11" hidden="1" x14ac:dyDescent="0.25">
      <c r="A42" s="252" t="s">
        <v>1319</v>
      </c>
      <c r="B42" s="253" t="s">
        <v>372</v>
      </c>
      <c r="C42" s="253" t="s">
        <v>1539</v>
      </c>
      <c r="D42" s="253" t="s">
        <v>1540</v>
      </c>
      <c r="E42" s="254">
        <v>28</v>
      </c>
      <c r="F42">
        <f t="shared" si="0"/>
        <v>1</v>
      </c>
      <c r="G42" t="str">
        <f t="shared" si="1"/>
        <v>Gagné</v>
      </c>
      <c r="J42" s="6" t="s">
        <v>17</v>
      </c>
      <c r="K42" s="5"/>
    </row>
    <row r="43" spans="1:11" hidden="1" x14ac:dyDescent="0.25">
      <c r="A43" s="252" t="s">
        <v>1502</v>
      </c>
      <c r="B43" s="253" t="s">
        <v>363</v>
      </c>
      <c r="C43" s="253" t="s">
        <v>1531</v>
      </c>
      <c r="D43" s="253" t="s">
        <v>1532</v>
      </c>
      <c r="E43" s="254">
        <v>28</v>
      </c>
      <c r="F43">
        <f t="shared" si="0"/>
        <v>1</v>
      </c>
      <c r="G43" t="str">
        <f t="shared" si="1"/>
        <v>Gagné</v>
      </c>
      <c r="J43" s="6" t="s">
        <v>20</v>
      </c>
      <c r="K43" s="5"/>
    </row>
    <row r="44" spans="1:11" hidden="1" x14ac:dyDescent="0.25">
      <c r="A44" s="255" t="s">
        <v>1502</v>
      </c>
      <c r="B44" s="256" t="s">
        <v>363</v>
      </c>
      <c r="C44" s="256" t="s">
        <v>1537</v>
      </c>
      <c r="D44" s="256" t="s">
        <v>1538</v>
      </c>
      <c r="E44" s="257">
        <v>22</v>
      </c>
      <c r="F44">
        <f t="shared" si="0"/>
        <v>1</v>
      </c>
      <c r="G44" t="str">
        <f t="shared" si="1"/>
        <v>Perdu</v>
      </c>
      <c r="J44" s="3" t="s">
        <v>199</v>
      </c>
      <c r="K44" s="5">
        <v>1</v>
      </c>
    </row>
    <row r="45" spans="1:11" hidden="1" x14ac:dyDescent="0.25">
      <c r="A45" s="252" t="s">
        <v>1116</v>
      </c>
      <c r="B45" s="253" t="s">
        <v>372</v>
      </c>
      <c r="C45" s="253" t="s">
        <v>1541</v>
      </c>
      <c r="D45" s="253" t="s">
        <v>1542</v>
      </c>
      <c r="E45" s="254">
        <v>25</v>
      </c>
      <c r="F45">
        <f t="shared" si="0"/>
        <v>1</v>
      </c>
      <c r="G45" t="str">
        <f t="shared" si="1"/>
        <v>Gagné</v>
      </c>
    </row>
    <row r="46" spans="1:11" x14ac:dyDescent="0.25">
      <c r="A46" s="252" t="s">
        <v>1192</v>
      </c>
      <c r="B46" s="253" t="s">
        <v>369</v>
      </c>
      <c r="C46" s="253" t="s">
        <v>1533</v>
      </c>
      <c r="D46" s="253" t="s">
        <v>1534</v>
      </c>
      <c r="E46" s="254">
        <v>25</v>
      </c>
      <c r="F46">
        <f t="shared" si="0"/>
        <v>1</v>
      </c>
      <c r="G46" t="str">
        <f t="shared" si="1"/>
        <v>Gagné</v>
      </c>
    </row>
    <row r="47" spans="1:11" hidden="1" x14ac:dyDescent="0.25">
      <c r="A47" s="255" t="s">
        <v>1192</v>
      </c>
      <c r="B47" s="256" t="s">
        <v>369</v>
      </c>
      <c r="C47" s="256" t="s">
        <v>1537</v>
      </c>
      <c r="D47" s="256" t="s">
        <v>1538</v>
      </c>
      <c r="E47" s="257">
        <v>13</v>
      </c>
      <c r="F47">
        <f t="shared" si="0"/>
        <v>1</v>
      </c>
      <c r="G47" t="str">
        <f t="shared" si="1"/>
        <v>Perdu</v>
      </c>
    </row>
    <row r="48" spans="1:11" hidden="1" x14ac:dyDescent="0.25">
      <c r="A48" s="255" t="s">
        <v>1192</v>
      </c>
      <c r="B48" s="256" t="s">
        <v>369</v>
      </c>
      <c r="C48" s="256" t="s">
        <v>1529</v>
      </c>
      <c r="D48" s="256" t="s">
        <v>1530</v>
      </c>
      <c r="E48" s="257">
        <v>10</v>
      </c>
      <c r="F48">
        <f t="shared" si="0"/>
        <v>1</v>
      </c>
      <c r="G48" t="str">
        <f t="shared" si="1"/>
        <v>Perdu</v>
      </c>
    </row>
    <row r="49" spans="1:7" hidden="1" x14ac:dyDescent="0.25">
      <c r="A49" s="255" t="s">
        <v>1192</v>
      </c>
      <c r="B49" s="256" t="s">
        <v>369</v>
      </c>
      <c r="C49" s="256" t="s">
        <v>1527</v>
      </c>
      <c r="D49" s="256" t="s">
        <v>1528</v>
      </c>
      <c r="E49" s="257">
        <v>9</v>
      </c>
      <c r="F49">
        <f t="shared" si="0"/>
        <v>1</v>
      </c>
      <c r="G49" t="str">
        <f t="shared" si="1"/>
        <v>Perdu</v>
      </c>
    </row>
    <row r="50" spans="1:7" hidden="1" x14ac:dyDescent="0.25">
      <c r="A50" s="252" t="s">
        <v>1496</v>
      </c>
      <c r="B50" s="253" t="s">
        <v>372</v>
      </c>
      <c r="C50" s="253" t="s">
        <v>1535</v>
      </c>
      <c r="D50" s="253" t="s">
        <v>1536</v>
      </c>
      <c r="E50" s="254">
        <v>25</v>
      </c>
      <c r="F50">
        <f t="shared" si="0"/>
        <v>1</v>
      </c>
      <c r="G50" t="str">
        <f t="shared" si="1"/>
        <v>Gagné</v>
      </c>
    </row>
    <row r="51" spans="1:7" hidden="1" x14ac:dyDescent="0.25">
      <c r="A51" s="252" t="s">
        <v>1178</v>
      </c>
      <c r="B51" s="253" t="s">
        <v>369</v>
      </c>
      <c r="C51" s="253" t="s">
        <v>1531</v>
      </c>
      <c r="D51" s="253" t="s">
        <v>1532</v>
      </c>
      <c r="E51" s="254">
        <v>25</v>
      </c>
      <c r="F51">
        <f t="shared" si="0"/>
        <v>1</v>
      </c>
      <c r="G51" t="str">
        <f t="shared" si="1"/>
        <v>Gagné</v>
      </c>
    </row>
    <row r="52" spans="1:7" hidden="1" x14ac:dyDescent="0.25">
      <c r="A52" s="255" t="s">
        <v>1178</v>
      </c>
      <c r="B52" s="256" t="s">
        <v>369</v>
      </c>
      <c r="C52" s="256" t="s">
        <v>1537</v>
      </c>
      <c r="D52" s="256" t="s">
        <v>1538</v>
      </c>
      <c r="E52" s="257">
        <v>23</v>
      </c>
      <c r="F52">
        <f t="shared" si="0"/>
        <v>1</v>
      </c>
      <c r="G52" t="str">
        <f t="shared" si="1"/>
        <v>Perdu</v>
      </c>
    </row>
    <row r="53" spans="1:7" x14ac:dyDescent="0.25">
      <c r="A53" s="252" t="s">
        <v>1155</v>
      </c>
      <c r="B53" s="253" t="s">
        <v>369</v>
      </c>
      <c r="C53" s="253" t="s">
        <v>1533</v>
      </c>
      <c r="D53" s="253" t="s">
        <v>1534</v>
      </c>
      <c r="E53" s="254">
        <v>24</v>
      </c>
      <c r="F53">
        <f t="shared" si="0"/>
        <v>1</v>
      </c>
      <c r="G53" t="str">
        <f t="shared" si="1"/>
        <v>Perdu</v>
      </c>
    </row>
    <row r="54" spans="1:7" x14ac:dyDescent="0.25">
      <c r="A54" s="252" t="s">
        <v>1156</v>
      </c>
      <c r="B54" s="253" t="s">
        <v>369</v>
      </c>
      <c r="C54" s="253" t="s">
        <v>1533</v>
      </c>
      <c r="D54" s="253" t="s">
        <v>1534</v>
      </c>
      <c r="E54" s="254">
        <v>24</v>
      </c>
      <c r="F54">
        <f t="shared" si="0"/>
        <v>1</v>
      </c>
      <c r="G54" t="str">
        <f t="shared" si="1"/>
        <v>Perdu</v>
      </c>
    </row>
    <row r="55" spans="1:7" hidden="1" x14ac:dyDescent="0.25">
      <c r="A55" s="255" t="s">
        <v>1156</v>
      </c>
      <c r="B55" s="256" t="s">
        <v>369</v>
      </c>
      <c r="C55" s="256" t="s">
        <v>1539</v>
      </c>
      <c r="D55" s="256" t="s">
        <v>1540</v>
      </c>
      <c r="E55" s="257">
        <v>20</v>
      </c>
      <c r="F55">
        <f t="shared" si="0"/>
        <v>1</v>
      </c>
      <c r="G55" t="str">
        <f t="shared" si="1"/>
        <v>Perdu</v>
      </c>
    </row>
    <row r="56" spans="1:7" x14ac:dyDescent="0.25">
      <c r="A56" s="252" t="s">
        <v>1098</v>
      </c>
      <c r="B56" s="253" t="s">
        <v>363</v>
      </c>
      <c r="C56" s="253" t="s">
        <v>1533</v>
      </c>
      <c r="D56" s="253" t="s">
        <v>1534</v>
      </c>
      <c r="E56" s="254">
        <v>24</v>
      </c>
      <c r="F56">
        <f t="shared" si="0"/>
        <v>1</v>
      </c>
      <c r="G56" t="str">
        <f t="shared" si="1"/>
        <v>Gagné</v>
      </c>
    </row>
    <row r="57" spans="1:7" hidden="1" x14ac:dyDescent="0.25">
      <c r="A57" s="255" t="s">
        <v>1098</v>
      </c>
      <c r="B57" s="256" t="s">
        <v>363</v>
      </c>
      <c r="C57" s="256" t="s">
        <v>1539</v>
      </c>
      <c r="D57" s="256" t="s">
        <v>1540</v>
      </c>
      <c r="E57" s="257">
        <v>18</v>
      </c>
      <c r="F57">
        <f t="shared" si="0"/>
        <v>1</v>
      </c>
      <c r="G57" t="str">
        <f t="shared" si="1"/>
        <v>Perdu</v>
      </c>
    </row>
    <row r="58" spans="1:7" hidden="1" x14ac:dyDescent="0.25">
      <c r="A58" s="252" t="s">
        <v>1417</v>
      </c>
      <c r="B58" s="253" t="s">
        <v>372</v>
      </c>
      <c r="C58" s="253" t="s">
        <v>1537</v>
      </c>
      <c r="D58" s="253" t="s">
        <v>1538</v>
      </c>
      <c r="E58" s="254">
        <v>24</v>
      </c>
      <c r="F58">
        <f t="shared" si="0"/>
        <v>1</v>
      </c>
      <c r="G58" t="str">
        <f t="shared" si="1"/>
        <v>Gagné</v>
      </c>
    </row>
    <row r="59" spans="1:7" hidden="1" x14ac:dyDescent="0.25">
      <c r="A59" s="252" t="s">
        <v>1501</v>
      </c>
      <c r="B59" s="253" t="s">
        <v>363</v>
      </c>
      <c r="C59" s="253" t="s">
        <v>1531</v>
      </c>
      <c r="D59" s="253" t="s">
        <v>1532</v>
      </c>
      <c r="E59" s="254">
        <v>24</v>
      </c>
      <c r="F59">
        <f t="shared" si="0"/>
        <v>1</v>
      </c>
      <c r="G59" t="str">
        <f t="shared" si="1"/>
        <v>Gagné</v>
      </c>
    </row>
    <row r="60" spans="1:7" hidden="1" x14ac:dyDescent="0.25">
      <c r="A60" s="255" t="s">
        <v>1501</v>
      </c>
      <c r="B60" s="256" t="s">
        <v>363</v>
      </c>
      <c r="C60" s="256" t="s">
        <v>1539</v>
      </c>
      <c r="D60" s="256" t="s">
        <v>1540</v>
      </c>
      <c r="E60" s="257">
        <v>20</v>
      </c>
      <c r="F60">
        <f t="shared" si="0"/>
        <v>1</v>
      </c>
      <c r="G60" t="str">
        <f t="shared" si="1"/>
        <v>Perdu</v>
      </c>
    </row>
    <row r="61" spans="1:7" hidden="1" x14ac:dyDescent="0.25">
      <c r="A61" s="252" t="s">
        <v>1407</v>
      </c>
      <c r="B61" s="253" t="s">
        <v>369</v>
      </c>
      <c r="C61" s="253" t="s">
        <v>1541</v>
      </c>
      <c r="D61" s="253" t="s">
        <v>1542</v>
      </c>
      <c r="E61" s="254">
        <v>23</v>
      </c>
      <c r="F61">
        <f t="shared" si="0"/>
        <v>1</v>
      </c>
      <c r="G61" t="str">
        <f t="shared" si="1"/>
        <v>Gagné</v>
      </c>
    </row>
    <row r="62" spans="1:7" hidden="1" x14ac:dyDescent="0.25">
      <c r="A62" s="252" t="s">
        <v>1277</v>
      </c>
      <c r="B62" s="253" t="s">
        <v>372</v>
      </c>
      <c r="C62" s="253" t="s">
        <v>1541</v>
      </c>
      <c r="D62" s="253" t="s">
        <v>1542</v>
      </c>
      <c r="E62" s="254">
        <v>22</v>
      </c>
      <c r="F62">
        <f t="shared" si="0"/>
        <v>1</v>
      </c>
      <c r="G62" t="str">
        <f t="shared" si="1"/>
        <v>Gagné</v>
      </c>
    </row>
    <row r="63" spans="1:7" x14ac:dyDescent="0.25">
      <c r="A63" s="252" t="s">
        <v>1388</v>
      </c>
      <c r="B63" s="253" t="s">
        <v>372</v>
      </c>
      <c r="C63" s="253" t="s">
        <v>1533</v>
      </c>
      <c r="D63" s="253" t="s">
        <v>1534</v>
      </c>
      <c r="E63" s="254">
        <v>22</v>
      </c>
      <c r="F63">
        <f t="shared" si="0"/>
        <v>1</v>
      </c>
      <c r="G63" t="str">
        <f t="shared" si="1"/>
        <v>Perdu</v>
      </c>
    </row>
    <row r="64" spans="1:7" x14ac:dyDescent="0.25">
      <c r="A64" s="252" t="s">
        <v>1084</v>
      </c>
      <c r="B64" s="253" t="s">
        <v>369</v>
      </c>
      <c r="C64" s="253" t="s">
        <v>1533</v>
      </c>
      <c r="D64" s="253" t="s">
        <v>1534</v>
      </c>
      <c r="E64" s="254">
        <v>22</v>
      </c>
      <c r="F64">
        <f t="shared" si="0"/>
        <v>1</v>
      </c>
      <c r="G64" t="str">
        <f t="shared" si="1"/>
        <v>Gagné</v>
      </c>
    </row>
    <row r="65" spans="1:7" hidden="1" x14ac:dyDescent="0.25">
      <c r="A65" s="255" t="s">
        <v>1084</v>
      </c>
      <c r="B65" s="256" t="s">
        <v>369</v>
      </c>
      <c r="C65" s="256" t="s">
        <v>1539</v>
      </c>
      <c r="D65" s="256" t="s">
        <v>1540</v>
      </c>
      <c r="E65" s="257">
        <v>16</v>
      </c>
      <c r="F65">
        <f t="shared" si="0"/>
        <v>1</v>
      </c>
      <c r="G65" t="str">
        <f t="shared" si="1"/>
        <v>Perdu</v>
      </c>
    </row>
    <row r="66" spans="1:7" hidden="1" x14ac:dyDescent="0.25">
      <c r="A66" s="252" t="s">
        <v>1177</v>
      </c>
      <c r="B66" s="253" t="s">
        <v>369</v>
      </c>
      <c r="C66" s="253" t="s">
        <v>1537</v>
      </c>
      <c r="D66" s="253" t="s">
        <v>1538</v>
      </c>
      <c r="E66" s="254">
        <v>22</v>
      </c>
      <c r="F66">
        <f t="shared" si="0"/>
        <v>1</v>
      </c>
      <c r="G66" t="str">
        <f t="shared" si="1"/>
        <v>Perdu</v>
      </c>
    </row>
    <row r="67" spans="1:7" hidden="1" x14ac:dyDescent="0.25">
      <c r="A67" s="252" t="s">
        <v>1231</v>
      </c>
      <c r="B67" s="253" t="s">
        <v>369</v>
      </c>
      <c r="C67" s="253" t="s">
        <v>1539</v>
      </c>
      <c r="D67" s="253" t="s">
        <v>1540</v>
      </c>
      <c r="E67" s="254">
        <v>22</v>
      </c>
      <c r="F67">
        <f t="shared" ref="F67:F130" si="2">IF(E67&gt;$H$1,IF(E67&gt;$H$2,IF(E67&gt;$H$3,IF(E67&gt;$H$4,5,4),3),2),1)</f>
        <v>1</v>
      </c>
      <c r="G67" t="str">
        <f t="shared" ref="G67:G130" si="3">IF(B67=B66,"Perdu","Gagné")</f>
        <v>Perdu</v>
      </c>
    </row>
    <row r="68" spans="1:7" hidden="1" x14ac:dyDescent="0.25">
      <c r="A68" s="252" t="s">
        <v>1152</v>
      </c>
      <c r="B68" s="253" t="s">
        <v>363</v>
      </c>
      <c r="C68" s="253" t="s">
        <v>1539</v>
      </c>
      <c r="D68" s="253" t="s">
        <v>1540</v>
      </c>
      <c r="E68" s="254">
        <v>22</v>
      </c>
      <c r="F68">
        <f t="shared" si="2"/>
        <v>1</v>
      </c>
      <c r="G68" t="str">
        <f t="shared" si="3"/>
        <v>Gagné</v>
      </c>
    </row>
    <row r="69" spans="1:7" hidden="1" x14ac:dyDescent="0.25">
      <c r="A69" s="255" t="s">
        <v>1152</v>
      </c>
      <c r="B69" s="256" t="s">
        <v>363</v>
      </c>
      <c r="C69" s="256" t="s">
        <v>1537</v>
      </c>
      <c r="D69" s="256" t="s">
        <v>1538</v>
      </c>
      <c r="E69" s="257">
        <v>21</v>
      </c>
      <c r="F69">
        <f t="shared" si="2"/>
        <v>1</v>
      </c>
      <c r="G69" t="str">
        <f t="shared" si="3"/>
        <v>Perdu</v>
      </c>
    </row>
    <row r="70" spans="1:7" x14ac:dyDescent="0.25">
      <c r="A70" s="255" t="s">
        <v>1152</v>
      </c>
      <c r="B70" s="256" t="s">
        <v>363</v>
      </c>
      <c r="C70" s="256" t="s">
        <v>1533</v>
      </c>
      <c r="D70" s="256" t="s">
        <v>1534</v>
      </c>
      <c r="E70" s="257">
        <v>18</v>
      </c>
      <c r="F70">
        <f t="shared" si="2"/>
        <v>1</v>
      </c>
      <c r="G70" t="str">
        <f t="shared" si="3"/>
        <v>Perdu</v>
      </c>
    </row>
    <row r="71" spans="1:7" hidden="1" x14ac:dyDescent="0.25">
      <c r="A71" s="255" t="s">
        <v>1152</v>
      </c>
      <c r="B71" s="256" t="s">
        <v>363</v>
      </c>
      <c r="C71" s="256" t="s">
        <v>1535</v>
      </c>
      <c r="D71" s="256" t="s">
        <v>1536</v>
      </c>
      <c r="E71" s="257">
        <v>17</v>
      </c>
      <c r="F71">
        <f t="shared" si="2"/>
        <v>1</v>
      </c>
      <c r="G71" t="str">
        <f t="shared" si="3"/>
        <v>Perdu</v>
      </c>
    </row>
    <row r="72" spans="1:7" x14ac:dyDescent="0.25">
      <c r="A72" s="252" t="s">
        <v>1434</v>
      </c>
      <c r="B72" s="253" t="s">
        <v>369</v>
      </c>
      <c r="C72" s="253" t="s">
        <v>1533</v>
      </c>
      <c r="D72" s="253" t="s">
        <v>1534</v>
      </c>
      <c r="E72" s="254">
        <v>21</v>
      </c>
      <c r="F72">
        <f t="shared" si="2"/>
        <v>1</v>
      </c>
      <c r="G72" t="str">
        <f t="shared" si="3"/>
        <v>Gagné</v>
      </c>
    </row>
    <row r="73" spans="1:7" hidden="1" x14ac:dyDescent="0.25">
      <c r="A73" s="255" t="s">
        <v>1434</v>
      </c>
      <c r="B73" s="256" t="s">
        <v>369</v>
      </c>
      <c r="C73" s="256" t="s">
        <v>1541</v>
      </c>
      <c r="D73" s="256" t="s">
        <v>1542</v>
      </c>
      <c r="E73" s="257">
        <v>17</v>
      </c>
      <c r="F73">
        <f t="shared" si="2"/>
        <v>1</v>
      </c>
      <c r="G73" t="str">
        <f t="shared" si="3"/>
        <v>Perdu</v>
      </c>
    </row>
    <row r="74" spans="1:7" x14ac:dyDescent="0.25">
      <c r="A74" s="252" t="s">
        <v>1170</v>
      </c>
      <c r="B74" s="253" t="s">
        <v>363</v>
      </c>
      <c r="C74" s="253" t="s">
        <v>1533</v>
      </c>
      <c r="D74" s="253" t="s">
        <v>1534</v>
      </c>
      <c r="E74" s="254">
        <v>21</v>
      </c>
      <c r="F74">
        <f t="shared" si="2"/>
        <v>1</v>
      </c>
      <c r="G74" t="str">
        <f t="shared" si="3"/>
        <v>Gagné</v>
      </c>
    </row>
    <row r="75" spans="1:7" hidden="1" x14ac:dyDescent="0.25">
      <c r="A75" s="255" t="s">
        <v>1170</v>
      </c>
      <c r="B75" s="256" t="s">
        <v>363</v>
      </c>
      <c r="C75" s="256" t="s">
        <v>1539</v>
      </c>
      <c r="D75" s="256" t="s">
        <v>1540</v>
      </c>
      <c r="E75" s="257">
        <v>20</v>
      </c>
      <c r="F75">
        <f t="shared" si="2"/>
        <v>1</v>
      </c>
      <c r="G75" t="str">
        <f t="shared" si="3"/>
        <v>Perdu</v>
      </c>
    </row>
    <row r="76" spans="1:7" hidden="1" x14ac:dyDescent="0.25">
      <c r="A76" s="255" t="s">
        <v>1170</v>
      </c>
      <c r="B76" s="256" t="s">
        <v>363</v>
      </c>
      <c r="C76" s="256" t="s">
        <v>1535</v>
      </c>
      <c r="D76" s="256" t="s">
        <v>1536</v>
      </c>
      <c r="E76" s="257">
        <v>16</v>
      </c>
      <c r="F76">
        <f t="shared" si="2"/>
        <v>1</v>
      </c>
      <c r="G76" t="str">
        <f t="shared" si="3"/>
        <v>Perdu</v>
      </c>
    </row>
    <row r="77" spans="1:7" hidden="1" x14ac:dyDescent="0.25">
      <c r="A77" s="252" t="s">
        <v>1145</v>
      </c>
      <c r="B77" s="253" t="s">
        <v>360</v>
      </c>
      <c r="C77" s="253" t="s">
        <v>1537</v>
      </c>
      <c r="D77" s="253" t="s">
        <v>1538</v>
      </c>
      <c r="E77" s="254">
        <v>21</v>
      </c>
      <c r="F77">
        <f t="shared" si="2"/>
        <v>1</v>
      </c>
      <c r="G77" t="str">
        <f t="shared" si="3"/>
        <v>Gagné</v>
      </c>
    </row>
    <row r="78" spans="1:7" hidden="1" x14ac:dyDescent="0.25">
      <c r="A78" s="252" t="s">
        <v>234</v>
      </c>
      <c r="B78" s="253" t="s">
        <v>360</v>
      </c>
      <c r="C78" s="253" t="s">
        <v>1527</v>
      </c>
      <c r="D78" s="253" t="s">
        <v>1528</v>
      </c>
      <c r="E78" s="254">
        <v>20</v>
      </c>
      <c r="F78">
        <f t="shared" si="2"/>
        <v>1</v>
      </c>
      <c r="G78" t="str">
        <f t="shared" si="3"/>
        <v>Perdu</v>
      </c>
    </row>
    <row r="79" spans="1:7" hidden="1" x14ac:dyDescent="0.25">
      <c r="A79" s="252" t="s">
        <v>1246</v>
      </c>
      <c r="B79" s="253" t="s">
        <v>372</v>
      </c>
      <c r="C79" s="253" t="s">
        <v>1539</v>
      </c>
      <c r="D79" s="253" t="s">
        <v>1540</v>
      </c>
      <c r="E79" s="254">
        <v>20</v>
      </c>
      <c r="F79">
        <f t="shared" si="2"/>
        <v>1</v>
      </c>
      <c r="G79" t="str">
        <f t="shared" si="3"/>
        <v>Gagné</v>
      </c>
    </row>
    <row r="80" spans="1:7" hidden="1" x14ac:dyDescent="0.25">
      <c r="A80" s="252" t="s">
        <v>1041</v>
      </c>
      <c r="B80" s="253" t="s">
        <v>369</v>
      </c>
      <c r="C80" s="253" t="s">
        <v>1539</v>
      </c>
      <c r="D80" s="253" t="s">
        <v>1540</v>
      </c>
      <c r="E80" s="254">
        <v>20</v>
      </c>
      <c r="F80">
        <f t="shared" si="2"/>
        <v>1</v>
      </c>
      <c r="G80" t="str">
        <f t="shared" si="3"/>
        <v>Gagné</v>
      </c>
    </row>
    <row r="81" spans="1:7" hidden="1" x14ac:dyDescent="0.25">
      <c r="A81" s="252" t="s">
        <v>188</v>
      </c>
      <c r="B81" s="253" t="s">
        <v>369</v>
      </c>
      <c r="C81" s="253" t="s">
        <v>1529</v>
      </c>
      <c r="D81" s="253" t="s">
        <v>1530</v>
      </c>
      <c r="E81" s="254">
        <v>19</v>
      </c>
      <c r="F81">
        <f t="shared" si="2"/>
        <v>1</v>
      </c>
      <c r="G81" t="str">
        <f t="shared" si="3"/>
        <v>Perdu</v>
      </c>
    </row>
    <row r="82" spans="1:7" hidden="1" x14ac:dyDescent="0.25">
      <c r="A82" s="252" t="s">
        <v>1359</v>
      </c>
      <c r="B82" s="253" t="s">
        <v>369</v>
      </c>
      <c r="C82" s="253" t="s">
        <v>1535</v>
      </c>
      <c r="D82" s="253" t="s">
        <v>1536</v>
      </c>
      <c r="E82" s="254">
        <v>19</v>
      </c>
      <c r="F82">
        <f t="shared" si="2"/>
        <v>1</v>
      </c>
      <c r="G82" t="str">
        <f t="shared" si="3"/>
        <v>Perdu</v>
      </c>
    </row>
    <row r="83" spans="1:7" hidden="1" x14ac:dyDescent="0.25">
      <c r="A83" s="252" t="s">
        <v>1480</v>
      </c>
      <c r="B83" s="253" t="s">
        <v>363</v>
      </c>
      <c r="C83" s="253" t="s">
        <v>1539</v>
      </c>
      <c r="D83" s="253" t="s">
        <v>1540</v>
      </c>
      <c r="E83" s="254">
        <v>19</v>
      </c>
      <c r="F83">
        <f t="shared" si="2"/>
        <v>1</v>
      </c>
      <c r="G83" t="str">
        <f t="shared" si="3"/>
        <v>Gagné</v>
      </c>
    </row>
    <row r="84" spans="1:7" hidden="1" x14ac:dyDescent="0.25">
      <c r="A84" s="252" t="s">
        <v>377</v>
      </c>
      <c r="B84" s="253" t="s">
        <v>363</v>
      </c>
      <c r="C84" s="253" t="s">
        <v>1531</v>
      </c>
      <c r="D84" s="253" t="s">
        <v>1532</v>
      </c>
      <c r="E84" s="254">
        <v>19</v>
      </c>
      <c r="F84">
        <f t="shared" si="2"/>
        <v>1</v>
      </c>
      <c r="G84" t="str">
        <f t="shared" si="3"/>
        <v>Perdu</v>
      </c>
    </row>
    <row r="85" spans="1:7" hidden="1" x14ac:dyDescent="0.25">
      <c r="A85" s="252" t="s">
        <v>1172</v>
      </c>
      <c r="B85" s="253" t="s">
        <v>363</v>
      </c>
      <c r="C85" s="253" t="s">
        <v>1541</v>
      </c>
      <c r="D85" s="253" t="s">
        <v>1542</v>
      </c>
      <c r="E85" s="254">
        <v>18</v>
      </c>
      <c r="F85">
        <f t="shared" si="2"/>
        <v>1</v>
      </c>
      <c r="G85" t="str">
        <f t="shared" si="3"/>
        <v>Perdu</v>
      </c>
    </row>
    <row r="86" spans="1:7" hidden="1" x14ac:dyDescent="0.25">
      <c r="A86" s="255" t="s">
        <v>1172</v>
      </c>
      <c r="B86" s="256" t="s">
        <v>363</v>
      </c>
      <c r="C86" s="256" t="s">
        <v>1529</v>
      </c>
      <c r="D86" s="256" t="s">
        <v>1530</v>
      </c>
      <c r="E86" s="257">
        <v>18</v>
      </c>
      <c r="F86">
        <f t="shared" si="2"/>
        <v>1</v>
      </c>
      <c r="G86" t="str">
        <f t="shared" si="3"/>
        <v>Perdu</v>
      </c>
    </row>
    <row r="87" spans="1:7" hidden="1" x14ac:dyDescent="0.25">
      <c r="A87" s="255" t="s">
        <v>1172</v>
      </c>
      <c r="B87" s="256" t="s">
        <v>363</v>
      </c>
      <c r="C87" s="256" t="s">
        <v>1537</v>
      </c>
      <c r="D87" s="256" t="s">
        <v>1538</v>
      </c>
      <c r="E87" s="257">
        <v>18</v>
      </c>
      <c r="F87">
        <f t="shared" si="2"/>
        <v>1</v>
      </c>
      <c r="G87" t="str">
        <f t="shared" si="3"/>
        <v>Perdu</v>
      </c>
    </row>
    <row r="88" spans="1:7" hidden="1" x14ac:dyDescent="0.25">
      <c r="A88" s="252" t="s">
        <v>1428</v>
      </c>
      <c r="B88" s="253" t="s">
        <v>363</v>
      </c>
      <c r="C88" s="253" t="s">
        <v>1541</v>
      </c>
      <c r="D88" s="253" t="s">
        <v>1542</v>
      </c>
      <c r="E88" s="254">
        <v>18</v>
      </c>
      <c r="F88">
        <f t="shared" si="2"/>
        <v>1</v>
      </c>
      <c r="G88" t="str">
        <f t="shared" si="3"/>
        <v>Perdu</v>
      </c>
    </row>
    <row r="89" spans="1:7" hidden="1" x14ac:dyDescent="0.25">
      <c r="A89" s="255" t="s">
        <v>1428</v>
      </c>
      <c r="B89" s="256" t="s">
        <v>363</v>
      </c>
      <c r="C89" s="256" t="s">
        <v>1529</v>
      </c>
      <c r="D89" s="256" t="s">
        <v>1530</v>
      </c>
      <c r="E89" s="257">
        <v>18</v>
      </c>
      <c r="F89">
        <f t="shared" si="2"/>
        <v>1</v>
      </c>
      <c r="G89" t="str">
        <f t="shared" si="3"/>
        <v>Perdu</v>
      </c>
    </row>
    <row r="90" spans="1:7" hidden="1" x14ac:dyDescent="0.25">
      <c r="A90" s="252" t="s">
        <v>651</v>
      </c>
      <c r="B90" s="253" t="s">
        <v>363</v>
      </c>
      <c r="C90" s="253" t="s">
        <v>1529</v>
      </c>
      <c r="D90" s="253" t="s">
        <v>1530</v>
      </c>
      <c r="E90" s="254">
        <v>18</v>
      </c>
      <c r="F90">
        <f t="shared" si="2"/>
        <v>1</v>
      </c>
      <c r="G90" t="str">
        <f t="shared" si="3"/>
        <v>Perdu</v>
      </c>
    </row>
    <row r="91" spans="1:7" hidden="1" x14ac:dyDescent="0.25">
      <c r="A91" s="252" t="s">
        <v>1424</v>
      </c>
      <c r="B91" s="253" t="s">
        <v>360</v>
      </c>
      <c r="C91" s="253" t="s">
        <v>1535</v>
      </c>
      <c r="D91" s="253" t="s">
        <v>1536</v>
      </c>
      <c r="E91" s="254">
        <v>18</v>
      </c>
      <c r="F91">
        <f t="shared" si="2"/>
        <v>1</v>
      </c>
      <c r="G91" t="str">
        <f t="shared" si="3"/>
        <v>Gagné</v>
      </c>
    </row>
    <row r="92" spans="1:7" hidden="1" x14ac:dyDescent="0.25">
      <c r="A92" s="252" t="s">
        <v>1481</v>
      </c>
      <c r="B92" s="253" t="s">
        <v>363</v>
      </c>
      <c r="C92" s="253" t="s">
        <v>1537</v>
      </c>
      <c r="D92" s="253" t="s">
        <v>1538</v>
      </c>
      <c r="E92" s="254">
        <v>18</v>
      </c>
      <c r="F92">
        <f t="shared" si="2"/>
        <v>1</v>
      </c>
      <c r="G92" t="str">
        <f t="shared" si="3"/>
        <v>Gagné</v>
      </c>
    </row>
    <row r="93" spans="1:7" hidden="1" x14ac:dyDescent="0.25">
      <c r="A93" s="255" t="s">
        <v>1481</v>
      </c>
      <c r="B93" s="256" t="s">
        <v>363</v>
      </c>
      <c r="C93" s="256" t="s">
        <v>1535</v>
      </c>
      <c r="D93" s="256" t="s">
        <v>1536</v>
      </c>
      <c r="E93" s="257">
        <v>13</v>
      </c>
      <c r="F93">
        <f t="shared" si="2"/>
        <v>1</v>
      </c>
      <c r="G93" t="str">
        <f t="shared" si="3"/>
        <v>Perdu</v>
      </c>
    </row>
    <row r="94" spans="1:7" hidden="1" x14ac:dyDescent="0.25">
      <c r="A94" s="252" t="s">
        <v>1544</v>
      </c>
      <c r="B94" s="253" t="s">
        <v>363</v>
      </c>
      <c r="C94" s="253" t="s">
        <v>1541</v>
      </c>
      <c r="D94" s="253" t="s">
        <v>1542</v>
      </c>
      <c r="E94" s="254">
        <v>17</v>
      </c>
      <c r="F94">
        <f t="shared" si="2"/>
        <v>1</v>
      </c>
      <c r="G94" t="str">
        <f t="shared" si="3"/>
        <v>Perdu</v>
      </c>
    </row>
    <row r="95" spans="1:7" hidden="1" x14ac:dyDescent="0.25">
      <c r="A95" s="252" t="s">
        <v>1263</v>
      </c>
      <c r="B95" s="253" t="s">
        <v>363</v>
      </c>
      <c r="C95" s="253" t="s">
        <v>1541</v>
      </c>
      <c r="D95" s="253" t="s">
        <v>1542</v>
      </c>
      <c r="E95" s="254">
        <v>17</v>
      </c>
      <c r="F95">
        <f t="shared" si="2"/>
        <v>1</v>
      </c>
      <c r="G95" t="str">
        <f t="shared" si="3"/>
        <v>Perdu</v>
      </c>
    </row>
    <row r="96" spans="1:7" hidden="1" x14ac:dyDescent="0.25">
      <c r="A96" s="252" t="s">
        <v>1479</v>
      </c>
      <c r="B96" s="253" t="s">
        <v>363</v>
      </c>
      <c r="C96" s="253" t="s">
        <v>1529</v>
      </c>
      <c r="D96" s="253" t="s">
        <v>1530</v>
      </c>
      <c r="E96" s="254">
        <v>17</v>
      </c>
      <c r="F96">
        <f t="shared" si="2"/>
        <v>1</v>
      </c>
      <c r="G96" t="str">
        <f t="shared" si="3"/>
        <v>Perdu</v>
      </c>
    </row>
    <row r="97" spans="1:7" hidden="1" x14ac:dyDescent="0.25">
      <c r="A97" s="252" t="s">
        <v>1435</v>
      </c>
      <c r="B97" s="253" t="s">
        <v>369</v>
      </c>
      <c r="C97" s="253" t="s">
        <v>1529</v>
      </c>
      <c r="D97" s="253" t="s">
        <v>1530</v>
      </c>
      <c r="E97" s="254">
        <v>17</v>
      </c>
      <c r="F97">
        <f t="shared" si="2"/>
        <v>1</v>
      </c>
      <c r="G97" t="str">
        <f t="shared" si="3"/>
        <v>Gagné</v>
      </c>
    </row>
    <row r="98" spans="1:7" hidden="1" x14ac:dyDescent="0.25">
      <c r="A98" s="252" t="s">
        <v>1238</v>
      </c>
      <c r="B98" s="253" t="s">
        <v>360</v>
      </c>
      <c r="C98" s="253" t="s">
        <v>1539</v>
      </c>
      <c r="D98" s="253" t="s">
        <v>1540</v>
      </c>
      <c r="E98" s="254">
        <v>17</v>
      </c>
      <c r="F98">
        <f t="shared" si="2"/>
        <v>1</v>
      </c>
      <c r="G98" t="str">
        <f t="shared" si="3"/>
        <v>Gagné</v>
      </c>
    </row>
    <row r="99" spans="1:7" hidden="1" x14ac:dyDescent="0.25">
      <c r="A99" s="255" t="s">
        <v>1238</v>
      </c>
      <c r="B99" s="256" t="s">
        <v>360</v>
      </c>
      <c r="C99" s="256" t="s">
        <v>1529</v>
      </c>
      <c r="D99" s="256" t="s">
        <v>1530</v>
      </c>
      <c r="E99" s="257">
        <v>16</v>
      </c>
      <c r="F99">
        <f t="shared" si="2"/>
        <v>1</v>
      </c>
      <c r="G99" t="str">
        <f t="shared" si="3"/>
        <v>Perdu</v>
      </c>
    </row>
    <row r="100" spans="1:7" hidden="1" x14ac:dyDescent="0.25">
      <c r="A100" s="252" t="s">
        <v>1348</v>
      </c>
      <c r="B100" s="253" t="s">
        <v>360</v>
      </c>
      <c r="C100" s="253" t="s">
        <v>1531</v>
      </c>
      <c r="D100" s="253" t="s">
        <v>1532</v>
      </c>
      <c r="E100" s="254">
        <v>17</v>
      </c>
      <c r="F100">
        <f t="shared" si="2"/>
        <v>1</v>
      </c>
      <c r="G100" t="str">
        <f t="shared" si="3"/>
        <v>Perdu</v>
      </c>
    </row>
    <row r="101" spans="1:7" x14ac:dyDescent="0.25">
      <c r="A101" s="252" t="s">
        <v>1124</v>
      </c>
      <c r="B101" s="253" t="s">
        <v>363</v>
      </c>
      <c r="C101" s="253" t="s">
        <v>1533</v>
      </c>
      <c r="D101" s="253" t="s">
        <v>1534</v>
      </c>
      <c r="E101" s="254">
        <v>16</v>
      </c>
      <c r="F101">
        <f t="shared" si="2"/>
        <v>1</v>
      </c>
      <c r="G101" t="str">
        <f t="shared" si="3"/>
        <v>Gagné</v>
      </c>
    </row>
    <row r="102" spans="1:7" hidden="1" x14ac:dyDescent="0.25">
      <c r="A102" s="255" t="s">
        <v>1124</v>
      </c>
      <c r="B102" s="256" t="s">
        <v>363</v>
      </c>
      <c r="C102" s="256" t="s">
        <v>1539</v>
      </c>
      <c r="D102" s="256" t="s">
        <v>1540</v>
      </c>
      <c r="E102" s="257">
        <v>15</v>
      </c>
      <c r="F102">
        <f t="shared" si="2"/>
        <v>1</v>
      </c>
      <c r="G102" t="str">
        <f t="shared" si="3"/>
        <v>Perdu</v>
      </c>
    </row>
    <row r="103" spans="1:7" hidden="1" x14ac:dyDescent="0.25">
      <c r="A103" s="255" t="s">
        <v>1124</v>
      </c>
      <c r="B103" s="256" t="s">
        <v>363</v>
      </c>
      <c r="C103" s="256" t="s">
        <v>1527</v>
      </c>
      <c r="D103" s="256" t="s">
        <v>1528</v>
      </c>
      <c r="E103" s="257">
        <v>14</v>
      </c>
      <c r="F103">
        <f t="shared" si="2"/>
        <v>1</v>
      </c>
      <c r="G103" t="str">
        <f t="shared" si="3"/>
        <v>Perdu</v>
      </c>
    </row>
    <row r="104" spans="1:7" hidden="1" x14ac:dyDescent="0.25">
      <c r="A104" s="252" t="s">
        <v>1171</v>
      </c>
      <c r="B104" s="253" t="s">
        <v>363</v>
      </c>
      <c r="C104" s="253" t="s">
        <v>1535</v>
      </c>
      <c r="D104" s="253" t="s">
        <v>1536</v>
      </c>
      <c r="E104" s="254">
        <v>16</v>
      </c>
      <c r="F104">
        <f t="shared" si="2"/>
        <v>1</v>
      </c>
      <c r="G104" t="str">
        <f t="shared" si="3"/>
        <v>Perdu</v>
      </c>
    </row>
    <row r="105" spans="1:7" hidden="1" x14ac:dyDescent="0.25">
      <c r="A105" s="252" t="s">
        <v>1274</v>
      </c>
      <c r="B105" s="253" t="s">
        <v>369</v>
      </c>
      <c r="C105" s="253" t="s">
        <v>1541</v>
      </c>
      <c r="D105" s="253" t="s">
        <v>1542</v>
      </c>
      <c r="E105" s="254">
        <v>15</v>
      </c>
      <c r="F105">
        <f t="shared" si="2"/>
        <v>1</v>
      </c>
      <c r="G105" t="str">
        <f t="shared" si="3"/>
        <v>Gagné</v>
      </c>
    </row>
    <row r="106" spans="1:7" x14ac:dyDescent="0.25">
      <c r="A106" s="252" t="s">
        <v>1103</v>
      </c>
      <c r="B106" s="253" t="s">
        <v>369</v>
      </c>
      <c r="C106" s="253" t="s">
        <v>1533</v>
      </c>
      <c r="D106" s="253" t="s">
        <v>1534</v>
      </c>
      <c r="E106" s="254">
        <v>15</v>
      </c>
      <c r="F106">
        <f t="shared" si="2"/>
        <v>1</v>
      </c>
      <c r="G106" t="str">
        <f t="shared" si="3"/>
        <v>Perdu</v>
      </c>
    </row>
    <row r="107" spans="1:7" hidden="1" x14ac:dyDescent="0.25">
      <c r="A107" s="252" t="s">
        <v>1241</v>
      </c>
      <c r="B107" s="253" t="s">
        <v>363</v>
      </c>
      <c r="C107" s="253" t="s">
        <v>1537</v>
      </c>
      <c r="D107" s="253" t="s">
        <v>1538</v>
      </c>
      <c r="E107" s="254">
        <v>15</v>
      </c>
      <c r="F107">
        <f t="shared" si="2"/>
        <v>1</v>
      </c>
      <c r="G107" t="str">
        <f t="shared" si="3"/>
        <v>Gagné</v>
      </c>
    </row>
    <row r="108" spans="1:7" hidden="1" x14ac:dyDescent="0.25">
      <c r="A108" s="252" t="s">
        <v>1202</v>
      </c>
      <c r="B108" s="253" t="s">
        <v>369</v>
      </c>
      <c r="C108" s="253" t="s">
        <v>1527</v>
      </c>
      <c r="D108" s="253" t="s">
        <v>1528</v>
      </c>
      <c r="E108" s="254">
        <v>15</v>
      </c>
      <c r="F108">
        <f t="shared" si="2"/>
        <v>1</v>
      </c>
      <c r="G108" t="str">
        <f t="shared" si="3"/>
        <v>Gagné</v>
      </c>
    </row>
    <row r="109" spans="1:7" hidden="1" x14ac:dyDescent="0.25">
      <c r="A109" s="252" t="s">
        <v>1545</v>
      </c>
      <c r="B109" s="253" t="s">
        <v>363</v>
      </c>
      <c r="C109" s="253" t="s">
        <v>1541</v>
      </c>
      <c r="D109" s="253" t="s">
        <v>1542</v>
      </c>
      <c r="E109" s="254">
        <v>14</v>
      </c>
      <c r="F109">
        <f t="shared" si="2"/>
        <v>1</v>
      </c>
      <c r="G109" t="str">
        <f t="shared" si="3"/>
        <v>Gagné</v>
      </c>
    </row>
    <row r="110" spans="1:7" hidden="1" x14ac:dyDescent="0.25">
      <c r="A110" s="252" t="s">
        <v>1260</v>
      </c>
      <c r="B110" s="253" t="s">
        <v>360</v>
      </c>
      <c r="C110" s="253" t="s">
        <v>1541</v>
      </c>
      <c r="D110" s="253" t="s">
        <v>1542</v>
      </c>
      <c r="E110" s="254">
        <v>14</v>
      </c>
      <c r="F110">
        <f t="shared" si="2"/>
        <v>1</v>
      </c>
      <c r="G110" t="str">
        <f t="shared" si="3"/>
        <v>Gagné</v>
      </c>
    </row>
    <row r="111" spans="1:7" x14ac:dyDescent="0.25">
      <c r="A111" s="252" t="s">
        <v>1307</v>
      </c>
      <c r="B111" s="253" t="s">
        <v>363</v>
      </c>
      <c r="C111" s="253" t="s">
        <v>1533</v>
      </c>
      <c r="D111" s="253" t="s">
        <v>1534</v>
      </c>
      <c r="E111" s="254">
        <v>14</v>
      </c>
      <c r="F111">
        <f t="shared" si="2"/>
        <v>1</v>
      </c>
      <c r="G111" t="str">
        <f t="shared" si="3"/>
        <v>Gagné</v>
      </c>
    </row>
    <row r="112" spans="1:7" hidden="1" x14ac:dyDescent="0.25">
      <c r="A112" s="252" t="s">
        <v>1482</v>
      </c>
      <c r="B112" s="253" t="s">
        <v>363</v>
      </c>
      <c r="C112" s="253" t="s">
        <v>1535</v>
      </c>
      <c r="D112" s="253" t="s">
        <v>1536</v>
      </c>
      <c r="E112" s="254">
        <v>14</v>
      </c>
      <c r="F112">
        <f t="shared" si="2"/>
        <v>1</v>
      </c>
      <c r="G112" t="str">
        <f t="shared" si="3"/>
        <v>Perdu</v>
      </c>
    </row>
    <row r="113" spans="1:7" hidden="1" x14ac:dyDescent="0.25">
      <c r="A113" s="252" t="s">
        <v>1381</v>
      </c>
      <c r="B113" s="253" t="s">
        <v>369</v>
      </c>
      <c r="C113" s="253" t="s">
        <v>1527</v>
      </c>
      <c r="D113" s="253" t="s">
        <v>1528</v>
      </c>
      <c r="E113" s="254">
        <v>14</v>
      </c>
      <c r="F113">
        <f t="shared" si="2"/>
        <v>1</v>
      </c>
      <c r="G113" t="str">
        <f t="shared" si="3"/>
        <v>Gagné</v>
      </c>
    </row>
    <row r="114" spans="1:7" x14ac:dyDescent="0.25">
      <c r="A114" s="252" t="s">
        <v>1469</v>
      </c>
      <c r="B114" s="253" t="s">
        <v>372</v>
      </c>
      <c r="C114" s="253" t="s">
        <v>1533</v>
      </c>
      <c r="D114" s="253" t="s">
        <v>1534</v>
      </c>
      <c r="E114" s="254">
        <v>13</v>
      </c>
      <c r="F114">
        <f t="shared" si="2"/>
        <v>1</v>
      </c>
      <c r="G114" t="str">
        <f t="shared" si="3"/>
        <v>Gagné</v>
      </c>
    </row>
    <row r="115" spans="1:7" x14ac:dyDescent="0.25">
      <c r="A115" s="252" t="s">
        <v>1120</v>
      </c>
      <c r="B115" s="253" t="s">
        <v>360</v>
      </c>
      <c r="C115" s="253" t="s">
        <v>1533</v>
      </c>
      <c r="D115" s="253" t="s">
        <v>1534</v>
      </c>
      <c r="E115" s="254">
        <v>13</v>
      </c>
      <c r="F115">
        <f t="shared" si="2"/>
        <v>1</v>
      </c>
      <c r="G115" t="str">
        <f t="shared" si="3"/>
        <v>Gagné</v>
      </c>
    </row>
    <row r="116" spans="1:7" hidden="1" x14ac:dyDescent="0.25">
      <c r="A116" s="255" t="s">
        <v>1120</v>
      </c>
      <c r="B116" s="256" t="s">
        <v>360</v>
      </c>
      <c r="C116" s="256" t="s">
        <v>1541</v>
      </c>
      <c r="D116" s="256" t="s">
        <v>1542</v>
      </c>
      <c r="E116" s="257">
        <v>12</v>
      </c>
      <c r="F116">
        <f t="shared" si="2"/>
        <v>1</v>
      </c>
      <c r="G116" t="str">
        <f t="shared" si="3"/>
        <v>Perdu</v>
      </c>
    </row>
    <row r="117" spans="1:7" x14ac:dyDescent="0.25">
      <c r="A117" s="252" t="s">
        <v>1076</v>
      </c>
      <c r="B117" s="253" t="s">
        <v>363</v>
      </c>
      <c r="C117" s="253" t="s">
        <v>1533</v>
      </c>
      <c r="D117" s="253" t="s">
        <v>1534</v>
      </c>
      <c r="E117" s="254">
        <v>13</v>
      </c>
      <c r="F117">
        <f t="shared" si="2"/>
        <v>1</v>
      </c>
      <c r="G117" t="str">
        <f t="shared" si="3"/>
        <v>Gagné</v>
      </c>
    </row>
    <row r="118" spans="1:7" hidden="1" x14ac:dyDescent="0.25">
      <c r="A118" s="252" t="s">
        <v>1131</v>
      </c>
      <c r="B118" s="253" t="s">
        <v>369</v>
      </c>
      <c r="C118" s="253" t="s">
        <v>1527</v>
      </c>
      <c r="D118" s="253" t="s">
        <v>1528</v>
      </c>
      <c r="E118" s="254">
        <v>13</v>
      </c>
      <c r="F118">
        <f t="shared" si="2"/>
        <v>1</v>
      </c>
      <c r="G118" t="str">
        <f t="shared" si="3"/>
        <v>Gagné</v>
      </c>
    </row>
    <row r="119" spans="1:7" hidden="1" x14ac:dyDescent="0.25">
      <c r="A119" s="252" t="s">
        <v>1383</v>
      </c>
      <c r="B119" s="253" t="s">
        <v>363</v>
      </c>
      <c r="C119" s="253" t="s">
        <v>1527</v>
      </c>
      <c r="D119" s="253" t="s">
        <v>1528</v>
      </c>
      <c r="E119" s="254">
        <v>13</v>
      </c>
      <c r="F119">
        <f t="shared" si="2"/>
        <v>1</v>
      </c>
      <c r="G119" t="str">
        <f t="shared" si="3"/>
        <v>Gagné</v>
      </c>
    </row>
    <row r="120" spans="1:7" hidden="1" x14ac:dyDescent="0.25">
      <c r="A120" s="252" t="s">
        <v>1045</v>
      </c>
      <c r="B120" s="253" t="s">
        <v>360</v>
      </c>
      <c r="C120" s="253" t="s">
        <v>1539</v>
      </c>
      <c r="D120" s="253" t="s">
        <v>1540</v>
      </c>
      <c r="E120" s="254">
        <v>13</v>
      </c>
      <c r="F120">
        <f t="shared" si="2"/>
        <v>1</v>
      </c>
      <c r="G120" t="str">
        <f t="shared" si="3"/>
        <v>Gagné</v>
      </c>
    </row>
    <row r="121" spans="1:7" hidden="1" x14ac:dyDescent="0.25">
      <c r="A121" s="252" t="s">
        <v>1240</v>
      </c>
      <c r="B121" s="253" t="s">
        <v>363</v>
      </c>
      <c r="C121" s="253" t="s">
        <v>1531</v>
      </c>
      <c r="D121" s="253" t="s">
        <v>1532</v>
      </c>
      <c r="E121" s="254">
        <v>13</v>
      </c>
      <c r="F121">
        <f t="shared" si="2"/>
        <v>1</v>
      </c>
      <c r="G121" t="str">
        <f t="shared" si="3"/>
        <v>Gagné</v>
      </c>
    </row>
    <row r="122" spans="1:7" x14ac:dyDescent="0.25">
      <c r="A122" s="252" t="s">
        <v>1200</v>
      </c>
      <c r="B122" s="253" t="s">
        <v>369</v>
      </c>
      <c r="C122" s="253" t="s">
        <v>1533</v>
      </c>
      <c r="D122" s="253" t="s">
        <v>1534</v>
      </c>
      <c r="E122" s="254">
        <v>12</v>
      </c>
      <c r="F122">
        <f t="shared" si="2"/>
        <v>1</v>
      </c>
      <c r="G122" t="str">
        <f t="shared" si="3"/>
        <v>Gagné</v>
      </c>
    </row>
    <row r="123" spans="1:7" hidden="1" x14ac:dyDescent="0.25">
      <c r="A123" s="255" t="s">
        <v>1200</v>
      </c>
      <c r="B123" s="256" t="s">
        <v>369</v>
      </c>
      <c r="C123" s="256" t="s">
        <v>1527</v>
      </c>
      <c r="D123" s="256" t="s">
        <v>1528</v>
      </c>
      <c r="E123" s="257">
        <v>11</v>
      </c>
      <c r="F123">
        <f t="shared" si="2"/>
        <v>1</v>
      </c>
      <c r="G123" t="str">
        <f t="shared" si="3"/>
        <v>Perdu</v>
      </c>
    </row>
    <row r="124" spans="1:7" hidden="1" x14ac:dyDescent="0.25">
      <c r="A124" s="252" t="s">
        <v>1126</v>
      </c>
      <c r="B124" s="253" t="s">
        <v>363</v>
      </c>
      <c r="C124" s="253" t="s">
        <v>1527</v>
      </c>
      <c r="D124" s="253" t="s">
        <v>1528</v>
      </c>
      <c r="E124" s="254">
        <v>12</v>
      </c>
      <c r="F124">
        <f t="shared" si="2"/>
        <v>1</v>
      </c>
      <c r="G124" t="str">
        <f t="shared" si="3"/>
        <v>Gagné</v>
      </c>
    </row>
    <row r="125" spans="1:7" hidden="1" x14ac:dyDescent="0.25">
      <c r="A125" s="252" t="s">
        <v>1099</v>
      </c>
      <c r="B125" s="253" t="s">
        <v>363</v>
      </c>
      <c r="C125" s="253" t="s">
        <v>1527</v>
      </c>
      <c r="D125" s="253" t="s">
        <v>1528</v>
      </c>
      <c r="E125" s="254">
        <v>12</v>
      </c>
      <c r="F125">
        <f t="shared" si="2"/>
        <v>1</v>
      </c>
      <c r="G125" t="str">
        <f t="shared" si="3"/>
        <v>Perdu</v>
      </c>
    </row>
    <row r="126" spans="1:7" hidden="1" x14ac:dyDescent="0.25">
      <c r="A126" s="252" t="s">
        <v>1110</v>
      </c>
      <c r="B126" s="253" t="s">
        <v>369</v>
      </c>
      <c r="C126" s="253" t="s">
        <v>1527</v>
      </c>
      <c r="D126" s="253" t="s">
        <v>1528</v>
      </c>
      <c r="E126" s="254">
        <v>12</v>
      </c>
      <c r="F126">
        <f t="shared" si="2"/>
        <v>1</v>
      </c>
      <c r="G126" t="str">
        <f t="shared" si="3"/>
        <v>Gagné</v>
      </c>
    </row>
    <row r="127" spans="1:7" hidden="1" x14ac:dyDescent="0.25">
      <c r="A127" s="252" t="s">
        <v>1123</v>
      </c>
      <c r="B127" s="253" t="s">
        <v>363</v>
      </c>
      <c r="C127" s="253" t="s">
        <v>1527</v>
      </c>
      <c r="D127" s="253" t="s">
        <v>1528</v>
      </c>
      <c r="E127" s="254">
        <v>12</v>
      </c>
      <c r="F127">
        <f t="shared" si="2"/>
        <v>1</v>
      </c>
      <c r="G127" t="str">
        <f t="shared" si="3"/>
        <v>Gagné</v>
      </c>
    </row>
    <row r="128" spans="1:7" hidden="1" x14ac:dyDescent="0.25">
      <c r="A128" s="252" t="s">
        <v>1342</v>
      </c>
      <c r="B128" s="253" t="s">
        <v>372</v>
      </c>
      <c r="C128" s="253" t="s">
        <v>1531</v>
      </c>
      <c r="D128" s="253" t="s">
        <v>1532</v>
      </c>
      <c r="E128" s="254">
        <v>11</v>
      </c>
      <c r="F128">
        <f t="shared" si="2"/>
        <v>1</v>
      </c>
      <c r="G128" t="str">
        <f t="shared" si="3"/>
        <v>Gagné</v>
      </c>
    </row>
    <row r="129" spans="1:7" hidden="1" x14ac:dyDescent="0.25">
      <c r="A129" s="252" t="s">
        <v>1447</v>
      </c>
      <c r="B129" s="253" t="s">
        <v>360</v>
      </c>
      <c r="C129" s="253" t="s">
        <v>1527</v>
      </c>
      <c r="D129" s="253" t="s">
        <v>1528</v>
      </c>
      <c r="E129" s="254">
        <v>10</v>
      </c>
      <c r="F129">
        <f t="shared" si="2"/>
        <v>1</v>
      </c>
      <c r="G129" t="str">
        <f t="shared" si="3"/>
        <v>Gagné</v>
      </c>
    </row>
    <row r="130" spans="1:7" hidden="1" x14ac:dyDescent="0.25">
      <c r="A130" s="252" t="s">
        <v>1134</v>
      </c>
      <c r="B130" s="253" t="s">
        <v>369</v>
      </c>
      <c r="C130" s="253" t="s">
        <v>1539</v>
      </c>
      <c r="D130" s="253" t="s">
        <v>1540</v>
      </c>
      <c r="E130" s="254">
        <v>10</v>
      </c>
      <c r="F130">
        <f t="shared" si="2"/>
        <v>1</v>
      </c>
      <c r="G130" t="str">
        <f t="shared" si="3"/>
        <v>Gagné</v>
      </c>
    </row>
    <row r="131" spans="1:7" hidden="1" x14ac:dyDescent="0.25">
      <c r="A131" s="252" t="s">
        <v>1154</v>
      </c>
      <c r="B131" s="253" t="s">
        <v>360</v>
      </c>
      <c r="C131" s="253" t="s">
        <v>1531</v>
      </c>
      <c r="D131" s="253" t="s">
        <v>1532</v>
      </c>
      <c r="E131" s="254">
        <v>10</v>
      </c>
      <c r="F131">
        <f t="shared" ref="F131:F194" si="4">IF(E131&gt;$H$1,IF(E131&gt;$H$2,IF(E131&gt;$H$3,IF(E131&gt;$H$4,5,4),3),2),1)</f>
        <v>1</v>
      </c>
      <c r="G131" t="str">
        <f t="shared" ref="G131:G165" si="5">IF(B131=B130,"Perdu","Gagné")</f>
        <v>Gagné</v>
      </c>
    </row>
    <row r="132" spans="1:7" hidden="1" x14ac:dyDescent="0.25">
      <c r="A132" s="252" t="s">
        <v>1123</v>
      </c>
      <c r="B132" s="253" t="s">
        <v>363</v>
      </c>
      <c r="C132" s="253" t="s">
        <v>1541</v>
      </c>
      <c r="D132" s="253" t="s">
        <v>1542</v>
      </c>
      <c r="E132" s="254">
        <v>9</v>
      </c>
      <c r="F132">
        <f t="shared" si="4"/>
        <v>1</v>
      </c>
      <c r="G132" t="str">
        <f t="shared" si="5"/>
        <v>Gagné</v>
      </c>
    </row>
    <row r="133" spans="1:7" hidden="1" x14ac:dyDescent="0.25">
      <c r="A133" s="252" t="s">
        <v>1239</v>
      </c>
      <c r="B133" s="253" t="s">
        <v>360</v>
      </c>
      <c r="C133" s="253" t="s">
        <v>1529</v>
      </c>
      <c r="D133" s="253" t="s">
        <v>1530</v>
      </c>
      <c r="E133" s="254">
        <v>9</v>
      </c>
      <c r="F133">
        <f t="shared" si="4"/>
        <v>1</v>
      </c>
      <c r="G133" t="str">
        <f t="shared" si="5"/>
        <v>Gagné</v>
      </c>
    </row>
    <row r="134" spans="1:7" hidden="1" x14ac:dyDescent="0.25">
      <c r="A134" s="252" t="s">
        <v>1425</v>
      </c>
      <c r="B134" s="253" t="s">
        <v>360</v>
      </c>
      <c r="C134" s="253" t="s">
        <v>1535</v>
      </c>
      <c r="D134" s="253" t="s">
        <v>1536</v>
      </c>
      <c r="E134" s="254">
        <v>9</v>
      </c>
      <c r="F134">
        <f t="shared" si="4"/>
        <v>1</v>
      </c>
      <c r="G134" t="str">
        <f t="shared" si="5"/>
        <v>Perdu</v>
      </c>
    </row>
    <row r="135" spans="1:7" hidden="1" x14ac:dyDescent="0.25">
      <c r="A135" s="252" t="s">
        <v>1146</v>
      </c>
      <c r="B135" s="253" t="s">
        <v>360</v>
      </c>
      <c r="C135" s="253" t="s">
        <v>1537</v>
      </c>
      <c r="D135" s="253" t="s">
        <v>1538</v>
      </c>
      <c r="E135" s="254">
        <v>9</v>
      </c>
      <c r="F135">
        <f t="shared" si="4"/>
        <v>1</v>
      </c>
      <c r="G135" t="str">
        <f t="shared" si="5"/>
        <v>Perdu</v>
      </c>
    </row>
    <row r="136" spans="1:7" hidden="1" x14ac:dyDescent="0.25">
      <c r="A136" s="252" t="s">
        <v>1101</v>
      </c>
      <c r="B136" s="253" t="s">
        <v>363</v>
      </c>
      <c r="C136" s="253" t="s">
        <v>1527</v>
      </c>
      <c r="D136" s="253" t="s">
        <v>1528</v>
      </c>
      <c r="E136" s="254">
        <v>9</v>
      </c>
      <c r="F136">
        <f t="shared" si="4"/>
        <v>1</v>
      </c>
      <c r="G136" t="str">
        <f t="shared" si="5"/>
        <v>Gagné</v>
      </c>
    </row>
    <row r="137" spans="1:7" x14ac:dyDescent="0.25">
      <c r="A137" s="252" t="s">
        <v>1121</v>
      </c>
      <c r="B137" s="253" t="s">
        <v>360</v>
      </c>
      <c r="C137" s="253" t="s">
        <v>1533</v>
      </c>
      <c r="D137" s="253" t="s">
        <v>1534</v>
      </c>
      <c r="E137" s="254">
        <v>7</v>
      </c>
      <c r="F137">
        <f t="shared" si="4"/>
        <v>1</v>
      </c>
      <c r="G137" t="str">
        <f t="shared" si="5"/>
        <v>Gagné</v>
      </c>
    </row>
    <row r="138" spans="1:7" hidden="1" x14ac:dyDescent="0.25">
      <c r="A138" s="252" t="s">
        <v>1217</v>
      </c>
      <c r="B138" s="253" t="s">
        <v>363</v>
      </c>
      <c r="C138" s="253" t="s">
        <v>1531</v>
      </c>
      <c r="D138" s="253" t="s">
        <v>1532</v>
      </c>
      <c r="E138" s="254">
        <v>7</v>
      </c>
      <c r="F138">
        <f t="shared" si="4"/>
        <v>1</v>
      </c>
      <c r="G138" t="str">
        <f t="shared" si="5"/>
        <v>Gagné</v>
      </c>
    </row>
    <row r="139" spans="1:7" x14ac:dyDescent="0.25">
      <c r="A139" s="252" t="s">
        <v>1051</v>
      </c>
      <c r="B139" s="253" t="s">
        <v>363</v>
      </c>
      <c r="C139" s="253" t="s">
        <v>1533</v>
      </c>
      <c r="D139" s="253" t="s">
        <v>1534</v>
      </c>
      <c r="E139" s="254">
        <v>5</v>
      </c>
      <c r="F139">
        <f t="shared" si="4"/>
        <v>1</v>
      </c>
      <c r="G139" t="str">
        <f t="shared" si="5"/>
        <v>Perdu</v>
      </c>
    </row>
    <row r="140" spans="1:7" hidden="1" x14ac:dyDescent="0.25">
      <c r="A140" s="252" t="s">
        <v>1546</v>
      </c>
      <c r="B140" s="253" t="s">
        <v>363</v>
      </c>
      <c r="C140" s="253" t="s">
        <v>1535</v>
      </c>
      <c r="D140" s="253" t="s">
        <v>1536</v>
      </c>
      <c r="E140" s="254">
        <v>5</v>
      </c>
      <c r="F140">
        <f t="shared" si="4"/>
        <v>1</v>
      </c>
      <c r="G140" t="str">
        <f t="shared" si="5"/>
        <v>Perdu</v>
      </c>
    </row>
    <row r="141" spans="1:7" hidden="1" x14ac:dyDescent="0.25">
      <c r="A141" s="252" t="s">
        <v>1151</v>
      </c>
      <c r="B141" s="253" t="s">
        <v>363</v>
      </c>
      <c r="C141" s="253" t="s">
        <v>1537</v>
      </c>
      <c r="D141" s="253" t="s">
        <v>1538</v>
      </c>
      <c r="E141" s="254">
        <v>3</v>
      </c>
      <c r="F141">
        <f t="shared" si="4"/>
        <v>1</v>
      </c>
      <c r="G141" t="str">
        <f t="shared" si="5"/>
        <v>Perdu</v>
      </c>
    </row>
    <row r="142" spans="1:7" hidden="1" x14ac:dyDescent="0.25">
      <c r="A142" s="252" t="s">
        <v>1547</v>
      </c>
      <c r="B142" s="253" t="s">
        <v>363</v>
      </c>
      <c r="C142" s="253" t="s">
        <v>1531</v>
      </c>
      <c r="D142" s="253" t="s">
        <v>1532</v>
      </c>
      <c r="E142" s="254">
        <v>3</v>
      </c>
      <c r="F142">
        <f t="shared" si="4"/>
        <v>1</v>
      </c>
      <c r="G142" t="str">
        <f t="shared" si="5"/>
        <v>Perdu</v>
      </c>
    </row>
    <row r="143" spans="1:7" hidden="1" x14ac:dyDescent="0.25">
      <c r="A143" s="252" t="s">
        <v>1548</v>
      </c>
      <c r="B143" s="253" t="s">
        <v>369</v>
      </c>
      <c r="C143" s="253" t="s">
        <v>1531</v>
      </c>
      <c r="D143" s="253" t="s">
        <v>1532</v>
      </c>
      <c r="E143" s="254">
        <v>3</v>
      </c>
      <c r="F143">
        <f t="shared" si="4"/>
        <v>1</v>
      </c>
      <c r="G143" t="str">
        <f t="shared" si="5"/>
        <v>Gagné</v>
      </c>
    </row>
    <row r="144" spans="1:7" ht="30" hidden="1" x14ac:dyDescent="0.25">
      <c r="A144" s="252" t="s">
        <v>1549</v>
      </c>
      <c r="B144" s="253" t="s">
        <v>363</v>
      </c>
      <c r="C144" s="253" t="s">
        <v>1529</v>
      </c>
      <c r="D144" s="253" t="s">
        <v>1530</v>
      </c>
      <c r="E144" s="254">
        <v>1</v>
      </c>
      <c r="F144">
        <f t="shared" si="4"/>
        <v>1</v>
      </c>
      <c r="G144" t="str">
        <f t="shared" si="5"/>
        <v>Gagné</v>
      </c>
    </row>
    <row r="145" spans="1:7" hidden="1" x14ac:dyDescent="0.25">
      <c r="A145" s="252" t="s">
        <v>1550</v>
      </c>
      <c r="B145" s="253" t="s">
        <v>372</v>
      </c>
      <c r="C145" s="253" t="s">
        <v>1529</v>
      </c>
      <c r="D145" s="253" t="s">
        <v>1530</v>
      </c>
      <c r="E145" s="254">
        <v>1</v>
      </c>
      <c r="F145">
        <f t="shared" si="4"/>
        <v>1</v>
      </c>
      <c r="G145" t="str">
        <f t="shared" si="5"/>
        <v>Gagné</v>
      </c>
    </row>
    <row r="146" spans="1:7" hidden="1" x14ac:dyDescent="0.25">
      <c r="A146" s="252" t="s">
        <v>1551</v>
      </c>
      <c r="B146" s="253" t="s">
        <v>369</v>
      </c>
      <c r="C146" s="253" t="s">
        <v>1529</v>
      </c>
      <c r="D146" s="253" t="s">
        <v>1530</v>
      </c>
      <c r="E146" s="254">
        <v>1</v>
      </c>
      <c r="F146">
        <f t="shared" si="4"/>
        <v>1</v>
      </c>
      <c r="G146" t="str">
        <f t="shared" si="5"/>
        <v>Gagné</v>
      </c>
    </row>
    <row r="147" spans="1:7" hidden="1" x14ac:dyDescent="0.25">
      <c r="A147" s="252" t="s">
        <v>1552</v>
      </c>
      <c r="B147" s="253" t="s">
        <v>363</v>
      </c>
      <c r="C147" s="253" t="s">
        <v>1529</v>
      </c>
      <c r="D147" s="253" t="s">
        <v>1530</v>
      </c>
      <c r="E147" s="254">
        <v>1</v>
      </c>
      <c r="F147">
        <f t="shared" si="4"/>
        <v>1</v>
      </c>
      <c r="G147" t="str">
        <f t="shared" si="5"/>
        <v>Gagné</v>
      </c>
    </row>
    <row r="148" spans="1:7" hidden="1" x14ac:dyDescent="0.25">
      <c r="A148" s="252" t="s">
        <v>1225</v>
      </c>
      <c r="B148" s="253" t="s">
        <v>369</v>
      </c>
      <c r="C148" s="253" t="s">
        <v>1529</v>
      </c>
      <c r="D148" s="253" t="s">
        <v>1530</v>
      </c>
      <c r="E148" s="254">
        <v>1</v>
      </c>
      <c r="F148">
        <f t="shared" si="4"/>
        <v>1</v>
      </c>
      <c r="G148" t="str">
        <f t="shared" si="5"/>
        <v>Gagné</v>
      </c>
    </row>
    <row r="149" spans="1:7" hidden="1" x14ac:dyDescent="0.25">
      <c r="A149" s="252" t="s">
        <v>1553</v>
      </c>
      <c r="B149" s="253" t="s">
        <v>369</v>
      </c>
      <c r="C149" s="253" t="s">
        <v>1535</v>
      </c>
      <c r="D149" s="253" t="s">
        <v>1536</v>
      </c>
      <c r="E149" s="254">
        <v>1</v>
      </c>
      <c r="F149">
        <f t="shared" si="4"/>
        <v>1</v>
      </c>
      <c r="G149" t="str">
        <f t="shared" si="5"/>
        <v>Perdu</v>
      </c>
    </row>
    <row r="150" spans="1:7" hidden="1" x14ac:dyDescent="0.25">
      <c r="A150" s="252" t="s">
        <v>1421</v>
      </c>
      <c r="B150" s="253" t="s">
        <v>372</v>
      </c>
      <c r="C150" s="253" t="s">
        <v>1527</v>
      </c>
      <c r="D150" s="253" t="s">
        <v>1528</v>
      </c>
      <c r="E150" s="254">
        <v>1</v>
      </c>
      <c r="F150">
        <f t="shared" si="4"/>
        <v>1</v>
      </c>
      <c r="G150" t="str">
        <f t="shared" si="5"/>
        <v>Gagné</v>
      </c>
    </row>
    <row r="151" spans="1:7" hidden="1" x14ac:dyDescent="0.25">
      <c r="A151" s="249" t="s">
        <v>1236</v>
      </c>
      <c r="B151" s="250" t="s">
        <v>372</v>
      </c>
      <c r="C151" s="250" t="s">
        <v>1527</v>
      </c>
      <c r="D151" s="250" t="s">
        <v>1528</v>
      </c>
      <c r="E151" s="251">
        <v>1</v>
      </c>
      <c r="F151">
        <f t="shared" si="4"/>
        <v>1</v>
      </c>
      <c r="G151" t="str">
        <f t="shared" si="5"/>
        <v>Perdu</v>
      </c>
    </row>
    <row r="152" spans="1:7" hidden="1" x14ac:dyDescent="0.25">
      <c r="A152" s="258"/>
      <c r="B152" s="258"/>
      <c r="C152" s="258"/>
      <c r="D152" s="258"/>
      <c r="E152" s="259"/>
      <c r="F152">
        <f t="shared" si="4"/>
        <v>1</v>
      </c>
      <c r="G152" t="str">
        <f t="shared" si="5"/>
        <v>Gagné</v>
      </c>
    </row>
    <row r="153" spans="1:7" hidden="1" x14ac:dyDescent="0.25">
      <c r="A153" s="260"/>
      <c r="B153" s="260"/>
      <c r="C153" s="260"/>
      <c r="D153" s="260"/>
      <c r="E153" s="261"/>
      <c r="F153">
        <f t="shared" si="4"/>
        <v>1</v>
      </c>
      <c r="G153" t="str">
        <f t="shared" si="5"/>
        <v>Perdu</v>
      </c>
    </row>
    <row r="154" spans="1:7" hidden="1" x14ac:dyDescent="0.25">
      <c r="A154" s="258"/>
      <c r="B154" s="258"/>
      <c r="C154" s="258"/>
      <c r="D154" s="258"/>
      <c r="E154" s="259"/>
      <c r="F154">
        <f t="shared" si="4"/>
        <v>1</v>
      </c>
      <c r="G154" t="str">
        <f t="shared" si="5"/>
        <v>Perdu</v>
      </c>
    </row>
    <row r="155" spans="1:7" hidden="1" x14ac:dyDescent="0.25">
      <c r="A155" s="258"/>
      <c r="B155" s="258"/>
      <c r="C155" s="258"/>
      <c r="D155" s="258"/>
      <c r="E155" s="259"/>
      <c r="F155">
        <f t="shared" si="4"/>
        <v>1</v>
      </c>
      <c r="G155" t="str">
        <f t="shared" si="5"/>
        <v>Perdu</v>
      </c>
    </row>
    <row r="156" spans="1:7" hidden="1" x14ac:dyDescent="0.25">
      <c r="A156" s="258"/>
      <c r="B156" s="258"/>
      <c r="C156" s="258"/>
      <c r="D156" s="258"/>
      <c r="E156" s="259"/>
      <c r="F156">
        <f t="shared" si="4"/>
        <v>1</v>
      </c>
      <c r="G156" t="str">
        <f t="shared" si="5"/>
        <v>Perdu</v>
      </c>
    </row>
    <row r="157" spans="1:7" hidden="1" x14ac:dyDescent="0.25">
      <c r="A157" s="258"/>
      <c r="B157" s="258"/>
      <c r="C157" s="258"/>
      <c r="D157" s="258"/>
      <c r="E157" s="259"/>
      <c r="F157">
        <f t="shared" si="4"/>
        <v>1</v>
      </c>
      <c r="G157" t="str">
        <f t="shared" si="5"/>
        <v>Perdu</v>
      </c>
    </row>
    <row r="158" spans="1:7" hidden="1" x14ac:dyDescent="0.25">
      <c r="A158" s="260"/>
      <c r="B158" s="260"/>
      <c r="C158" s="260"/>
      <c r="D158" s="260"/>
      <c r="E158" s="261"/>
      <c r="F158">
        <f t="shared" si="4"/>
        <v>1</v>
      </c>
      <c r="G158" t="str">
        <f t="shared" si="5"/>
        <v>Perdu</v>
      </c>
    </row>
    <row r="159" spans="1:7" hidden="1" x14ac:dyDescent="0.25">
      <c r="A159" s="258"/>
      <c r="B159" s="258"/>
      <c r="C159" s="258"/>
      <c r="D159" s="258"/>
      <c r="E159" s="259"/>
      <c r="F159">
        <f t="shared" si="4"/>
        <v>1</v>
      </c>
      <c r="G159" t="str">
        <f t="shared" si="5"/>
        <v>Perdu</v>
      </c>
    </row>
    <row r="160" spans="1:7" hidden="1" x14ac:dyDescent="0.25">
      <c r="A160" s="258"/>
      <c r="B160" s="258"/>
      <c r="C160" s="258"/>
      <c r="D160" s="258"/>
      <c r="E160" s="259"/>
      <c r="F160">
        <f t="shared" si="4"/>
        <v>1</v>
      </c>
      <c r="G160" t="str">
        <f t="shared" si="5"/>
        <v>Perdu</v>
      </c>
    </row>
    <row r="161" spans="1:7" hidden="1" x14ac:dyDescent="0.25">
      <c r="A161" s="258"/>
      <c r="B161" s="258"/>
      <c r="C161" s="258"/>
      <c r="D161" s="258"/>
      <c r="E161" s="259"/>
      <c r="F161">
        <f t="shared" si="4"/>
        <v>1</v>
      </c>
      <c r="G161" t="str">
        <f t="shared" si="5"/>
        <v>Perdu</v>
      </c>
    </row>
    <row r="162" spans="1:7" hidden="1" x14ac:dyDescent="0.25">
      <c r="A162" s="258"/>
      <c r="B162" s="258"/>
      <c r="C162" s="258"/>
      <c r="D162" s="258"/>
      <c r="E162" s="259"/>
      <c r="F162">
        <f t="shared" si="4"/>
        <v>1</v>
      </c>
      <c r="G162" t="str">
        <f t="shared" si="5"/>
        <v>Perdu</v>
      </c>
    </row>
    <row r="163" spans="1:7" hidden="1" x14ac:dyDescent="0.25">
      <c r="A163" s="260"/>
      <c r="B163" s="260"/>
      <c r="C163" s="260"/>
      <c r="D163" s="260"/>
      <c r="E163" s="261"/>
      <c r="F163">
        <f t="shared" si="4"/>
        <v>1</v>
      </c>
      <c r="G163" t="str">
        <f t="shared" si="5"/>
        <v>Perdu</v>
      </c>
    </row>
    <row r="164" spans="1:7" hidden="1" x14ac:dyDescent="0.25">
      <c r="A164" s="258"/>
      <c r="B164" s="258"/>
      <c r="C164" s="258"/>
      <c r="D164" s="258"/>
      <c r="E164" s="259"/>
      <c r="F164">
        <f t="shared" si="4"/>
        <v>1</v>
      </c>
      <c r="G164" t="str">
        <f t="shared" si="5"/>
        <v>Perdu</v>
      </c>
    </row>
    <row r="165" spans="1:7" hidden="1" x14ac:dyDescent="0.25">
      <c r="A165" s="258"/>
      <c r="B165" s="258"/>
      <c r="C165" s="258"/>
      <c r="D165" s="258"/>
      <c r="E165" s="259"/>
      <c r="F165">
        <f t="shared" si="4"/>
        <v>1</v>
      </c>
      <c r="G165" t="str">
        <f t="shared" si="5"/>
        <v>Perdu</v>
      </c>
    </row>
    <row r="166" spans="1:7" hidden="1" x14ac:dyDescent="0.25">
      <c r="A166" s="258"/>
      <c r="B166" s="258"/>
      <c r="C166" s="258"/>
      <c r="D166" s="258"/>
      <c r="E166" s="259"/>
      <c r="F166">
        <f t="shared" si="4"/>
        <v>1</v>
      </c>
      <c r="G166" t="str">
        <f t="shared" ref="G166:G229" si="6">IF(B166=B165,"Perdu","Gagné")</f>
        <v>Perdu</v>
      </c>
    </row>
    <row r="167" spans="1:7" hidden="1" x14ac:dyDescent="0.25">
      <c r="A167" s="258"/>
      <c r="B167" s="258"/>
      <c r="C167" s="258"/>
      <c r="D167" s="258"/>
      <c r="E167" s="259"/>
      <c r="F167">
        <f t="shared" si="4"/>
        <v>1</v>
      </c>
      <c r="G167" t="str">
        <f t="shared" si="6"/>
        <v>Perdu</v>
      </c>
    </row>
    <row r="168" spans="1:7" hidden="1" x14ac:dyDescent="0.25">
      <c r="A168" s="258"/>
      <c r="B168" s="258"/>
      <c r="C168" s="258"/>
      <c r="D168" s="258"/>
      <c r="E168" s="259"/>
      <c r="F168">
        <f t="shared" si="4"/>
        <v>1</v>
      </c>
      <c r="G168" t="str">
        <f t="shared" si="6"/>
        <v>Perdu</v>
      </c>
    </row>
    <row r="169" spans="1:7" hidden="1" x14ac:dyDescent="0.25">
      <c r="A169" s="258"/>
      <c r="B169" s="258"/>
      <c r="C169" s="258"/>
      <c r="D169" s="258"/>
      <c r="E169" s="259"/>
      <c r="F169">
        <f t="shared" si="4"/>
        <v>1</v>
      </c>
      <c r="G169" t="str">
        <f t="shared" si="6"/>
        <v>Perdu</v>
      </c>
    </row>
    <row r="170" spans="1:7" hidden="1" x14ac:dyDescent="0.25">
      <c r="A170" s="258"/>
      <c r="B170" s="258"/>
      <c r="C170" s="258"/>
      <c r="D170" s="258"/>
      <c r="E170" s="259"/>
      <c r="F170">
        <f t="shared" si="4"/>
        <v>1</v>
      </c>
      <c r="G170" t="str">
        <f t="shared" si="6"/>
        <v>Perdu</v>
      </c>
    </row>
    <row r="171" spans="1:7" hidden="1" x14ac:dyDescent="0.25">
      <c r="A171" s="258"/>
      <c r="B171" s="258"/>
      <c r="C171" s="258"/>
      <c r="D171" s="258"/>
      <c r="E171" s="259"/>
      <c r="F171">
        <f t="shared" si="4"/>
        <v>1</v>
      </c>
      <c r="G171" t="str">
        <f t="shared" si="6"/>
        <v>Perdu</v>
      </c>
    </row>
    <row r="172" spans="1:7" hidden="1" x14ac:dyDescent="0.25">
      <c r="A172" s="258"/>
      <c r="B172" s="258"/>
      <c r="C172" s="258"/>
      <c r="D172" s="258"/>
      <c r="E172" s="259"/>
      <c r="F172">
        <f t="shared" si="4"/>
        <v>1</v>
      </c>
      <c r="G172" t="str">
        <f t="shared" si="6"/>
        <v>Perdu</v>
      </c>
    </row>
    <row r="173" spans="1:7" hidden="1" x14ac:dyDescent="0.25">
      <c r="A173" s="258"/>
      <c r="B173" s="258"/>
      <c r="C173" s="258"/>
      <c r="D173" s="258"/>
      <c r="E173" s="259"/>
      <c r="F173">
        <f t="shared" si="4"/>
        <v>1</v>
      </c>
      <c r="G173" t="str">
        <f t="shared" si="6"/>
        <v>Perdu</v>
      </c>
    </row>
    <row r="174" spans="1:7" hidden="1" x14ac:dyDescent="0.25">
      <c r="A174" s="258"/>
      <c r="B174" s="258"/>
      <c r="C174" s="258"/>
      <c r="D174" s="258"/>
      <c r="E174" s="259"/>
      <c r="F174">
        <f t="shared" si="4"/>
        <v>1</v>
      </c>
      <c r="G174" t="str">
        <f t="shared" si="6"/>
        <v>Perdu</v>
      </c>
    </row>
    <row r="175" spans="1:7" hidden="1" x14ac:dyDescent="0.25">
      <c r="A175" s="258"/>
      <c r="B175" s="258"/>
      <c r="C175" s="258"/>
      <c r="D175" s="258"/>
      <c r="E175" s="259"/>
      <c r="F175">
        <f t="shared" si="4"/>
        <v>1</v>
      </c>
      <c r="G175" t="str">
        <f t="shared" si="6"/>
        <v>Perdu</v>
      </c>
    </row>
    <row r="176" spans="1:7" hidden="1" x14ac:dyDescent="0.25">
      <c r="A176" s="260"/>
      <c r="B176" s="260"/>
      <c r="C176" s="260"/>
      <c r="D176" s="260"/>
      <c r="E176" s="261"/>
      <c r="F176">
        <f t="shared" si="4"/>
        <v>1</v>
      </c>
      <c r="G176" t="str">
        <f t="shared" si="6"/>
        <v>Perdu</v>
      </c>
    </row>
    <row r="177" spans="1:7" hidden="1" x14ac:dyDescent="0.25">
      <c r="A177" s="260"/>
      <c r="B177" s="260"/>
      <c r="C177" s="260"/>
      <c r="D177" s="260"/>
      <c r="E177" s="261"/>
      <c r="F177">
        <f t="shared" si="4"/>
        <v>1</v>
      </c>
      <c r="G177" t="str">
        <f t="shared" si="6"/>
        <v>Perdu</v>
      </c>
    </row>
    <row r="178" spans="1:7" hidden="1" x14ac:dyDescent="0.25">
      <c r="A178" s="258"/>
      <c r="B178" s="258"/>
      <c r="C178" s="258"/>
      <c r="D178" s="258"/>
      <c r="E178" s="259"/>
      <c r="F178">
        <f t="shared" si="4"/>
        <v>1</v>
      </c>
      <c r="G178" t="str">
        <f t="shared" si="6"/>
        <v>Perdu</v>
      </c>
    </row>
    <row r="179" spans="1:7" hidden="1" x14ac:dyDescent="0.25">
      <c r="A179" s="260"/>
      <c r="B179" s="260"/>
      <c r="C179" s="260"/>
      <c r="D179" s="260"/>
      <c r="E179" s="261"/>
      <c r="F179">
        <f t="shared" si="4"/>
        <v>1</v>
      </c>
      <c r="G179" t="str">
        <f t="shared" si="6"/>
        <v>Perdu</v>
      </c>
    </row>
    <row r="180" spans="1:7" hidden="1" x14ac:dyDescent="0.25">
      <c r="A180" s="260"/>
      <c r="B180" s="260"/>
      <c r="C180" s="260"/>
      <c r="D180" s="260"/>
      <c r="E180" s="261"/>
      <c r="F180">
        <f t="shared" si="4"/>
        <v>1</v>
      </c>
      <c r="G180" t="str">
        <f t="shared" si="6"/>
        <v>Perdu</v>
      </c>
    </row>
    <row r="181" spans="1:7" hidden="1" x14ac:dyDescent="0.25">
      <c r="A181" s="260"/>
      <c r="B181" s="260"/>
      <c r="C181" s="260"/>
      <c r="D181" s="260"/>
      <c r="E181" s="261"/>
      <c r="F181">
        <f t="shared" si="4"/>
        <v>1</v>
      </c>
      <c r="G181" t="str">
        <f t="shared" si="6"/>
        <v>Perdu</v>
      </c>
    </row>
    <row r="182" spans="1:7" hidden="1" x14ac:dyDescent="0.25">
      <c r="A182" s="260"/>
      <c r="B182" s="260"/>
      <c r="C182" s="260"/>
      <c r="D182" s="260"/>
      <c r="E182" s="261"/>
      <c r="F182">
        <f t="shared" si="4"/>
        <v>1</v>
      </c>
      <c r="G182" t="str">
        <f t="shared" si="6"/>
        <v>Perdu</v>
      </c>
    </row>
    <row r="183" spans="1:7" hidden="1" x14ac:dyDescent="0.25">
      <c r="A183" s="258"/>
      <c r="B183" s="258"/>
      <c r="C183" s="258"/>
      <c r="D183" s="258"/>
      <c r="E183" s="259"/>
      <c r="F183">
        <f t="shared" si="4"/>
        <v>1</v>
      </c>
      <c r="G183" t="str">
        <f t="shared" si="6"/>
        <v>Perdu</v>
      </c>
    </row>
    <row r="184" spans="1:7" hidden="1" x14ac:dyDescent="0.25">
      <c r="A184" s="258"/>
      <c r="B184" s="258"/>
      <c r="C184" s="258"/>
      <c r="D184" s="258"/>
      <c r="E184" s="259"/>
      <c r="F184">
        <f t="shared" si="4"/>
        <v>1</v>
      </c>
      <c r="G184" t="str">
        <f t="shared" si="6"/>
        <v>Perdu</v>
      </c>
    </row>
    <row r="185" spans="1:7" hidden="1" x14ac:dyDescent="0.25">
      <c r="A185" s="260"/>
      <c r="B185" s="260"/>
      <c r="C185" s="260"/>
      <c r="D185" s="260"/>
      <c r="E185" s="261"/>
      <c r="F185">
        <f t="shared" si="4"/>
        <v>1</v>
      </c>
      <c r="G185" t="str">
        <f t="shared" si="6"/>
        <v>Perdu</v>
      </c>
    </row>
    <row r="186" spans="1:7" hidden="1" x14ac:dyDescent="0.25">
      <c r="A186" s="258"/>
      <c r="B186" s="258"/>
      <c r="C186" s="258"/>
      <c r="D186" s="258"/>
      <c r="E186" s="259"/>
      <c r="F186">
        <f t="shared" si="4"/>
        <v>1</v>
      </c>
      <c r="G186" t="str">
        <f t="shared" si="6"/>
        <v>Perdu</v>
      </c>
    </row>
    <row r="187" spans="1:7" hidden="1" x14ac:dyDescent="0.25">
      <c r="A187" s="258"/>
      <c r="B187" s="258"/>
      <c r="C187" s="258"/>
      <c r="D187" s="258"/>
      <c r="E187" s="259"/>
      <c r="F187">
        <f t="shared" si="4"/>
        <v>1</v>
      </c>
      <c r="G187" t="str">
        <f t="shared" si="6"/>
        <v>Perdu</v>
      </c>
    </row>
    <row r="188" spans="1:7" hidden="1" x14ac:dyDescent="0.25">
      <c r="A188" s="258"/>
      <c r="B188" s="258"/>
      <c r="C188" s="258"/>
      <c r="D188" s="258"/>
      <c r="E188" s="259"/>
      <c r="F188">
        <f t="shared" si="4"/>
        <v>1</v>
      </c>
      <c r="G188" t="str">
        <f t="shared" si="6"/>
        <v>Perdu</v>
      </c>
    </row>
    <row r="189" spans="1:7" hidden="1" x14ac:dyDescent="0.25">
      <c r="A189" s="258"/>
      <c r="B189" s="258"/>
      <c r="C189" s="258"/>
      <c r="D189" s="258"/>
      <c r="E189" s="259"/>
      <c r="F189">
        <f t="shared" si="4"/>
        <v>1</v>
      </c>
      <c r="G189" t="str">
        <f t="shared" si="6"/>
        <v>Perdu</v>
      </c>
    </row>
    <row r="190" spans="1:7" hidden="1" x14ac:dyDescent="0.25">
      <c r="A190" s="258"/>
      <c r="B190" s="258"/>
      <c r="C190" s="258"/>
      <c r="D190" s="258"/>
      <c r="E190" s="259"/>
      <c r="F190">
        <f t="shared" si="4"/>
        <v>1</v>
      </c>
      <c r="G190" t="str">
        <f t="shared" si="6"/>
        <v>Perdu</v>
      </c>
    </row>
    <row r="191" spans="1:7" hidden="1" x14ac:dyDescent="0.25">
      <c r="A191" s="258"/>
      <c r="B191" s="258"/>
      <c r="C191" s="258"/>
      <c r="D191" s="258"/>
      <c r="E191" s="259"/>
      <c r="F191">
        <f t="shared" si="4"/>
        <v>1</v>
      </c>
      <c r="G191" t="str">
        <f t="shared" si="6"/>
        <v>Perdu</v>
      </c>
    </row>
    <row r="192" spans="1:7" hidden="1" x14ac:dyDescent="0.25">
      <c r="A192" s="258"/>
      <c r="B192" s="258"/>
      <c r="C192" s="258"/>
      <c r="D192" s="258"/>
      <c r="E192" s="259"/>
      <c r="F192">
        <f t="shared" si="4"/>
        <v>1</v>
      </c>
      <c r="G192" t="str">
        <f t="shared" si="6"/>
        <v>Perdu</v>
      </c>
    </row>
    <row r="193" spans="1:7" hidden="1" x14ac:dyDescent="0.25">
      <c r="A193" s="258"/>
      <c r="B193" s="258"/>
      <c r="C193" s="258"/>
      <c r="D193" s="258"/>
      <c r="E193" s="259"/>
      <c r="F193">
        <f t="shared" si="4"/>
        <v>1</v>
      </c>
      <c r="G193" t="str">
        <f t="shared" si="6"/>
        <v>Perdu</v>
      </c>
    </row>
    <row r="194" spans="1:7" hidden="1" x14ac:dyDescent="0.25">
      <c r="A194" s="258"/>
      <c r="B194" s="258"/>
      <c r="C194" s="258"/>
      <c r="D194" s="258"/>
      <c r="E194" s="259"/>
      <c r="F194">
        <f t="shared" si="4"/>
        <v>1</v>
      </c>
      <c r="G194" t="str">
        <f t="shared" si="6"/>
        <v>Perdu</v>
      </c>
    </row>
    <row r="195" spans="1:7" hidden="1" x14ac:dyDescent="0.25">
      <c r="A195" s="258"/>
      <c r="B195" s="258"/>
      <c r="C195" s="258"/>
      <c r="D195" s="258"/>
      <c r="E195" s="259"/>
      <c r="F195">
        <f t="shared" ref="F195:F258" si="7">IF(E195&gt;$H$1,IF(E195&gt;$H$2,IF(E195&gt;$H$3,IF(E195&gt;$H$4,5,4),3),2),1)</f>
        <v>1</v>
      </c>
      <c r="G195" t="str">
        <f t="shared" si="6"/>
        <v>Perdu</v>
      </c>
    </row>
    <row r="196" spans="1:7" hidden="1" x14ac:dyDescent="0.25">
      <c r="A196" s="258"/>
      <c r="B196" s="258"/>
      <c r="C196" s="258"/>
      <c r="D196" s="258"/>
      <c r="E196" s="259"/>
      <c r="F196">
        <f t="shared" si="7"/>
        <v>1</v>
      </c>
      <c r="G196" t="str">
        <f t="shared" si="6"/>
        <v>Perdu</v>
      </c>
    </row>
    <row r="197" spans="1:7" hidden="1" x14ac:dyDescent="0.25">
      <c r="A197" s="258"/>
      <c r="B197" s="258"/>
      <c r="C197" s="258"/>
      <c r="D197" s="258"/>
      <c r="E197" s="259"/>
      <c r="F197">
        <f t="shared" si="7"/>
        <v>1</v>
      </c>
      <c r="G197" t="str">
        <f t="shared" si="6"/>
        <v>Perdu</v>
      </c>
    </row>
    <row r="198" spans="1:7" hidden="1" x14ac:dyDescent="0.25">
      <c r="A198" s="258"/>
      <c r="B198" s="258"/>
      <c r="C198" s="258"/>
      <c r="D198" s="258"/>
      <c r="E198" s="259"/>
      <c r="F198">
        <f t="shared" si="7"/>
        <v>1</v>
      </c>
      <c r="G198" t="str">
        <f t="shared" si="6"/>
        <v>Perdu</v>
      </c>
    </row>
    <row r="199" spans="1:7" hidden="1" x14ac:dyDescent="0.25">
      <c r="A199" s="258"/>
      <c r="B199" s="258"/>
      <c r="C199" s="258"/>
      <c r="D199" s="258"/>
      <c r="E199" s="259"/>
      <c r="F199">
        <f t="shared" si="7"/>
        <v>1</v>
      </c>
      <c r="G199" t="str">
        <f t="shared" si="6"/>
        <v>Perdu</v>
      </c>
    </row>
    <row r="200" spans="1:7" hidden="1" x14ac:dyDescent="0.25">
      <c r="A200" s="258"/>
      <c r="B200" s="258"/>
      <c r="C200" s="258"/>
      <c r="D200" s="258"/>
      <c r="E200" s="259"/>
      <c r="F200">
        <f t="shared" si="7"/>
        <v>1</v>
      </c>
      <c r="G200" t="str">
        <f t="shared" si="6"/>
        <v>Perdu</v>
      </c>
    </row>
    <row r="201" spans="1:7" hidden="1" x14ac:dyDescent="0.25">
      <c r="A201" s="258"/>
      <c r="B201" s="258"/>
      <c r="C201" s="258"/>
      <c r="D201" s="258"/>
      <c r="E201" s="259"/>
      <c r="F201">
        <f t="shared" si="7"/>
        <v>1</v>
      </c>
      <c r="G201" t="str">
        <f t="shared" si="6"/>
        <v>Perdu</v>
      </c>
    </row>
    <row r="202" spans="1:7" hidden="1" x14ac:dyDescent="0.25">
      <c r="A202" s="258"/>
      <c r="B202" s="258"/>
      <c r="C202" s="258"/>
      <c r="D202" s="258"/>
      <c r="E202" s="259"/>
      <c r="F202">
        <f t="shared" si="7"/>
        <v>1</v>
      </c>
      <c r="G202" t="str">
        <f t="shared" si="6"/>
        <v>Perdu</v>
      </c>
    </row>
    <row r="203" spans="1:7" hidden="1" x14ac:dyDescent="0.25">
      <c r="A203" s="258"/>
      <c r="B203" s="258"/>
      <c r="C203" s="258"/>
      <c r="D203" s="258"/>
      <c r="E203" s="259"/>
      <c r="F203">
        <f t="shared" si="7"/>
        <v>1</v>
      </c>
      <c r="G203" t="str">
        <f t="shared" si="6"/>
        <v>Perdu</v>
      </c>
    </row>
    <row r="204" spans="1:7" hidden="1" x14ac:dyDescent="0.25">
      <c r="A204" s="258"/>
      <c r="B204" s="258"/>
      <c r="C204" s="258"/>
      <c r="D204" s="258"/>
      <c r="E204" s="259"/>
      <c r="F204">
        <f t="shared" si="7"/>
        <v>1</v>
      </c>
      <c r="G204" t="str">
        <f t="shared" si="6"/>
        <v>Perdu</v>
      </c>
    </row>
    <row r="205" spans="1:7" hidden="1" x14ac:dyDescent="0.25">
      <c r="A205" s="258"/>
      <c r="B205" s="258"/>
      <c r="C205" s="258"/>
      <c r="D205" s="258"/>
      <c r="E205" s="259"/>
      <c r="F205">
        <f t="shared" si="7"/>
        <v>1</v>
      </c>
      <c r="G205" t="str">
        <f t="shared" si="6"/>
        <v>Perdu</v>
      </c>
    </row>
    <row r="206" spans="1:7" hidden="1" x14ac:dyDescent="0.25">
      <c r="A206" s="258"/>
      <c r="B206" s="258"/>
      <c r="C206" s="258"/>
      <c r="D206" s="258"/>
      <c r="E206" s="259"/>
      <c r="F206">
        <f t="shared" si="7"/>
        <v>1</v>
      </c>
      <c r="G206" t="str">
        <f t="shared" si="6"/>
        <v>Perdu</v>
      </c>
    </row>
    <row r="207" spans="1:7" hidden="1" x14ac:dyDescent="0.25">
      <c r="A207" s="258"/>
      <c r="B207" s="258"/>
      <c r="C207" s="258"/>
      <c r="D207" s="258"/>
      <c r="E207" s="259"/>
      <c r="F207">
        <f t="shared" si="7"/>
        <v>1</v>
      </c>
      <c r="G207" t="str">
        <f t="shared" si="6"/>
        <v>Perdu</v>
      </c>
    </row>
    <row r="208" spans="1:7" hidden="1" x14ac:dyDescent="0.25">
      <c r="A208" s="258"/>
      <c r="B208" s="258"/>
      <c r="C208" s="258"/>
      <c r="D208" s="258"/>
      <c r="E208" s="259"/>
      <c r="F208">
        <f t="shared" si="7"/>
        <v>1</v>
      </c>
      <c r="G208" t="str">
        <f t="shared" si="6"/>
        <v>Perdu</v>
      </c>
    </row>
    <row r="209" spans="1:7" hidden="1" x14ac:dyDescent="0.25">
      <c r="A209" s="258"/>
      <c r="B209" s="258"/>
      <c r="C209" s="258"/>
      <c r="D209" s="258"/>
      <c r="E209" s="259"/>
      <c r="F209">
        <f t="shared" si="7"/>
        <v>1</v>
      </c>
      <c r="G209" t="str">
        <f t="shared" si="6"/>
        <v>Perdu</v>
      </c>
    </row>
    <row r="210" spans="1:7" hidden="1" x14ac:dyDescent="0.25">
      <c r="A210" s="258"/>
      <c r="B210" s="258"/>
      <c r="C210" s="258"/>
      <c r="D210" s="258"/>
      <c r="E210" s="259"/>
      <c r="F210">
        <f t="shared" si="7"/>
        <v>1</v>
      </c>
      <c r="G210" t="str">
        <f t="shared" si="6"/>
        <v>Perdu</v>
      </c>
    </row>
    <row r="211" spans="1:7" hidden="1" x14ac:dyDescent="0.25">
      <c r="A211" s="258"/>
      <c r="B211" s="258"/>
      <c r="C211" s="258"/>
      <c r="D211" s="258"/>
      <c r="E211" s="259"/>
      <c r="F211">
        <f t="shared" si="7"/>
        <v>1</v>
      </c>
      <c r="G211" t="str">
        <f t="shared" si="6"/>
        <v>Perdu</v>
      </c>
    </row>
    <row r="212" spans="1:7" hidden="1" x14ac:dyDescent="0.25">
      <c r="A212" s="260"/>
      <c r="B212" s="260"/>
      <c r="C212" s="260"/>
      <c r="D212" s="260"/>
      <c r="E212" s="261"/>
      <c r="F212">
        <f t="shared" si="7"/>
        <v>1</v>
      </c>
      <c r="G212" t="str">
        <f t="shared" si="6"/>
        <v>Perdu</v>
      </c>
    </row>
    <row r="213" spans="1:7" hidden="1" x14ac:dyDescent="0.25">
      <c r="A213" s="258"/>
      <c r="B213" s="258"/>
      <c r="C213" s="258"/>
      <c r="D213" s="258"/>
      <c r="E213" s="259"/>
      <c r="F213">
        <f t="shared" si="7"/>
        <v>1</v>
      </c>
      <c r="G213" t="str">
        <f t="shared" si="6"/>
        <v>Perdu</v>
      </c>
    </row>
    <row r="214" spans="1:7" hidden="1" x14ac:dyDescent="0.25">
      <c r="A214" s="258"/>
      <c r="B214" s="258"/>
      <c r="C214" s="258"/>
      <c r="D214" s="258"/>
      <c r="E214" s="259"/>
      <c r="F214">
        <f t="shared" si="7"/>
        <v>1</v>
      </c>
      <c r="G214" t="str">
        <f t="shared" si="6"/>
        <v>Perdu</v>
      </c>
    </row>
    <row r="215" spans="1:7" hidden="1" x14ac:dyDescent="0.25">
      <c r="A215" s="258"/>
      <c r="B215" s="258"/>
      <c r="C215" s="258"/>
      <c r="D215" s="258"/>
      <c r="E215" s="259"/>
      <c r="F215">
        <f t="shared" si="7"/>
        <v>1</v>
      </c>
      <c r="G215" t="str">
        <f t="shared" si="6"/>
        <v>Perdu</v>
      </c>
    </row>
    <row r="216" spans="1:7" hidden="1" x14ac:dyDescent="0.25">
      <c r="A216" s="258"/>
      <c r="B216" s="258"/>
      <c r="C216" s="258"/>
      <c r="D216" s="258"/>
      <c r="E216" s="259"/>
      <c r="F216">
        <f t="shared" si="7"/>
        <v>1</v>
      </c>
      <c r="G216" t="str">
        <f t="shared" si="6"/>
        <v>Perdu</v>
      </c>
    </row>
    <row r="217" spans="1:7" hidden="1" x14ac:dyDescent="0.25">
      <c r="A217" s="260"/>
      <c r="B217" s="260"/>
      <c r="C217" s="260"/>
      <c r="D217" s="260"/>
      <c r="E217" s="261"/>
      <c r="F217">
        <f t="shared" si="7"/>
        <v>1</v>
      </c>
      <c r="G217" t="str">
        <f t="shared" si="6"/>
        <v>Perdu</v>
      </c>
    </row>
    <row r="218" spans="1:7" hidden="1" x14ac:dyDescent="0.25">
      <c r="A218" s="258"/>
      <c r="B218" s="258"/>
      <c r="C218" s="258"/>
      <c r="D218" s="258"/>
      <c r="E218" s="259"/>
      <c r="F218">
        <f t="shared" si="7"/>
        <v>1</v>
      </c>
      <c r="G218" t="str">
        <f t="shared" si="6"/>
        <v>Perdu</v>
      </c>
    </row>
    <row r="219" spans="1:7" hidden="1" x14ac:dyDescent="0.25">
      <c r="A219" s="258"/>
      <c r="B219" s="258"/>
      <c r="C219" s="258"/>
      <c r="D219" s="258"/>
      <c r="E219" s="259"/>
      <c r="F219">
        <f t="shared" si="7"/>
        <v>1</v>
      </c>
      <c r="G219" t="str">
        <f t="shared" si="6"/>
        <v>Perdu</v>
      </c>
    </row>
    <row r="220" spans="1:7" hidden="1" x14ac:dyDescent="0.25">
      <c r="A220" s="258"/>
      <c r="B220" s="258"/>
      <c r="C220" s="258"/>
      <c r="D220" s="258"/>
      <c r="E220" s="259"/>
      <c r="F220">
        <f t="shared" si="7"/>
        <v>1</v>
      </c>
      <c r="G220" t="str">
        <f t="shared" si="6"/>
        <v>Perdu</v>
      </c>
    </row>
    <row r="221" spans="1:7" hidden="1" x14ac:dyDescent="0.25">
      <c r="A221" s="258"/>
      <c r="B221" s="258"/>
      <c r="C221" s="258"/>
      <c r="D221" s="258"/>
      <c r="E221" s="259"/>
      <c r="F221">
        <f t="shared" si="7"/>
        <v>1</v>
      </c>
      <c r="G221" t="str">
        <f t="shared" si="6"/>
        <v>Perdu</v>
      </c>
    </row>
    <row r="222" spans="1:7" hidden="1" x14ac:dyDescent="0.25">
      <c r="A222" s="258"/>
      <c r="B222" s="258"/>
      <c r="C222" s="258"/>
      <c r="D222" s="258"/>
      <c r="E222" s="259"/>
      <c r="F222">
        <f t="shared" si="7"/>
        <v>1</v>
      </c>
      <c r="G222" t="str">
        <f t="shared" si="6"/>
        <v>Perdu</v>
      </c>
    </row>
    <row r="223" spans="1:7" hidden="1" x14ac:dyDescent="0.25">
      <c r="A223" s="258"/>
      <c r="B223" s="258"/>
      <c r="C223" s="258"/>
      <c r="D223" s="258"/>
      <c r="E223" s="259"/>
      <c r="F223">
        <f t="shared" si="7"/>
        <v>1</v>
      </c>
      <c r="G223" t="str">
        <f t="shared" si="6"/>
        <v>Perdu</v>
      </c>
    </row>
    <row r="224" spans="1:7" hidden="1" x14ac:dyDescent="0.25">
      <c r="A224" s="258"/>
      <c r="B224" s="258"/>
      <c r="C224" s="258"/>
      <c r="D224" s="258"/>
      <c r="E224" s="259"/>
      <c r="F224">
        <f t="shared" si="7"/>
        <v>1</v>
      </c>
      <c r="G224" t="str">
        <f t="shared" si="6"/>
        <v>Perdu</v>
      </c>
    </row>
    <row r="225" spans="1:7" hidden="1" x14ac:dyDescent="0.25">
      <c r="A225" s="258"/>
      <c r="B225" s="258"/>
      <c r="C225" s="258"/>
      <c r="D225" s="258"/>
      <c r="E225" s="259"/>
      <c r="F225">
        <f t="shared" si="7"/>
        <v>1</v>
      </c>
      <c r="G225" t="str">
        <f t="shared" si="6"/>
        <v>Perdu</v>
      </c>
    </row>
    <row r="226" spans="1:7" hidden="1" x14ac:dyDescent="0.25">
      <c r="A226" s="258"/>
      <c r="B226" s="258"/>
      <c r="C226" s="258"/>
      <c r="D226" s="258"/>
      <c r="E226" s="259"/>
      <c r="F226">
        <f t="shared" si="7"/>
        <v>1</v>
      </c>
      <c r="G226" t="str">
        <f t="shared" si="6"/>
        <v>Perdu</v>
      </c>
    </row>
    <row r="227" spans="1:7" hidden="1" x14ac:dyDescent="0.25">
      <c r="A227" s="258"/>
      <c r="B227" s="258"/>
      <c r="C227" s="258"/>
      <c r="D227" s="258"/>
      <c r="E227" s="259"/>
      <c r="F227">
        <f t="shared" si="7"/>
        <v>1</v>
      </c>
      <c r="G227" t="str">
        <f t="shared" si="6"/>
        <v>Perdu</v>
      </c>
    </row>
    <row r="228" spans="1:7" hidden="1" x14ac:dyDescent="0.25">
      <c r="A228" s="258"/>
      <c r="B228" s="258"/>
      <c r="C228" s="258"/>
      <c r="D228" s="258"/>
      <c r="E228" s="259"/>
      <c r="F228">
        <f t="shared" si="7"/>
        <v>1</v>
      </c>
      <c r="G228" t="str">
        <f t="shared" si="6"/>
        <v>Perdu</v>
      </c>
    </row>
    <row r="229" spans="1:7" hidden="1" x14ac:dyDescent="0.25">
      <c r="A229" s="258"/>
      <c r="B229" s="258"/>
      <c r="C229" s="258"/>
      <c r="D229" s="258"/>
      <c r="E229" s="259"/>
      <c r="F229">
        <f t="shared" si="7"/>
        <v>1</v>
      </c>
      <c r="G229" t="str">
        <f t="shared" si="6"/>
        <v>Perdu</v>
      </c>
    </row>
    <row r="230" spans="1:7" hidden="1" x14ac:dyDescent="0.25">
      <c r="A230" s="258"/>
      <c r="B230" s="258"/>
      <c r="C230" s="258"/>
      <c r="D230" s="258"/>
      <c r="E230" s="259"/>
      <c r="F230">
        <f t="shared" si="7"/>
        <v>1</v>
      </c>
      <c r="G230" t="str">
        <f t="shared" ref="G230:G236" si="8">IF(B230=B229,"Perdu","Gagné")</f>
        <v>Perdu</v>
      </c>
    </row>
    <row r="231" spans="1:7" hidden="1" x14ac:dyDescent="0.25">
      <c r="A231" s="258"/>
      <c r="B231" s="258"/>
      <c r="C231" s="258"/>
      <c r="D231" s="258"/>
      <c r="E231" s="259"/>
      <c r="F231">
        <f t="shared" si="7"/>
        <v>1</v>
      </c>
      <c r="G231" t="str">
        <f t="shared" si="8"/>
        <v>Perdu</v>
      </c>
    </row>
    <row r="232" spans="1:7" hidden="1" x14ac:dyDescent="0.25">
      <c r="A232" s="258"/>
      <c r="B232" s="258"/>
      <c r="C232" s="258"/>
      <c r="D232" s="258"/>
      <c r="E232" s="259"/>
      <c r="F232">
        <f t="shared" si="7"/>
        <v>1</v>
      </c>
      <c r="G232" t="str">
        <f t="shared" si="8"/>
        <v>Perdu</v>
      </c>
    </row>
    <row r="233" spans="1:7" hidden="1" x14ac:dyDescent="0.25">
      <c r="A233" s="260"/>
      <c r="B233" s="260"/>
      <c r="C233" s="260"/>
      <c r="D233" s="260"/>
      <c r="E233" s="261"/>
      <c r="F233">
        <f t="shared" si="7"/>
        <v>1</v>
      </c>
      <c r="G233" t="str">
        <f t="shared" si="8"/>
        <v>Perdu</v>
      </c>
    </row>
    <row r="234" spans="1:7" hidden="1" x14ac:dyDescent="0.25">
      <c r="A234" s="258"/>
      <c r="B234" s="258"/>
      <c r="C234" s="258"/>
      <c r="D234" s="258"/>
      <c r="E234" s="259"/>
      <c r="F234">
        <f t="shared" si="7"/>
        <v>1</v>
      </c>
      <c r="G234" t="str">
        <f t="shared" si="8"/>
        <v>Perdu</v>
      </c>
    </row>
    <row r="235" spans="1:7" hidden="1" x14ac:dyDescent="0.25">
      <c r="A235" s="258"/>
      <c r="B235" s="258"/>
      <c r="C235" s="258"/>
      <c r="D235" s="258"/>
      <c r="E235" s="259"/>
      <c r="F235">
        <f t="shared" si="7"/>
        <v>1</v>
      </c>
      <c r="G235" t="str">
        <f t="shared" si="8"/>
        <v>Perdu</v>
      </c>
    </row>
    <row r="236" spans="1:7" hidden="1" x14ac:dyDescent="0.25">
      <c r="A236" s="260"/>
      <c r="B236" s="260"/>
      <c r="C236" s="260"/>
      <c r="D236" s="260"/>
      <c r="E236" s="261"/>
      <c r="F236">
        <f t="shared" si="7"/>
        <v>1</v>
      </c>
      <c r="G236" t="str">
        <f t="shared" si="8"/>
        <v>Perdu</v>
      </c>
    </row>
    <row r="237" spans="1:7" hidden="1" x14ac:dyDescent="0.25">
      <c r="A237" s="258"/>
      <c r="B237" s="258"/>
      <c r="C237" s="258"/>
      <c r="D237" s="258"/>
      <c r="E237" s="259"/>
      <c r="F237">
        <f t="shared" si="7"/>
        <v>1</v>
      </c>
      <c r="G237" t="str">
        <f t="shared" ref="G237:G268" si="9">IF(B237=B236,"Perdu","Gagné")</f>
        <v>Perdu</v>
      </c>
    </row>
    <row r="238" spans="1:7" hidden="1" x14ac:dyDescent="0.25">
      <c r="A238" s="258"/>
      <c r="B238" s="258"/>
      <c r="C238" s="258"/>
      <c r="D238" s="258"/>
      <c r="E238" s="259"/>
      <c r="F238">
        <f t="shared" si="7"/>
        <v>1</v>
      </c>
      <c r="G238" t="str">
        <f t="shared" si="9"/>
        <v>Perdu</v>
      </c>
    </row>
    <row r="239" spans="1:7" hidden="1" x14ac:dyDescent="0.25">
      <c r="A239" s="258"/>
      <c r="B239" s="258"/>
      <c r="C239" s="258"/>
      <c r="D239" s="258"/>
      <c r="E239" s="259"/>
      <c r="F239">
        <f t="shared" si="7"/>
        <v>1</v>
      </c>
      <c r="G239" t="str">
        <f t="shared" si="9"/>
        <v>Perdu</v>
      </c>
    </row>
    <row r="240" spans="1:7" hidden="1" x14ac:dyDescent="0.25">
      <c r="A240" s="260"/>
      <c r="B240" s="260"/>
      <c r="C240" s="260"/>
      <c r="D240" s="260"/>
      <c r="E240" s="261"/>
      <c r="F240">
        <f t="shared" si="7"/>
        <v>1</v>
      </c>
      <c r="G240" t="str">
        <f t="shared" si="9"/>
        <v>Perdu</v>
      </c>
    </row>
    <row r="241" spans="1:7" hidden="1" x14ac:dyDescent="0.25">
      <c r="A241" s="258"/>
      <c r="B241" s="258"/>
      <c r="C241" s="258"/>
      <c r="D241" s="258"/>
      <c r="E241" s="259"/>
      <c r="F241">
        <f t="shared" si="7"/>
        <v>1</v>
      </c>
      <c r="G241" t="str">
        <f t="shared" si="9"/>
        <v>Perdu</v>
      </c>
    </row>
    <row r="242" spans="1:7" hidden="1" x14ac:dyDescent="0.25">
      <c r="A242" s="258"/>
      <c r="B242" s="258"/>
      <c r="C242" s="258"/>
      <c r="D242" s="258"/>
      <c r="E242" s="259"/>
      <c r="F242">
        <f t="shared" si="7"/>
        <v>1</v>
      </c>
      <c r="G242" t="str">
        <f t="shared" si="9"/>
        <v>Perdu</v>
      </c>
    </row>
    <row r="243" spans="1:7" hidden="1" x14ac:dyDescent="0.25">
      <c r="A243" s="260"/>
      <c r="B243" s="260"/>
      <c r="C243" s="260"/>
      <c r="D243" s="260"/>
      <c r="E243" s="261"/>
      <c r="F243">
        <f t="shared" si="7"/>
        <v>1</v>
      </c>
      <c r="G243" t="str">
        <f t="shared" si="9"/>
        <v>Perdu</v>
      </c>
    </row>
    <row r="244" spans="1:7" hidden="1" x14ac:dyDescent="0.25">
      <c r="A244" s="260"/>
      <c r="B244" s="260"/>
      <c r="C244" s="260"/>
      <c r="D244" s="260"/>
      <c r="E244" s="261"/>
      <c r="F244">
        <f t="shared" si="7"/>
        <v>1</v>
      </c>
      <c r="G244" t="str">
        <f t="shared" si="9"/>
        <v>Perdu</v>
      </c>
    </row>
    <row r="245" spans="1:7" hidden="1" x14ac:dyDescent="0.25">
      <c r="A245" s="260"/>
      <c r="B245" s="260"/>
      <c r="C245" s="260"/>
      <c r="D245" s="260"/>
      <c r="E245" s="261"/>
      <c r="F245">
        <f t="shared" si="7"/>
        <v>1</v>
      </c>
      <c r="G245" t="str">
        <f t="shared" si="9"/>
        <v>Perdu</v>
      </c>
    </row>
    <row r="246" spans="1:7" hidden="1" x14ac:dyDescent="0.25">
      <c r="A246" s="258"/>
      <c r="B246" s="258"/>
      <c r="C246" s="258"/>
      <c r="D246" s="258"/>
      <c r="E246" s="259"/>
      <c r="F246">
        <f t="shared" si="7"/>
        <v>1</v>
      </c>
      <c r="G246" t="str">
        <f t="shared" si="9"/>
        <v>Perdu</v>
      </c>
    </row>
    <row r="247" spans="1:7" hidden="1" x14ac:dyDescent="0.25">
      <c r="A247" s="258"/>
      <c r="B247" s="258"/>
      <c r="C247" s="258"/>
      <c r="D247" s="258"/>
      <c r="E247" s="259"/>
      <c r="F247">
        <f t="shared" si="7"/>
        <v>1</v>
      </c>
      <c r="G247" t="str">
        <f t="shared" si="9"/>
        <v>Perdu</v>
      </c>
    </row>
    <row r="248" spans="1:7" hidden="1" x14ac:dyDescent="0.25">
      <c r="A248" s="258"/>
      <c r="B248" s="258"/>
      <c r="C248" s="258"/>
      <c r="D248" s="258"/>
      <c r="E248" s="259"/>
      <c r="F248">
        <f t="shared" si="7"/>
        <v>1</v>
      </c>
      <c r="G248" t="str">
        <f t="shared" si="9"/>
        <v>Perdu</v>
      </c>
    </row>
    <row r="249" spans="1:7" hidden="1" x14ac:dyDescent="0.25">
      <c r="A249" s="258"/>
      <c r="B249" s="258"/>
      <c r="C249" s="258"/>
      <c r="D249" s="258"/>
      <c r="E249" s="259"/>
      <c r="F249">
        <f t="shared" si="7"/>
        <v>1</v>
      </c>
      <c r="G249" t="str">
        <f t="shared" si="9"/>
        <v>Perdu</v>
      </c>
    </row>
    <row r="250" spans="1:7" hidden="1" x14ac:dyDescent="0.25">
      <c r="A250" s="258"/>
      <c r="B250" s="258"/>
      <c r="C250" s="258"/>
      <c r="D250" s="258"/>
      <c r="E250" s="259"/>
      <c r="F250">
        <f t="shared" si="7"/>
        <v>1</v>
      </c>
      <c r="G250" t="str">
        <f t="shared" si="9"/>
        <v>Perdu</v>
      </c>
    </row>
    <row r="251" spans="1:7" hidden="1" x14ac:dyDescent="0.25">
      <c r="A251" s="260"/>
      <c r="B251" s="260"/>
      <c r="C251" s="260"/>
      <c r="D251" s="260"/>
      <c r="E251" s="261"/>
      <c r="F251">
        <f t="shared" si="7"/>
        <v>1</v>
      </c>
      <c r="G251" t="str">
        <f t="shared" si="9"/>
        <v>Perdu</v>
      </c>
    </row>
    <row r="252" spans="1:7" hidden="1" x14ac:dyDescent="0.25">
      <c r="A252" s="258"/>
      <c r="B252" s="258"/>
      <c r="C252" s="258"/>
      <c r="D252" s="258"/>
      <c r="E252" s="259"/>
      <c r="F252">
        <f t="shared" si="7"/>
        <v>1</v>
      </c>
      <c r="G252" t="str">
        <f t="shared" si="9"/>
        <v>Perdu</v>
      </c>
    </row>
    <row r="253" spans="1:7" hidden="1" x14ac:dyDescent="0.25">
      <c r="A253" s="258"/>
      <c r="B253" s="258"/>
      <c r="C253" s="258"/>
      <c r="D253" s="258"/>
      <c r="E253" s="259"/>
      <c r="F253">
        <f t="shared" si="7"/>
        <v>1</v>
      </c>
      <c r="G253" t="str">
        <f t="shared" si="9"/>
        <v>Perdu</v>
      </c>
    </row>
    <row r="254" spans="1:7" hidden="1" x14ac:dyDescent="0.25">
      <c r="A254" s="258"/>
      <c r="B254" s="258"/>
      <c r="C254" s="258"/>
      <c r="D254" s="258"/>
      <c r="E254" s="259"/>
      <c r="F254">
        <f t="shared" si="7"/>
        <v>1</v>
      </c>
      <c r="G254" t="str">
        <f t="shared" si="9"/>
        <v>Perdu</v>
      </c>
    </row>
    <row r="255" spans="1:7" hidden="1" x14ac:dyDescent="0.25">
      <c r="A255" s="258"/>
      <c r="B255" s="258"/>
      <c r="C255" s="258"/>
      <c r="D255" s="258"/>
      <c r="E255" s="259"/>
      <c r="F255">
        <f t="shared" si="7"/>
        <v>1</v>
      </c>
      <c r="G255" t="str">
        <f t="shared" si="9"/>
        <v>Perdu</v>
      </c>
    </row>
    <row r="256" spans="1:7" hidden="1" x14ac:dyDescent="0.25">
      <c r="A256" s="258"/>
      <c r="B256" s="258"/>
      <c r="C256" s="258"/>
      <c r="D256" s="258"/>
      <c r="E256" s="259"/>
      <c r="F256">
        <f t="shared" si="7"/>
        <v>1</v>
      </c>
      <c r="G256" t="str">
        <f t="shared" si="9"/>
        <v>Perdu</v>
      </c>
    </row>
    <row r="257" spans="1:7" hidden="1" x14ac:dyDescent="0.25">
      <c r="A257" s="258"/>
      <c r="B257" s="258"/>
      <c r="C257" s="258"/>
      <c r="D257" s="258"/>
      <c r="E257" s="259"/>
      <c r="F257">
        <f t="shared" si="7"/>
        <v>1</v>
      </c>
      <c r="G257" t="str">
        <f t="shared" si="9"/>
        <v>Perdu</v>
      </c>
    </row>
    <row r="258" spans="1:7" hidden="1" x14ac:dyDescent="0.25">
      <c r="A258" s="258"/>
      <c r="B258" s="258"/>
      <c r="C258" s="258"/>
      <c r="D258" s="258"/>
      <c r="E258" s="259"/>
      <c r="F258">
        <f t="shared" si="7"/>
        <v>1</v>
      </c>
      <c r="G258" t="str">
        <f t="shared" si="9"/>
        <v>Perdu</v>
      </c>
    </row>
    <row r="259" spans="1:7" hidden="1" x14ac:dyDescent="0.25">
      <c r="A259" s="258"/>
      <c r="B259" s="258"/>
      <c r="C259" s="258"/>
      <c r="D259" s="258"/>
      <c r="E259" s="259"/>
      <c r="F259">
        <f t="shared" ref="F259:F279" si="10">IF(E259&gt;$H$1,IF(E259&gt;$H$2,IF(E259&gt;$H$3,IF(E259&gt;$H$4,5,4),3),2),1)</f>
        <v>1</v>
      </c>
      <c r="G259" t="str">
        <f t="shared" si="9"/>
        <v>Perdu</v>
      </c>
    </row>
    <row r="260" spans="1:7" hidden="1" x14ac:dyDescent="0.25">
      <c r="A260" s="260"/>
      <c r="B260" s="260"/>
      <c r="C260" s="260"/>
      <c r="D260" s="260"/>
      <c r="E260" s="261"/>
      <c r="F260">
        <f t="shared" si="10"/>
        <v>1</v>
      </c>
      <c r="G260" t="str">
        <f t="shared" si="9"/>
        <v>Perdu</v>
      </c>
    </row>
    <row r="261" spans="1:7" hidden="1" x14ac:dyDescent="0.25">
      <c r="A261" s="258"/>
      <c r="B261" s="258"/>
      <c r="C261" s="258"/>
      <c r="D261" s="258"/>
      <c r="E261" s="259"/>
      <c r="F261">
        <f t="shared" si="10"/>
        <v>1</v>
      </c>
      <c r="G261" t="str">
        <f t="shared" si="9"/>
        <v>Perdu</v>
      </c>
    </row>
    <row r="262" spans="1:7" hidden="1" x14ac:dyDescent="0.25">
      <c r="A262" s="258"/>
      <c r="B262" s="258"/>
      <c r="C262" s="258"/>
      <c r="D262" s="258"/>
      <c r="E262" s="259"/>
      <c r="F262">
        <f t="shared" si="10"/>
        <v>1</v>
      </c>
      <c r="G262" t="str">
        <f t="shared" si="9"/>
        <v>Perdu</v>
      </c>
    </row>
    <row r="263" spans="1:7" hidden="1" x14ac:dyDescent="0.25">
      <c r="A263" s="258"/>
      <c r="B263" s="258"/>
      <c r="C263" s="258"/>
      <c r="D263" s="258"/>
      <c r="E263" s="259"/>
      <c r="F263">
        <f t="shared" si="10"/>
        <v>1</v>
      </c>
      <c r="G263" t="str">
        <f t="shared" si="9"/>
        <v>Perdu</v>
      </c>
    </row>
    <row r="264" spans="1:7" hidden="1" x14ac:dyDescent="0.25">
      <c r="A264" s="258"/>
      <c r="B264" s="258"/>
      <c r="C264" s="258"/>
      <c r="D264" s="258"/>
      <c r="E264" s="259"/>
      <c r="F264">
        <f t="shared" si="10"/>
        <v>1</v>
      </c>
      <c r="G264" t="str">
        <f t="shared" si="9"/>
        <v>Perdu</v>
      </c>
    </row>
    <row r="265" spans="1:7" hidden="1" x14ac:dyDescent="0.25">
      <c r="A265" s="258"/>
      <c r="B265" s="258"/>
      <c r="C265" s="258"/>
      <c r="D265" s="258"/>
      <c r="E265" s="259"/>
      <c r="F265">
        <f t="shared" si="10"/>
        <v>1</v>
      </c>
      <c r="G265" t="str">
        <f t="shared" si="9"/>
        <v>Perdu</v>
      </c>
    </row>
    <row r="266" spans="1:7" hidden="1" x14ac:dyDescent="0.25">
      <c r="A266" s="258"/>
      <c r="B266" s="258"/>
      <c r="C266" s="258"/>
      <c r="D266" s="258"/>
      <c r="E266" s="259"/>
      <c r="F266">
        <f t="shared" si="10"/>
        <v>1</v>
      </c>
      <c r="G266" t="str">
        <f t="shared" si="9"/>
        <v>Perdu</v>
      </c>
    </row>
    <row r="267" spans="1:7" hidden="1" x14ac:dyDescent="0.25">
      <c r="A267" s="258"/>
      <c r="B267" s="258"/>
      <c r="C267" s="258"/>
      <c r="D267" s="258"/>
      <c r="E267" s="259"/>
      <c r="F267">
        <f t="shared" si="10"/>
        <v>1</v>
      </c>
      <c r="G267" t="str">
        <f t="shared" si="9"/>
        <v>Perdu</v>
      </c>
    </row>
    <row r="268" spans="1:7" hidden="1" x14ac:dyDescent="0.25">
      <c r="A268" s="258"/>
      <c r="B268" s="258"/>
      <c r="C268" s="258"/>
      <c r="D268" s="258"/>
      <c r="E268" s="259"/>
      <c r="F268">
        <f t="shared" si="10"/>
        <v>1</v>
      </c>
      <c r="G268" t="str">
        <f t="shared" si="9"/>
        <v>Perdu</v>
      </c>
    </row>
    <row r="269" spans="1:7" hidden="1" x14ac:dyDescent="0.25">
      <c r="A269" s="258"/>
      <c r="B269" s="258"/>
      <c r="C269" s="258"/>
      <c r="D269" s="258"/>
      <c r="E269" s="259"/>
      <c r="F269">
        <f t="shared" si="10"/>
        <v>1</v>
      </c>
      <c r="G269" t="str">
        <f t="shared" ref="G269:G279" si="11">IF(B269=B268,"Perdu","Gagné")</f>
        <v>Perdu</v>
      </c>
    </row>
    <row r="270" spans="1:7" hidden="1" x14ac:dyDescent="0.25">
      <c r="A270" s="258"/>
      <c r="B270" s="258"/>
      <c r="C270" s="258"/>
      <c r="D270" s="258"/>
      <c r="E270" s="259"/>
      <c r="F270">
        <f t="shared" si="10"/>
        <v>1</v>
      </c>
      <c r="G270" t="str">
        <f t="shared" si="11"/>
        <v>Perdu</v>
      </c>
    </row>
    <row r="271" spans="1:7" hidden="1" x14ac:dyDescent="0.25">
      <c r="A271" s="258"/>
      <c r="B271" s="258"/>
      <c r="C271" s="258"/>
      <c r="D271" s="258"/>
      <c r="E271" s="259"/>
      <c r="F271">
        <f t="shared" si="10"/>
        <v>1</v>
      </c>
      <c r="G271" t="str">
        <f t="shared" si="11"/>
        <v>Perdu</v>
      </c>
    </row>
    <row r="272" spans="1:7" hidden="1" x14ac:dyDescent="0.25">
      <c r="A272" s="258"/>
      <c r="B272" s="258"/>
      <c r="C272" s="258"/>
      <c r="D272" s="258"/>
      <c r="E272" s="259"/>
      <c r="F272">
        <f t="shared" si="10"/>
        <v>1</v>
      </c>
      <c r="G272" t="str">
        <f t="shared" si="11"/>
        <v>Perdu</v>
      </c>
    </row>
    <row r="273" spans="1:7" hidden="1" x14ac:dyDescent="0.25">
      <c r="A273" s="258"/>
      <c r="B273" s="258"/>
      <c r="C273" s="258"/>
      <c r="D273" s="258"/>
      <c r="E273" s="259"/>
      <c r="F273">
        <f t="shared" si="10"/>
        <v>1</v>
      </c>
      <c r="G273" t="str">
        <f t="shared" si="11"/>
        <v>Perdu</v>
      </c>
    </row>
    <row r="274" spans="1:7" hidden="1" x14ac:dyDescent="0.25">
      <c r="A274" s="258"/>
      <c r="B274" s="258"/>
      <c r="C274" s="258"/>
      <c r="D274" s="258"/>
      <c r="E274" s="259"/>
      <c r="F274">
        <f t="shared" si="10"/>
        <v>1</v>
      </c>
      <c r="G274" t="str">
        <f t="shared" si="11"/>
        <v>Perdu</v>
      </c>
    </row>
    <row r="275" spans="1:7" hidden="1" x14ac:dyDescent="0.25">
      <c r="A275" s="258"/>
      <c r="B275" s="258"/>
      <c r="C275" s="258"/>
      <c r="D275" s="258"/>
      <c r="E275" s="259"/>
      <c r="F275">
        <f t="shared" si="10"/>
        <v>1</v>
      </c>
      <c r="G275" t="str">
        <f t="shared" si="11"/>
        <v>Perdu</v>
      </c>
    </row>
    <row r="276" spans="1:7" hidden="1" x14ac:dyDescent="0.25">
      <c r="A276" s="258"/>
      <c r="B276" s="258"/>
      <c r="C276" s="258"/>
      <c r="D276" s="258"/>
      <c r="E276" s="259"/>
      <c r="F276">
        <f t="shared" si="10"/>
        <v>1</v>
      </c>
      <c r="G276" t="str">
        <f t="shared" si="11"/>
        <v>Perdu</v>
      </c>
    </row>
    <row r="277" spans="1:7" hidden="1" x14ac:dyDescent="0.25">
      <c r="A277" s="258"/>
      <c r="B277" s="258"/>
      <c r="C277" s="258"/>
      <c r="D277" s="258"/>
      <c r="E277" s="259"/>
      <c r="F277">
        <f t="shared" si="10"/>
        <v>1</v>
      </c>
      <c r="G277" t="str">
        <f t="shared" si="11"/>
        <v>Perdu</v>
      </c>
    </row>
    <row r="278" spans="1:7" hidden="1" x14ac:dyDescent="0.25">
      <c r="A278" s="258"/>
      <c r="B278" s="258"/>
      <c r="C278" s="258"/>
      <c r="D278" s="258"/>
      <c r="E278" s="259"/>
      <c r="F278">
        <f t="shared" si="10"/>
        <v>1</v>
      </c>
      <c r="G278" t="str">
        <f t="shared" si="11"/>
        <v>Perdu</v>
      </c>
    </row>
    <row r="279" spans="1:7" hidden="1" x14ac:dyDescent="0.25">
      <c r="A279" s="258"/>
      <c r="B279" s="258"/>
      <c r="C279" s="258"/>
      <c r="D279" s="258"/>
      <c r="E279" s="259"/>
      <c r="F279">
        <f t="shared" si="10"/>
        <v>1</v>
      </c>
      <c r="G279" t="str">
        <f t="shared" si="11"/>
        <v>Perdu</v>
      </c>
    </row>
    <row r="280" spans="1:7" x14ac:dyDescent="0.25">
      <c r="A280" s="35"/>
      <c r="B280" s="35"/>
      <c r="C280" s="35"/>
      <c r="D280" s="35"/>
      <c r="E280" s="35"/>
    </row>
    <row r="281" spans="1:7" x14ac:dyDescent="0.25">
      <c r="A281" s="35"/>
      <c r="B281" s="35"/>
      <c r="C281" s="35"/>
      <c r="D281" s="35"/>
      <c r="E281" s="35"/>
    </row>
    <row r="282" spans="1:7" x14ac:dyDescent="0.25">
      <c r="A282" s="35"/>
      <c r="B282" s="35"/>
      <c r="C282" s="35"/>
      <c r="D282" s="35"/>
      <c r="E282" s="35"/>
    </row>
    <row r="283" spans="1:7" x14ac:dyDescent="0.25">
      <c r="A283" s="35"/>
      <c r="B283" s="35"/>
      <c r="C283" s="35"/>
      <c r="D283" s="35"/>
      <c r="E283" s="35"/>
    </row>
    <row r="284" spans="1:7" x14ac:dyDescent="0.25">
      <c r="A284" s="35"/>
      <c r="B284" s="35"/>
      <c r="C284" s="35"/>
      <c r="D284" s="35"/>
      <c r="E284" s="35"/>
    </row>
    <row r="285" spans="1:7" x14ac:dyDescent="0.25">
      <c r="A285" s="35"/>
      <c r="B285" s="35"/>
      <c r="C285" s="35"/>
      <c r="D285" s="35"/>
      <c r="E285" s="35"/>
    </row>
    <row r="286" spans="1:7" x14ac:dyDescent="0.25">
      <c r="A286" s="35"/>
      <c r="B286" s="35"/>
      <c r="C286" s="35"/>
      <c r="D286" s="35"/>
      <c r="E286" s="35"/>
    </row>
    <row r="287" spans="1:7" x14ac:dyDescent="0.25">
      <c r="A287" s="35"/>
      <c r="B287" s="35"/>
      <c r="C287" s="35"/>
      <c r="D287" s="35"/>
      <c r="E287" s="35"/>
    </row>
    <row r="288" spans="1:7" x14ac:dyDescent="0.25">
      <c r="A288" s="35"/>
      <c r="B288" s="35"/>
      <c r="C288" s="35"/>
      <c r="D288" s="35"/>
      <c r="E288" s="35"/>
    </row>
    <row r="289" spans="1:5" x14ac:dyDescent="0.25">
      <c r="A289" s="35"/>
      <c r="B289" s="35"/>
      <c r="C289" s="35"/>
      <c r="D289" s="35"/>
      <c r="E289" s="35"/>
    </row>
    <row r="290" spans="1:5" x14ac:dyDescent="0.25">
      <c r="A290" s="35"/>
      <c r="B290" s="35"/>
      <c r="C290" s="35"/>
      <c r="D290" s="35"/>
      <c r="E290" s="35"/>
    </row>
    <row r="291" spans="1:5" x14ac:dyDescent="0.25">
      <c r="A291" s="35"/>
      <c r="B291" s="35"/>
      <c r="C291" s="35"/>
      <c r="D291" s="35"/>
      <c r="E291" s="35"/>
    </row>
    <row r="292" spans="1:5" x14ac:dyDescent="0.25">
      <c r="A292" s="35"/>
      <c r="B292" s="35"/>
      <c r="C292" s="35"/>
      <c r="D292" s="35"/>
      <c r="E292" s="35"/>
    </row>
    <row r="293" spans="1:5" x14ac:dyDescent="0.25">
      <c r="A293" s="35"/>
      <c r="B293" s="35"/>
      <c r="C293" s="35"/>
      <c r="D293" s="35"/>
      <c r="E293" s="35"/>
    </row>
    <row r="294" spans="1:5" x14ac:dyDescent="0.25">
      <c r="A294" s="35"/>
      <c r="B294" s="35"/>
      <c r="C294" s="35"/>
      <c r="D294" s="35"/>
      <c r="E294" s="35"/>
    </row>
    <row r="295" spans="1:5" x14ac:dyDescent="0.25">
      <c r="A295" s="35"/>
      <c r="B295" s="35"/>
      <c r="C295" s="35"/>
      <c r="D295" s="35"/>
      <c r="E295" s="35"/>
    </row>
    <row r="296" spans="1:5" x14ac:dyDescent="0.25">
      <c r="A296" s="35"/>
      <c r="B296" s="35"/>
      <c r="C296" s="35"/>
      <c r="D296" s="35"/>
      <c r="E296" s="35"/>
    </row>
    <row r="297" spans="1:5" x14ac:dyDescent="0.25">
      <c r="A297" s="35"/>
      <c r="B297" s="35"/>
      <c r="C297" s="35"/>
      <c r="D297" s="35"/>
      <c r="E297" s="35"/>
    </row>
    <row r="298" spans="1:5" x14ac:dyDescent="0.25">
      <c r="A298" s="35"/>
      <c r="B298" s="35"/>
      <c r="C298" s="35"/>
      <c r="D298" s="35"/>
      <c r="E298" s="35"/>
    </row>
    <row r="299" spans="1:5" x14ac:dyDescent="0.25">
      <c r="A299" s="35"/>
      <c r="B299" s="35"/>
      <c r="C299" s="35"/>
      <c r="D299" s="35"/>
      <c r="E299" s="35"/>
    </row>
    <row r="300" spans="1:5" x14ac:dyDescent="0.25">
      <c r="A300" s="35"/>
      <c r="B300" s="35"/>
      <c r="C300" s="35"/>
      <c r="D300" s="35"/>
      <c r="E300" s="35"/>
    </row>
    <row r="301" spans="1:5" x14ac:dyDescent="0.25">
      <c r="A301" s="35"/>
      <c r="B301" s="35"/>
      <c r="C301" s="35"/>
      <c r="D301" s="35"/>
      <c r="E301" s="35"/>
    </row>
    <row r="302" spans="1:5" x14ac:dyDescent="0.25">
      <c r="A302" s="35"/>
      <c r="B302" s="35"/>
      <c r="C302" s="35"/>
      <c r="D302" s="35"/>
      <c r="E302" s="35"/>
    </row>
    <row r="303" spans="1:5" x14ac:dyDescent="0.25">
      <c r="A303" s="35"/>
      <c r="B303" s="35"/>
      <c r="C303" s="35"/>
      <c r="D303" s="35"/>
      <c r="E303" s="35"/>
    </row>
    <row r="304" spans="1:5" x14ac:dyDescent="0.25">
      <c r="A304" s="35"/>
      <c r="B304" s="35"/>
      <c r="C304" s="35"/>
      <c r="D304" s="35"/>
      <c r="E304" s="35"/>
    </row>
    <row r="305" spans="1:5" x14ac:dyDescent="0.25">
      <c r="A305" s="35"/>
      <c r="B305" s="35"/>
      <c r="C305" s="35"/>
      <c r="D305" s="35"/>
      <c r="E305" s="35"/>
    </row>
    <row r="306" spans="1:5" x14ac:dyDescent="0.25">
      <c r="A306" s="35"/>
      <c r="B306" s="35"/>
      <c r="C306" s="35"/>
      <c r="D306" s="35"/>
      <c r="E306" s="35"/>
    </row>
    <row r="307" spans="1:5" x14ac:dyDescent="0.25">
      <c r="A307" s="35"/>
      <c r="B307" s="35"/>
      <c r="C307" s="35"/>
      <c r="D307" s="35"/>
      <c r="E307" s="35"/>
    </row>
    <row r="308" spans="1:5" x14ac:dyDescent="0.25">
      <c r="A308" s="35"/>
      <c r="B308" s="35"/>
      <c r="C308" s="35"/>
      <c r="D308" s="35"/>
      <c r="E308" s="35"/>
    </row>
    <row r="309" spans="1:5" x14ac:dyDescent="0.25">
      <c r="A309" s="35"/>
      <c r="B309" s="35"/>
      <c r="C309" s="35"/>
      <c r="D309" s="35"/>
      <c r="E309" s="35"/>
    </row>
    <row r="310" spans="1:5" x14ac:dyDescent="0.25">
      <c r="A310" s="35"/>
      <c r="B310" s="35"/>
      <c r="C310" s="35"/>
      <c r="D310" s="35"/>
      <c r="E310" s="35"/>
    </row>
    <row r="311" spans="1:5" x14ac:dyDescent="0.25">
      <c r="A311" s="35"/>
      <c r="B311" s="35"/>
      <c r="C311" s="35"/>
      <c r="D311" s="35"/>
      <c r="E311" s="35"/>
    </row>
    <row r="312" spans="1:5" x14ac:dyDescent="0.25">
      <c r="A312" s="35"/>
      <c r="B312" s="35"/>
      <c r="C312" s="35"/>
      <c r="D312" s="35"/>
      <c r="E312" s="35"/>
    </row>
  </sheetData>
  <autoFilter ref="A1:H279">
    <filterColumn colId="2">
      <filters>
        <filter val="TBA"/>
      </filters>
    </filterColumn>
  </autoFilter>
  <pageMargins left="0.7" right="0.7" top="0.75" bottom="0.75" header="0.3" footer="0.3"/>
  <pageSetup paperSize="9" orientation="portrait" horizontalDpi="4294967295" verticalDpi="4294967295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Z177"/>
  <sheetViews>
    <sheetView tabSelected="1" workbookViewId="0">
      <selection activeCell="M105" sqref="M105"/>
    </sheetView>
  </sheetViews>
  <sheetFormatPr baseColWidth="10" defaultColWidth="9.125" defaultRowHeight="15" x14ac:dyDescent="0.25"/>
  <cols>
    <col min="1" max="1" width="16.25" customWidth="1"/>
    <col min="2" max="2" width="22.75" customWidth="1"/>
    <col min="3" max="3" width="19.375" customWidth="1"/>
    <col min="4" max="4" width="8.625" customWidth="1"/>
    <col min="5" max="5" width="12.75" customWidth="1"/>
    <col min="6" max="6" width="3.875" customWidth="1"/>
    <col min="7" max="7" width="6.25" hidden="1" customWidth="1"/>
    <col min="8" max="8" width="7.375" hidden="1" customWidth="1"/>
    <col min="9" max="9" width="6.125" hidden="1" customWidth="1"/>
    <col min="10" max="10" width="7.125" hidden="1" customWidth="1"/>
    <col min="11" max="11" width="17.625" hidden="1" customWidth="1"/>
    <col min="15" max="15" width="16.125" customWidth="1"/>
    <col min="16" max="17" width="9.125" hidden="1" customWidth="1"/>
    <col min="19" max="19" width="22.75" customWidth="1"/>
    <col min="20" max="20" width="9.375" customWidth="1"/>
    <col min="21" max="21" width="6.25" customWidth="1"/>
    <col min="22" max="22" width="6.875" customWidth="1"/>
    <col min="23" max="23" width="12.375" customWidth="1"/>
    <col min="24" max="24" width="10.125" bestFit="1" customWidth="1"/>
    <col min="25" max="25" width="9.125" customWidth="1"/>
  </cols>
  <sheetData>
    <row r="1" spans="1:26" x14ac:dyDescent="0.25">
      <c r="C1" t="s">
        <v>1</v>
      </c>
      <c r="D1" t="s">
        <v>0</v>
      </c>
    </row>
    <row r="2" spans="1:26" x14ac:dyDescent="0.25">
      <c r="A2" t="s">
        <v>542</v>
      </c>
      <c r="B2" t="s">
        <v>59</v>
      </c>
      <c r="C2" t="s">
        <v>51</v>
      </c>
      <c r="D2" t="s">
        <v>0</v>
      </c>
      <c r="E2" t="s">
        <v>2</v>
      </c>
      <c r="F2" t="s">
        <v>53</v>
      </c>
      <c r="G2" t="s">
        <v>54</v>
      </c>
      <c r="H2" t="s">
        <v>55</v>
      </c>
      <c r="I2" t="s">
        <v>56</v>
      </c>
      <c r="J2" t="s">
        <v>57</v>
      </c>
      <c r="K2" t="s">
        <v>58</v>
      </c>
      <c r="L2" t="s">
        <v>60</v>
      </c>
      <c r="M2" t="s">
        <v>62</v>
      </c>
      <c r="N2" t="s">
        <v>63</v>
      </c>
      <c r="O2" t="s">
        <v>61</v>
      </c>
      <c r="Y2">
        <v>6</v>
      </c>
    </row>
    <row r="3" spans="1:26" x14ac:dyDescent="0.25">
      <c r="A3" t="str">
        <f t="shared" ref="A3" si="0">E3 &amp; " - " &amp; C3</f>
        <v>Everton - Coleman</v>
      </c>
      <c r="B3" s="35" t="s">
        <v>1562</v>
      </c>
      <c r="C3" s="35" t="s">
        <v>1151</v>
      </c>
      <c r="D3" s="35" t="s">
        <v>8</v>
      </c>
      <c r="E3" s="35" t="s">
        <v>1167</v>
      </c>
      <c r="F3" s="35">
        <v>3</v>
      </c>
      <c r="G3" s="35">
        <v>0</v>
      </c>
      <c r="H3" s="35">
        <v>0</v>
      </c>
      <c r="I3" s="35">
        <v>0</v>
      </c>
      <c r="J3" s="35"/>
      <c r="K3" s="35"/>
      <c r="L3" s="35">
        <f t="shared" ref="L3:L66" si="1">IF(VLOOKUP(VLOOKUP($A3,_JOUEURS,2,FALSE),_DATA,9,FALSE)=0,"",VLOOKUP(VLOOKUP($A3,_JOUEURS,2,FALSE),_DATA,9,FALSE))</f>
        <v>6.333333333333333</v>
      </c>
      <c r="M3" s="35">
        <f t="shared" ref="M3:M66" si="2">VLOOKUP(VLOOKUP($A3,_JOUEURS,2,FALSE),_DATA,6,FALSE)</f>
        <v>3</v>
      </c>
      <c r="N3">
        <f t="shared" ref="N3:N66" si="3">VLOOKUP(VLOOKUP($A3,_JOUEURS,2,FALSE),_DATA,7,FALSE)</f>
        <v>0</v>
      </c>
      <c r="O3">
        <f t="shared" ref="O3" si="4">VALUE(IF(Q3="",0,Q3))</f>
        <v>1</v>
      </c>
      <c r="P3">
        <f t="shared" ref="P3:P34" si="5">VLOOKUP(VLOOKUP($A3,_JOUEURS,2,FALSE),_DATA,8,FALSE)</f>
        <v>1</v>
      </c>
      <c r="Q3" t="str">
        <f>SUBSTITUTE(SUBSTITUTE(SUBSTITUTE(P3," / ",""),"(-1)",""),"(-2)","")</f>
        <v>1</v>
      </c>
      <c r="S3" s="2" t="s">
        <v>123</v>
      </c>
      <c r="T3" t="s">
        <v>120</v>
      </c>
      <c r="U3" t="s">
        <v>121</v>
      </c>
      <c r="V3" t="s">
        <v>125</v>
      </c>
      <c r="W3" t="s">
        <v>122</v>
      </c>
      <c r="X3" s="7" t="s">
        <v>126</v>
      </c>
      <c r="Y3" s="7" t="s">
        <v>161</v>
      </c>
    </row>
    <row r="4" spans="1:26" x14ac:dyDescent="0.25">
      <c r="A4" t="str">
        <f t="shared" ref="A4:A35" si="6">E4 &amp; " - " &amp; C4</f>
        <v>Tottenham - Dier</v>
      </c>
      <c r="B4" s="35" t="s">
        <v>1562</v>
      </c>
      <c r="C4" s="35" t="s">
        <v>1177</v>
      </c>
      <c r="D4" s="35" t="s">
        <v>6</v>
      </c>
      <c r="E4" s="35" t="s">
        <v>1188</v>
      </c>
      <c r="F4" s="35">
        <v>22</v>
      </c>
      <c r="G4" s="35">
        <v>0</v>
      </c>
      <c r="H4" s="35">
        <v>0</v>
      </c>
      <c r="I4" s="35">
        <v>0</v>
      </c>
      <c r="J4" s="35"/>
      <c r="K4" s="35"/>
      <c r="L4" s="35">
        <f t="shared" si="1"/>
        <v>5.2</v>
      </c>
      <c r="M4" s="35">
        <f t="shared" si="2"/>
        <v>5</v>
      </c>
      <c r="N4">
        <f t="shared" si="3"/>
        <v>0</v>
      </c>
      <c r="O4">
        <f t="shared" ref="O4:O44" si="7">VALUE(IF(Q4="",0,Q4))</f>
        <v>0</v>
      </c>
      <c r="P4">
        <f t="shared" si="5"/>
        <v>0</v>
      </c>
      <c r="Q4" t="str">
        <f t="shared" ref="Q4:Q67" si="8">SUBSTITUTE(SUBSTITUTE(SUBSTITUTE(P4," / ",""),"(-1)",""),"(-2)","")</f>
        <v>0</v>
      </c>
      <c r="S4" s="3" t="s">
        <v>1562</v>
      </c>
      <c r="T4" s="4">
        <v>20</v>
      </c>
      <c r="U4" s="4">
        <v>76</v>
      </c>
      <c r="V4" s="4">
        <v>17</v>
      </c>
      <c r="W4" s="8">
        <v>5.7625000000000002</v>
      </c>
      <c r="X4" s="8">
        <f>GETPIVOTDATA("Nb titu",$S$3,"Club",S4)/GETPIVOTDATA("Nb joueurs",$S$3,"Club",S4)</f>
        <v>3.8</v>
      </c>
      <c r="Y4" s="10">
        <f t="shared" ref="Y4:Y11" si="9">X4/Y$2</f>
        <v>0.6333333333333333</v>
      </c>
      <c r="Z4" s="162"/>
    </row>
    <row r="5" spans="1:26" x14ac:dyDescent="0.25">
      <c r="A5" s="35" t="str">
        <f t="shared" si="6"/>
        <v>Leicester - Fuchs</v>
      </c>
      <c r="B5" s="35" t="s">
        <v>1562</v>
      </c>
      <c r="C5" s="35" t="s">
        <v>1241</v>
      </c>
      <c r="D5" s="35" t="s">
        <v>8</v>
      </c>
      <c r="E5" s="35" t="s">
        <v>1258</v>
      </c>
      <c r="F5" s="35">
        <v>15</v>
      </c>
      <c r="G5" s="35">
        <v>0</v>
      </c>
      <c r="H5" s="35">
        <v>0</v>
      </c>
      <c r="I5" s="35">
        <v>0</v>
      </c>
      <c r="J5" s="35"/>
      <c r="K5" s="35"/>
      <c r="L5" s="35">
        <f t="shared" si="1"/>
        <v>4.666666666666667</v>
      </c>
      <c r="M5" s="35">
        <f t="shared" si="2"/>
        <v>6</v>
      </c>
      <c r="N5">
        <f t="shared" si="3"/>
        <v>0</v>
      </c>
      <c r="O5">
        <f t="shared" si="7"/>
        <v>0</v>
      </c>
      <c r="P5">
        <f t="shared" si="5"/>
        <v>0</v>
      </c>
      <c r="Q5" t="str">
        <f t="shared" si="8"/>
        <v>0</v>
      </c>
      <c r="S5" s="3" t="s">
        <v>1559</v>
      </c>
      <c r="T5" s="4">
        <v>18</v>
      </c>
      <c r="U5" s="4">
        <v>56</v>
      </c>
      <c r="V5" s="4">
        <v>18</v>
      </c>
      <c r="W5" s="8">
        <v>5.9428571428571431</v>
      </c>
      <c r="X5" s="8">
        <f>GETPIVOTDATA("Nb titu",$S$3,"Club",S5)/GETPIVOTDATA("Nb joueurs",$S$3,"Club",S5)</f>
        <v>3.1111111111111112</v>
      </c>
      <c r="Y5" s="10">
        <f t="shared" si="9"/>
        <v>0.51851851851851849</v>
      </c>
      <c r="Z5" s="162"/>
    </row>
    <row r="6" spans="1:26" x14ac:dyDescent="0.25">
      <c r="A6" s="35" t="str">
        <f t="shared" si="6"/>
        <v>Middlesbrough - Husband</v>
      </c>
      <c r="B6" s="35" t="s">
        <v>1562</v>
      </c>
      <c r="C6" s="35" t="s">
        <v>1310</v>
      </c>
      <c r="D6" s="35" t="s">
        <v>8</v>
      </c>
      <c r="E6" s="35" t="s">
        <v>1324</v>
      </c>
      <c r="F6" s="35">
        <v>1</v>
      </c>
      <c r="G6" s="35">
        <v>0</v>
      </c>
      <c r="H6" s="35">
        <v>0</v>
      </c>
      <c r="I6" s="35">
        <v>0</v>
      </c>
      <c r="J6" s="35"/>
      <c r="K6" s="35"/>
      <c r="L6" s="35" t="str">
        <f t="shared" si="1"/>
        <v/>
      </c>
      <c r="M6" s="35">
        <f t="shared" si="2"/>
        <v>0</v>
      </c>
      <c r="N6">
        <f t="shared" si="3"/>
        <v>0</v>
      </c>
      <c r="O6">
        <f t="shared" si="7"/>
        <v>0</v>
      </c>
      <c r="P6">
        <f t="shared" si="5"/>
        <v>0</v>
      </c>
      <c r="Q6" t="str">
        <f t="shared" si="8"/>
        <v>0</v>
      </c>
      <c r="S6" s="3" t="s">
        <v>1561</v>
      </c>
      <c r="T6" s="4">
        <v>20</v>
      </c>
      <c r="U6" s="4">
        <v>57</v>
      </c>
      <c r="V6" s="4">
        <v>9</v>
      </c>
      <c r="W6" s="8">
        <v>5.0785714285714283</v>
      </c>
      <c r="X6" s="8">
        <f>GETPIVOTDATA("Nb titu",$S$3,"Club",S6)/GETPIVOTDATA("Nb joueurs",$S$3,"Club",S6)</f>
        <v>2.85</v>
      </c>
      <c r="Y6" s="10">
        <f>X6/Y$2</f>
        <v>0.47500000000000003</v>
      </c>
      <c r="Z6" s="162"/>
    </row>
    <row r="7" spans="1:26" x14ac:dyDescent="0.25">
      <c r="A7" s="35" t="str">
        <f t="shared" si="6"/>
        <v>Man City - Iheanacho</v>
      </c>
      <c r="B7" s="35" t="s">
        <v>1562</v>
      </c>
      <c r="C7" s="35" t="s">
        <v>1276</v>
      </c>
      <c r="D7" s="35" t="s">
        <v>5</v>
      </c>
      <c r="E7" s="35" t="s">
        <v>1520</v>
      </c>
      <c r="F7" s="35">
        <v>44</v>
      </c>
      <c r="G7" s="35">
        <v>0</v>
      </c>
      <c r="H7" s="35">
        <v>0</v>
      </c>
      <c r="I7" s="35">
        <v>0</v>
      </c>
      <c r="J7" s="35"/>
      <c r="K7" s="35"/>
      <c r="L7" s="35">
        <f t="shared" si="1"/>
        <v>7</v>
      </c>
      <c r="M7" s="35">
        <f t="shared" si="2"/>
        <v>2</v>
      </c>
      <c r="N7">
        <f t="shared" si="3"/>
        <v>2</v>
      </c>
      <c r="O7">
        <f t="shared" si="7"/>
        <v>2</v>
      </c>
      <c r="P7">
        <f t="shared" si="5"/>
        <v>2</v>
      </c>
      <c r="Q7" t="str">
        <f t="shared" si="8"/>
        <v>2</v>
      </c>
      <c r="S7" s="3" t="s">
        <v>1556</v>
      </c>
      <c r="T7" s="4">
        <v>16</v>
      </c>
      <c r="U7" s="4">
        <v>76</v>
      </c>
      <c r="V7" s="4">
        <v>15</v>
      </c>
      <c r="W7" s="8">
        <v>5.4033333333333342</v>
      </c>
      <c r="X7" s="8">
        <f>GETPIVOTDATA("Nb titu",$S$3,"Club",S7)/GETPIVOTDATA("Nb joueurs",$S$3,"Club",S7)</f>
        <v>4.75</v>
      </c>
      <c r="Y7" s="10">
        <f>X7/Y$2</f>
        <v>0.79166666666666663</v>
      </c>
      <c r="Z7" s="162"/>
    </row>
    <row r="8" spans="1:26" x14ac:dyDescent="0.25">
      <c r="A8" s="35" t="str">
        <f t="shared" si="6"/>
        <v>Swansea - Llorente</v>
      </c>
      <c r="B8" t="s">
        <v>1562</v>
      </c>
      <c r="C8" t="s">
        <v>1091</v>
      </c>
      <c r="D8" t="s">
        <v>5</v>
      </c>
      <c r="E8" t="s">
        <v>1095</v>
      </c>
      <c r="F8">
        <v>36</v>
      </c>
      <c r="G8">
        <v>0</v>
      </c>
      <c r="H8">
        <v>0</v>
      </c>
      <c r="I8">
        <v>0</v>
      </c>
      <c r="L8" s="35">
        <f t="shared" si="1"/>
        <v>4.666666666666667</v>
      </c>
      <c r="M8" s="35">
        <f t="shared" si="2"/>
        <v>6</v>
      </c>
      <c r="N8">
        <f t="shared" si="3"/>
        <v>0</v>
      </c>
      <c r="O8">
        <f t="shared" si="7"/>
        <v>1</v>
      </c>
      <c r="P8">
        <f t="shared" si="5"/>
        <v>1</v>
      </c>
      <c r="Q8" t="str">
        <f t="shared" si="8"/>
        <v>1</v>
      </c>
      <c r="S8" s="3" t="s">
        <v>1557</v>
      </c>
      <c r="T8" s="4">
        <v>24</v>
      </c>
      <c r="U8" s="4">
        <v>86</v>
      </c>
      <c r="V8" s="4">
        <v>19</v>
      </c>
      <c r="W8" s="8">
        <v>5.2070175438596484</v>
      </c>
      <c r="X8" s="8">
        <f t="shared" ref="X8:X11" si="10">GETPIVOTDATA("Nb titu",$S$3,"Club",S8)/GETPIVOTDATA("Nb joueurs",$S$3,"Club",S8)</f>
        <v>3.5833333333333335</v>
      </c>
      <c r="Y8" s="10">
        <f t="shared" si="9"/>
        <v>0.59722222222222221</v>
      </c>
      <c r="Z8" s="162"/>
    </row>
    <row r="9" spans="1:26" x14ac:dyDescent="0.25">
      <c r="A9" s="35" t="str">
        <f t="shared" si="6"/>
        <v>Bournemouth - Mings</v>
      </c>
      <c r="B9" t="s">
        <v>1562</v>
      </c>
      <c r="C9" t="s">
        <v>1456</v>
      </c>
      <c r="D9" t="s">
        <v>8</v>
      </c>
      <c r="E9" t="s">
        <v>1474</v>
      </c>
      <c r="F9">
        <v>1</v>
      </c>
      <c r="G9">
        <v>0</v>
      </c>
      <c r="H9">
        <v>0</v>
      </c>
      <c r="I9">
        <v>0</v>
      </c>
      <c r="L9" s="35" t="str">
        <f t="shared" si="1"/>
        <v/>
      </c>
      <c r="M9" s="35">
        <f t="shared" si="2"/>
        <v>0</v>
      </c>
      <c r="N9">
        <f t="shared" si="3"/>
        <v>0</v>
      </c>
      <c r="O9">
        <f t="shared" si="7"/>
        <v>0</v>
      </c>
      <c r="P9">
        <f t="shared" si="5"/>
        <v>0</v>
      </c>
      <c r="Q9" t="str">
        <f t="shared" si="8"/>
        <v>0</v>
      </c>
      <c r="S9" s="3" t="s">
        <v>1554</v>
      </c>
      <c r="T9" s="4">
        <v>18</v>
      </c>
      <c r="U9" s="4">
        <v>56</v>
      </c>
      <c r="V9" s="4">
        <v>9</v>
      </c>
      <c r="W9" s="8">
        <v>5.3208333333333337</v>
      </c>
      <c r="X9" s="8">
        <f t="shared" si="10"/>
        <v>3.1111111111111112</v>
      </c>
      <c r="Y9" s="10">
        <f t="shared" si="9"/>
        <v>0.51851851851851849</v>
      </c>
      <c r="Z9" s="162"/>
    </row>
    <row r="10" spans="1:26" x14ac:dyDescent="0.25">
      <c r="A10" s="35" t="str">
        <f t="shared" si="6"/>
        <v>Everton - Mirallas</v>
      </c>
      <c r="B10" t="s">
        <v>1562</v>
      </c>
      <c r="C10" t="s">
        <v>1163</v>
      </c>
      <c r="D10" t="s">
        <v>6</v>
      </c>
      <c r="E10" t="s">
        <v>1167</v>
      </c>
      <c r="F10">
        <v>35</v>
      </c>
      <c r="G10">
        <v>0</v>
      </c>
      <c r="H10">
        <v>0</v>
      </c>
      <c r="I10">
        <v>0</v>
      </c>
      <c r="L10" s="35">
        <f t="shared" si="1"/>
        <v>5.5</v>
      </c>
      <c r="M10" s="35">
        <f t="shared" si="2"/>
        <v>6</v>
      </c>
      <c r="N10">
        <f t="shared" si="3"/>
        <v>0</v>
      </c>
      <c r="O10">
        <f t="shared" si="7"/>
        <v>1</v>
      </c>
      <c r="P10">
        <f t="shared" si="5"/>
        <v>1</v>
      </c>
      <c r="Q10" t="str">
        <f t="shared" si="8"/>
        <v>1</v>
      </c>
      <c r="S10" s="3" t="s">
        <v>1555</v>
      </c>
      <c r="T10" s="4">
        <v>18</v>
      </c>
      <c r="U10" s="4">
        <v>88</v>
      </c>
      <c r="V10" s="4">
        <v>21</v>
      </c>
      <c r="W10" s="8">
        <v>5.3362745098039213</v>
      </c>
      <c r="X10" s="8">
        <f t="shared" si="10"/>
        <v>4.8888888888888893</v>
      </c>
      <c r="Y10" s="10">
        <f t="shared" si="9"/>
        <v>0.81481481481481488</v>
      </c>
      <c r="Z10" s="162"/>
    </row>
    <row r="11" spans="1:26" x14ac:dyDescent="0.25">
      <c r="A11" s="35" t="str">
        <f t="shared" si="6"/>
        <v>Man City - Otamendi</v>
      </c>
      <c r="B11" t="s">
        <v>1562</v>
      </c>
      <c r="C11" t="s">
        <v>1266</v>
      </c>
      <c r="D11" t="s">
        <v>8</v>
      </c>
      <c r="E11" t="s">
        <v>1520</v>
      </c>
      <c r="F11">
        <v>25</v>
      </c>
      <c r="G11">
        <v>0</v>
      </c>
      <c r="H11">
        <v>0</v>
      </c>
      <c r="I11">
        <v>0</v>
      </c>
      <c r="L11" s="35">
        <f t="shared" si="1"/>
        <v>6</v>
      </c>
      <c r="M11" s="35">
        <f t="shared" si="2"/>
        <v>5</v>
      </c>
      <c r="N11">
        <f t="shared" si="3"/>
        <v>0</v>
      </c>
      <c r="O11">
        <f t="shared" si="7"/>
        <v>0</v>
      </c>
      <c r="P11">
        <f t="shared" si="5"/>
        <v>0</v>
      </c>
      <c r="Q11" t="str">
        <f t="shared" si="8"/>
        <v>0</v>
      </c>
      <c r="S11" s="3" t="s">
        <v>1563</v>
      </c>
      <c r="T11" s="4">
        <v>24</v>
      </c>
      <c r="U11" s="4">
        <v>119</v>
      </c>
      <c r="V11" s="4">
        <v>34</v>
      </c>
      <c r="W11" s="8">
        <v>5.4260869565217398</v>
      </c>
      <c r="X11" s="8">
        <f t="shared" si="10"/>
        <v>4.958333333333333</v>
      </c>
      <c r="Y11" s="10">
        <f t="shared" si="9"/>
        <v>0.82638888888888884</v>
      </c>
      <c r="Z11" s="162"/>
    </row>
    <row r="12" spans="1:26" x14ac:dyDescent="0.25">
      <c r="A12" s="35" t="str">
        <f t="shared" si="6"/>
        <v>West Ham - Payet</v>
      </c>
      <c r="B12" t="s">
        <v>1562</v>
      </c>
      <c r="C12" t="s">
        <v>1203</v>
      </c>
      <c r="D12" t="s">
        <v>6</v>
      </c>
      <c r="E12" t="s">
        <v>1212</v>
      </c>
      <c r="F12">
        <v>43</v>
      </c>
      <c r="G12">
        <v>0</v>
      </c>
      <c r="H12">
        <v>0</v>
      </c>
      <c r="I12">
        <v>0</v>
      </c>
      <c r="L12" s="35">
        <f t="shared" si="1"/>
        <v>6</v>
      </c>
      <c r="M12" s="35">
        <f t="shared" si="2"/>
        <v>3</v>
      </c>
      <c r="N12">
        <f t="shared" si="3"/>
        <v>1</v>
      </c>
      <c r="O12">
        <f t="shared" si="7"/>
        <v>0</v>
      </c>
      <c r="P12">
        <f t="shared" si="5"/>
        <v>0</v>
      </c>
      <c r="Q12" t="str">
        <f t="shared" si="8"/>
        <v>0</v>
      </c>
      <c r="S12" s="3" t="s">
        <v>124</v>
      </c>
      <c r="T12" s="4">
        <v>158</v>
      </c>
      <c r="U12" s="4">
        <v>614</v>
      </c>
      <c r="V12" s="4">
        <v>142</v>
      </c>
      <c r="W12" s="8">
        <v>5.429615384615385</v>
      </c>
      <c r="X12" s="9">
        <f>GETPIVOTDATA("Nb titu",$S$3)/GETPIVOTDATA("Nb joueurs",$S$3)</f>
        <v>3.8860759493670884</v>
      </c>
      <c r="Y12" s="10">
        <f>X12/Y$2</f>
        <v>0.64767932489451474</v>
      </c>
    </row>
    <row r="13" spans="1:26" x14ac:dyDescent="0.25">
      <c r="A13" s="35" t="str">
        <f t="shared" si="6"/>
        <v>Liverpool - Roberto Firmino</v>
      </c>
      <c r="B13" t="s">
        <v>1562</v>
      </c>
      <c r="C13" t="s">
        <v>1543</v>
      </c>
      <c r="D13" t="s">
        <v>5</v>
      </c>
      <c r="E13" t="s">
        <v>1446</v>
      </c>
      <c r="F13">
        <v>31</v>
      </c>
      <c r="G13">
        <v>0</v>
      </c>
      <c r="H13">
        <v>0</v>
      </c>
      <c r="I13">
        <v>0</v>
      </c>
      <c r="L13" s="35">
        <f t="shared" si="1"/>
        <v>6</v>
      </c>
      <c r="M13" s="35">
        <f t="shared" si="2"/>
        <v>5</v>
      </c>
      <c r="N13">
        <f t="shared" si="3"/>
        <v>0</v>
      </c>
      <c r="O13">
        <f t="shared" si="7"/>
        <v>2</v>
      </c>
      <c r="P13">
        <f t="shared" si="5"/>
        <v>2</v>
      </c>
      <c r="Q13" t="str">
        <f t="shared" si="8"/>
        <v>2</v>
      </c>
    </row>
    <row r="14" spans="1:26" x14ac:dyDescent="0.25">
      <c r="A14" s="35" t="str">
        <f t="shared" si="6"/>
        <v>Everton - Robles</v>
      </c>
      <c r="B14" t="s">
        <v>1562</v>
      </c>
      <c r="C14" t="s">
        <v>1146</v>
      </c>
      <c r="D14" t="s">
        <v>7</v>
      </c>
      <c r="E14" t="s">
        <v>1167</v>
      </c>
      <c r="F14">
        <v>9</v>
      </c>
      <c r="G14">
        <v>0</v>
      </c>
      <c r="H14">
        <v>0</v>
      </c>
      <c r="I14">
        <v>0</v>
      </c>
      <c r="L14" s="35" t="str">
        <f t="shared" si="1"/>
        <v/>
      </c>
      <c r="M14" s="35">
        <f t="shared" si="2"/>
        <v>0</v>
      </c>
      <c r="N14">
        <f t="shared" si="3"/>
        <v>0</v>
      </c>
      <c r="O14">
        <f t="shared" si="7"/>
        <v>0</v>
      </c>
      <c r="P14">
        <f t="shared" si="5"/>
        <v>0</v>
      </c>
      <c r="Q14" t="str">
        <f t="shared" si="8"/>
        <v>0</v>
      </c>
    </row>
    <row r="15" spans="1:26" x14ac:dyDescent="0.25">
      <c r="A15" s="35" t="str">
        <f t="shared" si="6"/>
        <v>Man United - Schweinsteiger</v>
      </c>
      <c r="B15" t="s">
        <v>1562</v>
      </c>
      <c r="C15" t="s">
        <v>1489</v>
      </c>
      <c r="D15" t="s">
        <v>6</v>
      </c>
      <c r="E15" t="s">
        <v>1521</v>
      </c>
      <c r="F15">
        <v>1</v>
      </c>
      <c r="G15">
        <v>0</v>
      </c>
      <c r="H15">
        <v>0</v>
      </c>
      <c r="I15">
        <v>0</v>
      </c>
      <c r="L15" s="35" t="str">
        <f t="shared" si="1"/>
        <v/>
      </c>
      <c r="M15" s="35">
        <f t="shared" si="2"/>
        <v>0</v>
      </c>
      <c r="N15">
        <f t="shared" si="3"/>
        <v>0</v>
      </c>
      <c r="O15">
        <f t="shared" si="7"/>
        <v>0</v>
      </c>
      <c r="P15">
        <f t="shared" si="5"/>
        <v>0</v>
      </c>
      <c r="Q15" t="str">
        <f t="shared" si="8"/>
        <v>0</v>
      </c>
      <c r="T15" s="4"/>
      <c r="U15" s="4"/>
      <c r="V15" s="4"/>
      <c r="W15" s="8"/>
      <c r="X15" s="8"/>
    </row>
    <row r="16" spans="1:26" x14ac:dyDescent="0.25">
      <c r="A16" s="35" t="str">
        <f t="shared" si="6"/>
        <v>Swansea - Sigurdsson</v>
      </c>
      <c r="B16" t="s">
        <v>1562</v>
      </c>
      <c r="C16" t="s">
        <v>1086</v>
      </c>
      <c r="D16" t="s">
        <v>6</v>
      </c>
      <c r="E16" t="s">
        <v>1095</v>
      </c>
      <c r="F16">
        <v>31</v>
      </c>
      <c r="G16">
        <v>0</v>
      </c>
      <c r="H16">
        <v>0</v>
      </c>
      <c r="I16">
        <v>0</v>
      </c>
      <c r="L16" s="35">
        <f t="shared" si="1"/>
        <v>5.2</v>
      </c>
      <c r="M16" s="35">
        <f t="shared" si="2"/>
        <v>5</v>
      </c>
      <c r="N16">
        <f t="shared" si="3"/>
        <v>1</v>
      </c>
      <c r="O16">
        <f t="shared" si="7"/>
        <v>1</v>
      </c>
      <c r="P16">
        <f t="shared" si="5"/>
        <v>1</v>
      </c>
      <c r="Q16" t="str">
        <f t="shared" si="8"/>
        <v>1</v>
      </c>
    </row>
    <row r="17" spans="1:20" x14ac:dyDescent="0.25">
      <c r="A17" s="35" t="str">
        <f t="shared" si="6"/>
        <v>Man City - Silva</v>
      </c>
      <c r="B17" t="s">
        <v>1562</v>
      </c>
      <c r="C17" t="s">
        <v>119</v>
      </c>
      <c r="D17" t="s">
        <v>6</v>
      </c>
      <c r="E17" t="s">
        <v>1520</v>
      </c>
      <c r="F17">
        <v>51</v>
      </c>
      <c r="G17">
        <v>2</v>
      </c>
      <c r="H17">
        <v>0</v>
      </c>
      <c r="I17">
        <v>2</v>
      </c>
      <c r="J17" t="s">
        <v>303</v>
      </c>
      <c r="K17" t="s">
        <v>304</v>
      </c>
      <c r="L17" s="35">
        <f t="shared" si="1"/>
        <v>6.2</v>
      </c>
      <c r="M17" s="35">
        <f t="shared" si="2"/>
        <v>5</v>
      </c>
      <c r="N17">
        <f t="shared" si="3"/>
        <v>0</v>
      </c>
      <c r="O17">
        <f t="shared" si="7"/>
        <v>0</v>
      </c>
      <c r="P17">
        <f t="shared" si="5"/>
        <v>0</v>
      </c>
      <c r="Q17" t="str">
        <f t="shared" si="8"/>
        <v>0</v>
      </c>
    </row>
    <row r="18" spans="1:20" x14ac:dyDescent="0.25">
      <c r="A18" s="35" t="str">
        <f t="shared" si="6"/>
        <v>Man United - Smalling</v>
      </c>
      <c r="B18" t="s">
        <v>1562</v>
      </c>
      <c r="C18" t="s">
        <v>1481</v>
      </c>
      <c r="D18" t="s">
        <v>8</v>
      </c>
      <c r="E18" t="s">
        <v>1521</v>
      </c>
      <c r="F18">
        <v>18</v>
      </c>
      <c r="G18">
        <v>0</v>
      </c>
      <c r="H18">
        <v>0</v>
      </c>
      <c r="I18">
        <v>0</v>
      </c>
      <c r="L18" s="35">
        <f t="shared" si="1"/>
        <v>6</v>
      </c>
      <c r="M18" s="35">
        <f t="shared" si="2"/>
        <v>2</v>
      </c>
      <c r="N18">
        <f t="shared" si="3"/>
        <v>2</v>
      </c>
      <c r="O18">
        <f t="shared" si="7"/>
        <v>1</v>
      </c>
      <c r="P18">
        <f t="shared" si="5"/>
        <v>1</v>
      </c>
      <c r="Q18" t="str">
        <f t="shared" si="8"/>
        <v>1</v>
      </c>
    </row>
    <row r="19" spans="1:20" x14ac:dyDescent="0.25">
      <c r="A19" s="35" t="str">
        <f t="shared" si="6"/>
        <v>Everton - Stekelenburg</v>
      </c>
      <c r="B19" t="s">
        <v>1562</v>
      </c>
      <c r="C19" t="s">
        <v>1145</v>
      </c>
      <c r="D19" t="s">
        <v>7</v>
      </c>
      <c r="E19" t="s">
        <v>1167</v>
      </c>
      <c r="F19">
        <v>21</v>
      </c>
      <c r="G19">
        <v>0</v>
      </c>
      <c r="H19">
        <v>0</v>
      </c>
      <c r="I19">
        <v>0</v>
      </c>
      <c r="L19" s="35">
        <f t="shared" si="1"/>
        <v>5.333333333333333</v>
      </c>
      <c r="M19" s="35">
        <f t="shared" si="2"/>
        <v>6</v>
      </c>
      <c r="N19">
        <f t="shared" si="3"/>
        <v>0</v>
      </c>
      <c r="O19">
        <f t="shared" si="7"/>
        <v>0</v>
      </c>
      <c r="P19" t="str">
        <f t="shared" si="5"/>
        <v>(-1)</v>
      </c>
      <c r="Q19" t="str">
        <f t="shared" si="8"/>
        <v/>
      </c>
      <c r="S19" s="2" t="s">
        <v>2</v>
      </c>
      <c r="T19" t="s">
        <v>1043</v>
      </c>
    </row>
    <row r="20" spans="1:20" x14ac:dyDescent="0.25">
      <c r="A20" s="35" t="str">
        <f t="shared" si="6"/>
        <v>Man City - Sterling</v>
      </c>
      <c r="B20" t="s">
        <v>1562</v>
      </c>
      <c r="C20" t="s">
        <v>1278</v>
      </c>
      <c r="D20" t="s">
        <v>5</v>
      </c>
      <c r="E20" t="s">
        <v>1520</v>
      </c>
      <c r="F20">
        <v>48</v>
      </c>
      <c r="G20">
        <v>0</v>
      </c>
      <c r="H20">
        <v>0</v>
      </c>
      <c r="I20">
        <v>0</v>
      </c>
      <c r="L20" s="35">
        <f t="shared" si="1"/>
        <v>6.333333333333333</v>
      </c>
      <c r="M20" s="35">
        <f t="shared" si="2"/>
        <v>6</v>
      </c>
      <c r="N20">
        <f t="shared" si="3"/>
        <v>0</v>
      </c>
      <c r="O20">
        <f t="shared" si="7"/>
        <v>4</v>
      </c>
      <c r="P20">
        <f t="shared" si="5"/>
        <v>4</v>
      </c>
      <c r="Q20" t="str">
        <f t="shared" si="8"/>
        <v>4</v>
      </c>
      <c r="S20" s="3" t="s">
        <v>1188</v>
      </c>
      <c r="T20" s="4">
        <v>16</v>
      </c>
    </row>
    <row r="21" spans="1:20" x14ac:dyDescent="0.25">
      <c r="A21" s="35" t="str">
        <f t="shared" si="6"/>
        <v>Arsenal - Walcott</v>
      </c>
      <c r="B21" t="s">
        <v>1562</v>
      </c>
      <c r="C21" t="s">
        <v>1417</v>
      </c>
      <c r="D21" t="s">
        <v>5</v>
      </c>
      <c r="E21" t="s">
        <v>1423</v>
      </c>
      <c r="F21">
        <v>24</v>
      </c>
      <c r="G21">
        <v>0</v>
      </c>
      <c r="H21">
        <v>0</v>
      </c>
      <c r="I21">
        <v>0</v>
      </c>
      <c r="L21" s="35">
        <f t="shared" si="1"/>
        <v>6.166666666666667</v>
      </c>
      <c r="M21" s="35">
        <f t="shared" si="2"/>
        <v>6</v>
      </c>
      <c r="N21">
        <f t="shared" si="3"/>
        <v>0</v>
      </c>
      <c r="O21">
        <f t="shared" si="7"/>
        <v>3</v>
      </c>
      <c r="P21">
        <f t="shared" si="5"/>
        <v>3</v>
      </c>
      <c r="Q21" t="str">
        <f t="shared" si="8"/>
        <v>3</v>
      </c>
      <c r="S21" s="3" t="s">
        <v>1446</v>
      </c>
      <c r="T21" s="4">
        <v>14</v>
      </c>
    </row>
    <row r="22" spans="1:20" x14ac:dyDescent="0.25">
      <c r="A22" s="35" t="str">
        <f t="shared" si="6"/>
        <v>Chelsea - Willian</v>
      </c>
      <c r="B22" t="s">
        <v>1562</v>
      </c>
      <c r="C22" t="s">
        <v>1508</v>
      </c>
      <c r="D22" t="s">
        <v>6</v>
      </c>
      <c r="E22" t="s">
        <v>1519</v>
      </c>
      <c r="F22">
        <v>41</v>
      </c>
      <c r="G22">
        <v>2</v>
      </c>
      <c r="H22">
        <v>0</v>
      </c>
      <c r="I22">
        <v>2</v>
      </c>
      <c r="J22" t="s">
        <v>316</v>
      </c>
      <c r="K22" t="s">
        <v>253</v>
      </c>
      <c r="L22" s="35">
        <f t="shared" si="1"/>
        <v>5.6</v>
      </c>
      <c r="M22" s="35">
        <f t="shared" si="2"/>
        <v>5</v>
      </c>
      <c r="N22">
        <f t="shared" si="3"/>
        <v>0</v>
      </c>
      <c r="O22">
        <f t="shared" si="7"/>
        <v>1</v>
      </c>
      <c r="P22">
        <f t="shared" si="5"/>
        <v>1</v>
      </c>
      <c r="Q22" t="str">
        <f t="shared" si="8"/>
        <v>1</v>
      </c>
      <c r="S22" s="3" t="s">
        <v>1423</v>
      </c>
      <c r="T22" s="4">
        <v>13</v>
      </c>
    </row>
    <row r="23" spans="1:20" x14ac:dyDescent="0.25">
      <c r="A23" s="35" t="str">
        <f t="shared" si="6"/>
        <v>Man United - Blind</v>
      </c>
      <c r="B23" t="s">
        <v>1559</v>
      </c>
      <c r="C23" t="s">
        <v>1479</v>
      </c>
      <c r="D23" t="s">
        <v>8</v>
      </c>
      <c r="E23" t="s">
        <v>1521</v>
      </c>
      <c r="F23">
        <v>17</v>
      </c>
      <c r="G23">
        <v>0</v>
      </c>
      <c r="H23">
        <v>0</v>
      </c>
      <c r="I23">
        <v>0</v>
      </c>
      <c r="J23" t="s">
        <v>291</v>
      </c>
      <c r="K23" t="s">
        <v>314</v>
      </c>
      <c r="L23" s="35">
        <f t="shared" si="1"/>
        <v>6.4</v>
      </c>
      <c r="M23" s="35">
        <f t="shared" si="2"/>
        <v>5</v>
      </c>
      <c r="N23">
        <f t="shared" si="3"/>
        <v>0</v>
      </c>
      <c r="O23">
        <f t="shared" si="7"/>
        <v>0</v>
      </c>
      <c r="P23">
        <f t="shared" si="5"/>
        <v>0</v>
      </c>
      <c r="Q23" t="str">
        <f t="shared" si="8"/>
        <v>0</v>
      </c>
      <c r="S23" s="3" t="s">
        <v>1520</v>
      </c>
      <c r="T23" s="4">
        <v>12</v>
      </c>
    </row>
    <row r="24" spans="1:20" x14ac:dyDescent="0.25">
      <c r="A24" s="35" t="str">
        <f t="shared" si="6"/>
        <v>Southampton - Boufal</v>
      </c>
      <c r="B24" t="s">
        <v>1559</v>
      </c>
      <c r="C24" t="s">
        <v>188</v>
      </c>
      <c r="D24" t="s">
        <v>6</v>
      </c>
      <c r="E24" t="s">
        <v>1367</v>
      </c>
      <c r="F24">
        <v>19</v>
      </c>
      <c r="G24">
        <v>0</v>
      </c>
      <c r="H24">
        <v>0</v>
      </c>
      <c r="I24">
        <v>0</v>
      </c>
      <c r="L24" s="35" t="str">
        <f t="shared" si="1"/>
        <v/>
      </c>
      <c r="M24" s="35">
        <f t="shared" si="2"/>
        <v>0</v>
      </c>
      <c r="N24">
        <f t="shared" si="3"/>
        <v>0</v>
      </c>
      <c r="O24">
        <f t="shared" si="7"/>
        <v>0</v>
      </c>
      <c r="P24">
        <f t="shared" si="5"/>
        <v>0</v>
      </c>
      <c r="Q24" t="str">
        <f t="shared" si="8"/>
        <v>0</v>
      </c>
      <c r="S24" s="3" t="s">
        <v>1521</v>
      </c>
      <c r="T24" s="4">
        <v>12</v>
      </c>
    </row>
    <row r="25" spans="1:20" x14ac:dyDescent="0.25">
      <c r="A25" s="35" t="str">
        <f t="shared" si="6"/>
        <v>Man United - Fellaini</v>
      </c>
      <c r="B25" t="s">
        <v>1559</v>
      </c>
      <c r="C25" t="s">
        <v>1485</v>
      </c>
      <c r="D25" t="s">
        <v>6</v>
      </c>
      <c r="E25" t="s">
        <v>1521</v>
      </c>
      <c r="F25">
        <v>29</v>
      </c>
      <c r="G25">
        <v>0</v>
      </c>
      <c r="H25">
        <v>0</v>
      </c>
      <c r="I25">
        <v>0</v>
      </c>
      <c r="J25" t="s">
        <v>166</v>
      </c>
      <c r="K25" t="s">
        <v>343</v>
      </c>
      <c r="L25" s="35">
        <f t="shared" si="1"/>
        <v>6.2</v>
      </c>
      <c r="M25" s="35">
        <f t="shared" si="2"/>
        <v>5</v>
      </c>
      <c r="N25">
        <f t="shared" si="3"/>
        <v>0</v>
      </c>
      <c r="O25">
        <f t="shared" si="7"/>
        <v>0</v>
      </c>
      <c r="P25">
        <f t="shared" si="5"/>
        <v>0</v>
      </c>
      <c r="Q25" t="str">
        <f t="shared" si="8"/>
        <v>0</v>
      </c>
      <c r="S25" s="3" t="s">
        <v>1167</v>
      </c>
      <c r="T25" s="4">
        <v>10</v>
      </c>
    </row>
    <row r="26" spans="1:20" x14ac:dyDescent="0.25">
      <c r="A26" s="35" t="str">
        <f t="shared" si="6"/>
        <v>Arsenal - Giroud</v>
      </c>
      <c r="B26" t="s">
        <v>1559</v>
      </c>
      <c r="C26" t="s">
        <v>1419</v>
      </c>
      <c r="D26" t="s">
        <v>5</v>
      </c>
      <c r="E26" t="s">
        <v>1423</v>
      </c>
      <c r="F26">
        <v>32</v>
      </c>
      <c r="G26">
        <v>0</v>
      </c>
      <c r="H26">
        <v>0</v>
      </c>
      <c r="I26">
        <v>0</v>
      </c>
      <c r="L26" s="35" t="str">
        <f t="shared" si="1"/>
        <v/>
      </c>
      <c r="M26" s="35">
        <f t="shared" si="2"/>
        <v>0</v>
      </c>
      <c r="N26">
        <f t="shared" si="3"/>
        <v>2</v>
      </c>
      <c r="O26">
        <f t="shared" si="7"/>
        <v>0</v>
      </c>
      <c r="P26">
        <f t="shared" si="5"/>
        <v>0</v>
      </c>
      <c r="Q26" t="str">
        <f t="shared" si="8"/>
        <v>0</v>
      </c>
      <c r="S26" s="3" t="s">
        <v>1474</v>
      </c>
      <c r="T26" s="4">
        <v>9</v>
      </c>
    </row>
    <row r="27" spans="1:20" x14ac:dyDescent="0.25">
      <c r="A27" t="str">
        <f t="shared" si="6"/>
        <v>Leicester - Gray</v>
      </c>
      <c r="B27" t="s">
        <v>1559</v>
      </c>
      <c r="C27" t="s">
        <v>1065</v>
      </c>
      <c r="D27" t="s">
        <v>6</v>
      </c>
      <c r="E27" t="s">
        <v>1258</v>
      </c>
      <c r="F27">
        <v>8</v>
      </c>
      <c r="G27">
        <v>0</v>
      </c>
      <c r="H27">
        <v>0</v>
      </c>
      <c r="I27">
        <v>0</v>
      </c>
      <c r="J27" t="s">
        <v>236</v>
      </c>
      <c r="K27" t="s">
        <v>341</v>
      </c>
      <c r="L27" s="35">
        <f t="shared" si="1"/>
        <v>5</v>
      </c>
      <c r="M27" s="35">
        <f t="shared" si="2"/>
        <v>1</v>
      </c>
      <c r="N27">
        <f t="shared" si="3"/>
        <v>2</v>
      </c>
      <c r="O27">
        <f t="shared" si="7"/>
        <v>1</v>
      </c>
      <c r="P27">
        <f t="shared" si="5"/>
        <v>1</v>
      </c>
      <c r="Q27" t="str">
        <f t="shared" si="8"/>
        <v>1</v>
      </c>
      <c r="S27" s="3" t="s">
        <v>1522</v>
      </c>
      <c r="T27" s="4">
        <v>9</v>
      </c>
    </row>
    <row r="28" spans="1:20" x14ac:dyDescent="0.25">
      <c r="A28" t="str">
        <f t="shared" si="6"/>
        <v>Liverpool - Henderson</v>
      </c>
      <c r="B28" t="s">
        <v>1559</v>
      </c>
      <c r="C28" t="s">
        <v>1435</v>
      </c>
      <c r="D28" t="s">
        <v>6</v>
      </c>
      <c r="E28" t="s">
        <v>1446</v>
      </c>
      <c r="F28">
        <v>17</v>
      </c>
      <c r="G28">
        <v>0</v>
      </c>
      <c r="H28">
        <v>0</v>
      </c>
      <c r="I28">
        <v>0</v>
      </c>
      <c r="J28" t="s">
        <v>175</v>
      </c>
      <c r="K28" t="s">
        <v>183</v>
      </c>
      <c r="L28" s="35">
        <f t="shared" si="1"/>
        <v>6.166666666666667</v>
      </c>
      <c r="M28" s="35">
        <f t="shared" si="2"/>
        <v>6</v>
      </c>
      <c r="N28">
        <f t="shared" si="3"/>
        <v>0</v>
      </c>
      <c r="O28">
        <f t="shared" si="7"/>
        <v>1</v>
      </c>
      <c r="P28">
        <f t="shared" si="5"/>
        <v>1</v>
      </c>
      <c r="Q28" t="str">
        <f t="shared" si="8"/>
        <v>1</v>
      </c>
      <c r="S28" s="3" t="s">
        <v>1258</v>
      </c>
      <c r="T28" s="4">
        <v>9</v>
      </c>
    </row>
    <row r="29" spans="1:20" x14ac:dyDescent="0.25">
      <c r="A29" t="str">
        <f t="shared" si="6"/>
        <v>Man City - Kompany</v>
      </c>
      <c r="B29" t="s">
        <v>1559</v>
      </c>
      <c r="C29" t="s">
        <v>1267</v>
      </c>
      <c r="D29" t="s">
        <v>8</v>
      </c>
      <c r="E29" t="s">
        <v>1520</v>
      </c>
      <c r="F29">
        <v>15</v>
      </c>
      <c r="G29">
        <v>0</v>
      </c>
      <c r="H29">
        <v>0</v>
      </c>
      <c r="I29">
        <v>0</v>
      </c>
      <c r="L29" s="35" t="str">
        <f t="shared" si="1"/>
        <v/>
      </c>
      <c r="M29" s="35">
        <f t="shared" si="2"/>
        <v>0</v>
      </c>
      <c r="N29">
        <f t="shared" si="3"/>
        <v>0</v>
      </c>
      <c r="O29">
        <f t="shared" si="7"/>
        <v>0</v>
      </c>
      <c r="P29">
        <f t="shared" si="5"/>
        <v>0</v>
      </c>
      <c r="Q29" t="str">
        <f t="shared" si="8"/>
        <v>0</v>
      </c>
      <c r="S29" s="3" t="s">
        <v>1523</v>
      </c>
      <c r="T29" s="4">
        <v>8</v>
      </c>
    </row>
    <row r="30" spans="1:20" x14ac:dyDescent="0.25">
      <c r="A30" t="str">
        <f t="shared" si="6"/>
        <v>Arsenal - Koscielny</v>
      </c>
      <c r="B30" t="s">
        <v>1559</v>
      </c>
      <c r="C30" t="s">
        <v>1399</v>
      </c>
      <c r="D30" t="s">
        <v>8</v>
      </c>
      <c r="E30" t="s">
        <v>1423</v>
      </c>
      <c r="F30">
        <v>20</v>
      </c>
      <c r="G30">
        <v>0</v>
      </c>
      <c r="H30">
        <v>0</v>
      </c>
      <c r="I30">
        <v>0</v>
      </c>
      <c r="L30" s="35">
        <f t="shared" si="1"/>
        <v>6.2</v>
      </c>
      <c r="M30" s="35">
        <f t="shared" si="2"/>
        <v>5</v>
      </c>
      <c r="N30">
        <f t="shared" si="3"/>
        <v>0</v>
      </c>
      <c r="O30">
        <f t="shared" si="7"/>
        <v>1</v>
      </c>
      <c r="P30">
        <f t="shared" si="5"/>
        <v>1</v>
      </c>
      <c r="Q30" t="str">
        <f t="shared" si="8"/>
        <v>1</v>
      </c>
      <c r="S30" s="3" t="s">
        <v>1519</v>
      </c>
      <c r="T30" s="4">
        <v>8</v>
      </c>
    </row>
    <row r="31" spans="1:20" x14ac:dyDescent="0.25">
      <c r="A31" t="str">
        <f t="shared" si="6"/>
        <v>Tottenham - Lloris</v>
      </c>
      <c r="B31" t="s">
        <v>1559</v>
      </c>
      <c r="C31" t="s">
        <v>549</v>
      </c>
      <c r="D31" t="s">
        <v>7</v>
      </c>
      <c r="E31" t="s">
        <v>1188</v>
      </c>
      <c r="F31">
        <v>25</v>
      </c>
      <c r="G31">
        <v>0</v>
      </c>
      <c r="H31">
        <v>0</v>
      </c>
      <c r="I31">
        <v>0</v>
      </c>
      <c r="L31" s="35">
        <f t="shared" si="1"/>
        <v>5.75</v>
      </c>
      <c r="M31" s="35">
        <f t="shared" si="2"/>
        <v>4</v>
      </c>
      <c r="N31">
        <f t="shared" si="3"/>
        <v>0</v>
      </c>
      <c r="O31">
        <f t="shared" si="7"/>
        <v>0</v>
      </c>
      <c r="P31">
        <f t="shared" si="5"/>
        <v>0</v>
      </c>
      <c r="Q31" t="str">
        <f t="shared" si="8"/>
        <v>0</v>
      </c>
      <c r="S31" s="3" t="s">
        <v>1367</v>
      </c>
      <c r="T31" s="4">
        <v>8</v>
      </c>
    </row>
    <row r="32" spans="1:20" x14ac:dyDescent="0.25">
      <c r="A32" t="str">
        <f t="shared" si="6"/>
        <v>Everton - Lukaku</v>
      </c>
      <c r="B32" t="s">
        <v>1559</v>
      </c>
      <c r="C32" t="s">
        <v>1165</v>
      </c>
      <c r="D32" t="s">
        <v>5</v>
      </c>
      <c r="E32" t="s">
        <v>1167</v>
      </c>
      <c r="F32">
        <v>103</v>
      </c>
      <c r="G32">
        <v>0</v>
      </c>
      <c r="H32">
        <v>0</v>
      </c>
      <c r="I32">
        <v>0</v>
      </c>
      <c r="L32" s="35">
        <f t="shared" si="1"/>
        <v>6.25</v>
      </c>
      <c r="M32" s="35">
        <f t="shared" si="2"/>
        <v>4</v>
      </c>
      <c r="N32">
        <f t="shared" si="3"/>
        <v>1</v>
      </c>
      <c r="O32">
        <f t="shared" si="7"/>
        <v>4</v>
      </c>
      <c r="P32">
        <f t="shared" si="5"/>
        <v>4</v>
      </c>
      <c r="Q32" t="str">
        <f t="shared" si="8"/>
        <v>4</v>
      </c>
      <c r="S32" s="3" t="s">
        <v>1324</v>
      </c>
      <c r="T32" s="4">
        <v>6</v>
      </c>
    </row>
    <row r="33" spans="1:20" x14ac:dyDescent="0.25">
      <c r="A33" t="str">
        <f t="shared" si="6"/>
        <v>Leicester - Morgan</v>
      </c>
      <c r="B33" s="35" t="s">
        <v>1559</v>
      </c>
      <c r="C33" s="35" t="s">
        <v>651</v>
      </c>
      <c r="D33" s="35" t="s">
        <v>8</v>
      </c>
      <c r="E33" s="35" t="s">
        <v>1258</v>
      </c>
      <c r="F33" s="35">
        <v>18</v>
      </c>
      <c r="G33" s="35">
        <v>0</v>
      </c>
      <c r="H33" s="35">
        <v>0</v>
      </c>
      <c r="I33" s="35">
        <v>0</v>
      </c>
      <c r="J33" s="35"/>
      <c r="K33" s="35"/>
      <c r="L33" s="35">
        <f t="shared" si="1"/>
        <v>4.333333333333333</v>
      </c>
      <c r="M33" s="35">
        <f t="shared" si="2"/>
        <v>6</v>
      </c>
      <c r="N33">
        <f t="shared" si="3"/>
        <v>0</v>
      </c>
      <c r="O33">
        <f t="shared" si="7"/>
        <v>1</v>
      </c>
      <c r="P33">
        <f t="shared" si="5"/>
        <v>1</v>
      </c>
      <c r="Q33" t="str">
        <f t="shared" si="8"/>
        <v>1</v>
      </c>
      <c r="S33" s="3" t="s">
        <v>1524</v>
      </c>
      <c r="T33" s="4">
        <v>5</v>
      </c>
    </row>
    <row r="34" spans="1:20" x14ac:dyDescent="0.25">
      <c r="A34" t="str">
        <f t="shared" si="6"/>
        <v>Arsenal - Mustafi</v>
      </c>
      <c r="B34" t="s">
        <v>1559</v>
      </c>
      <c r="C34" t="s">
        <v>1401</v>
      </c>
      <c r="D34" t="s">
        <v>8</v>
      </c>
      <c r="E34" t="s">
        <v>1423</v>
      </c>
      <c r="F34">
        <v>24</v>
      </c>
      <c r="G34">
        <v>0</v>
      </c>
      <c r="H34">
        <v>0</v>
      </c>
      <c r="I34">
        <v>0</v>
      </c>
      <c r="L34" s="35">
        <f t="shared" si="1"/>
        <v>5.666666666666667</v>
      </c>
      <c r="M34" s="35">
        <f t="shared" si="2"/>
        <v>3</v>
      </c>
      <c r="N34">
        <f t="shared" si="3"/>
        <v>0</v>
      </c>
      <c r="O34">
        <f t="shared" si="7"/>
        <v>0</v>
      </c>
      <c r="P34">
        <f t="shared" si="5"/>
        <v>0</v>
      </c>
      <c r="Q34" t="str">
        <f t="shared" si="8"/>
        <v>0</v>
      </c>
      <c r="S34" s="3" t="s">
        <v>1095</v>
      </c>
      <c r="T34" s="4">
        <v>5</v>
      </c>
    </row>
    <row r="35" spans="1:20" x14ac:dyDescent="0.25">
      <c r="A35" t="str">
        <f t="shared" si="6"/>
        <v>Liverpool - Origi</v>
      </c>
      <c r="B35" t="s">
        <v>1559</v>
      </c>
      <c r="C35" t="s">
        <v>1443</v>
      </c>
      <c r="D35" t="s">
        <v>5</v>
      </c>
      <c r="E35" t="s">
        <v>1446</v>
      </c>
      <c r="F35">
        <v>25</v>
      </c>
      <c r="G35">
        <v>0</v>
      </c>
      <c r="H35">
        <v>0</v>
      </c>
      <c r="I35">
        <v>0</v>
      </c>
      <c r="L35" s="35" t="str">
        <f t="shared" si="1"/>
        <v/>
      </c>
      <c r="M35" s="35">
        <f t="shared" si="2"/>
        <v>0</v>
      </c>
      <c r="N35">
        <f t="shared" si="3"/>
        <v>4</v>
      </c>
      <c r="O35">
        <f t="shared" si="7"/>
        <v>0</v>
      </c>
      <c r="P35">
        <f t="shared" ref="P35:P66" si="11">VLOOKUP(VLOOKUP($A35,_JOUEURS,2,FALSE),_DATA,8,FALSE)</f>
        <v>0</v>
      </c>
      <c r="Q35" t="str">
        <f t="shared" si="8"/>
        <v>0</v>
      </c>
      <c r="S35" s="3" t="s">
        <v>1393</v>
      </c>
      <c r="T35" s="4">
        <v>4</v>
      </c>
    </row>
    <row r="36" spans="1:20" x14ac:dyDescent="0.25">
      <c r="A36" t="str">
        <f t="shared" ref="A36:A67" si="12">E36 &amp; " - " &amp; C36</f>
        <v>Man United - Pogba</v>
      </c>
      <c r="B36" s="35" t="s">
        <v>1559</v>
      </c>
      <c r="C36" s="35" t="s">
        <v>276</v>
      </c>
      <c r="D36" s="35" t="s">
        <v>6</v>
      </c>
      <c r="E36" s="35" t="s">
        <v>1521</v>
      </c>
      <c r="F36" s="35">
        <v>35</v>
      </c>
      <c r="G36" s="35">
        <v>0</v>
      </c>
      <c r="H36" s="35">
        <v>0</v>
      </c>
      <c r="I36" s="35">
        <v>0</v>
      </c>
      <c r="J36" s="35"/>
      <c r="K36" s="35"/>
      <c r="L36" s="35">
        <f t="shared" si="1"/>
        <v>6</v>
      </c>
      <c r="M36" s="35">
        <f t="shared" si="2"/>
        <v>5</v>
      </c>
      <c r="N36">
        <f t="shared" si="3"/>
        <v>0</v>
      </c>
      <c r="O36">
        <f t="shared" si="7"/>
        <v>1</v>
      </c>
      <c r="P36">
        <f t="shared" si="11"/>
        <v>1</v>
      </c>
      <c r="Q36" t="str">
        <f t="shared" si="8"/>
        <v>1</v>
      </c>
      <c r="S36" s="3" t="s">
        <v>1212</v>
      </c>
      <c r="T36" s="4">
        <v>3</v>
      </c>
    </row>
    <row r="37" spans="1:20" x14ac:dyDescent="0.25">
      <c r="A37" t="str">
        <f t="shared" si="12"/>
        <v>Tottenham - Son Heung-Min</v>
      </c>
      <c r="B37" t="s">
        <v>1559</v>
      </c>
      <c r="C37" t="s">
        <v>1560</v>
      </c>
      <c r="D37" t="s">
        <v>6</v>
      </c>
      <c r="E37" t="s">
        <v>1188</v>
      </c>
      <c r="F37">
        <v>6</v>
      </c>
      <c r="G37">
        <v>0</v>
      </c>
      <c r="H37">
        <v>0</v>
      </c>
      <c r="I37">
        <v>0</v>
      </c>
      <c r="L37" s="35">
        <f t="shared" si="1"/>
        <v>7.333333333333333</v>
      </c>
      <c r="M37" s="35">
        <f t="shared" si="2"/>
        <v>3</v>
      </c>
      <c r="N37">
        <f t="shared" si="3"/>
        <v>0</v>
      </c>
      <c r="O37">
        <f t="shared" si="7"/>
        <v>4</v>
      </c>
      <c r="P37">
        <f t="shared" si="11"/>
        <v>4</v>
      </c>
      <c r="Q37" t="str">
        <f t="shared" si="8"/>
        <v>4</v>
      </c>
      <c r="S37" s="3" t="s">
        <v>1301</v>
      </c>
      <c r="T37" s="4">
        <v>3</v>
      </c>
    </row>
    <row r="38" spans="1:20" x14ac:dyDescent="0.25">
      <c r="A38" t="str">
        <f t="shared" si="12"/>
        <v>Arsenal - Sánchez</v>
      </c>
      <c r="B38" t="s">
        <v>1559</v>
      </c>
      <c r="C38" t="s">
        <v>1566</v>
      </c>
      <c r="D38" t="s">
        <v>5</v>
      </c>
      <c r="E38" t="s">
        <v>1423</v>
      </c>
      <c r="F38">
        <v>81</v>
      </c>
      <c r="G38">
        <v>0</v>
      </c>
      <c r="H38">
        <v>0</v>
      </c>
      <c r="I38">
        <v>0</v>
      </c>
      <c r="L38" s="35">
        <f t="shared" si="1"/>
        <v>6.4</v>
      </c>
      <c r="M38" s="35">
        <f t="shared" si="2"/>
        <v>5</v>
      </c>
      <c r="N38">
        <f t="shared" si="3"/>
        <v>0</v>
      </c>
      <c r="O38">
        <f t="shared" si="7"/>
        <v>4</v>
      </c>
      <c r="P38">
        <f t="shared" si="11"/>
        <v>4</v>
      </c>
      <c r="Q38" t="str">
        <f t="shared" si="8"/>
        <v>4</v>
      </c>
      <c r="S38" s="3" t="s">
        <v>1069</v>
      </c>
      <c r="T38" s="4">
        <v>2</v>
      </c>
    </row>
    <row r="39" spans="1:20" x14ac:dyDescent="0.25">
      <c r="A39" t="str">
        <f t="shared" si="12"/>
        <v>Tottenham - Vorm</v>
      </c>
      <c r="B39" t="s">
        <v>1559</v>
      </c>
      <c r="C39" t="s">
        <v>1168</v>
      </c>
      <c r="D39" t="s">
        <v>7</v>
      </c>
      <c r="E39" t="s">
        <v>1188</v>
      </c>
      <c r="F39">
        <v>12</v>
      </c>
      <c r="G39">
        <v>0</v>
      </c>
      <c r="H39">
        <v>0</v>
      </c>
      <c r="I39">
        <v>0</v>
      </c>
      <c r="L39" s="35">
        <f t="shared" si="1"/>
        <v>6</v>
      </c>
      <c r="M39" s="35">
        <f t="shared" si="2"/>
        <v>2</v>
      </c>
      <c r="N39">
        <f t="shared" si="3"/>
        <v>1</v>
      </c>
      <c r="O39">
        <f t="shared" si="7"/>
        <v>0</v>
      </c>
      <c r="P39">
        <f t="shared" si="11"/>
        <v>0</v>
      </c>
      <c r="Q39" t="str">
        <f t="shared" si="8"/>
        <v>0</v>
      </c>
      <c r="S39" s="3" t="s">
        <v>1347</v>
      </c>
      <c r="T39" s="4">
        <v>2</v>
      </c>
    </row>
    <row r="40" spans="1:20" x14ac:dyDescent="0.25">
      <c r="A40" t="str">
        <f t="shared" si="12"/>
        <v>Arsenal - Xhaka</v>
      </c>
      <c r="B40" t="s">
        <v>1559</v>
      </c>
      <c r="C40" t="s">
        <v>1412</v>
      </c>
      <c r="D40" t="s">
        <v>6</v>
      </c>
      <c r="E40" t="s">
        <v>1423</v>
      </c>
      <c r="F40">
        <v>12</v>
      </c>
      <c r="G40">
        <v>0</v>
      </c>
      <c r="H40">
        <v>0</v>
      </c>
      <c r="I40">
        <v>0</v>
      </c>
      <c r="J40" t="s">
        <v>294</v>
      </c>
      <c r="K40" t="s">
        <v>295</v>
      </c>
      <c r="L40" s="35">
        <f t="shared" si="1"/>
        <v>5.5</v>
      </c>
      <c r="M40" s="35">
        <f t="shared" si="2"/>
        <v>2</v>
      </c>
      <c r="N40">
        <f t="shared" si="3"/>
        <v>3</v>
      </c>
      <c r="O40">
        <f t="shared" si="7"/>
        <v>1</v>
      </c>
      <c r="P40">
        <f t="shared" si="11"/>
        <v>1</v>
      </c>
      <c r="Q40" t="str">
        <f t="shared" si="8"/>
        <v>1</v>
      </c>
      <c r="S40" s="3" t="s">
        <v>199</v>
      </c>
      <c r="T40" s="4">
        <v>158</v>
      </c>
    </row>
    <row r="41" spans="1:20" x14ac:dyDescent="0.25">
      <c r="A41" t="str">
        <f t="shared" si="12"/>
        <v>Arsenal - Bellerín</v>
      </c>
      <c r="B41" t="s">
        <v>1561</v>
      </c>
      <c r="C41" t="s">
        <v>1544</v>
      </c>
      <c r="D41" t="s">
        <v>8</v>
      </c>
      <c r="E41" t="s">
        <v>1423</v>
      </c>
      <c r="F41">
        <v>17</v>
      </c>
      <c r="G41">
        <v>0</v>
      </c>
      <c r="H41">
        <v>0</v>
      </c>
      <c r="I41">
        <v>0</v>
      </c>
      <c r="L41" s="35">
        <f t="shared" si="1"/>
        <v>5.5</v>
      </c>
      <c r="M41" s="35">
        <f t="shared" si="2"/>
        <v>6</v>
      </c>
      <c r="N41">
        <f t="shared" si="3"/>
        <v>0</v>
      </c>
      <c r="O41">
        <f t="shared" si="7"/>
        <v>0</v>
      </c>
      <c r="P41">
        <f t="shared" si="11"/>
        <v>0</v>
      </c>
      <c r="Q41" t="str">
        <f t="shared" si="8"/>
        <v>0</v>
      </c>
    </row>
    <row r="42" spans="1:20" x14ac:dyDescent="0.25">
      <c r="A42" t="str">
        <f t="shared" si="12"/>
        <v>Crystal Palace - Benteke</v>
      </c>
      <c r="B42" t="s">
        <v>1561</v>
      </c>
      <c r="C42" t="s">
        <v>1116</v>
      </c>
      <c r="D42" t="s">
        <v>5</v>
      </c>
      <c r="E42" t="s">
        <v>1522</v>
      </c>
      <c r="F42">
        <v>25</v>
      </c>
      <c r="G42">
        <v>0</v>
      </c>
      <c r="H42">
        <v>0</v>
      </c>
      <c r="I42">
        <v>0</v>
      </c>
      <c r="L42" s="35">
        <f t="shared" si="1"/>
        <v>5.5</v>
      </c>
      <c r="M42" s="35">
        <f t="shared" si="2"/>
        <v>4</v>
      </c>
      <c r="N42">
        <f t="shared" si="3"/>
        <v>0</v>
      </c>
      <c r="O42">
        <f t="shared" si="7"/>
        <v>2</v>
      </c>
      <c r="P42">
        <f t="shared" si="11"/>
        <v>2</v>
      </c>
      <c r="Q42" t="str">
        <f t="shared" si="8"/>
        <v>2</v>
      </c>
    </row>
    <row r="43" spans="1:20" x14ac:dyDescent="0.25">
      <c r="A43" t="str">
        <f t="shared" si="12"/>
        <v>Man City - Bravo</v>
      </c>
      <c r="B43" s="35" t="s">
        <v>1561</v>
      </c>
      <c r="C43" s="35" t="s">
        <v>1260</v>
      </c>
      <c r="D43" s="35" t="s">
        <v>7</v>
      </c>
      <c r="E43" s="35" t="s">
        <v>1520</v>
      </c>
      <c r="F43" s="35">
        <v>14</v>
      </c>
      <c r="G43" s="35">
        <v>0</v>
      </c>
      <c r="H43" s="35">
        <v>0</v>
      </c>
      <c r="I43" s="35">
        <v>0</v>
      </c>
      <c r="J43" s="35"/>
      <c r="K43" s="35"/>
      <c r="L43" s="35">
        <f t="shared" si="1"/>
        <v>5.333333333333333</v>
      </c>
      <c r="M43" s="35">
        <f t="shared" si="2"/>
        <v>3</v>
      </c>
      <c r="N43">
        <f t="shared" si="3"/>
        <v>0</v>
      </c>
      <c r="O43">
        <f t="shared" si="7"/>
        <v>0</v>
      </c>
      <c r="P43">
        <f t="shared" si="11"/>
        <v>0</v>
      </c>
      <c r="Q43" t="str">
        <f t="shared" si="8"/>
        <v>0</v>
      </c>
    </row>
    <row r="44" spans="1:20" x14ac:dyDescent="0.25">
      <c r="A44" t="str">
        <f t="shared" si="12"/>
        <v>Hull city - Dawson</v>
      </c>
      <c r="B44" t="s">
        <v>1561</v>
      </c>
      <c r="C44" t="s">
        <v>1123</v>
      </c>
      <c r="D44" t="s">
        <v>8</v>
      </c>
      <c r="E44" t="s">
        <v>1524</v>
      </c>
      <c r="F44">
        <v>9</v>
      </c>
      <c r="G44">
        <v>0</v>
      </c>
      <c r="H44">
        <v>0</v>
      </c>
      <c r="I44">
        <v>0</v>
      </c>
      <c r="L44" s="35" t="str">
        <f t="shared" si="1"/>
        <v/>
      </c>
      <c r="M44" s="35">
        <f t="shared" si="2"/>
        <v>0</v>
      </c>
      <c r="N44">
        <f t="shared" si="3"/>
        <v>0</v>
      </c>
      <c r="O44">
        <f t="shared" si="7"/>
        <v>0</v>
      </c>
      <c r="P44">
        <f t="shared" si="11"/>
        <v>0</v>
      </c>
      <c r="Q44" t="str">
        <f t="shared" si="8"/>
        <v>0</v>
      </c>
    </row>
    <row r="45" spans="1:20" x14ac:dyDescent="0.25">
      <c r="A45" t="str">
        <f t="shared" si="12"/>
        <v>Man City - De Bruyne</v>
      </c>
      <c r="B45" t="s">
        <v>1561</v>
      </c>
      <c r="C45" t="s">
        <v>1269</v>
      </c>
      <c r="D45" t="s">
        <v>6</v>
      </c>
      <c r="E45" t="s">
        <v>1520</v>
      </c>
      <c r="F45">
        <v>80</v>
      </c>
      <c r="G45">
        <v>0</v>
      </c>
      <c r="H45">
        <v>0</v>
      </c>
      <c r="I45">
        <v>0</v>
      </c>
      <c r="L45" s="35"/>
      <c r="M45" s="35"/>
      <c r="P45">
        <f t="shared" si="11"/>
        <v>2</v>
      </c>
      <c r="Q45" t="str">
        <f t="shared" si="8"/>
        <v>2</v>
      </c>
    </row>
    <row r="46" spans="1:20" x14ac:dyDescent="0.25">
      <c r="A46" t="str">
        <f t="shared" si="12"/>
        <v>Watford - Dja Djédjé</v>
      </c>
      <c r="B46" t="s">
        <v>1561</v>
      </c>
      <c r="C46" t="s">
        <v>1567</v>
      </c>
      <c r="D46" t="s">
        <v>8</v>
      </c>
      <c r="E46" t="s">
        <v>1393</v>
      </c>
      <c r="F46">
        <v>13</v>
      </c>
      <c r="G46">
        <v>2</v>
      </c>
      <c r="H46">
        <v>0</v>
      </c>
      <c r="I46">
        <v>2</v>
      </c>
      <c r="J46" t="s">
        <v>166</v>
      </c>
      <c r="K46" t="s">
        <v>291</v>
      </c>
      <c r="L46" s="35"/>
      <c r="M46" s="35"/>
      <c r="P46" t="e">
        <f t="shared" si="11"/>
        <v>#N/A</v>
      </c>
      <c r="Q46" t="e">
        <f t="shared" si="8"/>
        <v>#N/A</v>
      </c>
    </row>
    <row r="47" spans="1:20" x14ac:dyDescent="0.25">
      <c r="A47" t="str">
        <f t="shared" si="12"/>
        <v>Swansea - Fabianski</v>
      </c>
      <c r="B47" t="s">
        <v>1561</v>
      </c>
      <c r="C47" t="s">
        <v>1070</v>
      </c>
      <c r="D47" t="s">
        <v>7</v>
      </c>
      <c r="E47" t="s">
        <v>1095</v>
      </c>
      <c r="F47">
        <v>14</v>
      </c>
      <c r="G47">
        <v>2</v>
      </c>
      <c r="H47">
        <v>0</v>
      </c>
      <c r="I47">
        <v>2</v>
      </c>
      <c r="J47" t="s">
        <v>316</v>
      </c>
      <c r="K47" t="s">
        <v>316</v>
      </c>
      <c r="L47" s="35"/>
      <c r="M47" s="35"/>
      <c r="P47">
        <f t="shared" si="11"/>
        <v>0</v>
      </c>
      <c r="Q47" t="str">
        <f t="shared" si="8"/>
        <v>0</v>
      </c>
    </row>
    <row r="48" spans="1:20" x14ac:dyDescent="0.25">
      <c r="A48" t="str">
        <f t="shared" si="12"/>
        <v>Tottenham - Georges-Kévin Nkoudou</v>
      </c>
      <c r="B48" t="s">
        <v>1561</v>
      </c>
      <c r="C48" t="s">
        <v>1568</v>
      </c>
      <c r="D48" t="s">
        <v>6</v>
      </c>
      <c r="E48" t="s">
        <v>1188</v>
      </c>
      <c r="F48">
        <v>15</v>
      </c>
      <c r="G48">
        <v>0</v>
      </c>
      <c r="H48">
        <v>0</v>
      </c>
      <c r="I48">
        <v>0</v>
      </c>
      <c r="L48" s="35" t="str">
        <f t="shared" si="1"/>
        <v/>
      </c>
      <c r="M48" s="35">
        <f t="shared" si="2"/>
        <v>0</v>
      </c>
      <c r="N48">
        <f t="shared" si="3"/>
        <v>1</v>
      </c>
      <c r="O48">
        <f t="shared" ref="O4:O67" si="13">VALUE(IF(Q48="",0,Q48))</f>
        <v>0</v>
      </c>
      <c r="P48">
        <f t="shared" si="11"/>
        <v>0</v>
      </c>
      <c r="Q48" t="str">
        <f t="shared" si="8"/>
        <v>0</v>
      </c>
    </row>
    <row r="49" spans="1:17" x14ac:dyDescent="0.25">
      <c r="A49" t="str">
        <f t="shared" si="12"/>
        <v>Man City - Gündogan</v>
      </c>
      <c r="B49" t="s">
        <v>1561</v>
      </c>
      <c r="C49" t="s">
        <v>1274</v>
      </c>
      <c r="D49" t="s">
        <v>6</v>
      </c>
      <c r="E49" t="s">
        <v>1520</v>
      </c>
      <c r="F49">
        <v>15</v>
      </c>
      <c r="G49">
        <v>0</v>
      </c>
      <c r="H49">
        <v>0</v>
      </c>
      <c r="I49">
        <v>0</v>
      </c>
      <c r="L49" s="35">
        <f t="shared" si="1"/>
        <v>6.5</v>
      </c>
      <c r="M49" s="35">
        <f t="shared" si="2"/>
        <v>2</v>
      </c>
      <c r="N49">
        <f t="shared" si="3"/>
        <v>0</v>
      </c>
      <c r="O49">
        <f t="shared" si="13"/>
        <v>1</v>
      </c>
      <c r="P49">
        <f t="shared" si="11"/>
        <v>1</v>
      </c>
      <c r="Q49" t="str">
        <f t="shared" si="8"/>
        <v>1</v>
      </c>
    </row>
    <row r="50" spans="1:17" x14ac:dyDescent="0.25">
      <c r="A50" t="str">
        <f t="shared" si="12"/>
        <v>Sunderland - Januzaj</v>
      </c>
      <c r="B50" t="s">
        <v>1561</v>
      </c>
      <c r="C50" t="s">
        <v>1292</v>
      </c>
      <c r="D50" t="s">
        <v>6</v>
      </c>
      <c r="E50" t="s">
        <v>1301</v>
      </c>
      <c r="F50">
        <v>17</v>
      </c>
      <c r="G50">
        <v>0</v>
      </c>
      <c r="H50">
        <v>0</v>
      </c>
      <c r="I50">
        <v>0</v>
      </c>
      <c r="L50" s="35">
        <f t="shared" si="1"/>
        <v>4.2</v>
      </c>
      <c r="M50" s="35">
        <f t="shared" si="2"/>
        <v>5</v>
      </c>
      <c r="N50">
        <f t="shared" si="3"/>
        <v>1</v>
      </c>
      <c r="O50">
        <f t="shared" si="13"/>
        <v>0</v>
      </c>
      <c r="P50">
        <f t="shared" si="11"/>
        <v>0</v>
      </c>
      <c r="Q50" t="str">
        <f t="shared" si="8"/>
        <v>0</v>
      </c>
    </row>
    <row r="51" spans="1:17" x14ac:dyDescent="0.25">
      <c r="A51" t="str">
        <f t="shared" si="12"/>
        <v>Southampton - José Fonte</v>
      </c>
      <c r="B51" t="s">
        <v>1561</v>
      </c>
      <c r="C51" t="s">
        <v>1545</v>
      </c>
      <c r="D51" t="s">
        <v>8</v>
      </c>
      <c r="E51" t="s">
        <v>1367</v>
      </c>
      <c r="F51">
        <v>14</v>
      </c>
      <c r="G51">
        <v>0</v>
      </c>
      <c r="H51">
        <v>0</v>
      </c>
      <c r="I51">
        <v>0</v>
      </c>
      <c r="L51" s="35">
        <f t="shared" si="1"/>
        <v>4.8</v>
      </c>
      <c r="M51" s="35">
        <f t="shared" si="2"/>
        <v>5</v>
      </c>
      <c r="N51">
        <f t="shared" si="3"/>
        <v>0</v>
      </c>
      <c r="O51">
        <f t="shared" si="13"/>
        <v>0</v>
      </c>
      <c r="P51">
        <f t="shared" si="11"/>
        <v>0</v>
      </c>
      <c r="Q51" t="str">
        <f t="shared" si="8"/>
        <v>0</v>
      </c>
    </row>
    <row r="52" spans="1:17" x14ac:dyDescent="0.25">
      <c r="A52" t="str">
        <f t="shared" si="12"/>
        <v>Man City - Kolarov</v>
      </c>
      <c r="B52" t="s">
        <v>1561</v>
      </c>
      <c r="C52" t="s">
        <v>1263</v>
      </c>
      <c r="D52" t="s">
        <v>8</v>
      </c>
      <c r="E52" t="s">
        <v>1520</v>
      </c>
      <c r="F52">
        <v>17</v>
      </c>
      <c r="G52">
        <v>0</v>
      </c>
      <c r="H52">
        <v>0</v>
      </c>
      <c r="I52">
        <v>0</v>
      </c>
      <c r="L52" s="35">
        <f t="shared" si="1"/>
        <v>5.6</v>
      </c>
      <c r="M52" s="35">
        <f t="shared" si="2"/>
        <v>5</v>
      </c>
      <c r="N52">
        <f t="shared" si="3"/>
        <v>1</v>
      </c>
      <c r="O52">
        <f t="shared" si="13"/>
        <v>0</v>
      </c>
      <c r="P52">
        <f t="shared" si="11"/>
        <v>0</v>
      </c>
      <c r="Q52" t="str">
        <f t="shared" si="8"/>
        <v>0</v>
      </c>
    </row>
    <row r="53" spans="1:17" x14ac:dyDescent="0.25">
      <c r="A53" t="str">
        <f t="shared" si="12"/>
        <v>Liverpool - Lovren</v>
      </c>
      <c r="B53" t="s">
        <v>1561</v>
      </c>
      <c r="C53" t="s">
        <v>1428</v>
      </c>
      <c r="D53" t="s">
        <v>8</v>
      </c>
      <c r="E53" t="s">
        <v>1446</v>
      </c>
      <c r="F53">
        <v>18</v>
      </c>
      <c r="G53">
        <v>0</v>
      </c>
      <c r="H53">
        <v>0</v>
      </c>
      <c r="I53">
        <v>0</v>
      </c>
      <c r="L53" s="35">
        <f t="shared" si="1"/>
        <v>5.25</v>
      </c>
      <c r="M53" s="35">
        <f t="shared" si="2"/>
        <v>4</v>
      </c>
      <c r="N53">
        <f t="shared" si="3"/>
        <v>0</v>
      </c>
      <c r="O53">
        <f t="shared" si="13"/>
        <v>1</v>
      </c>
      <c r="P53">
        <f t="shared" si="11"/>
        <v>1</v>
      </c>
      <c r="Q53" t="str">
        <f t="shared" si="8"/>
        <v>1</v>
      </c>
    </row>
    <row r="54" spans="1:17" x14ac:dyDescent="0.25">
      <c r="A54" t="str">
        <f t="shared" si="12"/>
        <v>Leicester - Mahrez</v>
      </c>
      <c r="B54" t="s">
        <v>1561</v>
      </c>
      <c r="C54" t="s">
        <v>1245</v>
      </c>
      <c r="D54" t="s">
        <v>6</v>
      </c>
      <c r="E54" t="s">
        <v>1258</v>
      </c>
      <c r="F54">
        <v>52</v>
      </c>
      <c r="G54">
        <v>0</v>
      </c>
      <c r="H54">
        <v>0</v>
      </c>
      <c r="I54">
        <v>0</v>
      </c>
      <c r="L54" s="35">
        <f t="shared" si="1"/>
        <v>4.666666666666667</v>
      </c>
      <c r="M54" s="35">
        <f t="shared" si="2"/>
        <v>6</v>
      </c>
      <c r="N54">
        <f t="shared" si="3"/>
        <v>0</v>
      </c>
      <c r="O54">
        <f t="shared" si="13"/>
        <v>1</v>
      </c>
      <c r="P54">
        <f t="shared" si="11"/>
        <v>1</v>
      </c>
      <c r="Q54" t="str">
        <f t="shared" si="8"/>
        <v>1</v>
      </c>
    </row>
    <row r="55" spans="1:17" x14ac:dyDescent="0.25">
      <c r="A55" t="str">
        <f t="shared" si="12"/>
        <v>Man United - Martial</v>
      </c>
      <c r="B55" t="s">
        <v>1561</v>
      </c>
      <c r="C55" t="s">
        <v>1494</v>
      </c>
      <c r="D55" t="s">
        <v>5</v>
      </c>
      <c r="E55" t="s">
        <v>1521</v>
      </c>
      <c r="F55">
        <v>32</v>
      </c>
      <c r="L55" s="35">
        <f t="shared" si="1"/>
        <v>5</v>
      </c>
      <c r="M55" s="35">
        <f t="shared" si="2"/>
        <v>4</v>
      </c>
      <c r="N55">
        <f t="shared" si="3"/>
        <v>1</v>
      </c>
      <c r="O55">
        <f t="shared" si="13"/>
        <v>0</v>
      </c>
      <c r="P55">
        <f t="shared" si="11"/>
        <v>0</v>
      </c>
      <c r="Q55" t="str">
        <f t="shared" si="8"/>
        <v>0</v>
      </c>
    </row>
    <row r="56" spans="1:17" x14ac:dyDescent="0.25">
      <c r="A56" t="str">
        <f t="shared" si="12"/>
        <v>Man City - Nolito</v>
      </c>
      <c r="B56" t="s">
        <v>1561</v>
      </c>
      <c r="C56" t="s">
        <v>1277</v>
      </c>
      <c r="D56" t="s">
        <v>5</v>
      </c>
      <c r="E56" t="s">
        <v>1520</v>
      </c>
      <c r="F56">
        <v>22</v>
      </c>
      <c r="G56">
        <v>0</v>
      </c>
      <c r="H56">
        <v>0</v>
      </c>
      <c r="I56">
        <v>0</v>
      </c>
      <c r="L56" s="35">
        <f t="shared" si="1"/>
        <v>5.75</v>
      </c>
      <c r="M56" s="35">
        <f t="shared" si="2"/>
        <v>4</v>
      </c>
      <c r="N56">
        <f t="shared" si="3"/>
        <v>1</v>
      </c>
      <c r="O56">
        <f t="shared" si="13"/>
        <v>2</v>
      </c>
      <c r="P56">
        <f t="shared" si="11"/>
        <v>2</v>
      </c>
      <c r="Q56" t="str">
        <f t="shared" si="8"/>
        <v>2</v>
      </c>
    </row>
    <row r="57" spans="1:17" x14ac:dyDescent="0.25">
      <c r="A57" t="str">
        <f t="shared" si="12"/>
        <v>Arsenal - Ramsey</v>
      </c>
      <c r="B57" t="s">
        <v>1561</v>
      </c>
      <c r="C57" t="s">
        <v>1407</v>
      </c>
      <c r="D57" t="s">
        <v>6</v>
      </c>
      <c r="E57" t="s">
        <v>1423</v>
      </c>
      <c r="F57">
        <v>23</v>
      </c>
      <c r="G57">
        <v>8</v>
      </c>
      <c r="H57">
        <v>0</v>
      </c>
      <c r="I57">
        <v>8</v>
      </c>
      <c r="J57" t="s">
        <v>261</v>
      </c>
      <c r="K57" t="s">
        <v>262</v>
      </c>
      <c r="L57" s="35">
        <f t="shared" si="1"/>
        <v>4</v>
      </c>
      <c r="M57" s="35">
        <f t="shared" si="2"/>
        <v>1</v>
      </c>
      <c r="N57">
        <f t="shared" si="3"/>
        <v>0</v>
      </c>
      <c r="O57">
        <f t="shared" si="13"/>
        <v>0</v>
      </c>
      <c r="P57">
        <f t="shared" si="11"/>
        <v>0</v>
      </c>
      <c r="Q57" t="str">
        <f t="shared" si="8"/>
        <v>0</v>
      </c>
    </row>
    <row r="58" spans="1:17" x14ac:dyDescent="0.25">
      <c r="A58" t="str">
        <f t="shared" si="12"/>
        <v>Tottenham - Sissoko</v>
      </c>
      <c r="B58" t="s">
        <v>1561</v>
      </c>
      <c r="C58" t="s">
        <v>324</v>
      </c>
      <c r="D58" t="s">
        <v>6</v>
      </c>
      <c r="E58" t="s">
        <v>1188</v>
      </c>
      <c r="F58">
        <v>23</v>
      </c>
      <c r="G58">
        <v>0</v>
      </c>
      <c r="H58">
        <v>0</v>
      </c>
      <c r="I58">
        <v>0</v>
      </c>
      <c r="L58" s="35">
        <f t="shared" si="1"/>
        <v>4.5</v>
      </c>
      <c r="M58" s="35">
        <f t="shared" si="2"/>
        <v>2</v>
      </c>
      <c r="N58">
        <f t="shared" si="3"/>
        <v>1</v>
      </c>
      <c r="O58">
        <f t="shared" si="13"/>
        <v>0</v>
      </c>
      <c r="P58">
        <f t="shared" si="11"/>
        <v>0</v>
      </c>
      <c r="Q58" t="str">
        <f t="shared" si="8"/>
        <v>0</v>
      </c>
    </row>
    <row r="59" spans="1:17" x14ac:dyDescent="0.25">
      <c r="A59" t="str">
        <f t="shared" si="12"/>
        <v>Leicester - Vardy</v>
      </c>
      <c r="B59" t="s">
        <v>1561</v>
      </c>
      <c r="C59" t="s">
        <v>1254</v>
      </c>
      <c r="D59" t="s">
        <v>5</v>
      </c>
      <c r="E59" t="s">
        <v>1258</v>
      </c>
      <c r="F59">
        <v>62</v>
      </c>
      <c r="G59">
        <v>0</v>
      </c>
      <c r="H59">
        <v>0</v>
      </c>
      <c r="I59">
        <v>0</v>
      </c>
      <c r="L59" s="35">
        <f t="shared" si="1"/>
        <v>4.5</v>
      </c>
      <c r="M59" s="35">
        <f t="shared" si="2"/>
        <v>6</v>
      </c>
      <c r="N59">
        <f t="shared" si="3"/>
        <v>0</v>
      </c>
      <c r="O59">
        <f t="shared" si="13"/>
        <v>2</v>
      </c>
      <c r="P59">
        <f t="shared" si="11"/>
        <v>2</v>
      </c>
      <c r="Q59" t="str">
        <f t="shared" si="8"/>
        <v>2</v>
      </c>
    </row>
    <row r="60" spans="1:17" x14ac:dyDescent="0.25">
      <c r="A60" t="str">
        <f t="shared" si="12"/>
        <v>Tottenham - Vertonghen</v>
      </c>
      <c r="B60" t="s">
        <v>1561</v>
      </c>
      <c r="C60" t="s">
        <v>1172</v>
      </c>
      <c r="D60" t="s">
        <v>8</v>
      </c>
      <c r="E60" t="s">
        <v>1188</v>
      </c>
      <c r="F60">
        <v>18</v>
      </c>
      <c r="G60">
        <v>0</v>
      </c>
      <c r="H60">
        <v>0</v>
      </c>
      <c r="I60">
        <v>0</v>
      </c>
      <c r="L60" s="35"/>
      <c r="M60" s="35"/>
      <c r="P60">
        <f t="shared" si="11"/>
        <v>0</v>
      </c>
      <c r="Q60" t="str">
        <f t="shared" si="8"/>
        <v>0</v>
      </c>
    </row>
    <row r="61" spans="1:17" x14ac:dyDescent="0.25">
      <c r="A61" t="str">
        <f t="shared" si="12"/>
        <v>Middlesbrough - Bernardo</v>
      </c>
      <c r="B61" t="s">
        <v>1554</v>
      </c>
      <c r="C61" t="s">
        <v>1547</v>
      </c>
      <c r="D61" t="s">
        <v>8</v>
      </c>
      <c r="E61" t="s">
        <v>1324</v>
      </c>
      <c r="F61">
        <v>3</v>
      </c>
      <c r="G61">
        <v>0</v>
      </c>
      <c r="H61">
        <v>0</v>
      </c>
      <c r="I61">
        <v>0</v>
      </c>
      <c r="L61" s="35"/>
      <c r="M61" s="35"/>
      <c r="P61" t="e">
        <f t="shared" si="11"/>
        <v>#N/A</v>
      </c>
      <c r="Q61" t="e">
        <f t="shared" si="8"/>
        <v>#N/A</v>
      </c>
    </row>
    <row r="62" spans="1:17" x14ac:dyDescent="0.25">
      <c r="A62" t="str">
        <f t="shared" si="12"/>
        <v>Stoke City - Bojan</v>
      </c>
      <c r="B62" t="s">
        <v>1554</v>
      </c>
      <c r="C62" t="s">
        <v>1342</v>
      </c>
      <c r="D62" t="s">
        <v>5</v>
      </c>
      <c r="E62" t="s">
        <v>1347</v>
      </c>
      <c r="F62">
        <v>11</v>
      </c>
      <c r="G62">
        <v>0</v>
      </c>
      <c r="H62">
        <v>0</v>
      </c>
      <c r="I62">
        <v>0</v>
      </c>
      <c r="L62" s="35">
        <f t="shared" si="1"/>
        <v>4.666666666666667</v>
      </c>
      <c r="M62" s="35">
        <f t="shared" si="2"/>
        <v>3</v>
      </c>
      <c r="N62">
        <f t="shared" si="3"/>
        <v>1</v>
      </c>
      <c r="O62">
        <f t="shared" si="13"/>
        <v>0</v>
      </c>
      <c r="P62">
        <f t="shared" si="11"/>
        <v>0</v>
      </c>
      <c r="Q62" t="str">
        <f t="shared" si="8"/>
        <v>0</v>
      </c>
    </row>
    <row r="63" spans="1:17" x14ac:dyDescent="0.25">
      <c r="A63" t="str">
        <f t="shared" si="12"/>
        <v>Chelsea - Cahill</v>
      </c>
      <c r="B63" t="s">
        <v>1554</v>
      </c>
      <c r="C63" t="s">
        <v>1502</v>
      </c>
      <c r="D63" t="s">
        <v>8</v>
      </c>
      <c r="E63" t="s">
        <v>1519</v>
      </c>
      <c r="F63">
        <v>28</v>
      </c>
      <c r="G63">
        <v>0</v>
      </c>
      <c r="H63">
        <v>0</v>
      </c>
      <c r="I63">
        <v>0</v>
      </c>
      <c r="L63" s="35"/>
      <c r="M63" s="35"/>
      <c r="P63">
        <f t="shared" si="11"/>
        <v>0</v>
      </c>
      <c r="Q63" t="str">
        <f t="shared" si="8"/>
        <v>0</v>
      </c>
    </row>
    <row r="64" spans="1:17" x14ac:dyDescent="0.25">
      <c r="A64" t="str">
        <f t="shared" si="12"/>
        <v>Middlesbrough - De Pena</v>
      </c>
      <c r="B64" t="s">
        <v>1554</v>
      </c>
      <c r="C64" t="s">
        <v>1548</v>
      </c>
      <c r="D64" t="s">
        <v>6</v>
      </c>
      <c r="E64" t="s">
        <v>1324</v>
      </c>
      <c r="F64">
        <v>3</v>
      </c>
      <c r="G64">
        <v>0</v>
      </c>
      <c r="H64">
        <v>0</v>
      </c>
      <c r="I64">
        <v>0</v>
      </c>
      <c r="L64" s="35"/>
      <c r="M64" s="35"/>
      <c r="P64" t="e">
        <f t="shared" si="11"/>
        <v>#N/A</v>
      </c>
      <c r="Q64" t="e">
        <f t="shared" si="8"/>
        <v>#N/A</v>
      </c>
    </row>
    <row r="65" spans="1:17" x14ac:dyDescent="0.25">
      <c r="A65" t="str">
        <f t="shared" si="12"/>
        <v>Tottenham - Dele Alli</v>
      </c>
      <c r="B65" t="s">
        <v>1554</v>
      </c>
      <c r="C65" t="s">
        <v>1178</v>
      </c>
      <c r="D65" t="s">
        <v>6</v>
      </c>
      <c r="E65" t="s">
        <v>1188</v>
      </c>
      <c r="F65">
        <v>25</v>
      </c>
      <c r="G65">
        <v>0</v>
      </c>
      <c r="H65">
        <v>0</v>
      </c>
      <c r="I65">
        <v>0</v>
      </c>
      <c r="L65" s="35">
        <f t="shared" si="1"/>
        <v>5.4</v>
      </c>
      <c r="M65" s="35">
        <f t="shared" si="2"/>
        <v>5</v>
      </c>
      <c r="N65">
        <f t="shared" si="3"/>
        <v>1</v>
      </c>
      <c r="O65">
        <f t="shared" si="13"/>
        <v>1</v>
      </c>
      <c r="P65">
        <f t="shared" si="11"/>
        <v>1</v>
      </c>
      <c r="Q65" t="str">
        <f t="shared" si="8"/>
        <v>1</v>
      </c>
    </row>
    <row r="66" spans="1:17" x14ac:dyDescent="0.25">
      <c r="A66" t="str">
        <f t="shared" si="12"/>
        <v>West Bromwich - Fletcher</v>
      </c>
      <c r="B66" s="35" t="s">
        <v>1554</v>
      </c>
      <c r="C66" s="35" t="s">
        <v>1130</v>
      </c>
      <c r="D66" s="35" t="s">
        <v>6</v>
      </c>
      <c r="E66" s="35" t="s">
        <v>1523</v>
      </c>
      <c r="F66" s="35">
        <v>7</v>
      </c>
      <c r="G66" s="35">
        <v>0</v>
      </c>
      <c r="H66" s="35">
        <v>0</v>
      </c>
      <c r="I66" s="35">
        <v>0</v>
      </c>
      <c r="J66" s="35"/>
      <c r="K66" s="35"/>
      <c r="L66" s="35">
        <f t="shared" si="1"/>
        <v>4.5</v>
      </c>
      <c r="M66" s="35">
        <f t="shared" si="2"/>
        <v>6</v>
      </c>
      <c r="N66">
        <f t="shared" si="3"/>
        <v>0</v>
      </c>
      <c r="O66">
        <f t="shared" si="13"/>
        <v>0</v>
      </c>
      <c r="P66">
        <f t="shared" si="11"/>
        <v>0</v>
      </c>
      <c r="Q66" t="str">
        <f t="shared" si="8"/>
        <v>0</v>
      </c>
    </row>
    <row r="67" spans="1:17" x14ac:dyDescent="0.25">
      <c r="A67" t="str">
        <f t="shared" si="12"/>
        <v>Southampton - Forster</v>
      </c>
      <c r="B67" t="s">
        <v>1554</v>
      </c>
      <c r="C67" t="s">
        <v>1348</v>
      </c>
      <c r="D67" t="s">
        <v>7</v>
      </c>
      <c r="E67" t="s">
        <v>1367</v>
      </c>
      <c r="F67">
        <v>17</v>
      </c>
      <c r="G67">
        <v>0</v>
      </c>
      <c r="H67">
        <v>0</v>
      </c>
      <c r="I67">
        <v>0</v>
      </c>
      <c r="L67" s="35">
        <f t="shared" ref="L67:L130" si="14">IF(VLOOKUP(VLOOKUP($A67,_JOUEURS,2,FALSE),_DATA,9,FALSE)=0,"",VLOOKUP(VLOOKUP($A67,_JOUEURS,2,FALSE),_DATA,9,FALSE))</f>
        <v>4.833333333333333</v>
      </c>
      <c r="M67" s="35">
        <f t="shared" ref="M67:M130" si="15">VLOOKUP(VLOOKUP($A67,_JOUEURS,2,FALSE),_DATA,6,FALSE)</f>
        <v>6</v>
      </c>
      <c r="N67">
        <f t="shared" ref="N67:N130" si="16">VLOOKUP(VLOOKUP($A67,_JOUEURS,2,FALSE),_DATA,7,FALSE)</f>
        <v>0</v>
      </c>
      <c r="O67">
        <f t="shared" si="13"/>
        <v>0</v>
      </c>
      <c r="P67">
        <f t="shared" ref="P67:P98" si="17">VLOOKUP(VLOOKUP($A67,_JOUEURS,2,FALSE),_DATA,8,FALSE)</f>
        <v>0</v>
      </c>
      <c r="Q67" t="str">
        <f t="shared" si="8"/>
        <v>0</v>
      </c>
    </row>
    <row r="68" spans="1:17" x14ac:dyDescent="0.25">
      <c r="A68" t="str">
        <f t="shared" ref="A68:A99" si="18">E68 &amp; " - " &amp; C68</f>
        <v>Chelsea - Ivanovic</v>
      </c>
      <c r="B68" t="s">
        <v>1554</v>
      </c>
      <c r="C68" t="s">
        <v>1501</v>
      </c>
      <c r="D68" t="s">
        <v>8</v>
      </c>
      <c r="E68" t="s">
        <v>1519</v>
      </c>
      <c r="F68">
        <v>24</v>
      </c>
      <c r="G68">
        <v>0</v>
      </c>
      <c r="H68">
        <v>0</v>
      </c>
      <c r="I68">
        <v>0</v>
      </c>
      <c r="L68" s="35">
        <f t="shared" si="14"/>
        <v>5.5</v>
      </c>
      <c r="M68" s="35">
        <f t="shared" si="15"/>
        <v>6</v>
      </c>
      <c r="N68">
        <f t="shared" si="16"/>
        <v>0</v>
      </c>
      <c r="O68">
        <f t="shared" ref="O68:O131" si="19">VALUE(IF(Q68="",0,Q68))</f>
        <v>0</v>
      </c>
      <c r="P68">
        <f t="shared" si="17"/>
        <v>0</v>
      </c>
      <c r="Q68" t="str">
        <f t="shared" ref="Q68:Q131" si="20">SUBSTITUTE(SUBSTITUTE(SUBSTITUTE(P68," / ",""),"(-1)",""),"(-2)","")</f>
        <v>0</v>
      </c>
    </row>
    <row r="69" spans="1:17" x14ac:dyDescent="0.25">
      <c r="A69" t="str">
        <f t="shared" si="18"/>
        <v>Tottenham - Kane</v>
      </c>
      <c r="B69" t="s">
        <v>1554</v>
      </c>
      <c r="C69" t="s">
        <v>1186</v>
      </c>
      <c r="D69" t="s">
        <v>5</v>
      </c>
      <c r="E69" t="s">
        <v>1188</v>
      </c>
      <c r="F69">
        <v>90</v>
      </c>
      <c r="G69">
        <v>0</v>
      </c>
      <c r="H69">
        <v>0</v>
      </c>
      <c r="I69">
        <v>0</v>
      </c>
      <c r="L69" s="35">
        <f t="shared" si="14"/>
        <v>5.6</v>
      </c>
      <c r="M69" s="35">
        <f t="shared" si="15"/>
        <v>5</v>
      </c>
      <c r="N69">
        <f t="shared" si="16"/>
        <v>0</v>
      </c>
      <c r="O69">
        <f t="shared" si="19"/>
        <v>2</v>
      </c>
      <c r="P69">
        <f t="shared" si="17"/>
        <v>2</v>
      </c>
      <c r="Q69" t="str">
        <f t="shared" si="20"/>
        <v>2</v>
      </c>
    </row>
    <row r="70" spans="1:17" x14ac:dyDescent="0.25">
      <c r="A70" t="str">
        <f t="shared" si="18"/>
        <v>West Bromwich - Leko</v>
      </c>
      <c r="B70" t="s">
        <v>1554</v>
      </c>
      <c r="C70" t="s">
        <v>1135</v>
      </c>
      <c r="D70" t="s">
        <v>6</v>
      </c>
      <c r="E70" t="s">
        <v>1523</v>
      </c>
      <c r="F70">
        <v>9</v>
      </c>
      <c r="G70">
        <v>0</v>
      </c>
      <c r="H70">
        <v>0</v>
      </c>
      <c r="I70">
        <v>0</v>
      </c>
      <c r="L70" s="35" t="str">
        <f t="shared" si="14"/>
        <v/>
      </c>
      <c r="M70" s="35">
        <f t="shared" si="15"/>
        <v>0</v>
      </c>
      <c r="N70">
        <f t="shared" si="16"/>
        <v>4</v>
      </c>
      <c r="O70">
        <f t="shared" si="19"/>
        <v>0</v>
      </c>
      <c r="P70">
        <f t="shared" si="17"/>
        <v>0</v>
      </c>
      <c r="Q70" t="str">
        <f t="shared" si="20"/>
        <v>0</v>
      </c>
    </row>
    <row r="71" spans="1:17" x14ac:dyDescent="0.25">
      <c r="A71" t="str">
        <f t="shared" si="18"/>
        <v>Hull city - Maguire</v>
      </c>
      <c r="B71" t="s">
        <v>1554</v>
      </c>
      <c r="C71" t="s">
        <v>1217</v>
      </c>
      <c r="D71" t="s">
        <v>8</v>
      </c>
      <c r="E71" t="s">
        <v>1524</v>
      </c>
      <c r="F71">
        <v>7</v>
      </c>
      <c r="G71">
        <v>0</v>
      </c>
      <c r="H71">
        <v>0</v>
      </c>
      <c r="I71">
        <v>0</v>
      </c>
      <c r="L71" s="35" t="str">
        <f t="shared" si="14"/>
        <v/>
      </c>
      <c r="M71" s="35">
        <f t="shared" si="15"/>
        <v>0</v>
      </c>
      <c r="N71">
        <f t="shared" si="16"/>
        <v>3</v>
      </c>
      <c r="O71">
        <f t="shared" si="19"/>
        <v>0</v>
      </c>
      <c r="P71">
        <f t="shared" si="17"/>
        <v>0</v>
      </c>
      <c r="Q71" t="str">
        <f t="shared" si="20"/>
        <v>0</v>
      </c>
    </row>
    <row r="72" spans="1:17" x14ac:dyDescent="0.25">
      <c r="A72" t="str">
        <f t="shared" si="18"/>
        <v>Man United - Mata</v>
      </c>
      <c r="B72" t="s">
        <v>1554</v>
      </c>
      <c r="C72" t="s">
        <v>1492</v>
      </c>
      <c r="D72" t="s">
        <v>6</v>
      </c>
      <c r="E72" t="s">
        <v>1521</v>
      </c>
      <c r="F72">
        <v>31</v>
      </c>
      <c r="G72">
        <v>1</v>
      </c>
      <c r="H72">
        <v>0</v>
      </c>
      <c r="I72">
        <v>1</v>
      </c>
      <c r="J72" t="s">
        <v>299</v>
      </c>
      <c r="K72" t="s">
        <v>300</v>
      </c>
      <c r="L72" s="35">
        <f t="shared" si="14"/>
        <v>6.75</v>
      </c>
      <c r="M72" s="35">
        <f t="shared" si="15"/>
        <v>4</v>
      </c>
      <c r="N72">
        <f t="shared" si="16"/>
        <v>1</v>
      </c>
      <c r="O72">
        <f t="shared" si="19"/>
        <v>2</v>
      </c>
      <c r="P72">
        <f t="shared" si="17"/>
        <v>2</v>
      </c>
      <c r="Q72" t="str">
        <f t="shared" si="20"/>
        <v>2</v>
      </c>
    </row>
    <row r="73" spans="1:17" x14ac:dyDescent="0.25">
      <c r="A73" t="str">
        <f t="shared" si="18"/>
        <v>Southampton - McCarthy</v>
      </c>
      <c r="B73" t="s">
        <v>1554</v>
      </c>
      <c r="C73" t="s">
        <v>1154</v>
      </c>
      <c r="D73" t="s">
        <v>7</v>
      </c>
      <c r="E73" t="s">
        <v>1367</v>
      </c>
      <c r="F73">
        <v>10</v>
      </c>
      <c r="G73">
        <v>0</v>
      </c>
      <c r="H73">
        <v>0</v>
      </c>
      <c r="I73">
        <v>0</v>
      </c>
      <c r="L73" s="35" t="str">
        <f t="shared" si="14"/>
        <v/>
      </c>
      <c r="M73" s="35">
        <f t="shared" si="15"/>
        <v>0</v>
      </c>
      <c r="N73">
        <f t="shared" si="16"/>
        <v>0</v>
      </c>
      <c r="O73">
        <f t="shared" si="19"/>
        <v>0</v>
      </c>
      <c r="P73">
        <f t="shared" si="17"/>
        <v>0</v>
      </c>
      <c r="Q73" t="str">
        <f t="shared" si="20"/>
        <v>0</v>
      </c>
    </row>
    <row r="74" spans="1:17" x14ac:dyDescent="0.25">
      <c r="A74" t="str">
        <f t="shared" si="18"/>
        <v>Man United - Rooney</v>
      </c>
      <c r="B74" t="s">
        <v>1554</v>
      </c>
      <c r="C74" t="s">
        <v>1493</v>
      </c>
      <c r="D74" t="s">
        <v>5</v>
      </c>
      <c r="E74" t="s">
        <v>1521</v>
      </c>
      <c r="F74">
        <v>58</v>
      </c>
      <c r="G74">
        <v>0</v>
      </c>
      <c r="H74">
        <v>0</v>
      </c>
      <c r="I74">
        <v>0</v>
      </c>
      <c r="L74" s="35">
        <f t="shared" si="14"/>
        <v>5.6</v>
      </c>
      <c r="M74" s="35">
        <f t="shared" si="15"/>
        <v>5</v>
      </c>
      <c r="N74">
        <f t="shared" si="16"/>
        <v>1</v>
      </c>
      <c r="O74">
        <f t="shared" si="19"/>
        <v>1</v>
      </c>
      <c r="P74">
        <f t="shared" si="17"/>
        <v>1</v>
      </c>
      <c r="Q74" t="str">
        <f t="shared" si="20"/>
        <v>1</v>
      </c>
    </row>
    <row r="75" spans="1:17" x14ac:dyDescent="0.25">
      <c r="A75" t="str">
        <f t="shared" si="18"/>
        <v>Tottenham - Rose</v>
      </c>
      <c r="B75" t="s">
        <v>1554</v>
      </c>
      <c r="C75" t="s">
        <v>377</v>
      </c>
      <c r="D75" t="s">
        <v>8</v>
      </c>
      <c r="E75" t="s">
        <v>1188</v>
      </c>
      <c r="F75">
        <v>19</v>
      </c>
      <c r="G75">
        <v>0</v>
      </c>
      <c r="H75">
        <v>0</v>
      </c>
      <c r="I75">
        <v>0</v>
      </c>
      <c r="L75" s="35">
        <f t="shared" si="14"/>
        <v>5.666666666666667</v>
      </c>
      <c r="M75" s="35">
        <f t="shared" si="15"/>
        <v>3</v>
      </c>
      <c r="N75">
        <f t="shared" si="16"/>
        <v>0</v>
      </c>
      <c r="O75">
        <f t="shared" si="19"/>
        <v>1</v>
      </c>
      <c r="P75">
        <f t="shared" si="17"/>
        <v>1</v>
      </c>
      <c r="Q75" t="str">
        <f t="shared" si="20"/>
        <v>1</v>
      </c>
    </row>
    <row r="76" spans="1:17" x14ac:dyDescent="0.25">
      <c r="A76" t="str">
        <f t="shared" si="18"/>
        <v>Leicester - Simpson</v>
      </c>
      <c r="B76" s="35" t="s">
        <v>1554</v>
      </c>
      <c r="C76" s="35" t="s">
        <v>1240</v>
      </c>
      <c r="D76" s="35" t="s">
        <v>8</v>
      </c>
      <c r="E76" s="35" t="s">
        <v>1258</v>
      </c>
      <c r="F76" s="35">
        <v>13</v>
      </c>
      <c r="G76" s="35">
        <v>0</v>
      </c>
      <c r="H76" s="35">
        <v>0</v>
      </c>
      <c r="I76" s="35">
        <v>0</v>
      </c>
      <c r="J76" s="35"/>
      <c r="K76" s="35"/>
      <c r="L76" s="35">
        <f t="shared" si="14"/>
        <v>4.333333333333333</v>
      </c>
      <c r="M76" s="35">
        <f t="shared" si="15"/>
        <v>6</v>
      </c>
      <c r="N76">
        <f t="shared" si="16"/>
        <v>0</v>
      </c>
      <c r="O76">
        <f t="shared" si="19"/>
        <v>0</v>
      </c>
      <c r="P76">
        <f t="shared" si="17"/>
        <v>0</v>
      </c>
      <c r="Q76" t="str">
        <f t="shared" si="20"/>
        <v>0</v>
      </c>
    </row>
    <row r="77" spans="1:17" x14ac:dyDescent="0.25">
      <c r="A77" t="str">
        <f t="shared" si="18"/>
        <v>Liverpool - Sturridge</v>
      </c>
      <c r="B77" t="s">
        <v>1554</v>
      </c>
      <c r="C77" t="s">
        <v>1444</v>
      </c>
      <c r="D77" t="s">
        <v>5</v>
      </c>
      <c r="E77" t="s">
        <v>1446</v>
      </c>
      <c r="F77">
        <v>80</v>
      </c>
      <c r="G77">
        <v>0</v>
      </c>
      <c r="H77">
        <v>0</v>
      </c>
      <c r="I77">
        <v>0</v>
      </c>
      <c r="L77" s="35">
        <f t="shared" si="14"/>
        <v>5</v>
      </c>
      <c r="M77" s="35">
        <f t="shared" si="15"/>
        <v>3</v>
      </c>
      <c r="N77">
        <f t="shared" si="16"/>
        <v>2</v>
      </c>
      <c r="O77">
        <f t="shared" si="19"/>
        <v>0</v>
      </c>
      <c r="P77">
        <f t="shared" si="17"/>
        <v>0</v>
      </c>
      <c r="Q77" t="str">
        <f t="shared" si="20"/>
        <v>0</v>
      </c>
    </row>
    <row r="78" spans="1:17" x14ac:dyDescent="0.25">
      <c r="A78" t="str">
        <f t="shared" si="18"/>
        <v>Arsenal - Özil</v>
      </c>
      <c r="B78" t="s">
        <v>1554</v>
      </c>
      <c r="C78" t="s">
        <v>1413</v>
      </c>
      <c r="D78" t="s">
        <v>6</v>
      </c>
      <c r="E78" t="s">
        <v>1423</v>
      </c>
      <c r="F78">
        <v>65</v>
      </c>
      <c r="G78">
        <v>0</v>
      </c>
      <c r="H78">
        <v>0</v>
      </c>
      <c r="I78">
        <v>0</v>
      </c>
      <c r="L78" s="35">
        <f t="shared" si="14"/>
        <v>6</v>
      </c>
      <c r="M78" s="35">
        <f t="shared" si="15"/>
        <v>4</v>
      </c>
      <c r="N78">
        <f t="shared" si="16"/>
        <v>1</v>
      </c>
      <c r="O78">
        <f t="shared" si="19"/>
        <v>2</v>
      </c>
      <c r="P78">
        <f t="shared" si="17"/>
        <v>2</v>
      </c>
      <c r="Q78" t="str">
        <f t="shared" si="20"/>
        <v>2</v>
      </c>
    </row>
    <row r="79" spans="1:17" x14ac:dyDescent="0.25">
      <c r="A79" t="str">
        <f t="shared" si="18"/>
        <v>Chelsea - Azpilicueta</v>
      </c>
      <c r="B79" t="s">
        <v>1555</v>
      </c>
      <c r="C79" t="s">
        <v>1504</v>
      </c>
      <c r="D79" t="s">
        <v>8</v>
      </c>
      <c r="E79" t="s">
        <v>1519</v>
      </c>
      <c r="F79">
        <v>28</v>
      </c>
      <c r="G79">
        <v>0</v>
      </c>
      <c r="H79">
        <v>0</v>
      </c>
      <c r="I79">
        <v>0</v>
      </c>
      <c r="L79" s="35">
        <f t="shared" si="14"/>
        <v>5</v>
      </c>
      <c r="M79" s="35">
        <f t="shared" si="15"/>
        <v>6</v>
      </c>
      <c r="N79">
        <f t="shared" si="16"/>
        <v>0</v>
      </c>
      <c r="O79">
        <f t="shared" si="19"/>
        <v>0</v>
      </c>
      <c r="P79">
        <f t="shared" si="17"/>
        <v>0</v>
      </c>
      <c r="Q79" t="str">
        <f t="shared" si="20"/>
        <v>0</v>
      </c>
    </row>
    <row r="80" spans="1:17" x14ac:dyDescent="0.25">
      <c r="A80" t="str">
        <f t="shared" si="18"/>
        <v>Everton - Baines</v>
      </c>
      <c r="B80" t="s">
        <v>1555</v>
      </c>
      <c r="C80" t="s">
        <v>1152</v>
      </c>
      <c r="D80" t="s">
        <v>8</v>
      </c>
      <c r="E80" t="s">
        <v>1167</v>
      </c>
      <c r="F80">
        <v>22</v>
      </c>
      <c r="G80">
        <v>0</v>
      </c>
      <c r="H80">
        <v>0</v>
      </c>
      <c r="I80">
        <v>0</v>
      </c>
      <c r="L80" s="35">
        <f t="shared" si="14"/>
        <v>6</v>
      </c>
      <c r="M80" s="35">
        <f t="shared" si="15"/>
        <v>5</v>
      </c>
      <c r="N80">
        <f t="shared" si="16"/>
        <v>0</v>
      </c>
      <c r="O80">
        <f t="shared" si="19"/>
        <v>0</v>
      </c>
      <c r="P80">
        <f t="shared" si="17"/>
        <v>0</v>
      </c>
      <c r="Q80" t="str">
        <f t="shared" si="20"/>
        <v>0</v>
      </c>
    </row>
    <row r="81" spans="1:17" x14ac:dyDescent="0.25">
      <c r="A81" t="str">
        <f t="shared" si="18"/>
        <v>Arsenal - Cazorla</v>
      </c>
      <c r="B81" t="s">
        <v>1555</v>
      </c>
      <c r="C81" t="s">
        <v>1410</v>
      </c>
      <c r="D81" t="s">
        <v>6</v>
      </c>
      <c r="E81" t="s">
        <v>1423</v>
      </c>
      <c r="F81">
        <v>45</v>
      </c>
      <c r="G81">
        <v>0</v>
      </c>
      <c r="H81">
        <v>0</v>
      </c>
      <c r="I81">
        <v>0</v>
      </c>
      <c r="L81" s="35">
        <f t="shared" si="14"/>
        <v>6.2</v>
      </c>
      <c r="M81" s="35">
        <f t="shared" si="15"/>
        <v>5</v>
      </c>
      <c r="N81">
        <f t="shared" si="16"/>
        <v>1</v>
      </c>
      <c r="O81">
        <f t="shared" si="19"/>
        <v>2</v>
      </c>
      <c r="P81">
        <f t="shared" si="17"/>
        <v>2</v>
      </c>
      <c r="Q81" t="str">
        <f t="shared" si="20"/>
        <v>2</v>
      </c>
    </row>
    <row r="82" spans="1:17" x14ac:dyDescent="0.25">
      <c r="A82" t="str">
        <f t="shared" si="18"/>
        <v>Man City - Fernandinho</v>
      </c>
      <c r="B82" t="s">
        <v>1555</v>
      </c>
      <c r="C82" t="s">
        <v>1268</v>
      </c>
      <c r="D82" t="s">
        <v>6</v>
      </c>
      <c r="E82" t="s">
        <v>1520</v>
      </c>
      <c r="F82">
        <v>33</v>
      </c>
      <c r="G82">
        <v>0</v>
      </c>
      <c r="H82">
        <v>0</v>
      </c>
      <c r="I82">
        <v>0</v>
      </c>
      <c r="L82" s="35">
        <f t="shared" si="14"/>
        <v>6.333333333333333</v>
      </c>
      <c r="M82" s="35">
        <f t="shared" si="15"/>
        <v>6</v>
      </c>
      <c r="N82">
        <f t="shared" si="16"/>
        <v>0</v>
      </c>
      <c r="O82">
        <f t="shared" si="19"/>
        <v>1</v>
      </c>
      <c r="P82">
        <f t="shared" si="17"/>
        <v>1</v>
      </c>
      <c r="Q82" t="str">
        <f t="shared" si="20"/>
        <v>1</v>
      </c>
    </row>
    <row r="83" spans="1:17" x14ac:dyDescent="0.25">
      <c r="A83" t="str">
        <f t="shared" si="18"/>
        <v>Burnley - Heaton</v>
      </c>
      <c r="B83" t="s">
        <v>1555</v>
      </c>
      <c r="C83" t="s">
        <v>1045</v>
      </c>
      <c r="D83" t="s">
        <v>7</v>
      </c>
      <c r="E83" t="s">
        <v>1069</v>
      </c>
      <c r="F83">
        <v>13</v>
      </c>
      <c r="G83">
        <v>0</v>
      </c>
      <c r="H83">
        <v>0</v>
      </c>
      <c r="I83">
        <v>0</v>
      </c>
      <c r="L83" s="35">
        <f t="shared" si="14"/>
        <v>5.5</v>
      </c>
      <c r="M83" s="35">
        <f t="shared" si="15"/>
        <v>6</v>
      </c>
      <c r="N83">
        <f t="shared" si="16"/>
        <v>0</v>
      </c>
      <c r="O83">
        <f t="shared" si="19"/>
        <v>0</v>
      </c>
      <c r="P83">
        <f t="shared" si="17"/>
        <v>0</v>
      </c>
      <c r="Q83" t="str">
        <f t="shared" si="20"/>
        <v>0</v>
      </c>
    </row>
    <row r="84" spans="1:17" x14ac:dyDescent="0.25">
      <c r="A84" t="str">
        <f t="shared" si="18"/>
        <v>Leicester - Huth</v>
      </c>
      <c r="B84" t="s">
        <v>1555</v>
      </c>
      <c r="C84" t="s">
        <v>1242</v>
      </c>
      <c r="D84" t="s">
        <v>8</v>
      </c>
      <c r="E84" t="s">
        <v>1258</v>
      </c>
      <c r="F84">
        <v>13</v>
      </c>
      <c r="G84">
        <v>0</v>
      </c>
      <c r="H84">
        <v>0</v>
      </c>
      <c r="I84">
        <v>0</v>
      </c>
      <c r="L84" s="35">
        <f t="shared" si="14"/>
        <v>4.4000000000000004</v>
      </c>
      <c r="M84" s="35">
        <f t="shared" si="15"/>
        <v>5</v>
      </c>
      <c r="N84">
        <f t="shared" si="16"/>
        <v>0</v>
      </c>
      <c r="O84">
        <f t="shared" si="19"/>
        <v>0</v>
      </c>
      <c r="P84">
        <f t="shared" si="17"/>
        <v>0</v>
      </c>
      <c r="Q84" t="str">
        <f t="shared" si="20"/>
        <v>0</v>
      </c>
    </row>
    <row r="85" spans="1:17" x14ac:dyDescent="0.25">
      <c r="A85" t="str">
        <f t="shared" si="18"/>
        <v>Man United - Ibrahimovic</v>
      </c>
      <c r="B85" t="s">
        <v>1555</v>
      </c>
      <c r="C85" t="s">
        <v>65</v>
      </c>
      <c r="D85" t="s">
        <v>5</v>
      </c>
      <c r="E85" t="s">
        <v>1521</v>
      </c>
      <c r="F85">
        <v>120</v>
      </c>
      <c r="G85">
        <v>3</v>
      </c>
      <c r="H85">
        <v>1</v>
      </c>
      <c r="I85">
        <v>4</v>
      </c>
      <c r="J85" t="s">
        <v>252</v>
      </c>
      <c r="K85" t="s">
        <v>253</v>
      </c>
      <c r="L85" s="35">
        <f t="shared" si="14"/>
        <v>5.666666666666667</v>
      </c>
      <c r="M85" s="35">
        <f t="shared" si="15"/>
        <v>6</v>
      </c>
      <c r="N85">
        <f t="shared" si="16"/>
        <v>0</v>
      </c>
      <c r="O85">
        <f t="shared" si="19"/>
        <v>4</v>
      </c>
      <c r="P85">
        <f t="shared" si="17"/>
        <v>4</v>
      </c>
      <c r="Q85" t="str">
        <f t="shared" si="20"/>
        <v>4</v>
      </c>
    </row>
    <row r="86" spans="1:17" x14ac:dyDescent="0.25">
      <c r="A86" t="str">
        <f t="shared" si="18"/>
        <v>Watford - Juan Zuñiga</v>
      </c>
      <c r="B86" t="s">
        <v>1555</v>
      </c>
      <c r="C86" t="s">
        <v>1565</v>
      </c>
      <c r="D86" t="s">
        <v>8</v>
      </c>
      <c r="E86" t="s">
        <v>1393</v>
      </c>
      <c r="F86">
        <v>17</v>
      </c>
      <c r="G86">
        <v>0</v>
      </c>
      <c r="H86">
        <v>0</v>
      </c>
      <c r="I86">
        <v>0</v>
      </c>
      <c r="J86" t="s">
        <v>168</v>
      </c>
      <c r="K86" t="s">
        <v>280</v>
      </c>
      <c r="L86" s="35" t="str">
        <f t="shared" si="14"/>
        <v/>
      </c>
      <c r="M86" s="35">
        <f t="shared" si="15"/>
        <v>0</v>
      </c>
      <c r="N86">
        <f t="shared" si="16"/>
        <v>3</v>
      </c>
      <c r="O86">
        <f t="shared" si="19"/>
        <v>1</v>
      </c>
      <c r="P86">
        <f t="shared" si="17"/>
        <v>1</v>
      </c>
      <c r="Q86" t="str">
        <f t="shared" si="20"/>
        <v>1</v>
      </c>
    </row>
    <row r="87" spans="1:17" x14ac:dyDescent="0.25">
      <c r="A87" t="str">
        <f t="shared" si="18"/>
        <v>Bournemouth - King</v>
      </c>
      <c r="B87" t="s">
        <v>1555</v>
      </c>
      <c r="C87" t="s">
        <v>1246</v>
      </c>
      <c r="D87" t="s">
        <v>5</v>
      </c>
      <c r="E87" t="s">
        <v>1474</v>
      </c>
      <c r="F87">
        <v>20</v>
      </c>
      <c r="G87">
        <v>0</v>
      </c>
      <c r="H87">
        <v>0</v>
      </c>
      <c r="I87">
        <v>0</v>
      </c>
      <c r="L87" s="35">
        <f t="shared" si="14"/>
        <v>5</v>
      </c>
      <c r="M87" s="35">
        <f t="shared" si="15"/>
        <v>5</v>
      </c>
      <c r="N87">
        <f t="shared" si="16"/>
        <v>0</v>
      </c>
      <c r="O87">
        <f t="shared" si="19"/>
        <v>1</v>
      </c>
      <c r="P87">
        <f t="shared" si="17"/>
        <v>1</v>
      </c>
      <c r="Q87" t="str">
        <f t="shared" si="20"/>
        <v>1</v>
      </c>
    </row>
    <row r="88" spans="1:17" x14ac:dyDescent="0.25">
      <c r="A88" t="str">
        <f t="shared" si="18"/>
        <v>Liverpool - Mané</v>
      </c>
      <c r="B88" t="s">
        <v>1555</v>
      </c>
      <c r="C88" t="s">
        <v>1041</v>
      </c>
      <c r="D88" t="s">
        <v>6</v>
      </c>
      <c r="E88" t="s">
        <v>1446</v>
      </c>
      <c r="F88">
        <v>20</v>
      </c>
      <c r="G88">
        <v>0</v>
      </c>
      <c r="H88">
        <v>0</v>
      </c>
      <c r="I88">
        <v>0</v>
      </c>
      <c r="L88" s="35">
        <f t="shared" si="14"/>
        <v>5.6</v>
      </c>
      <c r="M88" s="35">
        <f t="shared" si="15"/>
        <v>5</v>
      </c>
      <c r="N88">
        <f t="shared" si="16"/>
        <v>0</v>
      </c>
      <c r="O88">
        <f t="shared" si="19"/>
        <v>3</v>
      </c>
      <c r="P88">
        <f t="shared" si="17"/>
        <v>3</v>
      </c>
      <c r="Q88" t="str">
        <f t="shared" si="20"/>
        <v>3</v>
      </c>
    </row>
    <row r="89" spans="1:17" x14ac:dyDescent="0.25">
      <c r="A89" t="str">
        <f t="shared" si="18"/>
        <v>West Bromwich - McClean</v>
      </c>
      <c r="B89" t="s">
        <v>1555</v>
      </c>
      <c r="C89" t="s">
        <v>1134</v>
      </c>
      <c r="D89" t="s">
        <v>6</v>
      </c>
      <c r="E89" t="s">
        <v>1523</v>
      </c>
      <c r="F89">
        <v>10</v>
      </c>
      <c r="G89">
        <v>0</v>
      </c>
      <c r="H89">
        <v>0</v>
      </c>
      <c r="I89">
        <v>0</v>
      </c>
      <c r="L89" s="35">
        <f t="shared" si="14"/>
        <v>5.333333333333333</v>
      </c>
      <c r="M89" s="35">
        <f t="shared" si="15"/>
        <v>3</v>
      </c>
      <c r="N89">
        <f t="shared" si="16"/>
        <v>2</v>
      </c>
      <c r="O89">
        <f t="shared" si="19"/>
        <v>1</v>
      </c>
      <c r="P89">
        <f t="shared" si="17"/>
        <v>1</v>
      </c>
      <c r="Q89" t="str">
        <f t="shared" si="20"/>
        <v>1</v>
      </c>
    </row>
    <row r="90" spans="1:17" x14ac:dyDescent="0.25">
      <c r="A90" t="str">
        <f t="shared" si="18"/>
        <v>Swansea - Naughton</v>
      </c>
      <c r="B90" t="s">
        <v>1555</v>
      </c>
      <c r="C90" t="s">
        <v>1073</v>
      </c>
      <c r="D90" t="s">
        <v>8</v>
      </c>
      <c r="E90" t="s">
        <v>1095</v>
      </c>
      <c r="F90">
        <v>14</v>
      </c>
      <c r="G90">
        <v>0</v>
      </c>
      <c r="H90">
        <v>0</v>
      </c>
      <c r="I90">
        <v>0</v>
      </c>
      <c r="J90" t="s">
        <v>170</v>
      </c>
      <c r="K90" t="s">
        <v>314</v>
      </c>
      <c r="L90" s="35">
        <f t="shared" si="14"/>
        <v>4.666666666666667</v>
      </c>
      <c r="M90" s="35">
        <f t="shared" si="15"/>
        <v>6</v>
      </c>
      <c r="N90">
        <f t="shared" si="16"/>
        <v>0</v>
      </c>
      <c r="O90">
        <f t="shared" si="19"/>
        <v>0</v>
      </c>
      <c r="P90">
        <f t="shared" si="17"/>
        <v>0</v>
      </c>
      <c r="Q90" t="str">
        <f t="shared" si="20"/>
        <v>0</v>
      </c>
    </row>
    <row r="91" spans="1:17" x14ac:dyDescent="0.25">
      <c r="A91" t="str">
        <f t="shared" si="18"/>
        <v>Middlesbrough - Negredo</v>
      </c>
      <c r="B91" t="s">
        <v>1555</v>
      </c>
      <c r="C91" t="s">
        <v>1319</v>
      </c>
      <c r="D91" t="s">
        <v>5</v>
      </c>
      <c r="E91" t="s">
        <v>1324</v>
      </c>
      <c r="F91">
        <v>28</v>
      </c>
      <c r="G91">
        <v>0</v>
      </c>
      <c r="H91">
        <v>0</v>
      </c>
      <c r="I91">
        <v>0</v>
      </c>
      <c r="L91" s="35">
        <f t="shared" si="14"/>
        <v>4.666666666666667</v>
      </c>
      <c r="M91" s="35">
        <f t="shared" si="15"/>
        <v>6</v>
      </c>
      <c r="N91">
        <f t="shared" si="16"/>
        <v>0</v>
      </c>
      <c r="O91">
        <f t="shared" si="19"/>
        <v>1</v>
      </c>
      <c r="P91">
        <f t="shared" si="17"/>
        <v>1</v>
      </c>
      <c r="Q91" t="str">
        <f t="shared" si="20"/>
        <v>1</v>
      </c>
    </row>
    <row r="92" spans="1:17" x14ac:dyDescent="0.25">
      <c r="A92" t="str">
        <f t="shared" si="18"/>
        <v>West Bromwich - Rondón</v>
      </c>
      <c r="B92" t="s">
        <v>1555</v>
      </c>
      <c r="C92" t="s">
        <v>1564</v>
      </c>
      <c r="D92" t="s">
        <v>5</v>
      </c>
      <c r="E92" t="s">
        <v>1523</v>
      </c>
      <c r="F92">
        <v>43</v>
      </c>
      <c r="G92">
        <v>0</v>
      </c>
      <c r="H92">
        <v>1</v>
      </c>
      <c r="I92">
        <v>1</v>
      </c>
      <c r="J92" t="s">
        <v>310</v>
      </c>
      <c r="K92" t="s">
        <v>311</v>
      </c>
      <c r="L92" s="35">
        <f t="shared" si="14"/>
        <v>5.6</v>
      </c>
      <c r="M92" s="35">
        <f t="shared" si="15"/>
        <v>5</v>
      </c>
      <c r="N92">
        <f t="shared" si="16"/>
        <v>1</v>
      </c>
      <c r="O92">
        <f t="shared" si="19"/>
        <v>3</v>
      </c>
      <c r="P92">
        <f t="shared" si="17"/>
        <v>3</v>
      </c>
      <c r="Q92" t="str">
        <f t="shared" si="20"/>
        <v>3</v>
      </c>
    </row>
    <row r="93" spans="1:17" x14ac:dyDescent="0.25">
      <c r="A93" t="str">
        <f t="shared" si="18"/>
        <v>Leicester - Schmeichel</v>
      </c>
      <c r="B93" t="s">
        <v>1555</v>
      </c>
      <c r="C93" t="s">
        <v>1238</v>
      </c>
      <c r="D93" t="s">
        <v>7</v>
      </c>
      <c r="E93" t="s">
        <v>1258</v>
      </c>
      <c r="F93">
        <v>17</v>
      </c>
      <c r="G93">
        <v>0</v>
      </c>
      <c r="H93">
        <v>0</v>
      </c>
      <c r="I93">
        <v>0</v>
      </c>
      <c r="L93" s="35">
        <f t="shared" si="14"/>
        <v>5</v>
      </c>
      <c r="M93" s="35">
        <f t="shared" si="15"/>
        <v>4</v>
      </c>
      <c r="N93">
        <f t="shared" si="16"/>
        <v>0</v>
      </c>
      <c r="O93">
        <f t="shared" si="19"/>
        <v>0</v>
      </c>
      <c r="P93">
        <f t="shared" si="17"/>
        <v>0</v>
      </c>
      <c r="Q93" t="str">
        <f t="shared" si="20"/>
        <v>0</v>
      </c>
    </row>
    <row r="94" spans="1:17" x14ac:dyDescent="0.25">
      <c r="A94" t="str">
        <f t="shared" si="18"/>
        <v>Man United - Shaw</v>
      </c>
      <c r="B94" t="s">
        <v>1555</v>
      </c>
      <c r="C94" t="s">
        <v>1480</v>
      </c>
      <c r="D94" t="s">
        <v>8</v>
      </c>
      <c r="E94" t="s">
        <v>1521</v>
      </c>
      <c r="F94">
        <v>19</v>
      </c>
      <c r="G94">
        <v>2</v>
      </c>
      <c r="H94">
        <v>1</v>
      </c>
      <c r="I94">
        <v>3</v>
      </c>
      <c r="J94" t="s">
        <v>326</v>
      </c>
      <c r="K94" t="s">
        <v>172</v>
      </c>
      <c r="L94" s="35">
        <f t="shared" si="14"/>
        <v>5</v>
      </c>
      <c r="M94" s="35">
        <f t="shared" si="15"/>
        <v>5</v>
      </c>
      <c r="N94">
        <f t="shared" si="16"/>
        <v>0</v>
      </c>
      <c r="O94">
        <f t="shared" si="19"/>
        <v>0</v>
      </c>
      <c r="P94">
        <f t="shared" si="17"/>
        <v>0</v>
      </c>
      <c r="Q94" t="str">
        <f t="shared" si="20"/>
        <v>0</v>
      </c>
    </row>
    <row r="95" spans="1:17" x14ac:dyDescent="0.25">
      <c r="A95" t="str">
        <f t="shared" si="18"/>
        <v>Hull city - Snodgrass</v>
      </c>
      <c r="B95" t="s">
        <v>1555</v>
      </c>
      <c r="C95" t="s">
        <v>1231</v>
      </c>
      <c r="D95" t="s">
        <v>6</v>
      </c>
      <c r="E95" t="s">
        <v>1524</v>
      </c>
      <c r="F95">
        <v>22</v>
      </c>
      <c r="G95">
        <v>0</v>
      </c>
      <c r="H95">
        <v>0</v>
      </c>
      <c r="I95">
        <v>0</v>
      </c>
      <c r="L95" s="35">
        <f t="shared" si="14"/>
        <v>5.5</v>
      </c>
      <c r="M95" s="35">
        <f t="shared" si="15"/>
        <v>6</v>
      </c>
      <c r="N95">
        <f t="shared" si="16"/>
        <v>0</v>
      </c>
      <c r="O95">
        <f t="shared" si="19"/>
        <v>3</v>
      </c>
      <c r="P95">
        <f t="shared" si="17"/>
        <v>3</v>
      </c>
      <c r="Q95" t="str">
        <f t="shared" si="20"/>
        <v>3</v>
      </c>
    </row>
    <row r="96" spans="1:17" x14ac:dyDescent="0.25">
      <c r="A96" t="str">
        <f t="shared" si="18"/>
        <v>Crystal Palace - Zaha</v>
      </c>
      <c r="B96" t="s">
        <v>1555</v>
      </c>
      <c r="C96" t="s">
        <v>1107</v>
      </c>
      <c r="D96" t="s">
        <v>6</v>
      </c>
      <c r="E96" t="s">
        <v>1522</v>
      </c>
      <c r="F96">
        <v>16</v>
      </c>
      <c r="G96">
        <v>0</v>
      </c>
      <c r="H96">
        <v>0</v>
      </c>
      <c r="I96">
        <v>0</v>
      </c>
      <c r="L96" s="35">
        <f t="shared" si="14"/>
        <v>5.25</v>
      </c>
      <c r="M96" s="35">
        <f t="shared" si="15"/>
        <v>4</v>
      </c>
      <c r="N96">
        <f t="shared" si="16"/>
        <v>1</v>
      </c>
      <c r="O96">
        <f t="shared" si="19"/>
        <v>1</v>
      </c>
      <c r="P96">
        <f t="shared" si="17"/>
        <v>1</v>
      </c>
      <c r="Q96" t="str">
        <f t="shared" si="20"/>
        <v>1</v>
      </c>
    </row>
    <row r="97" spans="1:17" x14ac:dyDescent="0.25">
      <c r="A97" t="str">
        <f t="shared" si="18"/>
        <v>West Ham - Antonio</v>
      </c>
      <c r="B97" t="s">
        <v>1563</v>
      </c>
      <c r="C97" t="s">
        <v>1192</v>
      </c>
      <c r="D97" t="s">
        <v>6</v>
      </c>
      <c r="E97" t="s">
        <v>1212</v>
      </c>
      <c r="F97">
        <v>25</v>
      </c>
      <c r="G97">
        <v>0</v>
      </c>
      <c r="H97">
        <v>0</v>
      </c>
      <c r="I97">
        <v>0</v>
      </c>
      <c r="L97" s="35">
        <f t="shared" si="14"/>
        <v>5.166666666666667</v>
      </c>
      <c r="M97" s="35">
        <f t="shared" si="15"/>
        <v>6</v>
      </c>
      <c r="N97">
        <f t="shared" si="16"/>
        <v>0</v>
      </c>
      <c r="O97">
        <f t="shared" si="19"/>
        <v>4</v>
      </c>
      <c r="P97">
        <f t="shared" si="17"/>
        <v>4</v>
      </c>
      <c r="Q97" t="str">
        <f t="shared" si="20"/>
        <v>4</v>
      </c>
    </row>
    <row r="98" spans="1:17" x14ac:dyDescent="0.25">
      <c r="A98" t="str">
        <f t="shared" si="18"/>
        <v>Middlesbrough - Ayala</v>
      </c>
      <c r="B98" t="s">
        <v>1563</v>
      </c>
      <c r="C98" t="s">
        <v>1307</v>
      </c>
      <c r="D98" t="s">
        <v>8</v>
      </c>
      <c r="E98" t="s">
        <v>1324</v>
      </c>
      <c r="F98">
        <v>14</v>
      </c>
      <c r="G98">
        <v>0</v>
      </c>
      <c r="H98">
        <v>0</v>
      </c>
      <c r="I98">
        <v>0</v>
      </c>
      <c r="L98" s="35">
        <f t="shared" si="14"/>
        <v>5</v>
      </c>
      <c r="M98" s="35">
        <f t="shared" si="15"/>
        <v>3</v>
      </c>
      <c r="N98">
        <f t="shared" si="16"/>
        <v>1</v>
      </c>
      <c r="O98">
        <f t="shared" si="19"/>
        <v>1</v>
      </c>
      <c r="P98">
        <f t="shared" si="17"/>
        <v>1</v>
      </c>
      <c r="Q98" t="str">
        <f t="shared" si="20"/>
        <v>1</v>
      </c>
    </row>
    <row r="99" spans="1:17" x14ac:dyDescent="0.25">
      <c r="A99" t="str">
        <f t="shared" si="18"/>
        <v>Everton - Barry</v>
      </c>
      <c r="B99" t="s">
        <v>1563</v>
      </c>
      <c r="C99" t="s">
        <v>1156</v>
      </c>
      <c r="D99" t="s">
        <v>6</v>
      </c>
      <c r="E99" t="s">
        <v>1167</v>
      </c>
      <c r="F99">
        <v>24</v>
      </c>
      <c r="G99">
        <v>0</v>
      </c>
      <c r="H99">
        <v>0</v>
      </c>
      <c r="I99">
        <v>0</v>
      </c>
      <c r="L99" s="35">
        <f t="shared" si="14"/>
        <v>5.833333333333333</v>
      </c>
      <c r="M99" s="35">
        <f t="shared" si="15"/>
        <v>6</v>
      </c>
      <c r="N99">
        <f t="shared" si="16"/>
        <v>0</v>
      </c>
      <c r="O99">
        <f t="shared" si="19"/>
        <v>2</v>
      </c>
      <c r="P99">
        <f t="shared" ref="P99:P130" si="21">VLOOKUP(VLOOKUP($A99,_JOUEURS,2,FALSE),_DATA,8,FALSE)</f>
        <v>2</v>
      </c>
      <c r="Q99" t="str">
        <f t="shared" si="20"/>
        <v>2</v>
      </c>
    </row>
    <row r="100" spans="1:17" x14ac:dyDescent="0.25">
      <c r="A100" t="str">
        <f t="shared" ref="A100:A131" si="22">E100 &amp; " - " &amp; C100</f>
        <v>Watford - Capoue</v>
      </c>
      <c r="B100" t="s">
        <v>1563</v>
      </c>
      <c r="C100" t="s">
        <v>1382</v>
      </c>
      <c r="D100" t="s">
        <v>6</v>
      </c>
      <c r="E100" t="s">
        <v>1393</v>
      </c>
      <c r="F100">
        <v>33</v>
      </c>
      <c r="G100">
        <v>0</v>
      </c>
      <c r="H100">
        <v>0</v>
      </c>
      <c r="I100">
        <v>0</v>
      </c>
      <c r="L100" s="35">
        <f t="shared" si="14"/>
        <v>6</v>
      </c>
      <c r="M100" s="35">
        <f t="shared" si="15"/>
        <v>6</v>
      </c>
      <c r="N100">
        <f t="shared" si="16"/>
        <v>0</v>
      </c>
      <c r="O100">
        <f t="shared" si="19"/>
        <v>4</v>
      </c>
      <c r="P100">
        <f t="shared" si="21"/>
        <v>4</v>
      </c>
      <c r="Q100" t="str">
        <f t="shared" si="20"/>
        <v>4</v>
      </c>
    </row>
    <row r="101" spans="1:17" x14ac:dyDescent="0.25">
      <c r="A101" t="str">
        <f t="shared" si="22"/>
        <v>Crystal Palace - Dann</v>
      </c>
      <c r="B101" t="s">
        <v>1563</v>
      </c>
      <c r="C101" t="s">
        <v>1098</v>
      </c>
      <c r="D101" t="s">
        <v>8</v>
      </c>
      <c r="E101" t="s">
        <v>1522</v>
      </c>
      <c r="F101">
        <v>24</v>
      </c>
      <c r="G101">
        <v>0</v>
      </c>
      <c r="H101">
        <v>0</v>
      </c>
      <c r="I101">
        <v>0</v>
      </c>
      <c r="L101" s="35">
        <f t="shared" si="14"/>
        <v>5.8</v>
      </c>
      <c r="M101" s="35">
        <f t="shared" si="15"/>
        <v>5</v>
      </c>
      <c r="N101">
        <f t="shared" si="16"/>
        <v>0</v>
      </c>
      <c r="O101">
        <f t="shared" si="19"/>
        <v>2</v>
      </c>
      <c r="P101">
        <f t="shared" si="21"/>
        <v>2</v>
      </c>
      <c r="Q101" t="str">
        <f t="shared" si="20"/>
        <v>2</v>
      </c>
    </row>
    <row r="102" spans="1:17" x14ac:dyDescent="0.25">
      <c r="A102" t="str">
        <f t="shared" si="22"/>
        <v>Hull city - Davies</v>
      </c>
      <c r="B102" t="s">
        <v>1563</v>
      </c>
      <c r="C102" t="s">
        <v>1160</v>
      </c>
      <c r="D102" t="s">
        <v>8</v>
      </c>
      <c r="E102" t="s">
        <v>1524</v>
      </c>
      <c r="F102">
        <v>24</v>
      </c>
      <c r="G102">
        <v>0</v>
      </c>
      <c r="H102">
        <v>0</v>
      </c>
      <c r="I102">
        <v>0</v>
      </c>
      <c r="L102" s="35">
        <f t="shared" si="14"/>
        <v>5.333333333333333</v>
      </c>
      <c r="M102" s="35">
        <f t="shared" si="15"/>
        <v>6</v>
      </c>
      <c r="N102">
        <f t="shared" si="16"/>
        <v>0</v>
      </c>
      <c r="O102">
        <f t="shared" si="19"/>
        <v>0</v>
      </c>
      <c r="P102">
        <f t="shared" si="21"/>
        <v>0</v>
      </c>
      <c r="Q102" t="str">
        <f t="shared" si="20"/>
        <v>0</v>
      </c>
    </row>
    <row r="103" spans="1:17" x14ac:dyDescent="0.25">
      <c r="A103" t="str">
        <f t="shared" si="22"/>
        <v>Watford - Deeney</v>
      </c>
      <c r="B103" t="s">
        <v>1563</v>
      </c>
      <c r="C103" t="s">
        <v>1388</v>
      </c>
      <c r="D103" t="s">
        <v>5</v>
      </c>
      <c r="E103" t="s">
        <v>1393</v>
      </c>
      <c r="F103">
        <v>22</v>
      </c>
      <c r="G103">
        <v>0</v>
      </c>
      <c r="H103">
        <v>0</v>
      </c>
      <c r="I103">
        <v>0</v>
      </c>
      <c r="L103" s="35">
        <f t="shared" si="14"/>
        <v>5</v>
      </c>
      <c r="M103" s="35">
        <f t="shared" si="15"/>
        <v>6</v>
      </c>
      <c r="N103">
        <f t="shared" si="16"/>
        <v>0</v>
      </c>
      <c r="O103">
        <f t="shared" si="19"/>
        <v>2</v>
      </c>
      <c r="P103">
        <f t="shared" si="21"/>
        <v>2</v>
      </c>
      <c r="Q103" t="str">
        <f t="shared" si="20"/>
        <v>2</v>
      </c>
    </row>
    <row r="104" spans="1:17" x14ac:dyDescent="0.25">
      <c r="A104" t="str">
        <f t="shared" si="22"/>
        <v>Sunderland - Defoe</v>
      </c>
      <c r="B104" t="s">
        <v>1563</v>
      </c>
      <c r="C104" t="s">
        <v>1299</v>
      </c>
      <c r="D104" t="s">
        <v>5</v>
      </c>
      <c r="E104" t="s">
        <v>1301</v>
      </c>
      <c r="F104">
        <v>48</v>
      </c>
      <c r="G104">
        <v>0</v>
      </c>
      <c r="H104">
        <v>0</v>
      </c>
      <c r="I104">
        <v>0</v>
      </c>
      <c r="L104" s="35">
        <f t="shared" si="14"/>
        <v>4.833333333333333</v>
      </c>
      <c r="M104" s="35">
        <f t="shared" si="15"/>
        <v>6</v>
      </c>
      <c r="N104">
        <f t="shared" si="16"/>
        <v>0</v>
      </c>
      <c r="O104">
        <f t="shared" si="19"/>
        <v>4</v>
      </c>
      <c r="P104">
        <f t="shared" si="21"/>
        <v>4</v>
      </c>
      <c r="Q104" t="str">
        <f t="shared" si="20"/>
        <v>4</v>
      </c>
    </row>
    <row r="105" spans="1:17" x14ac:dyDescent="0.25">
      <c r="A105" t="str">
        <f t="shared" si="22"/>
        <v>Hull city - Diomande</v>
      </c>
      <c r="B105" t="s">
        <v>1563</v>
      </c>
      <c r="C105" t="s">
        <v>1029</v>
      </c>
      <c r="D105" t="s">
        <v>5</v>
      </c>
      <c r="E105" t="s">
        <v>1524</v>
      </c>
      <c r="F105">
        <v>28</v>
      </c>
      <c r="G105">
        <v>0</v>
      </c>
      <c r="H105">
        <v>0</v>
      </c>
      <c r="I105">
        <v>0</v>
      </c>
      <c r="J105" t="s">
        <v>327</v>
      </c>
      <c r="K105" t="s">
        <v>328</v>
      </c>
      <c r="L105" s="35">
        <f t="shared" si="14"/>
        <v>4.666666666666667</v>
      </c>
      <c r="M105" s="35">
        <f t="shared" si="15"/>
        <v>6</v>
      </c>
      <c r="N105">
        <f t="shared" si="16"/>
        <v>0</v>
      </c>
      <c r="O105">
        <f t="shared" si="19"/>
        <v>1</v>
      </c>
      <c r="P105">
        <f t="shared" si="21"/>
        <v>1</v>
      </c>
      <c r="Q105" t="str">
        <f t="shared" si="20"/>
        <v>1</v>
      </c>
    </row>
    <row r="106" spans="1:17" x14ac:dyDescent="0.25">
      <c r="A106" t="str">
        <f t="shared" si="22"/>
        <v>Swansea - Fer</v>
      </c>
      <c r="B106" t="s">
        <v>1563</v>
      </c>
      <c r="C106" t="s">
        <v>1084</v>
      </c>
      <c r="D106" t="s">
        <v>6</v>
      </c>
      <c r="E106" t="s">
        <v>1095</v>
      </c>
      <c r="F106">
        <v>22</v>
      </c>
      <c r="G106">
        <v>0</v>
      </c>
      <c r="H106">
        <v>0</v>
      </c>
      <c r="I106">
        <v>0</v>
      </c>
      <c r="L106" s="35">
        <f t="shared" si="14"/>
        <v>5.666666666666667</v>
      </c>
      <c r="M106" s="35">
        <f t="shared" si="15"/>
        <v>6</v>
      </c>
      <c r="N106">
        <f t="shared" si="16"/>
        <v>0</v>
      </c>
      <c r="O106">
        <f t="shared" si="19"/>
        <v>3</v>
      </c>
      <c r="P106">
        <f t="shared" si="21"/>
        <v>3</v>
      </c>
      <c r="Q106" t="str">
        <f t="shared" si="20"/>
        <v>3</v>
      </c>
    </row>
    <row r="107" spans="1:17" x14ac:dyDescent="0.25">
      <c r="A107" t="str">
        <f t="shared" si="22"/>
        <v>West Bromwich - Foster</v>
      </c>
      <c r="B107" t="s">
        <v>1563</v>
      </c>
      <c r="C107" t="s">
        <v>1120</v>
      </c>
      <c r="D107" t="s">
        <v>7</v>
      </c>
      <c r="E107" t="s">
        <v>1523</v>
      </c>
      <c r="F107">
        <v>13</v>
      </c>
      <c r="G107">
        <v>0</v>
      </c>
      <c r="H107">
        <v>0</v>
      </c>
      <c r="I107">
        <v>0</v>
      </c>
      <c r="L107" s="35">
        <f t="shared" si="14"/>
        <v>5.833333333333333</v>
      </c>
      <c r="M107" s="35">
        <f t="shared" si="15"/>
        <v>6</v>
      </c>
      <c r="N107">
        <f t="shared" si="16"/>
        <v>0</v>
      </c>
      <c r="O107">
        <f t="shared" si="19"/>
        <v>0</v>
      </c>
      <c r="P107">
        <f t="shared" si="21"/>
        <v>0</v>
      </c>
      <c r="Q107" t="str">
        <f t="shared" si="20"/>
        <v>0</v>
      </c>
    </row>
    <row r="108" spans="1:17" x14ac:dyDescent="0.25">
      <c r="A108" t="str">
        <f t="shared" si="22"/>
        <v>Everton - Gueye</v>
      </c>
      <c r="B108" t="s">
        <v>1563</v>
      </c>
      <c r="C108" t="s">
        <v>1155</v>
      </c>
      <c r="D108" t="s">
        <v>6</v>
      </c>
      <c r="E108" t="s">
        <v>1167</v>
      </c>
      <c r="F108">
        <v>24</v>
      </c>
      <c r="G108">
        <v>0</v>
      </c>
      <c r="H108">
        <v>0</v>
      </c>
      <c r="I108">
        <v>0</v>
      </c>
      <c r="L108" s="35">
        <f t="shared" si="14"/>
        <v>6.333333333333333</v>
      </c>
      <c r="M108" s="35">
        <f t="shared" si="15"/>
        <v>6</v>
      </c>
      <c r="N108">
        <f t="shared" si="16"/>
        <v>0</v>
      </c>
      <c r="O108">
        <f t="shared" si="19"/>
        <v>0</v>
      </c>
      <c r="P108">
        <f t="shared" si="21"/>
        <v>0</v>
      </c>
      <c r="Q108" t="str">
        <f t="shared" si="20"/>
        <v>0</v>
      </c>
    </row>
    <row r="109" spans="1:17" x14ac:dyDescent="0.25">
      <c r="A109" t="str">
        <f t="shared" si="22"/>
        <v>Everton - Jagielka</v>
      </c>
      <c r="B109" t="s">
        <v>1563</v>
      </c>
      <c r="C109" t="s">
        <v>1148</v>
      </c>
      <c r="D109" t="s">
        <v>8</v>
      </c>
      <c r="E109" t="s">
        <v>1167</v>
      </c>
      <c r="F109">
        <v>24</v>
      </c>
      <c r="G109">
        <v>0</v>
      </c>
      <c r="H109">
        <v>0</v>
      </c>
      <c r="I109">
        <v>0</v>
      </c>
      <c r="L109" s="35">
        <f t="shared" si="14"/>
        <v>5.666666666666667</v>
      </c>
      <c r="M109" s="35">
        <f t="shared" si="15"/>
        <v>6</v>
      </c>
      <c r="N109">
        <f t="shared" si="16"/>
        <v>0</v>
      </c>
      <c r="O109">
        <f t="shared" si="19"/>
        <v>0</v>
      </c>
      <c r="P109">
        <f t="shared" si="21"/>
        <v>0</v>
      </c>
      <c r="Q109" t="str">
        <f t="shared" si="20"/>
        <v>0</v>
      </c>
    </row>
    <row r="110" spans="1:17" x14ac:dyDescent="0.25">
      <c r="A110" t="str">
        <f t="shared" si="22"/>
        <v>Tottenham - Janssen</v>
      </c>
      <c r="B110" t="s">
        <v>1563</v>
      </c>
      <c r="C110" t="s">
        <v>1187</v>
      </c>
      <c r="D110" t="s">
        <v>5</v>
      </c>
      <c r="E110" t="s">
        <v>1188</v>
      </c>
      <c r="F110">
        <v>16</v>
      </c>
      <c r="G110">
        <v>0</v>
      </c>
      <c r="H110">
        <v>0</v>
      </c>
      <c r="I110">
        <v>0</v>
      </c>
      <c r="L110" s="35">
        <f t="shared" si="14"/>
        <v>4.5</v>
      </c>
      <c r="M110" s="35">
        <f t="shared" si="15"/>
        <v>2</v>
      </c>
      <c r="N110">
        <f t="shared" si="16"/>
        <v>3</v>
      </c>
      <c r="O110">
        <f t="shared" si="19"/>
        <v>0</v>
      </c>
      <c r="P110">
        <f t="shared" si="21"/>
        <v>0</v>
      </c>
      <c r="Q110" t="str">
        <f t="shared" si="20"/>
        <v>0</v>
      </c>
    </row>
    <row r="111" spans="1:17" x14ac:dyDescent="0.25">
      <c r="A111" t="str">
        <f t="shared" si="22"/>
        <v>Liverpool - Lallana</v>
      </c>
      <c r="B111" t="s">
        <v>1563</v>
      </c>
      <c r="C111" t="s">
        <v>1434</v>
      </c>
      <c r="D111" t="s">
        <v>6</v>
      </c>
      <c r="E111" t="s">
        <v>1446</v>
      </c>
      <c r="F111">
        <v>21</v>
      </c>
      <c r="G111">
        <v>0</v>
      </c>
      <c r="H111">
        <v>0</v>
      </c>
      <c r="I111">
        <v>0</v>
      </c>
      <c r="L111" s="35">
        <f t="shared" si="14"/>
        <v>5.833333333333333</v>
      </c>
      <c r="M111" s="35">
        <f t="shared" si="15"/>
        <v>6</v>
      </c>
      <c r="N111">
        <f t="shared" si="16"/>
        <v>0</v>
      </c>
      <c r="O111">
        <f t="shared" si="19"/>
        <v>3</v>
      </c>
      <c r="P111">
        <f t="shared" si="21"/>
        <v>3</v>
      </c>
      <c r="Q111" t="str">
        <f t="shared" si="20"/>
        <v>3</v>
      </c>
    </row>
    <row r="112" spans="1:17" x14ac:dyDescent="0.25">
      <c r="A112" t="str">
        <f t="shared" si="22"/>
        <v>Crystal Palace - McArthur</v>
      </c>
      <c r="B112" t="s">
        <v>1563</v>
      </c>
      <c r="C112" t="s">
        <v>1113</v>
      </c>
      <c r="D112" t="s">
        <v>6</v>
      </c>
      <c r="E112" t="s">
        <v>1522</v>
      </c>
      <c r="F112">
        <v>8</v>
      </c>
      <c r="G112">
        <v>0</v>
      </c>
      <c r="H112">
        <v>0</v>
      </c>
      <c r="I112">
        <v>0</v>
      </c>
      <c r="L112" s="35">
        <f t="shared" si="14"/>
        <v>6</v>
      </c>
      <c r="M112" s="35">
        <f t="shared" si="15"/>
        <v>4</v>
      </c>
      <c r="N112">
        <f t="shared" si="16"/>
        <v>0</v>
      </c>
      <c r="O112">
        <f t="shared" si="19"/>
        <v>2</v>
      </c>
      <c r="P112">
        <f t="shared" si="21"/>
        <v>2</v>
      </c>
      <c r="Q112" t="str">
        <f t="shared" si="20"/>
        <v>2</v>
      </c>
    </row>
    <row r="113" spans="1:17" x14ac:dyDescent="0.25">
      <c r="A113" t="str">
        <f t="shared" si="22"/>
        <v>West Bromwich - McAuley</v>
      </c>
      <c r="B113" t="s">
        <v>1563</v>
      </c>
      <c r="C113" t="s">
        <v>1124</v>
      </c>
      <c r="D113" t="s">
        <v>8</v>
      </c>
      <c r="E113" t="s">
        <v>1523</v>
      </c>
      <c r="F113">
        <v>16</v>
      </c>
      <c r="G113">
        <v>0</v>
      </c>
      <c r="H113">
        <v>0</v>
      </c>
      <c r="I113">
        <v>0</v>
      </c>
      <c r="L113" s="35">
        <f t="shared" si="14"/>
        <v>5</v>
      </c>
      <c r="M113" s="35">
        <f t="shared" si="15"/>
        <v>6</v>
      </c>
      <c r="N113">
        <f t="shared" si="16"/>
        <v>0</v>
      </c>
      <c r="O113">
        <f t="shared" si="19"/>
        <v>1</v>
      </c>
      <c r="P113">
        <f t="shared" si="21"/>
        <v>1</v>
      </c>
      <c r="Q113" t="str">
        <f t="shared" si="20"/>
        <v>1</v>
      </c>
    </row>
    <row r="114" spans="1:17" x14ac:dyDescent="0.25">
      <c r="A114" t="str">
        <f t="shared" si="22"/>
        <v>West Bromwich - Myhill</v>
      </c>
      <c r="B114" t="s">
        <v>1563</v>
      </c>
      <c r="C114" t="s">
        <v>1121</v>
      </c>
      <c r="D114" t="s">
        <v>7</v>
      </c>
      <c r="E114" t="s">
        <v>1523</v>
      </c>
      <c r="F114">
        <v>7</v>
      </c>
      <c r="G114">
        <v>0</v>
      </c>
      <c r="H114">
        <v>0</v>
      </c>
      <c r="I114">
        <v>0</v>
      </c>
      <c r="L114" s="35" t="str">
        <f t="shared" si="14"/>
        <v/>
      </c>
      <c r="M114" s="35">
        <f t="shared" si="15"/>
        <v>0</v>
      </c>
      <c r="N114">
        <f t="shared" si="16"/>
        <v>0</v>
      </c>
      <c r="O114">
        <f t="shared" si="19"/>
        <v>0</v>
      </c>
      <c r="P114">
        <f t="shared" si="21"/>
        <v>0</v>
      </c>
      <c r="Q114" t="str">
        <f t="shared" si="20"/>
        <v>0</v>
      </c>
    </row>
    <row r="115" spans="1:17" x14ac:dyDescent="0.25">
      <c r="A115" t="str">
        <f t="shared" si="22"/>
        <v>Leicester - Slimani</v>
      </c>
      <c r="B115" t="s">
        <v>1563</v>
      </c>
      <c r="C115" t="s">
        <v>1256</v>
      </c>
      <c r="D115" t="s">
        <v>5</v>
      </c>
      <c r="E115" t="s">
        <v>1258</v>
      </c>
      <c r="F115">
        <v>36</v>
      </c>
      <c r="G115">
        <v>0</v>
      </c>
      <c r="H115">
        <v>0</v>
      </c>
      <c r="I115">
        <v>0</v>
      </c>
      <c r="L115" s="35">
        <f t="shared" si="14"/>
        <v>6</v>
      </c>
      <c r="M115" s="35">
        <f t="shared" si="15"/>
        <v>2</v>
      </c>
      <c r="N115">
        <f t="shared" si="16"/>
        <v>0</v>
      </c>
      <c r="O115">
        <f t="shared" si="19"/>
        <v>2</v>
      </c>
      <c r="P115">
        <f t="shared" si="21"/>
        <v>2</v>
      </c>
      <c r="Q115" t="str">
        <f t="shared" si="20"/>
        <v>2</v>
      </c>
    </row>
    <row r="116" spans="1:17" x14ac:dyDescent="0.25">
      <c r="A116" t="str">
        <f t="shared" si="22"/>
        <v>Crystal Palace - Tomkins</v>
      </c>
      <c r="B116" t="s">
        <v>1563</v>
      </c>
      <c r="C116" t="s">
        <v>1111</v>
      </c>
      <c r="D116" t="s">
        <v>8</v>
      </c>
      <c r="E116" t="s">
        <v>1522</v>
      </c>
      <c r="F116">
        <v>8</v>
      </c>
      <c r="G116">
        <v>3</v>
      </c>
      <c r="H116">
        <v>1</v>
      </c>
      <c r="I116">
        <v>4</v>
      </c>
      <c r="J116" t="s">
        <v>168</v>
      </c>
      <c r="K116" t="s">
        <v>168</v>
      </c>
      <c r="L116" s="35">
        <f t="shared" si="14"/>
        <v>6</v>
      </c>
      <c r="M116" s="35">
        <f t="shared" si="15"/>
        <v>2</v>
      </c>
      <c r="N116">
        <f t="shared" si="16"/>
        <v>1</v>
      </c>
      <c r="O116">
        <f t="shared" si="19"/>
        <v>1</v>
      </c>
      <c r="P116">
        <f t="shared" si="21"/>
        <v>1</v>
      </c>
      <c r="Q116" t="str">
        <f t="shared" si="20"/>
        <v>1</v>
      </c>
    </row>
    <row r="117" spans="1:17" x14ac:dyDescent="0.25">
      <c r="A117" t="str">
        <f t="shared" si="22"/>
        <v>Crystal Palace - Townsend</v>
      </c>
      <c r="B117" t="s">
        <v>1563</v>
      </c>
      <c r="C117" t="s">
        <v>1103</v>
      </c>
      <c r="D117" t="s">
        <v>6</v>
      </c>
      <c r="E117" t="s">
        <v>1522</v>
      </c>
      <c r="F117">
        <v>15</v>
      </c>
      <c r="G117">
        <v>0</v>
      </c>
      <c r="H117">
        <v>0</v>
      </c>
      <c r="I117">
        <v>0</v>
      </c>
      <c r="L117" s="35">
        <f t="shared" si="14"/>
        <v>5.166666666666667</v>
      </c>
      <c r="M117" s="35">
        <f t="shared" si="15"/>
        <v>6</v>
      </c>
      <c r="N117">
        <f t="shared" si="16"/>
        <v>0</v>
      </c>
      <c r="O117">
        <f t="shared" si="19"/>
        <v>1</v>
      </c>
      <c r="P117">
        <f t="shared" si="21"/>
        <v>1</v>
      </c>
      <c r="Q117" t="str">
        <f t="shared" si="20"/>
        <v>1</v>
      </c>
    </row>
    <row r="118" spans="1:17" x14ac:dyDescent="0.25">
      <c r="A118" t="str">
        <f t="shared" si="22"/>
        <v>Tottenham - Walker</v>
      </c>
      <c r="B118" t="s">
        <v>1563</v>
      </c>
      <c r="C118" t="s">
        <v>1170</v>
      </c>
      <c r="D118" t="s">
        <v>8</v>
      </c>
      <c r="E118" t="s">
        <v>1188</v>
      </c>
      <c r="F118">
        <v>21</v>
      </c>
      <c r="G118">
        <v>0</v>
      </c>
      <c r="H118">
        <v>0</v>
      </c>
      <c r="I118">
        <v>0</v>
      </c>
      <c r="L118" s="35">
        <f t="shared" si="14"/>
        <v>6</v>
      </c>
      <c r="M118" s="35">
        <f t="shared" si="15"/>
        <v>6</v>
      </c>
      <c r="N118">
        <f t="shared" si="16"/>
        <v>0</v>
      </c>
      <c r="O118">
        <f t="shared" si="19"/>
        <v>0</v>
      </c>
      <c r="P118">
        <f t="shared" si="21"/>
        <v>0</v>
      </c>
      <c r="Q118" t="str">
        <f t="shared" si="20"/>
        <v>0</v>
      </c>
    </row>
    <row r="119" spans="1:17" x14ac:dyDescent="0.25">
      <c r="A119" t="str">
        <f t="shared" si="22"/>
        <v>Crystal Palace - Ward</v>
      </c>
      <c r="B119" t="s">
        <v>1563</v>
      </c>
      <c r="C119" t="s">
        <v>1051</v>
      </c>
      <c r="D119" t="s">
        <v>8</v>
      </c>
      <c r="E119" t="s">
        <v>1522</v>
      </c>
      <c r="F119">
        <v>5</v>
      </c>
      <c r="G119">
        <v>0</v>
      </c>
      <c r="H119">
        <v>0</v>
      </c>
      <c r="I119">
        <v>0</v>
      </c>
      <c r="L119" s="35">
        <f t="shared" si="14"/>
        <v>5.166666666666667</v>
      </c>
      <c r="M119" s="35">
        <f t="shared" si="15"/>
        <v>6</v>
      </c>
      <c r="N119">
        <f t="shared" si="16"/>
        <v>0</v>
      </c>
      <c r="O119">
        <f t="shared" si="19"/>
        <v>0</v>
      </c>
      <c r="P119">
        <f t="shared" si="21"/>
        <v>0</v>
      </c>
      <c r="Q119" t="str">
        <f t="shared" si="20"/>
        <v>0</v>
      </c>
    </row>
    <row r="120" spans="1:17" x14ac:dyDescent="0.25">
      <c r="A120" t="str">
        <f t="shared" si="22"/>
        <v>Bournemouth - Wilson</v>
      </c>
      <c r="B120" s="35" t="s">
        <v>1563</v>
      </c>
      <c r="C120" s="35" t="s">
        <v>1469</v>
      </c>
      <c r="D120" s="35" t="s">
        <v>5</v>
      </c>
      <c r="E120" s="35" t="s">
        <v>1474</v>
      </c>
      <c r="F120" s="35">
        <v>13</v>
      </c>
      <c r="G120" s="35">
        <v>0</v>
      </c>
      <c r="H120" s="35">
        <v>0</v>
      </c>
      <c r="I120" s="35">
        <v>0</v>
      </c>
      <c r="J120" s="35"/>
      <c r="K120" s="35"/>
      <c r="L120" s="35">
        <f t="shared" si="14"/>
        <v>4</v>
      </c>
      <c r="M120" s="35">
        <f t="shared" si="15"/>
        <v>5</v>
      </c>
      <c r="N120">
        <f t="shared" si="16"/>
        <v>1</v>
      </c>
      <c r="O120">
        <f t="shared" si="19"/>
        <v>1</v>
      </c>
      <c r="P120">
        <f t="shared" si="21"/>
        <v>1</v>
      </c>
      <c r="Q120" t="str">
        <f t="shared" si="20"/>
        <v>1</v>
      </c>
    </row>
    <row r="121" spans="1:17" x14ac:dyDescent="0.25">
      <c r="A121" t="str">
        <f t="shared" si="22"/>
        <v>Man City - Agüero</v>
      </c>
      <c r="B121" t="s">
        <v>1556</v>
      </c>
      <c r="C121" t="s">
        <v>1275</v>
      </c>
      <c r="D121" t="s">
        <v>5</v>
      </c>
      <c r="E121" t="s">
        <v>1520</v>
      </c>
      <c r="F121">
        <v>161</v>
      </c>
      <c r="G121">
        <v>0</v>
      </c>
      <c r="H121">
        <v>0</v>
      </c>
      <c r="I121">
        <v>0</v>
      </c>
      <c r="L121" s="35">
        <f t="shared" si="14"/>
        <v>6.25</v>
      </c>
      <c r="M121" s="35">
        <f t="shared" si="15"/>
        <v>4</v>
      </c>
      <c r="N121">
        <f t="shared" si="16"/>
        <v>0</v>
      </c>
      <c r="O121">
        <f t="shared" si="19"/>
        <v>5</v>
      </c>
      <c r="P121">
        <f t="shared" si="21"/>
        <v>5</v>
      </c>
      <c r="Q121" t="str">
        <f t="shared" si="20"/>
        <v>5</v>
      </c>
    </row>
    <row r="122" spans="1:17" x14ac:dyDescent="0.25">
      <c r="A122" t="str">
        <f t="shared" si="22"/>
        <v>Bournemouth - Boruc</v>
      </c>
      <c r="B122" s="35" t="s">
        <v>1556</v>
      </c>
      <c r="C122" s="35" t="s">
        <v>1447</v>
      </c>
      <c r="D122" s="35" t="s">
        <v>7</v>
      </c>
      <c r="E122" s="35" t="s">
        <v>1474</v>
      </c>
      <c r="F122" s="35">
        <v>10</v>
      </c>
      <c r="G122" s="35">
        <v>0</v>
      </c>
      <c r="H122" s="35">
        <v>0</v>
      </c>
      <c r="I122" s="35">
        <v>0</v>
      </c>
      <c r="J122" s="35"/>
      <c r="K122" s="35"/>
      <c r="L122" s="35">
        <f t="shared" si="14"/>
        <v>5.5</v>
      </c>
      <c r="M122" s="35">
        <f t="shared" si="15"/>
        <v>6</v>
      </c>
      <c r="N122">
        <f t="shared" si="16"/>
        <v>0</v>
      </c>
      <c r="O122">
        <f t="shared" si="19"/>
        <v>0</v>
      </c>
      <c r="P122">
        <f t="shared" si="21"/>
        <v>0</v>
      </c>
      <c r="Q122" t="str">
        <f t="shared" si="20"/>
        <v>0</v>
      </c>
    </row>
    <row r="123" spans="1:17" x14ac:dyDescent="0.25">
      <c r="A123" t="str">
        <f t="shared" si="22"/>
        <v>Bournemouth - Cook</v>
      </c>
      <c r="B123" s="35" t="s">
        <v>1556</v>
      </c>
      <c r="C123" s="35" t="s">
        <v>1574</v>
      </c>
      <c r="D123" s="35" t="s">
        <v>8</v>
      </c>
      <c r="E123" s="35" t="s">
        <v>1474</v>
      </c>
      <c r="F123" s="35">
        <v>9</v>
      </c>
      <c r="G123" s="35">
        <v>0</v>
      </c>
      <c r="H123" s="35">
        <v>0</v>
      </c>
      <c r="I123" s="35">
        <v>0</v>
      </c>
      <c r="J123" s="35"/>
      <c r="K123" s="35"/>
      <c r="L123" s="35">
        <f t="shared" si="14"/>
        <v>5</v>
      </c>
      <c r="M123" s="35">
        <f t="shared" si="15"/>
        <v>6</v>
      </c>
      <c r="N123">
        <f t="shared" si="16"/>
        <v>0</v>
      </c>
      <c r="O123">
        <f t="shared" si="19"/>
        <v>0</v>
      </c>
      <c r="P123">
        <f t="shared" si="21"/>
        <v>0</v>
      </c>
      <c r="Q123" t="str">
        <f t="shared" si="20"/>
        <v>0</v>
      </c>
    </row>
    <row r="124" spans="1:17" x14ac:dyDescent="0.25">
      <c r="A124" t="str">
        <f t="shared" si="22"/>
        <v>Arsenal - Coquelin</v>
      </c>
      <c r="B124" s="35" t="s">
        <v>1556</v>
      </c>
      <c r="C124" s="35" t="s">
        <v>1406</v>
      </c>
      <c r="D124" s="35" t="s">
        <v>6</v>
      </c>
      <c r="E124" s="35" t="s">
        <v>1423</v>
      </c>
      <c r="F124" s="35">
        <v>10</v>
      </c>
      <c r="G124" s="35">
        <v>0</v>
      </c>
      <c r="H124" s="35">
        <v>0</v>
      </c>
      <c r="I124" s="35">
        <v>0</v>
      </c>
      <c r="J124" s="35"/>
      <c r="K124" s="35"/>
      <c r="L124" s="35">
        <f t="shared" si="14"/>
        <v>5.2</v>
      </c>
      <c r="M124" s="35">
        <f t="shared" si="15"/>
        <v>5</v>
      </c>
      <c r="N124">
        <f t="shared" si="16"/>
        <v>0</v>
      </c>
      <c r="O124">
        <f t="shared" si="19"/>
        <v>0</v>
      </c>
      <c r="P124">
        <f t="shared" si="21"/>
        <v>0</v>
      </c>
      <c r="Q124" t="str">
        <f t="shared" si="20"/>
        <v>0</v>
      </c>
    </row>
    <row r="125" spans="1:17" x14ac:dyDescent="0.25">
      <c r="A125" t="str">
        <f t="shared" si="22"/>
        <v>West Bromwich - Dawson</v>
      </c>
      <c r="B125" t="s">
        <v>1556</v>
      </c>
      <c r="C125" t="s">
        <v>1123</v>
      </c>
      <c r="D125" t="s">
        <v>8</v>
      </c>
      <c r="E125" t="s">
        <v>1523</v>
      </c>
      <c r="F125">
        <v>12</v>
      </c>
      <c r="G125">
        <v>0</v>
      </c>
      <c r="H125">
        <v>0</v>
      </c>
      <c r="I125">
        <v>0</v>
      </c>
      <c r="L125" s="35">
        <f t="shared" si="14"/>
        <v>5.166666666666667</v>
      </c>
      <c r="M125" s="35">
        <f t="shared" si="15"/>
        <v>6</v>
      </c>
      <c r="N125">
        <f t="shared" si="16"/>
        <v>0</v>
      </c>
      <c r="O125">
        <f t="shared" si="19"/>
        <v>0</v>
      </c>
      <c r="P125">
        <f t="shared" si="21"/>
        <v>0</v>
      </c>
      <c r="Q125" t="str">
        <f t="shared" si="20"/>
        <v>0</v>
      </c>
    </row>
    <row r="126" spans="1:17" x14ac:dyDescent="0.25">
      <c r="A126" t="str">
        <f t="shared" si="22"/>
        <v>Crystal Palace - Delaney</v>
      </c>
      <c r="B126" s="35" t="s">
        <v>1556</v>
      </c>
      <c r="C126" s="35" t="s">
        <v>1099</v>
      </c>
      <c r="D126" s="35" t="s">
        <v>8</v>
      </c>
      <c r="E126" s="35" t="s">
        <v>1522</v>
      </c>
      <c r="F126" s="35">
        <v>12</v>
      </c>
      <c r="G126" s="35">
        <v>0</v>
      </c>
      <c r="H126" s="35">
        <v>0</v>
      </c>
      <c r="I126" s="35">
        <v>0</v>
      </c>
      <c r="J126" s="35"/>
      <c r="K126" s="35"/>
      <c r="L126" s="35">
        <f t="shared" si="14"/>
        <v>4.8</v>
      </c>
      <c r="M126" s="35">
        <f t="shared" si="15"/>
        <v>5</v>
      </c>
      <c r="N126">
        <f t="shared" si="16"/>
        <v>1</v>
      </c>
      <c r="O126">
        <f t="shared" si="19"/>
        <v>0</v>
      </c>
      <c r="P126">
        <f t="shared" si="21"/>
        <v>0</v>
      </c>
      <c r="Q126" t="str">
        <f t="shared" si="20"/>
        <v>0</v>
      </c>
    </row>
    <row r="127" spans="1:17" x14ac:dyDescent="0.25">
      <c r="A127" t="str">
        <f t="shared" si="22"/>
        <v>Chelsea - Diego Costa</v>
      </c>
      <c r="B127" t="s">
        <v>1556</v>
      </c>
      <c r="C127" t="s">
        <v>1518</v>
      </c>
      <c r="D127" t="s">
        <v>5</v>
      </c>
      <c r="E127" t="s">
        <v>1519</v>
      </c>
      <c r="F127">
        <v>161</v>
      </c>
      <c r="G127">
        <v>2</v>
      </c>
      <c r="H127">
        <v>1</v>
      </c>
      <c r="I127">
        <v>3</v>
      </c>
      <c r="J127" t="s">
        <v>275</v>
      </c>
      <c r="K127" t="s">
        <v>275</v>
      </c>
      <c r="L127" s="35">
        <f t="shared" si="14"/>
        <v>5.833333333333333</v>
      </c>
      <c r="M127" s="35">
        <f t="shared" si="15"/>
        <v>6</v>
      </c>
      <c r="N127">
        <f t="shared" si="16"/>
        <v>0</v>
      </c>
      <c r="O127">
        <f t="shared" si="19"/>
        <v>5</v>
      </c>
      <c r="P127">
        <f t="shared" si="21"/>
        <v>5</v>
      </c>
      <c r="Q127" t="str">
        <f t="shared" si="20"/>
        <v>5</v>
      </c>
    </row>
    <row r="128" spans="1:17" x14ac:dyDescent="0.25">
      <c r="A128" t="str">
        <f t="shared" si="22"/>
        <v>Bournemouth - Federici</v>
      </c>
      <c r="B128" t="s">
        <v>1556</v>
      </c>
      <c r="C128" t="s">
        <v>1448</v>
      </c>
      <c r="D128" t="s">
        <v>7</v>
      </c>
      <c r="E128" t="s">
        <v>1474</v>
      </c>
      <c r="F128">
        <v>5</v>
      </c>
      <c r="G128">
        <v>0</v>
      </c>
      <c r="H128">
        <v>0</v>
      </c>
      <c r="I128">
        <v>0</v>
      </c>
      <c r="L128" s="35" t="str">
        <f t="shared" si="14"/>
        <v/>
      </c>
      <c r="M128" s="35">
        <f t="shared" si="15"/>
        <v>0</v>
      </c>
      <c r="N128">
        <f t="shared" si="16"/>
        <v>0</v>
      </c>
      <c r="O128">
        <f t="shared" si="19"/>
        <v>0</v>
      </c>
      <c r="P128">
        <f t="shared" si="21"/>
        <v>0</v>
      </c>
      <c r="Q128" t="str">
        <f t="shared" si="20"/>
        <v>0</v>
      </c>
    </row>
    <row r="129" spans="1:17" x14ac:dyDescent="0.25">
      <c r="A129" t="str">
        <f t="shared" si="22"/>
        <v>Chelsea - Kanté</v>
      </c>
      <c r="B129" t="s">
        <v>1556</v>
      </c>
      <c r="C129" t="s">
        <v>1510</v>
      </c>
      <c r="D129" t="s">
        <v>6</v>
      </c>
      <c r="E129" t="s">
        <v>1519</v>
      </c>
      <c r="F129">
        <v>28</v>
      </c>
      <c r="G129">
        <v>0</v>
      </c>
      <c r="H129">
        <v>0</v>
      </c>
      <c r="I129">
        <v>0</v>
      </c>
      <c r="L129" s="35">
        <f t="shared" si="14"/>
        <v>5.5</v>
      </c>
      <c r="M129" s="35">
        <f t="shared" si="15"/>
        <v>6</v>
      </c>
      <c r="N129">
        <f t="shared" si="16"/>
        <v>0</v>
      </c>
      <c r="O129">
        <f t="shared" si="19"/>
        <v>0</v>
      </c>
      <c r="P129">
        <f t="shared" si="21"/>
        <v>0</v>
      </c>
      <c r="Q129" t="str">
        <f t="shared" si="20"/>
        <v>0</v>
      </c>
    </row>
    <row r="130" spans="1:17" x14ac:dyDescent="0.25">
      <c r="A130" t="str">
        <f t="shared" si="22"/>
        <v>Crystal Palace - Ledley</v>
      </c>
      <c r="B130" t="s">
        <v>1556</v>
      </c>
      <c r="C130" t="s">
        <v>1110</v>
      </c>
      <c r="D130" t="s">
        <v>6</v>
      </c>
      <c r="E130" t="s">
        <v>1522</v>
      </c>
      <c r="F130">
        <v>12</v>
      </c>
      <c r="G130">
        <v>1</v>
      </c>
      <c r="H130">
        <v>1</v>
      </c>
      <c r="I130">
        <v>2</v>
      </c>
      <c r="J130" t="s">
        <v>176</v>
      </c>
      <c r="K130" t="s">
        <v>169</v>
      </c>
      <c r="L130" s="35">
        <f t="shared" si="14"/>
        <v>5.5</v>
      </c>
      <c r="M130" s="35">
        <f t="shared" si="15"/>
        <v>4</v>
      </c>
      <c r="N130">
        <f t="shared" si="16"/>
        <v>0</v>
      </c>
      <c r="O130">
        <f t="shared" si="19"/>
        <v>1</v>
      </c>
      <c r="P130">
        <f t="shared" si="21"/>
        <v>1</v>
      </c>
      <c r="Q130" t="str">
        <f t="shared" si="20"/>
        <v>1</v>
      </c>
    </row>
    <row r="131" spans="1:17" x14ac:dyDescent="0.25">
      <c r="A131" t="str">
        <f t="shared" si="22"/>
        <v>Liverpool - Matip</v>
      </c>
      <c r="B131" t="s">
        <v>1556</v>
      </c>
      <c r="C131" t="s">
        <v>1432</v>
      </c>
      <c r="D131" t="s">
        <v>8</v>
      </c>
      <c r="E131" t="s">
        <v>1446</v>
      </c>
      <c r="F131">
        <v>16</v>
      </c>
      <c r="G131">
        <v>0</v>
      </c>
      <c r="H131">
        <v>0</v>
      </c>
      <c r="I131">
        <v>0</v>
      </c>
      <c r="L131" s="35">
        <f t="shared" ref="L131:L150" si="23">IF(VLOOKUP(VLOOKUP($A131,_JOUEURS,2,FALSE),_DATA,9,FALSE)=0,"",VLOOKUP(VLOOKUP($A131,_JOUEURS,2,FALSE),_DATA,9,FALSE))</f>
        <v>5.75</v>
      </c>
      <c r="M131" s="35">
        <f t="shared" ref="M131:M150" si="24">VLOOKUP(VLOOKUP($A131,_JOUEURS,2,FALSE),_DATA,6,FALSE)</f>
        <v>4</v>
      </c>
      <c r="N131">
        <f t="shared" ref="N131:N150" si="25">VLOOKUP(VLOOKUP($A131,_JOUEURS,2,FALSE),_DATA,7,FALSE)</f>
        <v>0</v>
      </c>
      <c r="O131">
        <f t="shared" si="19"/>
        <v>0</v>
      </c>
      <c r="P131">
        <f t="shared" ref="P131:P162" si="26">VLOOKUP(VLOOKUP($A131,_JOUEURS,2,FALSE),_DATA,8,FALSE)</f>
        <v>0</v>
      </c>
      <c r="Q131" t="str">
        <f t="shared" si="20"/>
        <v>0</v>
      </c>
    </row>
    <row r="132" spans="1:17" x14ac:dyDescent="0.25">
      <c r="A132" t="str">
        <f t="shared" ref="A132:A163" si="27">E132 &amp; " - " &amp; C132</f>
        <v>Southampton - Redmond</v>
      </c>
      <c r="B132" t="s">
        <v>1556</v>
      </c>
      <c r="C132" t="s">
        <v>1364</v>
      </c>
      <c r="D132" t="s">
        <v>6</v>
      </c>
      <c r="E132" t="s">
        <v>1367</v>
      </c>
      <c r="F132">
        <v>14</v>
      </c>
      <c r="G132">
        <v>0</v>
      </c>
      <c r="H132">
        <v>0</v>
      </c>
      <c r="I132">
        <v>0</v>
      </c>
      <c r="L132" s="35">
        <f t="shared" si="23"/>
        <v>5.666666666666667</v>
      </c>
      <c r="M132" s="35">
        <f t="shared" si="24"/>
        <v>6</v>
      </c>
      <c r="N132">
        <f t="shared" si="25"/>
        <v>0</v>
      </c>
      <c r="O132">
        <f t="shared" ref="O132:O150" si="28">VALUE(IF(Q132="",0,Q132))</f>
        <v>1</v>
      </c>
      <c r="P132">
        <f t="shared" si="26"/>
        <v>1</v>
      </c>
      <c r="Q132" t="str">
        <f t="shared" ref="Q132:Q177" si="29">SUBSTITUTE(SUBSTITUTE(SUBSTITUTE(P132," / ",""),"(-1)",""),"(-2)","")</f>
        <v>1</v>
      </c>
    </row>
    <row r="133" spans="1:17" x14ac:dyDescent="0.25">
      <c r="A133" t="str">
        <f t="shared" si="27"/>
        <v>Bournemouth - Smith</v>
      </c>
      <c r="B133" t="s">
        <v>1556</v>
      </c>
      <c r="C133" t="s">
        <v>1575</v>
      </c>
      <c r="D133" t="s">
        <v>8</v>
      </c>
      <c r="E133" t="s">
        <v>1474</v>
      </c>
      <c r="F133">
        <v>13</v>
      </c>
      <c r="G133">
        <v>0</v>
      </c>
      <c r="H133">
        <v>0</v>
      </c>
      <c r="I133">
        <v>0</v>
      </c>
      <c r="L133" s="35">
        <f t="shared" si="23"/>
        <v>4.8</v>
      </c>
      <c r="M133" s="35">
        <f t="shared" si="24"/>
        <v>5</v>
      </c>
      <c r="N133">
        <f t="shared" si="25"/>
        <v>0</v>
      </c>
      <c r="O133">
        <f t="shared" si="28"/>
        <v>1</v>
      </c>
      <c r="P133">
        <f t="shared" si="26"/>
        <v>1</v>
      </c>
      <c r="Q133" t="str">
        <f t="shared" si="29"/>
        <v>1</v>
      </c>
    </row>
    <row r="134" spans="1:17" x14ac:dyDescent="0.25">
      <c r="A134" t="str">
        <f t="shared" si="27"/>
        <v>Bournemouth - Stanislas</v>
      </c>
      <c r="B134" t="s">
        <v>1556</v>
      </c>
      <c r="C134" t="s">
        <v>1464</v>
      </c>
      <c r="D134" t="s">
        <v>6</v>
      </c>
      <c r="E134" t="s">
        <v>1474</v>
      </c>
      <c r="F134">
        <v>3</v>
      </c>
      <c r="G134">
        <v>0</v>
      </c>
      <c r="H134">
        <v>0</v>
      </c>
      <c r="I134">
        <v>0</v>
      </c>
      <c r="L134" s="35">
        <f t="shared" si="23"/>
        <v>4.666666666666667</v>
      </c>
      <c r="M134" s="35">
        <f t="shared" si="24"/>
        <v>3</v>
      </c>
      <c r="N134">
        <f t="shared" si="25"/>
        <v>0</v>
      </c>
      <c r="O134">
        <f t="shared" si="28"/>
        <v>1</v>
      </c>
      <c r="P134">
        <f t="shared" si="26"/>
        <v>1</v>
      </c>
      <c r="Q134" t="str">
        <f t="shared" si="29"/>
        <v>1</v>
      </c>
    </row>
    <row r="135" spans="1:17" x14ac:dyDescent="0.25">
      <c r="A135" t="str">
        <f t="shared" si="27"/>
        <v>Tottenham - Wanyama</v>
      </c>
      <c r="B135" t="s">
        <v>1556</v>
      </c>
      <c r="C135" t="s">
        <v>1179</v>
      </c>
      <c r="D135" t="s">
        <v>6</v>
      </c>
      <c r="E135" t="s">
        <v>1188</v>
      </c>
      <c r="F135">
        <v>17</v>
      </c>
      <c r="G135">
        <v>4</v>
      </c>
      <c r="H135">
        <v>0</v>
      </c>
      <c r="I135">
        <v>4</v>
      </c>
      <c r="J135" t="s">
        <v>348</v>
      </c>
      <c r="K135" t="s">
        <v>349</v>
      </c>
      <c r="L135" s="35">
        <f t="shared" si="23"/>
        <v>5.666666666666667</v>
      </c>
      <c r="M135" s="35">
        <f t="shared" si="24"/>
        <v>6</v>
      </c>
      <c r="N135">
        <f t="shared" si="25"/>
        <v>0</v>
      </c>
      <c r="O135">
        <f t="shared" si="28"/>
        <v>1</v>
      </c>
      <c r="P135">
        <f t="shared" si="26"/>
        <v>1</v>
      </c>
      <c r="Q135" t="str">
        <f t="shared" si="29"/>
        <v>1</v>
      </c>
    </row>
    <row r="136" spans="1:17" x14ac:dyDescent="0.25">
      <c r="A136" t="str">
        <f t="shared" si="27"/>
        <v>Everton - Williams</v>
      </c>
      <c r="B136" t="s">
        <v>1556</v>
      </c>
      <c r="C136" t="s">
        <v>1150</v>
      </c>
      <c r="D136" t="s">
        <v>8</v>
      </c>
      <c r="E136" t="s">
        <v>1167</v>
      </c>
      <c r="F136">
        <v>16</v>
      </c>
      <c r="G136">
        <v>0</v>
      </c>
      <c r="H136">
        <v>0</v>
      </c>
      <c r="I136">
        <v>0</v>
      </c>
      <c r="L136" s="35">
        <f t="shared" si="23"/>
        <v>5.75</v>
      </c>
      <c r="M136" s="35">
        <f t="shared" si="24"/>
        <v>4</v>
      </c>
      <c r="N136">
        <f t="shared" si="25"/>
        <v>1</v>
      </c>
      <c r="O136">
        <f t="shared" si="28"/>
        <v>0</v>
      </c>
      <c r="P136">
        <f t="shared" si="26"/>
        <v>0</v>
      </c>
      <c r="Q136" t="str">
        <f t="shared" si="29"/>
        <v>0</v>
      </c>
    </row>
    <row r="137" spans="1:17" x14ac:dyDescent="0.25">
      <c r="A137" t="str">
        <f t="shared" si="27"/>
        <v>Tottenham - Alderweireld</v>
      </c>
      <c r="B137" t="s">
        <v>1557</v>
      </c>
      <c r="C137" t="s">
        <v>1171</v>
      </c>
      <c r="D137" t="s">
        <v>8</v>
      </c>
      <c r="E137" t="s">
        <v>1188</v>
      </c>
      <c r="F137">
        <v>16</v>
      </c>
      <c r="G137">
        <v>0</v>
      </c>
      <c r="H137">
        <v>0</v>
      </c>
      <c r="I137">
        <v>0</v>
      </c>
      <c r="L137" s="35"/>
      <c r="M137" s="35"/>
      <c r="P137">
        <f t="shared" si="26"/>
        <v>0</v>
      </c>
      <c r="Q137" t="str">
        <f t="shared" si="29"/>
        <v>0</v>
      </c>
    </row>
    <row r="138" spans="1:17" x14ac:dyDescent="0.25">
      <c r="A138" t="str">
        <f t="shared" si="27"/>
        <v>Stoke City - Arnautovic</v>
      </c>
      <c r="B138" t="s">
        <v>1557</v>
      </c>
      <c r="C138" t="s">
        <v>1337</v>
      </c>
      <c r="D138" t="s">
        <v>5</v>
      </c>
      <c r="E138" t="s">
        <v>1347</v>
      </c>
      <c r="F138">
        <v>14</v>
      </c>
      <c r="G138">
        <v>1</v>
      </c>
      <c r="H138">
        <v>0</v>
      </c>
      <c r="I138">
        <v>1</v>
      </c>
      <c r="J138" t="s">
        <v>291</v>
      </c>
      <c r="K138" t="s">
        <v>182</v>
      </c>
      <c r="L138" s="35">
        <f t="shared" si="23"/>
        <v>4.166666666666667</v>
      </c>
      <c r="M138" s="35">
        <f t="shared" si="24"/>
        <v>6</v>
      </c>
      <c r="N138">
        <f t="shared" si="25"/>
        <v>0</v>
      </c>
      <c r="O138">
        <f t="shared" si="28"/>
        <v>1</v>
      </c>
      <c r="P138">
        <f t="shared" si="26"/>
        <v>1</v>
      </c>
      <c r="Q138" t="str">
        <f t="shared" si="29"/>
        <v>1</v>
      </c>
    </row>
    <row r="139" spans="1:17" x14ac:dyDescent="0.25">
      <c r="A139" t="str">
        <f t="shared" si="27"/>
        <v>Southampton - Austin</v>
      </c>
      <c r="B139" t="s">
        <v>1557</v>
      </c>
      <c r="C139" t="s">
        <v>1365</v>
      </c>
      <c r="D139" t="s">
        <v>5</v>
      </c>
      <c r="E139" t="s">
        <v>1367</v>
      </c>
      <c r="F139">
        <v>14</v>
      </c>
      <c r="G139">
        <v>0</v>
      </c>
      <c r="H139">
        <v>0</v>
      </c>
      <c r="I139">
        <v>0</v>
      </c>
      <c r="L139" s="35">
        <f t="shared" si="23"/>
        <v>5.5</v>
      </c>
      <c r="M139" s="35">
        <f t="shared" si="24"/>
        <v>2</v>
      </c>
      <c r="N139">
        <f t="shared" si="25"/>
        <v>3</v>
      </c>
      <c r="O139">
        <f t="shared" si="28"/>
        <v>2</v>
      </c>
      <c r="P139">
        <f t="shared" si="26"/>
        <v>2</v>
      </c>
      <c r="Q139" t="str">
        <f t="shared" si="29"/>
        <v>2</v>
      </c>
    </row>
    <row r="140" spans="1:17" x14ac:dyDescent="0.25">
      <c r="A140" t="str">
        <f t="shared" si="27"/>
        <v>Liverpool - Clyne</v>
      </c>
      <c r="B140" s="35" t="s">
        <v>1557</v>
      </c>
      <c r="C140" s="35" t="s">
        <v>1427</v>
      </c>
      <c r="D140" s="35" t="s">
        <v>8</v>
      </c>
      <c r="E140" s="35" t="s">
        <v>1446</v>
      </c>
      <c r="F140" s="35">
        <v>15</v>
      </c>
      <c r="G140" s="35">
        <v>1</v>
      </c>
      <c r="H140" s="35">
        <v>0</v>
      </c>
      <c r="I140" s="35">
        <v>1</v>
      </c>
      <c r="J140" s="35" t="s">
        <v>175</v>
      </c>
      <c r="K140" s="35" t="s">
        <v>236</v>
      </c>
      <c r="L140" s="35">
        <f t="shared" si="23"/>
        <v>4.833333333333333</v>
      </c>
      <c r="M140" s="35">
        <f t="shared" si="24"/>
        <v>6</v>
      </c>
      <c r="N140">
        <f t="shared" si="25"/>
        <v>0</v>
      </c>
      <c r="O140">
        <f t="shared" si="28"/>
        <v>0</v>
      </c>
      <c r="P140">
        <f t="shared" si="26"/>
        <v>0</v>
      </c>
      <c r="Q140" t="str">
        <f t="shared" si="29"/>
        <v>0</v>
      </c>
    </row>
    <row r="141" spans="1:17" x14ac:dyDescent="0.25">
      <c r="A141" t="str">
        <f t="shared" si="27"/>
        <v>Liverpool - Coutinho</v>
      </c>
      <c r="B141" t="s">
        <v>1557</v>
      </c>
      <c r="C141" t="s">
        <v>1441</v>
      </c>
      <c r="D141" t="s">
        <v>6</v>
      </c>
      <c r="E141" t="s">
        <v>1446</v>
      </c>
      <c r="F141">
        <v>67</v>
      </c>
      <c r="G141">
        <v>0</v>
      </c>
      <c r="H141">
        <v>0</v>
      </c>
      <c r="I141">
        <v>0</v>
      </c>
      <c r="L141" s="35">
        <f t="shared" si="23"/>
        <v>6.6</v>
      </c>
      <c r="M141" s="35">
        <f t="shared" si="24"/>
        <v>5</v>
      </c>
      <c r="N141">
        <f t="shared" si="25"/>
        <v>1</v>
      </c>
      <c r="O141">
        <f t="shared" si="28"/>
        <v>3</v>
      </c>
      <c r="P141">
        <f t="shared" si="26"/>
        <v>3</v>
      </c>
      <c r="Q141" t="str">
        <f t="shared" si="29"/>
        <v>3</v>
      </c>
    </row>
    <row r="142" spans="1:17" x14ac:dyDescent="0.25">
      <c r="A142" t="str">
        <f t="shared" si="27"/>
        <v>Man United - Darmian</v>
      </c>
      <c r="B142" t="s">
        <v>1557</v>
      </c>
      <c r="C142" t="s">
        <v>1482</v>
      </c>
      <c r="D142" t="s">
        <v>8</v>
      </c>
      <c r="E142" t="s">
        <v>1521</v>
      </c>
      <c r="F142">
        <v>14</v>
      </c>
      <c r="G142">
        <v>0</v>
      </c>
      <c r="H142">
        <v>0</v>
      </c>
      <c r="I142">
        <v>0</v>
      </c>
      <c r="L142" s="35" t="str">
        <f t="shared" si="23"/>
        <v/>
      </c>
      <c r="M142" s="35">
        <f t="shared" si="24"/>
        <v>0</v>
      </c>
      <c r="N142">
        <f t="shared" si="25"/>
        <v>0</v>
      </c>
      <c r="O142">
        <f t="shared" si="28"/>
        <v>0</v>
      </c>
      <c r="P142">
        <f t="shared" si="26"/>
        <v>0</v>
      </c>
      <c r="Q142" t="str">
        <f t="shared" si="29"/>
        <v>0</v>
      </c>
    </row>
    <row r="143" spans="1:17" x14ac:dyDescent="0.25">
      <c r="A143" t="str">
        <f t="shared" si="27"/>
        <v>Tottenham - Eriksen</v>
      </c>
      <c r="B143" t="s">
        <v>1557</v>
      </c>
      <c r="C143" t="s">
        <v>1180</v>
      </c>
      <c r="D143" t="s">
        <v>6</v>
      </c>
      <c r="E143" t="s">
        <v>1188</v>
      </c>
      <c r="F143">
        <v>17</v>
      </c>
      <c r="G143">
        <v>0</v>
      </c>
      <c r="H143">
        <v>0</v>
      </c>
      <c r="I143">
        <v>0</v>
      </c>
      <c r="L143" s="35">
        <f t="shared" si="23"/>
        <v>5.4</v>
      </c>
      <c r="M143" s="35">
        <f t="shared" si="24"/>
        <v>5</v>
      </c>
      <c r="N143">
        <f t="shared" si="25"/>
        <v>0</v>
      </c>
      <c r="O143">
        <f t="shared" si="28"/>
        <v>0</v>
      </c>
      <c r="P143">
        <f t="shared" si="26"/>
        <v>0</v>
      </c>
      <c r="Q143" t="str">
        <f t="shared" si="29"/>
        <v>0</v>
      </c>
    </row>
    <row r="144" spans="1:17" x14ac:dyDescent="0.25">
      <c r="A144" t="str">
        <f t="shared" si="27"/>
        <v>Sunderland - Ethan Robson</v>
      </c>
      <c r="B144" t="s">
        <v>1557</v>
      </c>
      <c r="C144" t="s">
        <v>1553</v>
      </c>
      <c r="D144" t="s">
        <v>6</v>
      </c>
      <c r="E144" t="s">
        <v>1301</v>
      </c>
      <c r="F144">
        <v>1</v>
      </c>
      <c r="G144">
        <v>1</v>
      </c>
      <c r="H144">
        <v>0</v>
      </c>
      <c r="I144">
        <v>1</v>
      </c>
      <c r="J144" t="s">
        <v>175</v>
      </c>
      <c r="K144" t="s">
        <v>175</v>
      </c>
      <c r="L144" s="35"/>
      <c r="M144" s="35"/>
      <c r="P144" t="e">
        <f t="shared" si="26"/>
        <v>#N/A</v>
      </c>
      <c r="Q144" t="e">
        <f t="shared" si="29"/>
        <v>#N/A</v>
      </c>
    </row>
    <row r="145" spans="1:17" x14ac:dyDescent="0.25">
      <c r="A145" t="str">
        <f t="shared" si="27"/>
        <v>Burnley - Flanagan</v>
      </c>
      <c r="B145" t="s">
        <v>1557</v>
      </c>
      <c r="C145" t="s">
        <v>1055</v>
      </c>
      <c r="D145" t="s">
        <v>8</v>
      </c>
      <c r="E145" t="s">
        <v>1069</v>
      </c>
      <c r="F145">
        <v>1</v>
      </c>
      <c r="G145">
        <v>0</v>
      </c>
      <c r="H145">
        <v>0</v>
      </c>
      <c r="I145">
        <v>0</v>
      </c>
      <c r="L145" s="35" t="str">
        <f t="shared" si="23"/>
        <v/>
      </c>
      <c r="M145" s="35">
        <f t="shared" si="24"/>
        <v>0</v>
      </c>
      <c r="N145">
        <f t="shared" si="25"/>
        <v>0</v>
      </c>
      <c r="O145">
        <f t="shared" si="28"/>
        <v>0</v>
      </c>
      <c r="P145">
        <f t="shared" si="26"/>
        <v>0</v>
      </c>
      <c r="Q145" t="str">
        <f t="shared" si="29"/>
        <v>0</v>
      </c>
    </row>
    <row r="146" spans="1:17" x14ac:dyDescent="0.25">
      <c r="A146" t="str">
        <f t="shared" si="27"/>
        <v>Middlesbrough - Gibson</v>
      </c>
      <c r="B146" t="s">
        <v>1557</v>
      </c>
      <c r="C146" t="s">
        <v>1159</v>
      </c>
      <c r="D146" t="s">
        <v>8</v>
      </c>
      <c r="E146" t="s">
        <v>1324</v>
      </c>
      <c r="F146">
        <v>15</v>
      </c>
      <c r="G146">
        <v>0</v>
      </c>
      <c r="H146">
        <v>0</v>
      </c>
      <c r="I146">
        <v>0</v>
      </c>
      <c r="L146" s="35">
        <f t="shared" si="23"/>
        <v>5</v>
      </c>
      <c r="M146" s="35">
        <f t="shared" si="24"/>
        <v>6</v>
      </c>
      <c r="N146">
        <f t="shared" si="25"/>
        <v>0</v>
      </c>
      <c r="O146">
        <f t="shared" si="28"/>
        <v>1</v>
      </c>
      <c r="P146">
        <f t="shared" si="26"/>
        <v>1</v>
      </c>
      <c r="Q146" t="str">
        <f t="shared" si="29"/>
        <v>1</v>
      </c>
    </row>
    <row r="147" spans="1:17" x14ac:dyDescent="0.25">
      <c r="A147" t="str">
        <f t="shared" si="27"/>
        <v>Chelsea - Hazard</v>
      </c>
      <c r="B147" t="s">
        <v>1557</v>
      </c>
      <c r="C147" t="s">
        <v>1512</v>
      </c>
      <c r="D147" t="s">
        <v>6</v>
      </c>
      <c r="E147" t="s">
        <v>1519</v>
      </c>
      <c r="F147">
        <v>76</v>
      </c>
      <c r="G147">
        <v>0</v>
      </c>
      <c r="H147">
        <v>0</v>
      </c>
      <c r="I147">
        <v>0</v>
      </c>
      <c r="L147" s="35">
        <f t="shared" si="23"/>
        <v>5.666666666666667</v>
      </c>
      <c r="M147" s="35">
        <f t="shared" si="24"/>
        <v>6</v>
      </c>
      <c r="N147">
        <f t="shared" si="25"/>
        <v>0</v>
      </c>
      <c r="O147">
        <f t="shared" si="28"/>
        <v>2</v>
      </c>
      <c r="P147">
        <f t="shared" si="26"/>
        <v>2</v>
      </c>
      <c r="Q147" t="str">
        <f t="shared" si="29"/>
        <v>2</v>
      </c>
    </row>
    <row r="148" spans="1:17" x14ac:dyDescent="0.25">
      <c r="A148" t="str">
        <f t="shared" si="27"/>
        <v>Liverpool - Karius</v>
      </c>
      <c r="B148" s="35" t="s">
        <v>1557</v>
      </c>
      <c r="C148" s="35" t="s">
        <v>1426</v>
      </c>
      <c r="D148" s="35" t="s">
        <v>7</v>
      </c>
      <c r="E148" s="35" t="s">
        <v>1446</v>
      </c>
      <c r="F148" s="35">
        <v>1</v>
      </c>
      <c r="G148" s="35">
        <v>0</v>
      </c>
      <c r="H148" s="35">
        <v>0</v>
      </c>
      <c r="I148" s="35">
        <v>0</v>
      </c>
      <c r="J148" s="35"/>
      <c r="K148" s="35"/>
      <c r="L148" s="35">
        <f t="shared" si="23"/>
        <v>5</v>
      </c>
      <c r="M148" s="35">
        <f t="shared" si="24"/>
        <v>1</v>
      </c>
      <c r="N148">
        <f t="shared" si="25"/>
        <v>0</v>
      </c>
      <c r="O148">
        <f t="shared" si="28"/>
        <v>0</v>
      </c>
      <c r="P148">
        <f t="shared" si="26"/>
        <v>0</v>
      </c>
      <c r="Q148" t="str">
        <f t="shared" si="29"/>
        <v>0</v>
      </c>
    </row>
    <row r="149" spans="1:17" x14ac:dyDescent="0.25">
      <c r="A149" t="str">
        <f t="shared" si="27"/>
        <v>Tottenham - Lamela</v>
      </c>
      <c r="B149" s="35" t="s">
        <v>1557</v>
      </c>
      <c r="C149" s="35" t="s">
        <v>1176</v>
      </c>
      <c r="D149" s="35" t="s">
        <v>6</v>
      </c>
      <c r="E149" s="35" t="s">
        <v>1188</v>
      </c>
      <c r="F149" s="35">
        <v>28</v>
      </c>
      <c r="G149" s="35">
        <v>0</v>
      </c>
      <c r="H149" s="35">
        <v>0</v>
      </c>
      <c r="I149" s="35">
        <v>0</v>
      </c>
      <c r="J149" s="35"/>
      <c r="K149" s="35"/>
      <c r="L149" s="35">
        <f t="shared" si="23"/>
        <v>5.666666666666667</v>
      </c>
      <c r="M149" s="35">
        <f t="shared" si="24"/>
        <v>3</v>
      </c>
      <c r="N149">
        <f t="shared" si="25"/>
        <v>3</v>
      </c>
      <c r="O149">
        <f t="shared" si="28"/>
        <v>1</v>
      </c>
      <c r="P149">
        <f t="shared" si="26"/>
        <v>1</v>
      </c>
      <c r="Q149" t="str">
        <f t="shared" si="29"/>
        <v>1</v>
      </c>
    </row>
    <row r="150" spans="1:17" x14ac:dyDescent="0.25">
      <c r="A150" t="str">
        <f t="shared" si="27"/>
        <v>Liverpool - Manninger</v>
      </c>
      <c r="B150" t="s">
        <v>1557</v>
      </c>
      <c r="C150" t="s">
        <v>1425</v>
      </c>
      <c r="D150" t="s">
        <v>7</v>
      </c>
      <c r="E150" t="s">
        <v>1446</v>
      </c>
      <c r="F150">
        <v>9</v>
      </c>
      <c r="G150">
        <v>0</v>
      </c>
      <c r="H150">
        <v>0</v>
      </c>
      <c r="I150">
        <v>0</v>
      </c>
      <c r="L150" s="35" t="str">
        <f t="shared" si="23"/>
        <v/>
      </c>
      <c r="M150" s="35">
        <f t="shared" si="24"/>
        <v>0</v>
      </c>
      <c r="N150">
        <f t="shared" si="25"/>
        <v>0</v>
      </c>
      <c r="O150">
        <f t="shared" si="28"/>
        <v>0</v>
      </c>
      <c r="P150">
        <f t="shared" si="26"/>
        <v>0</v>
      </c>
      <c r="Q150" t="str">
        <f t="shared" si="29"/>
        <v>0</v>
      </c>
    </row>
    <row r="151" spans="1:17" x14ac:dyDescent="0.25">
      <c r="A151" t="str">
        <f t="shared" si="27"/>
        <v>Bournemouth - Marc Wilson</v>
      </c>
      <c r="B151" s="35" t="s">
        <v>1557</v>
      </c>
      <c r="C151" s="35" t="s">
        <v>1546</v>
      </c>
      <c r="D151" s="35" t="s">
        <v>8</v>
      </c>
      <c r="E151" s="35" t="s">
        <v>1474</v>
      </c>
      <c r="F151" s="35">
        <v>5</v>
      </c>
      <c r="G151" s="35">
        <v>0</v>
      </c>
      <c r="H151" s="35">
        <v>0</v>
      </c>
      <c r="I151" s="35">
        <v>0</v>
      </c>
      <c r="J151" s="35"/>
      <c r="K151" s="35"/>
      <c r="L151" s="35">
        <f t="shared" ref="L151:L154" si="30">IF(VLOOKUP(VLOOKUP($A151,_JOUEURS,2,FALSE),_DATA,9,FALSE)=0,"",VLOOKUP(VLOOKUP($A151,_JOUEURS,2,FALSE),_DATA,9,FALSE))</f>
        <v>4</v>
      </c>
      <c r="M151" s="35">
        <f t="shared" ref="M151:M154" si="31">VLOOKUP(VLOOKUP($A151,_JOUEURS,2,FALSE),_DATA,6,FALSE)</f>
        <v>5</v>
      </c>
      <c r="N151">
        <f t="shared" ref="N151:N154" si="32">VLOOKUP(VLOOKUP($A151,_JOUEURS,2,FALSE),_DATA,7,FALSE)</f>
        <v>1</v>
      </c>
      <c r="O151">
        <f t="shared" ref="O151:O154" si="33">VALUE(IF(Q151="",0,Q151))</f>
        <v>1</v>
      </c>
      <c r="P151">
        <f t="shared" si="26"/>
        <v>1</v>
      </c>
      <c r="Q151" t="str">
        <f t="shared" si="29"/>
        <v>1</v>
      </c>
    </row>
    <row r="152" spans="1:17" x14ac:dyDescent="0.25">
      <c r="A152" t="str">
        <f t="shared" si="27"/>
        <v>Liverpool - Mignolet</v>
      </c>
      <c r="B152" s="35" t="s">
        <v>1557</v>
      </c>
      <c r="C152" s="35" t="s">
        <v>1424</v>
      </c>
      <c r="D152" s="35" t="s">
        <v>7</v>
      </c>
      <c r="E152" s="35" t="s">
        <v>1446</v>
      </c>
      <c r="F152" s="35">
        <v>18</v>
      </c>
      <c r="G152">
        <v>0</v>
      </c>
      <c r="H152">
        <v>0</v>
      </c>
      <c r="I152">
        <v>0</v>
      </c>
      <c r="L152" s="35">
        <f t="shared" si="30"/>
        <v>5.2</v>
      </c>
      <c r="M152" s="35">
        <f t="shared" si="31"/>
        <v>5</v>
      </c>
      <c r="N152">
        <f t="shared" si="32"/>
        <v>0</v>
      </c>
      <c r="O152">
        <f t="shared" si="33"/>
        <v>0</v>
      </c>
      <c r="P152">
        <f t="shared" si="26"/>
        <v>0</v>
      </c>
      <c r="Q152" t="str">
        <f t="shared" si="29"/>
        <v>0</v>
      </c>
    </row>
    <row r="153" spans="1:17" x14ac:dyDescent="0.25">
      <c r="A153" t="str">
        <f t="shared" si="27"/>
        <v>Liverpool - Milner</v>
      </c>
      <c r="B153" s="35" t="s">
        <v>1557</v>
      </c>
      <c r="C153" s="35" t="s">
        <v>1438</v>
      </c>
      <c r="D153" s="35" t="s">
        <v>6</v>
      </c>
      <c r="E153" s="35" t="s">
        <v>1446</v>
      </c>
      <c r="F153" s="35">
        <v>20</v>
      </c>
      <c r="G153">
        <v>0</v>
      </c>
      <c r="H153">
        <v>0</v>
      </c>
      <c r="I153">
        <v>0</v>
      </c>
      <c r="J153" t="s">
        <v>308</v>
      </c>
      <c r="K153" t="s">
        <v>309</v>
      </c>
      <c r="L153" s="35">
        <f t="shared" si="30"/>
        <v>5.8</v>
      </c>
      <c r="M153" s="35">
        <f t="shared" si="31"/>
        <v>5</v>
      </c>
      <c r="N153">
        <f t="shared" si="32"/>
        <v>0</v>
      </c>
      <c r="O153">
        <f t="shared" si="33"/>
        <v>3</v>
      </c>
      <c r="P153">
        <f t="shared" si="26"/>
        <v>3</v>
      </c>
      <c r="Q153" t="str">
        <f t="shared" si="29"/>
        <v>3</v>
      </c>
    </row>
    <row r="154" spans="1:17" x14ac:dyDescent="0.25">
      <c r="A154" t="str">
        <f t="shared" si="27"/>
        <v>Arsenal - Monreal</v>
      </c>
      <c r="B154" s="35" t="s">
        <v>1557</v>
      </c>
      <c r="C154" s="35" t="s">
        <v>1398</v>
      </c>
      <c r="D154" s="35" t="s">
        <v>8</v>
      </c>
      <c r="E154" s="35" t="s">
        <v>1423</v>
      </c>
      <c r="F154" s="35">
        <v>16</v>
      </c>
      <c r="G154">
        <v>8</v>
      </c>
      <c r="H154">
        <v>0</v>
      </c>
      <c r="I154">
        <v>8</v>
      </c>
      <c r="J154" t="s">
        <v>288</v>
      </c>
      <c r="K154" t="s">
        <v>280</v>
      </c>
      <c r="L154" s="35">
        <f t="shared" si="30"/>
        <v>5.333333333333333</v>
      </c>
      <c r="M154" s="35">
        <f t="shared" si="31"/>
        <v>6</v>
      </c>
      <c r="N154">
        <f t="shared" si="32"/>
        <v>0</v>
      </c>
      <c r="O154">
        <f t="shared" si="33"/>
        <v>0</v>
      </c>
      <c r="P154">
        <f t="shared" si="26"/>
        <v>0</v>
      </c>
      <c r="Q154" t="str">
        <f t="shared" si="29"/>
        <v>0</v>
      </c>
    </row>
    <row r="155" spans="1:17" x14ac:dyDescent="0.25">
      <c r="A155" t="str">
        <f t="shared" si="27"/>
        <v>Chelsea - Oscar</v>
      </c>
      <c r="B155" s="35" t="s">
        <v>1557</v>
      </c>
      <c r="C155" s="35" t="s">
        <v>1509</v>
      </c>
      <c r="D155" s="35" t="s">
        <v>6</v>
      </c>
      <c r="E155" s="35" t="s">
        <v>1519</v>
      </c>
      <c r="F155" s="35">
        <v>49</v>
      </c>
      <c r="G155">
        <v>0</v>
      </c>
      <c r="H155">
        <v>0</v>
      </c>
      <c r="I155">
        <v>0</v>
      </c>
      <c r="L155" s="35">
        <f t="shared" ref="L155:L177" si="34">IF(VLOOKUP(VLOOKUP($A155,_JOUEURS,2,FALSE),_DATA,9,FALSE)=0,"",VLOOKUP(VLOOKUP($A155,_JOUEURS,2,FALSE),_DATA,9,FALSE))</f>
        <v>5.6</v>
      </c>
      <c r="M155" s="35">
        <f t="shared" ref="M155:M177" si="35">VLOOKUP(VLOOKUP($A155,_JOUEURS,2,FALSE),_DATA,6,FALSE)</f>
        <v>5</v>
      </c>
      <c r="N155">
        <f t="shared" ref="N155:N177" si="36">VLOOKUP(VLOOKUP($A155,_JOUEURS,2,FALSE),_DATA,7,FALSE)</f>
        <v>0</v>
      </c>
      <c r="O155">
        <f t="shared" ref="O155:O177" si="37">VALUE(IF(Q155="",0,Q155))</f>
        <v>0</v>
      </c>
      <c r="P155">
        <f t="shared" si="26"/>
        <v>0</v>
      </c>
      <c r="Q155" t="str">
        <f t="shared" si="29"/>
        <v>0</v>
      </c>
    </row>
    <row r="156" spans="1:17" x14ac:dyDescent="0.25">
      <c r="A156" t="str">
        <f t="shared" si="27"/>
        <v>Arsenal - Oxlade-Chamberlain</v>
      </c>
      <c r="B156" s="35" t="s">
        <v>1557</v>
      </c>
      <c r="C156" s="35" t="s">
        <v>1411</v>
      </c>
      <c r="D156" s="35" t="s">
        <v>6</v>
      </c>
      <c r="E156" s="35" t="s">
        <v>1423</v>
      </c>
      <c r="F156" s="35">
        <v>26</v>
      </c>
      <c r="G156">
        <v>0</v>
      </c>
      <c r="H156">
        <v>0</v>
      </c>
      <c r="I156">
        <v>0</v>
      </c>
      <c r="L156" s="35">
        <f t="shared" si="34"/>
        <v>5</v>
      </c>
      <c r="M156" s="35">
        <f t="shared" si="35"/>
        <v>3</v>
      </c>
      <c r="N156">
        <f t="shared" si="36"/>
        <v>1</v>
      </c>
      <c r="O156">
        <f t="shared" si="37"/>
        <v>1</v>
      </c>
      <c r="P156">
        <f t="shared" si="26"/>
        <v>1</v>
      </c>
      <c r="Q156" t="str">
        <f t="shared" si="29"/>
        <v>1</v>
      </c>
    </row>
    <row r="157" spans="1:17" x14ac:dyDescent="0.25">
      <c r="A157" t="str">
        <f t="shared" si="27"/>
        <v>Man United - Rashford</v>
      </c>
      <c r="B157" s="35" t="s">
        <v>1557</v>
      </c>
      <c r="C157" s="35" t="s">
        <v>1496</v>
      </c>
      <c r="D157" s="35" t="s">
        <v>5</v>
      </c>
      <c r="E157" s="35" t="s">
        <v>1521</v>
      </c>
      <c r="F157" s="35">
        <v>25</v>
      </c>
      <c r="G157">
        <v>0</v>
      </c>
      <c r="H157">
        <v>0</v>
      </c>
      <c r="I157">
        <v>0</v>
      </c>
      <c r="L157" s="35">
        <f t="shared" si="34"/>
        <v>5.5</v>
      </c>
      <c r="M157" s="35">
        <f t="shared" si="35"/>
        <v>2</v>
      </c>
      <c r="N157">
        <f t="shared" si="36"/>
        <v>2</v>
      </c>
      <c r="O157">
        <f t="shared" si="37"/>
        <v>3</v>
      </c>
      <c r="P157">
        <f t="shared" si="26"/>
        <v>3</v>
      </c>
      <c r="Q157" t="str">
        <f t="shared" si="29"/>
        <v>3</v>
      </c>
    </row>
    <row r="158" spans="1:17" x14ac:dyDescent="0.25">
      <c r="A158" t="str">
        <f t="shared" si="27"/>
        <v>Southampton - Tadic</v>
      </c>
      <c r="B158" s="35" t="s">
        <v>1557</v>
      </c>
      <c r="C158" s="35" t="s">
        <v>1359</v>
      </c>
      <c r="D158" s="35" t="s">
        <v>6</v>
      </c>
      <c r="E158" s="35" t="s">
        <v>1367</v>
      </c>
      <c r="F158" s="35">
        <v>19</v>
      </c>
      <c r="G158">
        <v>0</v>
      </c>
      <c r="H158">
        <v>0</v>
      </c>
      <c r="I158">
        <v>0</v>
      </c>
      <c r="L158" s="35">
        <f t="shared" si="34"/>
        <v>5.166666666666667</v>
      </c>
      <c r="M158" s="35">
        <f t="shared" si="35"/>
        <v>6</v>
      </c>
      <c r="N158">
        <f t="shared" si="36"/>
        <v>0</v>
      </c>
      <c r="O158">
        <f t="shared" si="37"/>
        <v>1</v>
      </c>
      <c r="P158">
        <f t="shared" si="26"/>
        <v>1</v>
      </c>
      <c r="Q158" t="str">
        <f t="shared" si="29"/>
        <v>1</v>
      </c>
    </row>
    <row r="159" spans="1:17" x14ac:dyDescent="0.25">
      <c r="A159" t="str">
        <f t="shared" si="27"/>
        <v>West Ham - Zaza</v>
      </c>
      <c r="B159" s="35" t="s">
        <v>1557</v>
      </c>
      <c r="C159" s="35" t="s">
        <v>1211</v>
      </c>
      <c r="D159" s="35" t="s">
        <v>5</v>
      </c>
      <c r="E159" s="35" t="s">
        <v>1212</v>
      </c>
      <c r="F159" s="35">
        <v>15</v>
      </c>
      <c r="G159" s="35">
        <v>0</v>
      </c>
      <c r="H159" s="35">
        <v>0</v>
      </c>
      <c r="I159" s="35">
        <v>0</v>
      </c>
      <c r="J159" s="35"/>
      <c r="K159" s="35"/>
      <c r="L159" s="35">
        <f t="shared" si="34"/>
        <v>4</v>
      </c>
      <c r="M159" s="35">
        <f t="shared" si="35"/>
        <v>3</v>
      </c>
      <c r="N159">
        <f t="shared" si="36"/>
        <v>0</v>
      </c>
      <c r="O159">
        <f t="shared" si="37"/>
        <v>0</v>
      </c>
      <c r="P159">
        <f t="shared" si="26"/>
        <v>0</v>
      </c>
      <c r="Q159" t="str">
        <f t="shared" si="29"/>
        <v>0</v>
      </c>
    </row>
    <row r="160" spans="1:17" x14ac:dyDescent="0.25">
      <c r="A160" t="str">
        <f t="shared" si="27"/>
        <v>Southampton - van Dijk</v>
      </c>
      <c r="B160" s="35" t="s">
        <v>1557</v>
      </c>
      <c r="C160" s="35" t="s">
        <v>1558</v>
      </c>
      <c r="D160" s="35" t="s">
        <v>8</v>
      </c>
      <c r="E160" s="35" t="s">
        <v>1367</v>
      </c>
      <c r="F160" s="35">
        <v>13</v>
      </c>
      <c r="G160">
        <v>0</v>
      </c>
      <c r="H160">
        <v>0</v>
      </c>
      <c r="I160">
        <v>0</v>
      </c>
      <c r="L160" s="35">
        <f t="shared" si="34"/>
        <v>5.5</v>
      </c>
      <c r="M160" s="35">
        <f t="shared" si="35"/>
        <v>6</v>
      </c>
      <c r="N160">
        <f t="shared" si="36"/>
        <v>0</v>
      </c>
      <c r="O160">
        <f t="shared" si="37"/>
        <v>0</v>
      </c>
      <c r="P160">
        <f t="shared" si="26"/>
        <v>0</v>
      </c>
      <c r="Q160" t="str">
        <f t="shared" si="29"/>
        <v>0</v>
      </c>
    </row>
    <row r="161" spans="1:17" x14ac:dyDescent="0.25">
      <c r="A161" t="str">
        <f t="shared" si="27"/>
        <v xml:space="preserve"> - </v>
      </c>
      <c r="G161">
        <v>0</v>
      </c>
      <c r="H161">
        <v>0</v>
      </c>
      <c r="I161">
        <v>0</v>
      </c>
      <c r="L161" s="35" t="e">
        <f t="shared" si="34"/>
        <v>#N/A</v>
      </c>
      <c r="M161" s="35" t="e">
        <f t="shared" si="35"/>
        <v>#N/A</v>
      </c>
      <c r="N161" t="e">
        <f t="shared" si="36"/>
        <v>#N/A</v>
      </c>
      <c r="O161" t="e">
        <f t="shared" si="37"/>
        <v>#N/A</v>
      </c>
      <c r="P161" t="e">
        <f t="shared" si="26"/>
        <v>#N/A</v>
      </c>
      <c r="Q161" t="e">
        <f t="shared" si="29"/>
        <v>#N/A</v>
      </c>
    </row>
    <row r="162" spans="1:17" x14ac:dyDescent="0.25">
      <c r="A162" t="str">
        <f t="shared" si="27"/>
        <v xml:space="preserve"> - </v>
      </c>
      <c r="G162">
        <v>0</v>
      </c>
      <c r="H162">
        <v>0</v>
      </c>
      <c r="I162">
        <v>0</v>
      </c>
      <c r="L162" s="35" t="e">
        <f t="shared" si="34"/>
        <v>#N/A</v>
      </c>
      <c r="M162" s="35" t="e">
        <f t="shared" si="35"/>
        <v>#N/A</v>
      </c>
      <c r="N162" t="e">
        <f t="shared" si="36"/>
        <v>#N/A</v>
      </c>
      <c r="O162" t="e">
        <f t="shared" si="37"/>
        <v>#N/A</v>
      </c>
      <c r="P162" t="e">
        <f t="shared" si="26"/>
        <v>#N/A</v>
      </c>
      <c r="Q162" t="e">
        <f t="shared" si="29"/>
        <v>#N/A</v>
      </c>
    </row>
    <row r="163" spans="1:17" x14ac:dyDescent="0.25">
      <c r="A163" t="str">
        <f t="shared" si="27"/>
        <v xml:space="preserve"> - </v>
      </c>
      <c r="B163" s="35"/>
      <c r="C163" s="35"/>
      <c r="D163" s="35"/>
      <c r="E163" s="35"/>
      <c r="F163" s="35"/>
      <c r="G163" s="35">
        <v>0</v>
      </c>
      <c r="H163" s="35">
        <v>0</v>
      </c>
      <c r="I163" s="35">
        <v>0</v>
      </c>
      <c r="J163" s="35"/>
      <c r="K163" s="35"/>
      <c r="L163" s="35" t="e">
        <f t="shared" si="34"/>
        <v>#N/A</v>
      </c>
      <c r="M163" s="35" t="e">
        <f t="shared" si="35"/>
        <v>#N/A</v>
      </c>
      <c r="N163" t="e">
        <f t="shared" si="36"/>
        <v>#N/A</v>
      </c>
      <c r="O163" t="e">
        <f t="shared" si="37"/>
        <v>#N/A</v>
      </c>
      <c r="P163" t="e">
        <f t="shared" ref="P163:P177" si="38">VLOOKUP(VLOOKUP($A163,_JOUEURS,2,FALSE),_DATA,8,FALSE)</f>
        <v>#N/A</v>
      </c>
      <c r="Q163" t="e">
        <f t="shared" si="29"/>
        <v>#N/A</v>
      </c>
    </row>
    <row r="164" spans="1:17" x14ac:dyDescent="0.25">
      <c r="A164" t="str">
        <f t="shared" ref="A164:A177" si="39">E164 &amp; " - " &amp; C164</f>
        <v xml:space="preserve"> - </v>
      </c>
      <c r="G164">
        <v>0</v>
      </c>
      <c r="H164">
        <v>0</v>
      </c>
      <c r="I164">
        <v>0</v>
      </c>
      <c r="L164" s="35" t="e">
        <f t="shared" si="34"/>
        <v>#N/A</v>
      </c>
      <c r="M164" s="35" t="e">
        <f t="shared" si="35"/>
        <v>#N/A</v>
      </c>
      <c r="N164" t="e">
        <f t="shared" si="36"/>
        <v>#N/A</v>
      </c>
      <c r="O164" t="e">
        <f t="shared" si="37"/>
        <v>#N/A</v>
      </c>
      <c r="P164" t="e">
        <f t="shared" si="38"/>
        <v>#N/A</v>
      </c>
      <c r="Q164" t="e">
        <f t="shared" si="29"/>
        <v>#N/A</v>
      </c>
    </row>
    <row r="165" spans="1:17" x14ac:dyDescent="0.25">
      <c r="A165" t="str">
        <f t="shared" si="39"/>
        <v xml:space="preserve"> - </v>
      </c>
      <c r="B165" s="35"/>
      <c r="C165" s="35"/>
      <c r="D165" s="35"/>
      <c r="E165" s="35"/>
      <c r="F165" s="35"/>
      <c r="G165" s="35">
        <v>0</v>
      </c>
      <c r="H165" s="35">
        <v>0</v>
      </c>
      <c r="I165" s="35">
        <v>0</v>
      </c>
      <c r="J165" s="35" t="s">
        <v>167</v>
      </c>
      <c r="K165" s="35" t="s">
        <v>167</v>
      </c>
      <c r="L165" s="35" t="e">
        <f t="shared" si="34"/>
        <v>#N/A</v>
      </c>
      <c r="M165" s="35" t="e">
        <f t="shared" si="35"/>
        <v>#N/A</v>
      </c>
      <c r="N165" t="e">
        <f t="shared" si="36"/>
        <v>#N/A</v>
      </c>
      <c r="O165" t="e">
        <f t="shared" si="37"/>
        <v>#N/A</v>
      </c>
      <c r="P165" t="e">
        <f t="shared" si="38"/>
        <v>#N/A</v>
      </c>
      <c r="Q165" t="e">
        <f t="shared" si="29"/>
        <v>#N/A</v>
      </c>
    </row>
    <row r="166" spans="1:17" x14ac:dyDescent="0.25">
      <c r="A166" t="str">
        <f t="shared" si="39"/>
        <v xml:space="preserve"> - </v>
      </c>
      <c r="G166">
        <v>0</v>
      </c>
      <c r="H166">
        <v>0</v>
      </c>
      <c r="I166">
        <v>0</v>
      </c>
      <c r="J166" t="s">
        <v>346</v>
      </c>
      <c r="K166" t="s">
        <v>346</v>
      </c>
      <c r="L166" s="35" t="e">
        <f t="shared" si="34"/>
        <v>#N/A</v>
      </c>
      <c r="M166" s="35" t="e">
        <f t="shared" si="35"/>
        <v>#N/A</v>
      </c>
      <c r="N166" t="e">
        <f t="shared" si="36"/>
        <v>#N/A</v>
      </c>
      <c r="O166" t="e">
        <f t="shared" si="37"/>
        <v>#N/A</v>
      </c>
      <c r="P166" t="e">
        <f t="shared" si="38"/>
        <v>#N/A</v>
      </c>
      <c r="Q166" t="e">
        <f t="shared" si="29"/>
        <v>#N/A</v>
      </c>
    </row>
    <row r="167" spans="1:17" x14ac:dyDescent="0.25">
      <c r="A167" t="str">
        <f t="shared" si="39"/>
        <v xml:space="preserve"> - </v>
      </c>
      <c r="G167">
        <v>0</v>
      </c>
      <c r="H167">
        <v>0</v>
      </c>
      <c r="I167">
        <v>0</v>
      </c>
      <c r="L167" s="35" t="e">
        <f t="shared" si="34"/>
        <v>#N/A</v>
      </c>
      <c r="M167" s="35" t="e">
        <f t="shared" si="35"/>
        <v>#N/A</v>
      </c>
      <c r="N167" t="e">
        <f t="shared" si="36"/>
        <v>#N/A</v>
      </c>
      <c r="O167" t="e">
        <f t="shared" si="37"/>
        <v>#N/A</v>
      </c>
      <c r="P167" t="e">
        <f t="shared" si="38"/>
        <v>#N/A</v>
      </c>
      <c r="Q167" t="e">
        <f t="shared" si="29"/>
        <v>#N/A</v>
      </c>
    </row>
    <row r="168" spans="1:17" x14ac:dyDescent="0.25">
      <c r="A168" t="str">
        <f t="shared" si="39"/>
        <v xml:space="preserve"> - </v>
      </c>
      <c r="G168">
        <v>3</v>
      </c>
      <c r="H168">
        <v>0</v>
      </c>
      <c r="I168">
        <v>3</v>
      </c>
      <c r="J168" t="s">
        <v>322</v>
      </c>
      <c r="K168" t="s">
        <v>323</v>
      </c>
      <c r="L168" s="35" t="e">
        <f t="shared" si="34"/>
        <v>#N/A</v>
      </c>
      <c r="M168" s="35" t="e">
        <f t="shared" si="35"/>
        <v>#N/A</v>
      </c>
      <c r="N168" t="e">
        <f t="shared" si="36"/>
        <v>#N/A</v>
      </c>
      <c r="O168" t="e">
        <f t="shared" si="37"/>
        <v>#N/A</v>
      </c>
      <c r="P168" t="e">
        <f t="shared" si="38"/>
        <v>#N/A</v>
      </c>
      <c r="Q168" t="e">
        <f t="shared" si="29"/>
        <v>#N/A</v>
      </c>
    </row>
    <row r="169" spans="1:17" x14ac:dyDescent="0.25">
      <c r="A169" t="str">
        <f t="shared" si="39"/>
        <v xml:space="preserve"> - </v>
      </c>
      <c r="G169">
        <v>0</v>
      </c>
      <c r="H169">
        <v>0</v>
      </c>
      <c r="I169">
        <v>0</v>
      </c>
      <c r="L169" s="35" t="e">
        <f t="shared" si="34"/>
        <v>#N/A</v>
      </c>
      <c r="M169" s="35" t="e">
        <f t="shared" si="35"/>
        <v>#N/A</v>
      </c>
      <c r="N169" t="e">
        <f t="shared" si="36"/>
        <v>#N/A</v>
      </c>
      <c r="O169" t="e">
        <f t="shared" si="37"/>
        <v>#N/A</v>
      </c>
      <c r="P169" t="e">
        <f t="shared" si="38"/>
        <v>#N/A</v>
      </c>
      <c r="Q169" t="e">
        <f t="shared" si="29"/>
        <v>#N/A</v>
      </c>
    </row>
    <row r="170" spans="1:17" x14ac:dyDescent="0.25">
      <c r="A170" t="str">
        <f t="shared" si="39"/>
        <v xml:space="preserve"> - </v>
      </c>
      <c r="G170">
        <v>0</v>
      </c>
      <c r="H170">
        <v>0</v>
      </c>
      <c r="I170">
        <v>0</v>
      </c>
      <c r="L170" s="35" t="e">
        <f t="shared" si="34"/>
        <v>#N/A</v>
      </c>
      <c r="M170" s="35" t="e">
        <f t="shared" si="35"/>
        <v>#N/A</v>
      </c>
      <c r="N170" t="e">
        <f t="shared" si="36"/>
        <v>#N/A</v>
      </c>
      <c r="O170" t="e">
        <f t="shared" si="37"/>
        <v>#N/A</v>
      </c>
      <c r="P170" t="e">
        <f t="shared" si="38"/>
        <v>#N/A</v>
      </c>
      <c r="Q170" t="e">
        <f t="shared" si="29"/>
        <v>#N/A</v>
      </c>
    </row>
    <row r="171" spans="1:17" x14ac:dyDescent="0.25">
      <c r="A171" t="str">
        <f t="shared" si="39"/>
        <v xml:space="preserve"> - </v>
      </c>
      <c r="L171" s="35" t="e">
        <f t="shared" si="34"/>
        <v>#N/A</v>
      </c>
      <c r="M171" s="35" t="e">
        <f t="shared" si="35"/>
        <v>#N/A</v>
      </c>
      <c r="N171" t="e">
        <f t="shared" si="36"/>
        <v>#N/A</v>
      </c>
      <c r="O171" t="e">
        <f t="shared" si="37"/>
        <v>#N/A</v>
      </c>
      <c r="P171" t="e">
        <f t="shared" si="38"/>
        <v>#N/A</v>
      </c>
      <c r="Q171" t="e">
        <f t="shared" si="29"/>
        <v>#N/A</v>
      </c>
    </row>
    <row r="172" spans="1:17" x14ac:dyDescent="0.25">
      <c r="A172" t="str">
        <f t="shared" si="39"/>
        <v xml:space="preserve"> - </v>
      </c>
      <c r="G172">
        <v>0</v>
      </c>
      <c r="H172">
        <v>0</v>
      </c>
      <c r="I172">
        <v>0</v>
      </c>
      <c r="L172" s="35" t="e">
        <f t="shared" si="34"/>
        <v>#N/A</v>
      </c>
      <c r="M172" s="35" t="e">
        <f t="shared" si="35"/>
        <v>#N/A</v>
      </c>
      <c r="N172" t="e">
        <f t="shared" si="36"/>
        <v>#N/A</v>
      </c>
      <c r="O172" t="e">
        <f t="shared" si="37"/>
        <v>#N/A</v>
      </c>
      <c r="P172" t="e">
        <f t="shared" si="38"/>
        <v>#N/A</v>
      </c>
      <c r="Q172" t="e">
        <f t="shared" si="29"/>
        <v>#N/A</v>
      </c>
    </row>
    <row r="173" spans="1:17" x14ac:dyDescent="0.25">
      <c r="A173" t="str">
        <f t="shared" si="39"/>
        <v xml:space="preserve"> - </v>
      </c>
      <c r="G173">
        <v>0</v>
      </c>
      <c r="H173">
        <v>0</v>
      </c>
      <c r="I173">
        <v>0</v>
      </c>
      <c r="L173" s="35" t="e">
        <f t="shared" si="34"/>
        <v>#N/A</v>
      </c>
      <c r="M173" s="35" t="e">
        <f t="shared" si="35"/>
        <v>#N/A</v>
      </c>
      <c r="N173" t="e">
        <f t="shared" si="36"/>
        <v>#N/A</v>
      </c>
      <c r="O173" t="e">
        <f t="shared" si="37"/>
        <v>#N/A</v>
      </c>
      <c r="P173" t="e">
        <f t="shared" si="38"/>
        <v>#N/A</v>
      </c>
      <c r="Q173" t="e">
        <f t="shared" si="29"/>
        <v>#N/A</v>
      </c>
    </row>
    <row r="174" spans="1:17" x14ac:dyDescent="0.25">
      <c r="A174" t="str">
        <f t="shared" si="39"/>
        <v xml:space="preserve"> - </v>
      </c>
      <c r="B174" s="35"/>
      <c r="C174" s="35"/>
      <c r="D174" s="35"/>
      <c r="E174" s="35"/>
      <c r="F174" s="35"/>
      <c r="G174" s="35"/>
      <c r="H174" s="35"/>
      <c r="I174" s="35"/>
      <c r="J174" s="35"/>
      <c r="K174" s="35"/>
      <c r="L174" s="35" t="e">
        <f t="shared" si="34"/>
        <v>#N/A</v>
      </c>
      <c r="M174" s="35" t="e">
        <f t="shared" si="35"/>
        <v>#N/A</v>
      </c>
      <c r="N174" t="e">
        <f t="shared" si="36"/>
        <v>#N/A</v>
      </c>
      <c r="O174" t="e">
        <f t="shared" si="37"/>
        <v>#N/A</v>
      </c>
      <c r="P174" t="e">
        <f t="shared" si="38"/>
        <v>#N/A</v>
      </c>
      <c r="Q174" t="e">
        <f t="shared" si="29"/>
        <v>#N/A</v>
      </c>
    </row>
    <row r="175" spans="1:17" x14ac:dyDescent="0.25">
      <c r="A175" t="str">
        <f t="shared" si="39"/>
        <v xml:space="preserve"> - </v>
      </c>
      <c r="G175">
        <v>0</v>
      </c>
      <c r="H175">
        <v>0</v>
      </c>
      <c r="I175">
        <v>0</v>
      </c>
      <c r="J175" t="s">
        <v>170</v>
      </c>
      <c r="K175" t="s">
        <v>173</v>
      </c>
      <c r="L175" s="35" t="e">
        <f t="shared" si="34"/>
        <v>#N/A</v>
      </c>
      <c r="M175" s="35" t="e">
        <f t="shared" si="35"/>
        <v>#N/A</v>
      </c>
      <c r="N175" t="e">
        <f t="shared" si="36"/>
        <v>#N/A</v>
      </c>
      <c r="O175" t="e">
        <f t="shared" si="37"/>
        <v>#N/A</v>
      </c>
      <c r="P175" t="e">
        <f t="shared" si="38"/>
        <v>#N/A</v>
      </c>
      <c r="Q175" t="e">
        <f t="shared" si="29"/>
        <v>#N/A</v>
      </c>
    </row>
    <row r="176" spans="1:17" x14ac:dyDescent="0.25">
      <c r="A176" t="str">
        <f t="shared" si="39"/>
        <v xml:space="preserve"> - </v>
      </c>
      <c r="G176">
        <v>0</v>
      </c>
      <c r="H176">
        <v>0</v>
      </c>
      <c r="I176">
        <v>0</v>
      </c>
      <c r="L176" s="35" t="e">
        <f t="shared" si="34"/>
        <v>#N/A</v>
      </c>
      <c r="M176" s="35" t="e">
        <f t="shared" si="35"/>
        <v>#N/A</v>
      </c>
      <c r="N176" t="e">
        <f t="shared" si="36"/>
        <v>#N/A</v>
      </c>
      <c r="O176" t="e">
        <f t="shared" si="37"/>
        <v>#N/A</v>
      </c>
      <c r="P176" t="e">
        <f t="shared" si="38"/>
        <v>#N/A</v>
      </c>
      <c r="Q176" t="e">
        <f t="shared" si="29"/>
        <v>#N/A</v>
      </c>
    </row>
    <row r="177" spans="1:17" x14ac:dyDescent="0.25">
      <c r="A177" s="212" t="str">
        <f t="shared" si="39"/>
        <v xml:space="preserve"> - </v>
      </c>
      <c r="G177">
        <v>0</v>
      </c>
      <c r="H177">
        <v>0</v>
      </c>
      <c r="I177">
        <v>0</v>
      </c>
      <c r="L177" s="35" t="e">
        <f t="shared" si="34"/>
        <v>#N/A</v>
      </c>
      <c r="M177" s="35" t="e">
        <f t="shared" si="35"/>
        <v>#N/A</v>
      </c>
      <c r="N177" t="e">
        <f t="shared" si="36"/>
        <v>#N/A</v>
      </c>
      <c r="O177" t="e">
        <f t="shared" si="37"/>
        <v>#N/A</v>
      </c>
      <c r="P177" t="e">
        <f t="shared" si="38"/>
        <v>#N/A</v>
      </c>
      <c r="Q177" t="e">
        <f t="shared" si="29"/>
        <v>#N/A</v>
      </c>
    </row>
  </sheetData>
  <autoFilter ref="B2:O177"/>
  <pageMargins left="0.7" right="0.7" top="0.75" bottom="0.75" header="0.3" footer="0.3"/>
  <pageSetup paperSize="9" orientation="portrait" horizontalDpi="4294967295" verticalDpi="4294967295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K280"/>
  <sheetViews>
    <sheetView topLeftCell="A2" workbookViewId="0">
      <selection activeCell="B2" sqref="B2"/>
    </sheetView>
  </sheetViews>
  <sheetFormatPr baseColWidth="10" defaultRowHeight="15" x14ac:dyDescent="0.25"/>
  <cols>
    <col min="1" max="1" width="26.75" bestFit="1" customWidth="1"/>
    <col min="2" max="3" width="18.25" bestFit="1" customWidth="1"/>
    <col min="4" max="4" width="18.25" hidden="1" customWidth="1"/>
    <col min="5" max="5" width="18.25" customWidth="1"/>
    <col min="6" max="6" width="29" bestFit="1" customWidth="1"/>
    <col min="7" max="7" width="23.375" bestFit="1" customWidth="1"/>
    <col min="10" max="10" width="14.875" bestFit="1" customWidth="1"/>
    <col min="11" max="11" width="14.375" bestFit="1" customWidth="1"/>
  </cols>
  <sheetData>
    <row r="1" spans="1:11" x14ac:dyDescent="0.25">
      <c r="A1" s="279" t="s">
        <v>55</v>
      </c>
      <c r="B1" s="279"/>
      <c r="C1" s="154" t="s">
        <v>544</v>
      </c>
      <c r="D1" s="154"/>
      <c r="E1" s="154"/>
      <c r="F1" s="154" t="s">
        <v>543</v>
      </c>
      <c r="G1" t="s">
        <v>545</v>
      </c>
      <c r="J1" t="s">
        <v>55</v>
      </c>
      <c r="K1" t="s">
        <v>359</v>
      </c>
    </row>
    <row r="2" spans="1:11" x14ac:dyDescent="0.25">
      <c r="A2" s="35" t="s">
        <v>1521</v>
      </c>
      <c r="B2" s="35" t="s">
        <v>65</v>
      </c>
      <c r="C2" s="35" t="s">
        <v>65</v>
      </c>
      <c r="D2" t="str">
        <f t="shared" ref="D2:D26" si="0">VLOOKUP(G2,_DATA,1,FALSE)</f>
        <v>Man. United - Ibrahimovic</v>
      </c>
      <c r="F2" t="str">
        <f t="shared" ref="F2:F65" si="1">A2&amp; " - " &amp; B2</f>
        <v>Man United - Ibrahimovic</v>
      </c>
      <c r="G2" t="str">
        <f>VLOOKUP(A2,_EQUIPES,2,FALSE) &amp; " - " &amp; C2</f>
        <v>Man. United - Ibrahimovic</v>
      </c>
      <c r="J2" t="s">
        <v>1423</v>
      </c>
      <c r="K2" t="s">
        <v>1423</v>
      </c>
    </row>
    <row r="3" spans="1:11" x14ac:dyDescent="0.25">
      <c r="A3" s="35" t="s">
        <v>1474</v>
      </c>
      <c r="B3" s="35" t="s">
        <v>1246</v>
      </c>
      <c r="C3" s="35" t="s">
        <v>1246</v>
      </c>
      <c r="D3" t="str">
        <f t="shared" si="0"/>
        <v>Bournemouth - King</v>
      </c>
      <c r="F3" t="str">
        <f t="shared" si="1"/>
        <v>Bournemouth - King</v>
      </c>
      <c r="G3" t="str">
        <f t="shared" ref="G3:G65" si="2">VLOOKUP(A3,_EQUIPES,2,FALSE) &amp; " - " &amp; C3</f>
        <v>Bournemouth - King</v>
      </c>
      <c r="J3" t="s">
        <v>1474</v>
      </c>
      <c r="K3" t="s">
        <v>1474</v>
      </c>
    </row>
    <row r="4" spans="1:11" x14ac:dyDescent="0.25">
      <c r="A4" s="35" t="s">
        <v>1523</v>
      </c>
      <c r="B4" s="35" t="s">
        <v>1134</v>
      </c>
      <c r="C4" s="35" t="s">
        <v>1134</v>
      </c>
      <c r="D4" t="str">
        <f t="shared" si="0"/>
        <v>WBA - McClean</v>
      </c>
      <c r="F4" t="str">
        <f t="shared" si="1"/>
        <v>West Bromwich - McClean</v>
      </c>
      <c r="G4" t="str">
        <f t="shared" si="2"/>
        <v>WBA - McClean</v>
      </c>
      <c r="J4" t="s">
        <v>1069</v>
      </c>
      <c r="K4" t="s">
        <v>1069</v>
      </c>
    </row>
    <row r="5" spans="1:11" x14ac:dyDescent="0.25">
      <c r="A5" s="35" t="s">
        <v>1324</v>
      </c>
      <c r="B5" s="35" t="s">
        <v>1319</v>
      </c>
      <c r="C5" s="35" t="s">
        <v>1319</v>
      </c>
      <c r="D5" t="str">
        <f t="shared" si="0"/>
        <v>Middlesbrough - Negredo</v>
      </c>
      <c r="F5" t="str">
        <f t="shared" si="1"/>
        <v>Middlesbrough - Negredo</v>
      </c>
      <c r="G5" t="str">
        <f t="shared" si="2"/>
        <v>Middlesbrough - Negredo</v>
      </c>
      <c r="J5" t="s">
        <v>1519</v>
      </c>
      <c r="K5" t="s">
        <v>1519</v>
      </c>
    </row>
    <row r="6" spans="1:11" x14ac:dyDescent="0.25">
      <c r="A6" s="35" t="s">
        <v>1069</v>
      </c>
      <c r="B6" s="35" t="s">
        <v>1045</v>
      </c>
      <c r="C6" s="35" t="s">
        <v>1045</v>
      </c>
      <c r="D6" t="str">
        <f t="shared" si="0"/>
        <v>Burnley - Heaton</v>
      </c>
      <c r="F6" t="str">
        <f t="shared" si="1"/>
        <v>Burnley - Heaton</v>
      </c>
      <c r="G6" t="str">
        <f t="shared" si="2"/>
        <v>Burnley - Heaton</v>
      </c>
      <c r="J6" t="s">
        <v>1167</v>
      </c>
      <c r="K6" t="s">
        <v>1167</v>
      </c>
    </row>
    <row r="7" spans="1:11" x14ac:dyDescent="0.25">
      <c r="A7" t="s">
        <v>1423</v>
      </c>
      <c r="B7" t="s">
        <v>1410</v>
      </c>
      <c r="C7" t="s">
        <v>1410</v>
      </c>
      <c r="D7" t="str">
        <f t="shared" si="0"/>
        <v>Arsenal - Cazorla</v>
      </c>
      <c r="F7" t="str">
        <f t="shared" si="1"/>
        <v>Arsenal - Cazorla</v>
      </c>
      <c r="G7" t="str">
        <f t="shared" si="2"/>
        <v>Arsenal - Cazorla</v>
      </c>
      <c r="J7" t="s">
        <v>1524</v>
      </c>
      <c r="K7" t="s">
        <v>1237</v>
      </c>
    </row>
    <row r="8" spans="1:11" x14ac:dyDescent="0.25">
      <c r="A8" t="s">
        <v>1524</v>
      </c>
      <c r="B8" t="s">
        <v>1231</v>
      </c>
      <c r="C8" t="s">
        <v>1231</v>
      </c>
      <c r="D8" t="str">
        <f t="shared" si="0"/>
        <v>Hull - Snodgrass</v>
      </c>
      <c r="F8" t="str">
        <f t="shared" si="1"/>
        <v>Hull city - Snodgrass</v>
      </c>
      <c r="G8" t="str">
        <f t="shared" si="2"/>
        <v>Hull - Snodgrass</v>
      </c>
      <c r="J8" t="s">
        <v>1258</v>
      </c>
      <c r="K8" t="s">
        <v>1258</v>
      </c>
    </row>
    <row r="9" spans="1:11" x14ac:dyDescent="0.25">
      <c r="A9" t="s">
        <v>1258</v>
      </c>
      <c r="B9" t="s">
        <v>1238</v>
      </c>
      <c r="C9" t="s">
        <v>1238</v>
      </c>
      <c r="D9" t="str">
        <f t="shared" si="0"/>
        <v>Leicester - Schmeichel</v>
      </c>
      <c r="F9" t="str">
        <f t="shared" si="1"/>
        <v>Leicester - Schmeichel</v>
      </c>
      <c r="G9" t="str">
        <f t="shared" si="2"/>
        <v>Leicester - Schmeichel</v>
      </c>
      <c r="J9" t="s">
        <v>1446</v>
      </c>
      <c r="K9" t="s">
        <v>1446</v>
      </c>
    </row>
    <row r="10" spans="1:11" x14ac:dyDescent="0.25">
      <c r="A10" t="s">
        <v>1167</v>
      </c>
      <c r="B10" t="s">
        <v>1152</v>
      </c>
      <c r="C10" t="s">
        <v>1152</v>
      </c>
      <c r="D10" t="str">
        <f t="shared" si="0"/>
        <v>Everton - Baines</v>
      </c>
      <c r="F10" t="str">
        <f t="shared" si="1"/>
        <v>Everton - Baines</v>
      </c>
      <c r="G10" t="str">
        <f t="shared" si="2"/>
        <v>Everton - Baines</v>
      </c>
      <c r="J10" t="s">
        <v>1520</v>
      </c>
      <c r="K10" t="s">
        <v>1279</v>
      </c>
    </row>
    <row r="11" spans="1:11" x14ac:dyDescent="0.25">
      <c r="A11" t="s">
        <v>1446</v>
      </c>
      <c r="B11" t="s">
        <v>1041</v>
      </c>
      <c r="C11" t="s">
        <v>1041</v>
      </c>
      <c r="D11" t="str">
        <f t="shared" si="0"/>
        <v>Liverpool - Mané</v>
      </c>
      <c r="F11" t="str">
        <f t="shared" si="1"/>
        <v>Liverpool - Mané</v>
      </c>
      <c r="G11" t="str">
        <f t="shared" si="2"/>
        <v>Liverpool - Mané</v>
      </c>
      <c r="J11" t="s">
        <v>1521</v>
      </c>
      <c r="K11" t="s">
        <v>1497</v>
      </c>
    </row>
    <row r="12" spans="1:11" x14ac:dyDescent="0.25">
      <c r="A12" t="s">
        <v>1521</v>
      </c>
      <c r="B12" t="s">
        <v>1480</v>
      </c>
      <c r="C12" t="s">
        <v>1480</v>
      </c>
      <c r="D12" t="str">
        <f t="shared" si="0"/>
        <v>Man. United - Shaw</v>
      </c>
      <c r="F12" t="str">
        <f t="shared" si="1"/>
        <v>Man United - Shaw</v>
      </c>
      <c r="G12" t="str">
        <f t="shared" si="2"/>
        <v>Man. United - Shaw</v>
      </c>
      <c r="J12" t="s">
        <v>1324</v>
      </c>
      <c r="K12" t="s">
        <v>1324</v>
      </c>
    </row>
    <row r="13" spans="1:11" x14ac:dyDescent="0.25">
      <c r="A13" t="s">
        <v>1522</v>
      </c>
      <c r="B13" t="s">
        <v>1107</v>
      </c>
      <c r="C13" t="s">
        <v>1107</v>
      </c>
      <c r="D13" t="str">
        <f t="shared" si="0"/>
        <v>Palace - Zaha</v>
      </c>
      <c r="F13" t="str">
        <f t="shared" si="1"/>
        <v>Crystal Palace - Zaha</v>
      </c>
      <c r="G13" t="str">
        <f t="shared" si="2"/>
        <v>Palace - Zaha</v>
      </c>
      <c r="J13" t="s">
        <v>1522</v>
      </c>
      <c r="K13" t="s">
        <v>1119</v>
      </c>
    </row>
    <row r="14" spans="1:11" x14ac:dyDescent="0.25">
      <c r="A14" t="s">
        <v>1095</v>
      </c>
      <c r="B14" t="s">
        <v>1073</v>
      </c>
      <c r="C14" t="s">
        <v>1073</v>
      </c>
      <c r="D14" t="str">
        <f t="shared" si="0"/>
        <v>Swansea - Naughton</v>
      </c>
      <c r="F14" t="str">
        <f t="shared" si="1"/>
        <v>Swansea - Naughton</v>
      </c>
      <c r="G14" t="str">
        <f t="shared" si="2"/>
        <v>Swansea - Naughton</v>
      </c>
      <c r="J14" t="s">
        <v>1367</v>
      </c>
      <c r="K14" t="s">
        <v>1367</v>
      </c>
    </row>
    <row r="15" spans="1:11" x14ac:dyDescent="0.25">
      <c r="A15" t="s">
        <v>1519</v>
      </c>
      <c r="B15" t="s">
        <v>1504</v>
      </c>
      <c r="C15" t="s">
        <v>1504</v>
      </c>
      <c r="D15" t="str">
        <f t="shared" si="0"/>
        <v>Chelsea - Azpilicueta</v>
      </c>
      <c r="F15" t="str">
        <f t="shared" si="1"/>
        <v>Chelsea - Azpilicueta</v>
      </c>
      <c r="G15" t="str">
        <f t="shared" si="2"/>
        <v>Chelsea - Azpilicueta</v>
      </c>
      <c r="J15" t="s">
        <v>1347</v>
      </c>
      <c r="K15" t="s">
        <v>1347</v>
      </c>
    </row>
    <row r="16" spans="1:11" x14ac:dyDescent="0.25">
      <c r="A16" t="s">
        <v>1520</v>
      </c>
      <c r="B16" t="s">
        <v>1268</v>
      </c>
      <c r="C16" t="s">
        <v>1268</v>
      </c>
      <c r="D16" t="str">
        <f t="shared" si="0"/>
        <v>Man. City - Fernandinho</v>
      </c>
      <c r="F16" t="str">
        <f t="shared" si="1"/>
        <v>Man City - Fernandinho</v>
      </c>
      <c r="G16" t="str">
        <f t="shared" si="2"/>
        <v>Man. City - Fernandinho</v>
      </c>
      <c r="J16" t="s">
        <v>1301</v>
      </c>
      <c r="K16" t="s">
        <v>1301</v>
      </c>
    </row>
    <row r="17" spans="1:11" x14ac:dyDescent="0.25">
      <c r="A17" t="s">
        <v>1258</v>
      </c>
      <c r="B17" t="s">
        <v>1242</v>
      </c>
      <c r="C17" t="s">
        <v>1242</v>
      </c>
      <c r="D17" t="str">
        <f t="shared" si="0"/>
        <v>Leicester - Huth</v>
      </c>
      <c r="F17" t="str">
        <f t="shared" si="1"/>
        <v>Leicester - Huth</v>
      </c>
      <c r="G17" t="str">
        <f t="shared" si="2"/>
        <v>Leicester - Huth</v>
      </c>
      <c r="J17" t="s">
        <v>1095</v>
      </c>
      <c r="K17" t="s">
        <v>1095</v>
      </c>
    </row>
    <row r="18" spans="1:11" x14ac:dyDescent="0.25">
      <c r="A18" t="s">
        <v>1523</v>
      </c>
      <c r="B18" t="s">
        <v>1564</v>
      </c>
      <c r="C18" t="s">
        <v>1140</v>
      </c>
      <c r="D18" t="str">
        <f t="shared" si="0"/>
        <v>WBA - Rondon</v>
      </c>
      <c r="F18" t="str">
        <f t="shared" si="1"/>
        <v>West Bromwich - Rondón</v>
      </c>
      <c r="G18" t="str">
        <f t="shared" si="2"/>
        <v>WBA - Rondon</v>
      </c>
      <c r="J18" t="s">
        <v>1188</v>
      </c>
      <c r="K18" t="s">
        <v>1188</v>
      </c>
    </row>
    <row r="19" spans="1:11" x14ac:dyDescent="0.25">
      <c r="A19" t="s">
        <v>1393</v>
      </c>
      <c r="B19" t="s">
        <v>1565</v>
      </c>
      <c r="C19" t="s">
        <v>1374</v>
      </c>
      <c r="D19" t="str">
        <f t="shared" si="0"/>
        <v>Watford - Zuniga</v>
      </c>
      <c r="F19" t="str">
        <f t="shared" si="1"/>
        <v>Watford - Juan Zuñiga</v>
      </c>
      <c r="G19" t="str">
        <f t="shared" si="2"/>
        <v>Watford - Zuniga</v>
      </c>
      <c r="J19" t="s">
        <v>1393</v>
      </c>
      <c r="K19" t="s">
        <v>1393</v>
      </c>
    </row>
    <row r="20" spans="1:11" x14ac:dyDescent="0.25">
      <c r="A20" t="s">
        <v>1474</v>
      </c>
      <c r="B20" t="s">
        <v>1447</v>
      </c>
      <c r="C20" t="s">
        <v>1447</v>
      </c>
      <c r="D20" t="str">
        <f t="shared" si="0"/>
        <v>Bournemouth - Boruc</v>
      </c>
      <c r="F20" t="str">
        <f t="shared" si="1"/>
        <v>Bournemouth - Boruc</v>
      </c>
      <c r="G20" t="str">
        <f t="shared" si="2"/>
        <v>Bournemouth - Boruc</v>
      </c>
      <c r="J20" t="s">
        <v>1523</v>
      </c>
      <c r="K20" t="s">
        <v>1144</v>
      </c>
    </row>
    <row r="21" spans="1:11" x14ac:dyDescent="0.25">
      <c r="A21" t="s">
        <v>1474</v>
      </c>
      <c r="B21" t="s">
        <v>1448</v>
      </c>
      <c r="C21" t="s">
        <v>1448</v>
      </c>
      <c r="D21" t="str">
        <f t="shared" si="0"/>
        <v>Bournemouth - Federici</v>
      </c>
      <c r="F21" t="str">
        <f t="shared" si="1"/>
        <v>Bournemouth - Federici</v>
      </c>
      <c r="G21" t="str">
        <f t="shared" si="2"/>
        <v>Bournemouth - Federici</v>
      </c>
      <c r="J21" t="s">
        <v>1212</v>
      </c>
      <c r="K21" t="s">
        <v>1212</v>
      </c>
    </row>
    <row r="22" spans="1:11" x14ac:dyDescent="0.25">
      <c r="A22" t="s">
        <v>1523</v>
      </c>
      <c r="B22" t="s">
        <v>1123</v>
      </c>
      <c r="C22" t="s">
        <v>1123</v>
      </c>
      <c r="D22" t="str">
        <f t="shared" si="0"/>
        <v>WBA - Dawson</v>
      </c>
      <c r="F22" t="str">
        <f t="shared" si="1"/>
        <v>West Bromwich - Dawson</v>
      </c>
      <c r="G22" t="str">
        <f t="shared" si="2"/>
        <v>WBA - Dawson</v>
      </c>
    </row>
    <row r="23" spans="1:11" x14ac:dyDescent="0.25">
      <c r="A23" t="s">
        <v>1522</v>
      </c>
      <c r="B23" t="s">
        <v>1099</v>
      </c>
      <c r="C23" t="s">
        <v>1099</v>
      </c>
      <c r="D23" t="str">
        <f t="shared" si="0"/>
        <v>Palace - Delaney</v>
      </c>
      <c r="F23" t="str">
        <f t="shared" si="1"/>
        <v>Crystal Palace - Delaney</v>
      </c>
      <c r="G23" t="str">
        <f t="shared" si="2"/>
        <v>Palace - Delaney</v>
      </c>
    </row>
    <row r="24" spans="1:11" x14ac:dyDescent="0.25">
      <c r="A24" t="s">
        <v>1523</v>
      </c>
      <c r="B24" t="s">
        <v>1126</v>
      </c>
      <c r="C24" t="s">
        <v>1126</v>
      </c>
      <c r="D24" t="str">
        <f t="shared" si="0"/>
        <v>WBA - Evans</v>
      </c>
      <c r="F24" t="str">
        <f t="shared" si="1"/>
        <v>West Bromwich - Evans</v>
      </c>
      <c r="G24" t="str">
        <f t="shared" si="2"/>
        <v>WBA - Evans</v>
      </c>
    </row>
    <row r="25" spans="1:11" x14ac:dyDescent="0.25">
      <c r="A25" t="s">
        <v>1347</v>
      </c>
      <c r="B25" t="s">
        <v>1338</v>
      </c>
      <c r="C25" t="s">
        <v>1338</v>
      </c>
      <c r="D25" t="str">
        <f t="shared" si="0"/>
        <v>Stoke City - Allen</v>
      </c>
      <c r="F25" t="str">
        <f t="shared" si="1"/>
        <v>Stoke City - Allen</v>
      </c>
      <c r="G25" t="str">
        <f t="shared" si="2"/>
        <v>Stoke City - Allen</v>
      </c>
    </row>
    <row r="26" spans="1:11" x14ac:dyDescent="0.25">
      <c r="A26" t="s">
        <v>1519</v>
      </c>
      <c r="B26" t="s">
        <v>1510</v>
      </c>
      <c r="C26" t="s">
        <v>1510</v>
      </c>
      <c r="D26" t="str">
        <f t="shared" si="0"/>
        <v>Chelsea - Kanté</v>
      </c>
      <c r="F26" t="str">
        <f t="shared" si="1"/>
        <v>Chelsea - Kanté</v>
      </c>
      <c r="G26" t="str">
        <f t="shared" si="2"/>
        <v>Chelsea - Kanté</v>
      </c>
    </row>
    <row r="27" spans="1:11" x14ac:dyDescent="0.25">
      <c r="A27" t="s">
        <v>1522</v>
      </c>
      <c r="B27" t="s">
        <v>1110</v>
      </c>
      <c r="C27" t="s">
        <v>1110</v>
      </c>
      <c r="D27" t="str">
        <f t="shared" ref="D27:D52" si="3">VLOOKUP(G27,_DATA,1,FALSE)</f>
        <v>Palace - Ledley</v>
      </c>
      <c r="F27" t="str">
        <f t="shared" si="1"/>
        <v>Crystal Palace - Ledley</v>
      </c>
      <c r="G27" t="str">
        <f t="shared" si="2"/>
        <v>Palace - Ledley</v>
      </c>
    </row>
    <row r="28" spans="1:11" x14ac:dyDescent="0.25">
      <c r="A28" t="s">
        <v>1520</v>
      </c>
      <c r="B28" t="s">
        <v>1275</v>
      </c>
      <c r="C28" t="s">
        <v>1275</v>
      </c>
      <c r="D28" t="str">
        <f t="shared" si="3"/>
        <v>Man. City - Agüero</v>
      </c>
      <c r="F28" t="str">
        <f t="shared" si="1"/>
        <v>Man City - Agüero</v>
      </c>
      <c r="G28" t="str">
        <f t="shared" si="2"/>
        <v>Man. City - Agüero</v>
      </c>
    </row>
    <row r="29" spans="1:11" x14ac:dyDescent="0.25">
      <c r="A29" t="s">
        <v>1519</v>
      </c>
      <c r="B29" t="s">
        <v>1518</v>
      </c>
      <c r="C29" t="s">
        <v>1518</v>
      </c>
      <c r="D29" t="str">
        <f t="shared" si="3"/>
        <v>Chelsea - Diego Costa</v>
      </c>
      <c r="F29" t="str">
        <f t="shared" si="1"/>
        <v>Chelsea - Diego Costa</v>
      </c>
      <c r="G29" t="str">
        <f t="shared" si="2"/>
        <v>Chelsea - Diego Costa</v>
      </c>
    </row>
    <row r="30" spans="1:11" x14ac:dyDescent="0.25">
      <c r="A30" t="s">
        <v>1393</v>
      </c>
      <c r="B30" t="s">
        <v>1389</v>
      </c>
      <c r="C30" t="s">
        <v>1389</v>
      </c>
      <c r="D30" t="str">
        <f t="shared" si="3"/>
        <v>Watford - Ighalo</v>
      </c>
      <c r="F30" t="str">
        <f t="shared" si="1"/>
        <v>Watford - Ighalo</v>
      </c>
      <c r="G30" t="str">
        <f t="shared" si="2"/>
        <v>Watford - Ighalo</v>
      </c>
    </row>
    <row r="31" spans="1:11" x14ac:dyDescent="0.25">
      <c r="A31" t="s">
        <v>1446</v>
      </c>
      <c r="B31" t="s">
        <v>1424</v>
      </c>
      <c r="C31" t="s">
        <v>1424</v>
      </c>
      <c r="D31" t="str">
        <f t="shared" si="3"/>
        <v>Liverpool - Mignolet</v>
      </c>
      <c r="F31" t="str">
        <f t="shared" si="1"/>
        <v>Liverpool - Mignolet</v>
      </c>
      <c r="G31" t="str">
        <f t="shared" si="2"/>
        <v>Liverpool - Mignolet</v>
      </c>
    </row>
    <row r="32" spans="1:11" x14ac:dyDescent="0.25">
      <c r="A32" s="35" t="s">
        <v>1188</v>
      </c>
      <c r="B32" s="35" t="s">
        <v>1171</v>
      </c>
      <c r="C32" s="35" t="s">
        <v>1171</v>
      </c>
      <c r="D32" t="str">
        <f t="shared" si="3"/>
        <v>Tottenham - Alderweireld</v>
      </c>
      <c r="F32" t="str">
        <f t="shared" si="1"/>
        <v>Tottenham - Alderweireld</v>
      </c>
      <c r="G32" t="str">
        <f t="shared" si="2"/>
        <v>Tottenham - Alderweireld</v>
      </c>
    </row>
    <row r="33" spans="1:7" x14ac:dyDescent="0.25">
      <c r="A33" t="s">
        <v>1521</v>
      </c>
      <c r="B33" t="s">
        <v>1482</v>
      </c>
      <c r="C33" t="s">
        <v>1482</v>
      </c>
      <c r="D33" t="str">
        <f t="shared" si="3"/>
        <v>Man. United - Darmian</v>
      </c>
      <c r="F33" t="str">
        <f t="shared" si="1"/>
        <v>Man United - Darmian</v>
      </c>
      <c r="G33" t="str">
        <f t="shared" si="2"/>
        <v>Man. United - Darmian</v>
      </c>
    </row>
    <row r="34" spans="1:7" x14ac:dyDescent="0.25">
      <c r="A34" t="s">
        <v>1069</v>
      </c>
      <c r="B34" t="s">
        <v>1055</v>
      </c>
      <c r="C34" t="s">
        <v>1055</v>
      </c>
      <c r="D34" t="str">
        <f t="shared" si="3"/>
        <v>Burnley - Flanagan</v>
      </c>
      <c r="F34" t="str">
        <f t="shared" si="1"/>
        <v>Burnley - Flanagan</v>
      </c>
      <c r="G34" t="str">
        <f t="shared" si="2"/>
        <v>Burnley - Flanagan</v>
      </c>
    </row>
    <row r="35" spans="1:7" x14ac:dyDescent="0.25">
      <c r="A35" s="35" t="s">
        <v>1324</v>
      </c>
      <c r="B35" s="35" t="s">
        <v>1159</v>
      </c>
      <c r="C35" s="35" t="s">
        <v>1159</v>
      </c>
      <c r="D35" t="str">
        <f t="shared" si="3"/>
        <v>Middlesbrough - Gibson</v>
      </c>
      <c r="F35" t="str">
        <f t="shared" si="1"/>
        <v>Middlesbrough - Gibson</v>
      </c>
      <c r="G35" t="str">
        <f t="shared" si="2"/>
        <v>Middlesbrough - Gibson</v>
      </c>
    </row>
    <row r="36" spans="1:7" x14ac:dyDescent="0.25">
      <c r="A36" t="s">
        <v>1474</v>
      </c>
      <c r="B36" t="s">
        <v>1546</v>
      </c>
      <c r="C36" t="s">
        <v>1469</v>
      </c>
      <c r="D36" t="str">
        <f t="shared" si="3"/>
        <v>Bournemouth - Wilson</v>
      </c>
      <c r="F36" t="str">
        <f t="shared" si="1"/>
        <v>Bournemouth - Marc Wilson</v>
      </c>
      <c r="G36" t="str">
        <f t="shared" si="2"/>
        <v>Bournemouth - Wilson</v>
      </c>
    </row>
    <row r="37" spans="1:7" x14ac:dyDescent="0.25">
      <c r="A37" t="s">
        <v>1423</v>
      </c>
      <c r="B37" t="s">
        <v>1398</v>
      </c>
      <c r="C37" t="s">
        <v>1398</v>
      </c>
      <c r="D37" t="str">
        <f t="shared" si="3"/>
        <v>Arsenal - Monreal</v>
      </c>
      <c r="F37" t="str">
        <f t="shared" si="1"/>
        <v>Arsenal - Monreal</v>
      </c>
      <c r="G37" t="str">
        <f t="shared" si="2"/>
        <v>Arsenal - Monreal</v>
      </c>
    </row>
    <row r="38" spans="1:7" x14ac:dyDescent="0.25">
      <c r="A38" t="s">
        <v>1367</v>
      </c>
      <c r="B38" t="s">
        <v>1558</v>
      </c>
      <c r="C38" t="s">
        <v>1351</v>
      </c>
      <c r="D38" t="str">
        <f t="shared" si="3"/>
        <v>Southampton - van Djik</v>
      </c>
      <c r="F38" t="str">
        <f t="shared" si="1"/>
        <v>Southampton - van Dijk</v>
      </c>
      <c r="G38" t="str">
        <f t="shared" si="2"/>
        <v>Southampton - van Djik</v>
      </c>
    </row>
    <row r="39" spans="1:7" x14ac:dyDescent="0.25">
      <c r="A39" t="s">
        <v>1446</v>
      </c>
      <c r="B39" t="s">
        <v>1441</v>
      </c>
      <c r="C39" t="s">
        <v>1441</v>
      </c>
      <c r="D39" t="str">
        <f t="shared" si="3"/>
        <v>Liverpool - Coutinho</v>
      </c>
      <c r="F39" t="str">
        <f t="shared" si="1"/>
        <v>Liverpool - Coutinho</v>
      </c>
      <c r="G39" t="str">
        <f t="shared" si="2"/>
        <v>Liverpool - Coutinho</v>
      </c>
    </row>
    <row r="40" spans="1:7" x14ac:dyDescent="0.25">
      <c r="A40" t="s">
        <v>1188</v>
      </c>
      <c r="B40" t="s">
        <v>1180</v>
      </c>
      <c r="C40" t="s">
        <v>1180</v>
      </c>
      <c r="D40" t="str">
        <f t="shared" si="3"/>
        <v>Tottenham - Eriksen</v>
      </c>
      <c r="F40" t="str">
        <f t="shared" si="1"/>
        <v>Tottenham - Eriksen</v>
      </c>
      <c r="G40" t="str">
        <f t="shared" si="2"/>
        <v>Tottenham - Eriksen</v>
      </c>
    </row>
    <row r="41" spans="1:7" x14ac:dyDescent="0.25">
      <c r="A41" t="s">
        <v>1301</v>
      </c>
      <c r="B41" t="s">
        <v>1553</v>
      </c>
      <c r="C41" t="s">
        <v>1553</v>
      </c>
      <c r="D41" t="e">
        <f t="shared" si="3"/>
        <v>#N/A</v>
      </c>
      <c r="F41" t="str">
        <f t="shared" si="1"/>
        <v>Sunderland - Ethan Robson</v>
      </c>
      <c r="G41" t="str">
        <f t="shared" si="2"/>
        <v>Sunderland - Ethan Robson</v>
      </c>
    </row>
    <row r="42" spans="1:7" x14ac:dyDescent="0.25">
      <c r="A42" s="35" t="s">
        <v>1519</v>
      </c>
      <c r="B42" s="35" t="s">
        <v>1512</v>
      </c>
      <c r="C42" s="35" t="s">
        <v>1512</v>
      </c>
      <c r="D42" t="str">
        <f t="shared" si="3"/>
        <v>Chelsea - Hazard</v>
      </c>
      <c r="F42" t="str">
        <f t="shared" si="1"/>
        <v>Chelsea - Hazard</v>
      </c>
      <c r="G42" t="str">
        <f t="shared" si="2"/>
        <v>Chelsea - Hazard</v>
      </c>
    </row>
    <row r="43" spans="1:7" x14ac:dyDescent="0.25">
      <c r="A43" t="s">
        <v>1188</v>
      </c>
      <c r="B43" t="s">
        <v>1176</v>
      </c>
      <c r="C43" t="s">
        <v>1176</v>
      </c>
      <c r="D43" t="str">
        <f t="shared" si="3"/>
        <v>Tottenham - Lamela</v>
      </c>
      <c r="F43" t="str">
        <f t="shared" si="1"/>
        <v>Tottenham - Lamela</v>
      </c>
      <c r="G43" t="str">
        <f t="shared" si="2"/>
        <v>Tottenham - Lamela</v>
      </c>
    </row>
    <row r="44" spans="1:7" x14ac:dyDescent="0.25">
      <c r="A44" t="s">
        <v>1519</v>
      </c>
      <c r="B44" t="s">
        <v>1509</v>
      </c>
      <c r="C44" t="s">
        <v>1509</v>
      </c>
      <c r="D44" t="str">
        <f t="shared" si="3"/>
        <v>Chelsea - Oscar</v>
      </c>
      <c r="F44" t="str">
        <f t="shared" si="1"/>
        <v>Chelsea - Oscar</v>
      </c>
      <c r="G44" t="str">
        <f t="shared" si="2"/>
        <v>Chelsea - Oscar</v>
      </c>
    </row>
    <row r="45" spans="1:7" x14ac:dyDescent="0.25">
      <c r="A45" t="s">
        <v>1423</v>
      </c>
      <c r="B45" t="s">
        <v>1411</v>
      </c>
      <c r="C45" t="s">
        <v>1411</v>
      </c>
      <c r="D45" t="str">
        <f t="shared" si="3"/>
        <v>Arsenal - Oxlade-Chamberlain</v>
      </c>
      <c r="F45" t="str">
        <f t="shared" si="1"/>
        <v>Arsenal - Oxlade-Chamberlain</v>
      </c>
      <c r="G45" t="str">
        <f t="shared" si="2"/>
        <v>Arsenal - Oxlade-Chamberlain</v>
      </c>
    </row>
    <row r="46" spans="1:7" x14ac:dyDescent="0.25">
      <c r="A46" t="s">
        <v>1367</v>
      </c>
      <c r="B46" t="s">
        <v>1359</v>
      </c>
      <c r="C46" t="s">
        <v>1359</v>
      </c>
      <c r="D46" t="str">
        <f t="shared" si="3"/>
        <v>Southampton - Tadic</v>
      </c>
      <c r="F46" t="str">
        <f t="shared" si="1"/>
        <v>Southampton - Tadic</v>
      </c>
      <c r="G46" t="str">
        <f t="shared" si="2"/>
        <v>Southampton - Tadic</v>
      </c>
    </row>
    <row r="47" spans="1:7" x14ac:dyDescent="0.25">
      <c r="A47" t="s">
        <v>1347</v>
      </c>
      <c r="B47" t="s">
        <v>1337</v>
      </c>
      <c r="C47" t="s">
        <v>1337</v>
      </c>
      <c r="D47" t="str">
        <f t="shared" si="3"/>
        <v>Stoke City - Arnautovic</v>
      </c>
      <c r="F47" t="str">
        <f t="shared" si="1"/>
        <v>Stoke City - Arnautovic</v>
      </c>
      <c r="G47" t="str">
        <f t="shared" si="2"/>
        <v>Stoke City - Arnautovic</v>
      </c>
    </row>
    <row r="48" spans="1:7" x14ac:dyDescent="0.25">
      <c r="A48" t="s">
        <v>1367</v>
      </c>
      <c r="B48" t="s">
        <v>1365</v>
      </c>
      <c r="C48" t="s">
        <v>1365</v>
      </c>
      <c r="D48" t="str">
        <f t="shared" si="3"/>
        <v>Southampton - Austin</v>
      </c>
      <c r="F48" t="str">
        <f t="shared" si="1"/>
        <v>Southampton - Austin</v>
      </c>
      <c r="G48" t="str">
        <f t="shared" si="2"/>
        <v>Southampton - Austin</v>
      </c>
    </row>
    <row r="49" spans="1:7" x14ac:dyDescent="0.25">
      <c r="A49" t="s">
        <v>1521</v>
      </c>
      <c r="B49" t="s">
        <v>1496</v>
      </c>
      <c r="C49" t="s">
        <v>1496</v>
      </c>
      <c r="D49" t="str">
        <f t="shared" si="3"/>
        <v>Man. United - Rashford</v>
      </c>
      <c r="F49" t="str">
        <f t="shared" si="1"/>
        <v>Man United - Rashford</v>
      </c>
      <c r="G49" t="str">
        <f t="shared" si="2"/>
        <v>Man. United - Rashford</v>
      </c>
    </row>
    <row r="50" spans="1:7" x14ac:dyDescent="0.25">
      <c r="A50" t="s">
        <v>1324</v>
      </c>
      <c r="B50" t="s">
        <v>1323</v>
      </c>
      <c r="C50" t="s">
        <v>1323</v>
      </c>
      <c r="D50" t="str">
        <f t="shared" si="3"/>
        <v>Middlesbrough - Stuani</v>
      </c>
      <c r="F50" t="str">
        <f t="shared" si="1"/>
        <v>Middlesbrough - Stuani</v>
      </c>
      <c r="G50" t="str">
        <f t="shared" si="2"/>
        <v>Middlesbrough - Stuani</v>
      </c>
    </row>
    <row r="51" spans="1:7" x14ac:dyDescent="0.25">
      <c r="A51" t="s">
        <v>1524</v>
      </c>
      <c r="B51" t="s">
        <v>1217</v>
      </c>
      <c r="C51" t="s">
        <v>1217</v>
      </c>
      <c r="D51" t="str">
        <f t="shared" si="3"/>
        <v>Hull - Maguire</v>
      </c>
      <c r="F51" t="str">
        <f t="shared" si="1"/>
        <v>Hull city - Maguire</v>
      </c>
      <c r="G51" t="str">
        <f t="shared" si="2"/>
        <v>Hull - Maguire</v>
      </c>
    </row>
    <row r="52" spans="1:7" x14ac:dyDescent="0.25">
      <c r="A52" t="s">
        <v>1367</v>
      </c>
      <c r="B52" t="s">
        <v>1154</v>
      </c>
      <c r="C52" t="s">
        <v>1154</v>
      </c>
      <c r="D52" t="str">
        <f t="shared" si="3"/>
        <v>Southampton - McCarthy</v>
      </c>
      <c r="F52" t="str">
        <f t="shared" si="1"/>
        <v>Southampton - McCarthy</v>
      </c>
      <c r="G52" t="str">
        <f t="shared" si="2"/>
        <v>Southampton - McCarthy</v>
      </c>
    </row>
    <row r="53" spans="1:7" x14ac:dyDescent="0.25">
      <c r="A53" t="s">
        <v>1324</v>
      </c>
      <c r="B53" t="s">
        <v>1547</v>
      </c>
      <c r="C53" t="s">
        <v>1547</v>
      </c>
      <c r="D53" t="e">
        <f t="shared" ref="D53:D83" si="4">VLOOKUP(G53,_DATA,1,FALSE)</f>
        <v>#N/A</v>
      </c>
      <c r="F53" t="str">
        <f t="shared" si="1"/>
        <v>Middlesbrough - Bernardo</v>
      </c>
      <c r="G53" t="str">
        <f t="shared" si="2"/>
        <v>Middlesbrough - Bernardo</v>
      </c>
    </row>
    <row r="54" spans="1:7" x14ac:dyDescent="0.25">
      <c r="A54" t="s">
        <v>1521</v>
      </c>
      <c r="B54" t="s">
        <v>1492</v>
      </c>
      <c r="C54" t="s">
        <v>1492</v>
      </c>
      <c r="D54" t="str">
        <f t="shared" si="4"/>
        <v>Man. United - Mata</v>
      </c>
      <c r="F54" t="str">
        <f t="shared" si="1"/>
        <v>Man United - Mata</v>
      </c>
      <c r="G54" t="str">
        <f t="shared" si="2"/>
        <v>Man. United - Mata</v>
      </c>
    </row>
    <row r="55" spans="1:7" x14ac:dyDescent="0.25">
      <c r="A55" t="s">
        <v>1519</v>
      </c>
      <c r="B55" t="s">
        <v>1501</v>
      </c>
      <c r="C55" t="s">
        <v>1501</v>
      </c>
      <c r="D55" t="str">
        <f t="shared" si="4"/>
        <v>Chelsea - Ivanovic</v>
      </c>
      <c r="F55" t="str">
        <f t="shared" si="1"/>
        <v>Chelsea - Ivanovic</v>
      </c>
      <c r="G55" t="str">
        <f t="shared" si="2"/>
        <v>Chelsea - Ivanovic</v>
      </c>
    </row>
    <row r="56" spans="1:7" x14ac:dyDescent="0.25">
      <c r="A56" t="s">
        <v>1258</v>
      </c>
      <c r="B56" t="s">
        <v>1240</v>
      </c>
      <c r="C56" t="s">
        <v>1240</v>
      </c>
      <c r="D56" t="str">
        <f t="shared" si="4"/>
        <v>Leicester - Simpson</v>
      </c>
      <c r="F56" t="str">
        <f t="shared" si="1"/>
        <v>Leicester - Simpson</v>
      </c>
      <c r="G56" t="str">
        <f t="shared" si="2"/>
        <v>Leicester - Simpson</v>
      </c>
    </row>
    <row r="57" spans="1:7" x14ac:dyDescent="0.25">
      <c r="A57" t="s">
        <v>1367</v>
      </c>
      <c r="B57" t="s">
        <v>1348</v>
      </c>
      <c r="C57" t="s">
        <v>1348</v>
      </c>
      <c r="D57" t="str">
        <f t="shared" si="4"/>
        <v>Southampton - Forster</v>
      </c>
      <c r="F57" t="str">
        <f t="shared" si="1"/>
        <v>Southampton - Forster</v>
      </c>
      <c r="G57" t="str">
        <f t="shared" si="2"/>
        <v>Southampton - Forster</v>
      </c>
    </row>
    <row r="58" spans="1:7" x14ac:dyDescent="0.25">
      <c r="A58" t="s">
        <v>1347</v>
      </c>
      <c r="B58" t="s">
        <v>1342</v>
      </c>
      <c r="C58" t="s">
        <v>1342</v>
      </c>
      <c r="D58" t="str">
        <f t="shared" si="4"/>
        <v>Stoke City - Bojan</v>
      </c>
      <c r="F58" t="str">
        <f t="shared" si="1"/>
        <v>Stoke City - Bojan</v>
      </c>
      <c r="G58" t="str">
        <f t="shared" si="2"/>
        <v>Stoke City - Bojan</v>
      </c>
    </row>
    <row r="59" spans="1:7" x14ac:dyDescent="0.25">
      <c r="A59" t="s">
        <v>1188</v>
      </c>
      <c r="B59" t="s">
        <v>377</v>
      </c>
      <c r="C59" t="s">
        <v>377</v>
      </c>
      <c r="D59" t="str">
        <f t="shared" si="4"/>
        <v>Tottenham - Rose</v>
      </c>
      <c r="F59" t="str">
        <f t="shared" si="1"/>
        <v>Tottenham - Rose</v>
      </c>
      <c r="G59" t="str">
        <f t="shared" si="2"/>
        <v>Tottenham - Rose</v>
      </c>
    </row>
    <row r="60" spans="1:7" x14ac:dyDescent="0.25">
      <c r="A60" t="s">
        <v>1519</v>
      </c>
      <c r="B60" t="s">
        <v>1502</v>
      </c>
      <c r="C60" t="s">
        <v>1502</v>
      </c>
      <c r="D60" t="str">
        <f t="shared" si="4"/>
        <v>Chelsea - Cahill</v>
      </c>
      <c r="F60" t="str">
        <f t="shared" si="1"/>
        <v>Chelsea - Cahill</v>
      </c>
      <c r="G60" t="str">
        <f t="shared" si="2"/>
        <v>Chelsea - Cahill</v>
      </c>
    </row>
    <row r="61" spans="1:7" x14ac:dyDescent="0.25">
      <c r="A61" t="s">
        <v>1324</v>
      </c>
      <c r="B61" t="s">
        <v>1548</v>
      </c>
      <c r="C61" t="s">
        <v>1548</v>
      </c>
      <c r="D61" t="e">
        <f t="shared" si="4"/>
        <v>#N/A</v>
      </c>
      <c r="F61" t="str">
        <f t="shared" si="1"/>
        <v>Middlesbrough - De Pena</v>
      </c>
      <c r="G61" t="str">
        <f t="shared" si="2"/>
        <v>Middlesbrough - De Pena</v>
      </c>
    </row>
    <row r="62" spans="1:7" x14ac:dyDescent="0.25">
      <c r="A62" t="s">
        <v>1521</v>
      </c>
      <c r="B62" t="s">
        <v>1493</v>
      </c>
      <c r="C62" t="s">
        <v>1493</v>
      </c>
      <c r="D62" t="str">
        <f t="shared" si="4"/>
        <v>Man. United - Rooney</v>
      </c>
      <c r="F62" t="str">
        <f t="shared" si="1"/>
        <v>Man United - Rooney</v>
      </c>
      <c r="G62" t="str">
        <f t="shared" si="2"/>
        <v>Man. United - Rooney</v>
      </c>
    </row>
    <row r="63" spans="1:7" x14ac:dyDescent="0.25">
      <c r="A63" t="s">
        <v>1188</v>
      </c>
      <c r="B63" t="s">
        <v>1178</v>
      </c>
      <c r="C63" t="s">
        <v>1178</v>
      </c>
      <c r="D63" t="str">
        <f t="shared" si="4"/>
        <v>Tottenham - Dele Alli</v>
      </c>
      <c r="F63" t="str">
        <f t="shared" si="1"/>
        <v>Tottenham - Dele Alli</v>
      </c>
      <c r="G63" t="str">
        <f t="shared" si="2"/>
        <v>Tottenham - Dele Alli</v>
      </c>
    </row>
    <row r="64" spans="1:7" x14ac:dyDescent="0.25">
      <c r="A64" t="s">
        <v>1188</v>
      </c>
      <c r="B64" t="s">
        <v>1186</v>
      </c>
      <c r="C64" t="s">
        <v>1186</v>
      </c>
      <c r="D64" t="str">
        <f t="shared" si="4"/>
        <v>Tottenham - Kane</v>
      </c>
      <c r="F64" t="str">
        <f t="shared" si="1"/>
        <v>Tottenham - Kane</v>
      </c>
      <c r="G64" t="str">
        <f t="shared" si="2"/>
        <v>Tottenham - Kane</v>
      </c>
    </row>
    <row r="65" spans="1:7" x14ac:dyDescent="0.25">
      <c r="A65" s="35" t="s">
        <v>1446</v>
      </c>
      <c r="B65" s="35" t="s">
        <v>1444</v>
      </c>
      <c r="C65" s="35" t="s">
        <v>1444</v>
      </c>
      <c r="D65" t="str">
        <f t="shared" si="4"/>
        <v>Liverpool - Sturridge</v>
      </c>
      <c r="F65" t="str">
        <f t="shared" si="1"/>
        <v>Liverpool - Sturridge</v>
      </c>
      <c r="G65" t="str">
        <f t="shared" si="2"/>
        <v>Liverpool - Sturridge</v>
      </c>
    </row>
    <row r="66" spans="1:7" x14ac:dyDescent="0.25">
      <c r="A66" t="s">
        <v>1423</v>
      </c>
      <c r="B66" t="s">
        <v>1413</v>
      </c>
      <c r="C66" t="s">
        <v>1413</v>
      </c>
      <c r="D66" t="str">
        <f t="shared" si="4"/>
        <v>Arsenal - Özil</v>
      </c>
      <c r="F66" t="str">
        <f t="shared" ref="F66:F128" si="5">A66&amp; " - " &amp; B66</f>
        <v>Arsenal - Özil</v>
      </c>
      <c r="G66" t="str">
        <f t="shared" ref="G66:G128" si="6">VLOOKUP(A66,_EQUIPES,2,FALSE) &amp; " - " &amp; C66</f>
        <v>Arsenal - Özil</v>
      </c>
    </row>
    <row r="67" spans="1:7" x14ac:dyDescent="0.25">
      <c r="A67" t="s">
        <v>1523</v>
      </c>
      <c r="B67" t="s">
        <v>1135</v>
      </c>
      <c r="C67" t="s">
        <v>1135</v>
      </c>
      <c r="D67" t="str">
        <f t="shared" si="4"/>
        <v>WBA - Leko</v>
      </c>
      <c r="F67" t="str">
        <f t="shared" si="5"/>
        <v>West Bromwich - Leko</v>
      </c>
      <c r="G67" t="str">
        <f t="shared" si="6"/>
        <v>WBA - Leko</v>
      </c>
    </row>
    <row r="68" spans="1:7" x14ac:dyDescent="0.25">
      <c r="A68" t="s">
        <v>1523</v>
      </c>
      <c r="B68" t="s">
        <v>1130</v>
      </c>
      <c r="C68" t="s">
        <v>1130</v>
      </c>
      <c r="D68" t="str">
        <f t="shared" si="4"/>
        <v>WBA - Fletcher</v>
      </c>
      <c r="F68" t="str">
        <f t="shared" si="5"/>
        <v>West Bromwich - Fletcher</v>
      </c>
      <c r="G68" t="str">
        <f t="shared" si="6"/>
        <v>WBA - Fletcher</v>
      </c>
    </row>
    <row r="69" spans="1:7" x14ac:dyDescent="0.25">
      <c r="A69" t="s">
        <v>1188</v>
      </c>
      <c r="B69" t="s">
        <v>549</v>
      </c>
      <c r="C69" t="s">
        <v>549</v>
      </c>
      <c r="D69" t="str">
        <f t="shared" si="4"/>
        <v>Tottenham - Lloris</v>
      </c>
      <c r="F69" t="str">
        <f t="shared" si="5"/>
        <v>Tottenham - Lloris</v>
      </c>
      <c r="G69" t="str">
        <f t="shared" si="6"/>
        <v>Tottenham - Lloris</v>
      </c>
    </row>
    <row r="70" spans="1:7" x14ac:dyDescent="0.25">
      <c r="A70" t="s">
        <v>1521</v>
      </c>
      <c r="B70" t="s">
        <v>1479</v>
      </c>
      <c r="C70" t="s">
        <v>1479</v>
      </c>
      <c r="D70" t="str">
        <f t="shared" si="4"/>
        <v>Man. United - Blind</v>
      </c>
      <c r="F70" t="str">
        <f t="shared" si="5"/>
        <v>Man United - Blind</v>
      </c>
      <c r="G70" t="str">
        <f t="shared" si="6"/>
        <v>Man. United - Blind</v>
      </c>
    </row>
    <row r="71" spans="1:7" x14ac:dyDescent="0.25">
      <c r="A71" t="s">
        <v>1520</v>
      </c>
      <c r="B71" t="s">
        <v>1267</v>
      </c>
      <c r="C71" t="s">
        <v>1267</v>
      </c>
      <c r="D71" t="str">
        <f t="shared" si="4"/>
        <v>Man. City - Kompany</v>
      </c>
      <c r="F71" t="str">
        <f t="shared" si="5"/>
        <v>Man City - Kompany</v>
      </c>
      <c r="G71" t="str">
        <f t="shared" si="6"/>
        <v>Man. City - Kompany</v>
      </c>
    </row>
    <row r="72" spans="1:7" x14ac:dyDescent="0.25">
      <c r="A72" t="s">
        <v>1423</v>
      </c>
      <c r="B72" t="s">
        <v>1399</v>
      </c>
      <c r="C72" t="s">
        <v>1399</v>
      </c>
      <c r="D72" t="str">
        <f t="shared" si="4"/>
        <v>Arsenal - Koscielny</v>
      </c>
      <c r="F72" t="str">
        <f t="shared" si="5"/>
        <v>Arsenal - Koscielny</v>
      </c>
      <c r="G72" t="str">
        <f t="shared" si="6"/>
        <v>Arsenal - Koscielny</v>
      </c>
    </row>
    <row r="73" spans="1:7" x14ac:dyDescent="0.25">
      <c r="A73" t="s">
        <v>1258</v>
      </c>
      <c r="B73" t="s">
        <v>651</v>
      </c>
      <c r="C73" t="s">
        <v>651</v>
      </c>
      <c r="D73" t="str">
        <f t="shared" si="4"/>
        <v>Leicester - Morgan</v>
      </c>
      <c r="F73" t="str">
        <f t="shared" si="5"/>
        <v>Leicester - Morgan</v>
      </c>
      <c r="G73" t="str">
        <f t="shared" si="6"/>
        <v>Leicester - Morgan</v>
      </c>
    </row>
    <row r="74" spans="1:7" x14ac:dyDescent="0.25">
      <c r="A74" t="s">
        <v>1423</v>
      </c>
      <c r="B74" t="s">
        <v>1401</v>
      </c>
      <c r="C74" t="s">
        <v>1401</v>
      </c>
      <c r="D74" t="str">
        <f t="shared" si="4"/>
        <v>Arsenal - Mustafi</v>
      </c>
      <c r="F74" t="str">
        <f t="shared" si="5"/>
        <v>Arsenal - Mustafi</v>
      </c>
      <c r="G74" t="str">
        <f t="shared" si="6"/>
        <v>Arsenal - Mustafi</v>
      </c>
    </row>
    <row r="75" spans="1:7" x14ac:dyDescent="0.25">
      <c r="A75" s="35" t="s">
        <v>1367</v>
      </c>
      <c r="B75" s="35" t="s">
        <v>188</v>
      </c>
      <c r="C75" s="35" t="s">
        <v>188</v>
      </c>
      <c r="D75" t="str">
        <f t="shared" si="4"/>
        <v>Southampton - Boufal</v>
      </c>
      <c r="F75" t="str">
        <f t="shared" si="5"/>
        <v>Southampton - Boufal</v>
      </c>
      <c r="G75" t="str">
        <f t="shared" si="6"/>
        <v>Southampton - Boufal</v>
      </c>
    </row>
    <row r="76" spans="1:7" x14ac:dyDescent="0.25">
      <c r="A76" t="s">
        <v>1521</v>
      </c>
      <c r="B76" t="s">
        <v>1485</v>
      </c>
      <c r="C76" t="s">
        <v>1485</v>
      </c>
      <c r="D76" t="str">
        <f t="shared" si="4"/>
        <v>Man. United - Fellaini</v>
      </c>
      <c r="F76" t="str">
        <f t="shared" si="5"/>
        <v>Man United - Fellaini</v>
      </c>
      <c r="G76" t="str">
        <f t="shared" si="6"/>
        <v>Man. United - Fellaini</v>
      </c>
    </row>
    <row r="77" spans="1:7" x14ac:dyDescent="0.25">
      <c r="A77" t="s">
        <v>1258</v>
      </c>
      <c r="B77" t="s">
        <v>1065</v>
      </c>
      <c r="C77" t="s">
        <v>1065</v>
      </c>
      <c r="D77" t="str">
        <f t="shared" si="4"/>
        <v>Leicester - Gray</v>
      </c>
      <c r="F77" t="str">
        <f t="shared" si="5"/>
        <v>Leicester - Gray</v>
      </c>
      <c r="G77" t="str">
        <f t="shared" si="6"/>
        <v>Leicester - Gray</v>
      </c>
    </row>
    <row r="78" spans="1:7" x14ac:dyDescent="0.25">
      <c r="A78" t="s">
        <v>1446</v>
      </c>
      <c r="B78" t="s">
        <v>1435</v>
      </c>
      <c r="C78" t="s">
        <v>1435</v>
      </c>
      <c r="D78" t="str">
        <f t="shared" si="4"/>
        <v>Liverpool - Henderson</v>
      </c>
      <c r="F78" t="str">
        <f t="shared" si="5"/>
        <v>Liverpool - Henderson</v>
      </c>
      <c r="G78" t="str">
        <f t="shared" si="6"/>
        <v>Liverpool - Henderson</v>
      </c>
    </row>
    <row r="79" spans="1:7" x14ac:dyDescent="0.25">
      <c r="A79" t="s">
        <v>1521</v>
      </c>
      <c r="B79" t="s">
        <v>276</v>
      </c>
      <c r="C79" t="s">
        <v>276</v>
      </c>
      <c r="D79" t="str">
        <f t="shared" si="4"/>
        <v>Man. United - Pogba</v>
      </c>
      <c r="F79" t="str">
        <f t="shared" si="5"/>
        <v>Man United - Pogba</v>
      </c>
      <c r="G79" t="str">
        <f t="shared" si="6"/>
        <v>Man. United - Pogba</v>
      </c>
    </row>
    <row r="80" spans="1:7" x14ac:dyDescent="0.25">
      <c r="A80" t="s">
        <v>1188</v>
      </c>
      <c r="B80" t="s">
        <v>1560</v>
      </c>
      <c r="C80" t="s">
        <v>1185</v>
      </c>
      <c r="D80" t="str">
        <f t="shared" si="4"/>
        <v>Tottenham - Son</v>
      </c>
      <c r="F80" t="str">
        <f t="shared" si="5"/>
        <v>Tottenham - Son Heung-Min</v>
      </c>
      <c r="G80" t="str">
        <f t="shared" si="6"/>
        <v>Tottenham - Son</v>
      </c>
    </row>
    <row r="81" spans="1:7" x14ac:dyDescent="0.25">
      <c r="A81" t="s">
        <v>1423</v>
      </c>
      <c r="B81" t="s">
        <v>1412</v>
      </c>
      <c r="C81" t="s">
        <v>1412</v>
      </c>
      <c r="D81" t="str">
        <f t="shared" si="4"/>
        <v>Arsenal - Xhaka</v>
      </c>
      <c r="F81" t="str">
        <f t="shared" si="5"/>
        <v>Arsenal - Xhaka</v>
      </c>
      <c r="G81" t="str">
        <f t="shared" si="6"/>
        <v>Arsenal - Xhaka</v>
      </c>
    </row>
    <row r="82" spans="1:7" x14ac:dyDescent="0.25">
      <c r="A82" t="s">
        <v>1423</v>
      </c>
      <c r="B82" t="s">
        <v>1419</v>
      </c>
      <c r="C82" t="s">
        <v>1419</v>
      </c>
      <c r="D82" t="str">
        <f t="shared" si="4"/>
        <v>Arsenal - Giroud</v>
      </c>
      <c r="F82" t="str">
        <f t="shared" si="5"/>
        <v>Arsenal - Giroud</v>
      </c>
      <c r="G82" t="str">
        <f t="shared" si="6"/>
        <v>Arsenal - Giroud</v>
      </c>
    </row>
    <row r="83" spans="1:7" x14ac:dyDescent="0.25">
      <c r="A83" t="s">
        <v>1167</v>
      </c>
      <c r="B83" t="s">
        <v>1165</v>
      </c>
      <c r="C83" t="s">
        <v>1165</v>
      </c>
      <c r="D83" t="str">
        <f t="shared" si="4"/>
        <v>Everton - Lukaku</v>
      </c>
      <c r="F83" t="str">
        <f t="shared" si="5"/>
        <v>Everton - Lukaku</v>
      </c>
      <c r="G83" t="str">
        <f t="shared" si="6"/>
        <v>Everton - Lukaku</v>
      </c>
    </row>
    <row r="84" spans="1:7" x14ac:dyDescent="0.25">
      <c r="A84" t="s">
        <v>1446</v>
      </c>
      <c r="B84" t="s">
        <v>1443</v>
      </c>
      <c r="C84" t="s">
        <v>1443</v>
      </c>
      <c r="D84" t="str">
        <f t="shared" ref="D84:D110" si="7">VLOOKUP(G84,_DATA,1,FALSE)</f>
        <v>Liverpool - Origi</v>
      </c>
      <c r="F84" t="str">
        <f t="shared" si="5"/>
        <v>Liverpool - Origi</v>
      </c>
      <c r="G84" t="str">
        <f t="shared" si="6"/>
        <v>Liverpool - Origi</v>
      </c>
    </row>
    <row r="85" spans="1:7" x14ac:dyDescent="0.25">
      <c r="A85" t="s">
        <v>1423</v>
      </c>
      <c r="B85" t="s">
        <v>1566</v>
      </c>
      <c r="C85" t="s">
        <v>1418</v>
      </c>
      <c r="D85" t="str">
        <f t="shared" si="7"/>
        <v>Arsenal - Sanchez</v>
      </c>
      <c r="F85" t="str">
        <f t="shared" si="5"/>
        <v>Arsenal - Sánchez</v>
      </c>
      <c r="G85" t="str">
        <f t="shared" si="6"/>
        <v>Arsenal - Sanchez</v>
      </c>
    </row>
    <row r="86" spans="1:7" x14ac:dyDescent="0.25">
      <c r="A86" t="s">
        <v>1423</v>
      </c>
      <c r="B86" t="s">
        <v>1544</v>
      </c>
      <c r="C86" t="s">
        <v>1396</v>
      </c>
      <c r="D86" t="str">
        <f t="shared" si="7"/>
        <v>Arsenal - Bellerin</v>
      </c>
      <c r="F86" t="str">
        <f t="shared" si="5"/>
        <v>Arsenal - Bellerín</v>
      </c>
      <c r="G86" t="str">
        <f t="shared" si="6"/>
        <v>Arsenal - Bellerin</v>
      </c>
    </row>
    <row r="87" spans="1:7" x14ac:dyDescent="0.25">
      <c r="A87" t="s">
        <v>1520</v>
      </c>
      <c r="B87" t="s">
        <v>1277</v>
      </c>
      <c r="C87" t="s">
        <v>1277</v>
      </c>
      <c r="D87" t="str">
        <f t="shared" si="7"/>
        <v>Man. City - Nolito</v>
      </c>
      <c r="F87" t="str">
        <f t="shared" si="5"/>
        <v>Man City - Nolito</v>
      </c>
      <c r="G87" t="str">
        <f t="shared" si="6"/>
        <v>Man. City - Nolito</v>
      </c>
    </row>
    <row r="88" spans="1:7" x14ac:dyDescent="0.25">
      <c r="A88" t="s">
        <v>1520</v>
      </c>
      <c r="B88" t="s">
        <v>1269</v>
      </c>
      <c r="C88" t="s">
        <v>1269</v>
      </c>
      <c r="D88" t="str">
        <f t="shared" si="7"/>
        <v>Man. City - De Bruyne</v>
      </c>
      <c r="F88" t="str">
        <f t="shared" si="5"/>
        <v>Man City - De Bruyne</v>
      </c>
      <c r="G88" t="str">
        <f t="shared" si="6"/>
        <v>Man. City - De Bruyne</v>
      </c>
    </row>
    <row r="89" spans="1:7" x14ac:dyDescent="0.25">
      <c r="A89" t="s">
        <v>1520</v>
      </c>
      <c r="B89" t="s">
        <v>1274</v>
      </c>
      <c r="C89" t="s">
        <v>1274</v>
      </c>
      <c r="D89" t="str">
        <f t="shared" si="7"/>
        <v>Man. City - Gündogan</v>
      </c>
      <c r="F89" t="str">
        <f t="shared" si="5"/>
        <v>Man City - Gündogan</v>
      </c>
      <c r="G89" t="str">
        <f t="shared" si="6"/>
        <v>Man. City - Gündogan</v>
      </c>
    </row>
    <row r="90" spans="1:7" x14ac:dyDescent="0.25">
      <c r="A90" t="s">
        <v>1522</v>
      </c>
      <c r="B90" t="s">
        <v>1116</v>
      </c>
      <c r="C90" t="s">
        <v>1116</v>
      </c>
      <c r="D90" t="str">
        <f t="shared" si="7"/>
        <v>Palace - Benteke</v>
      </c>
      <c r="F90" t="str">
        <f t="shared" si="5"/>
        <v>Crystal Palace - Benteke</v>
      </c>
      <c r="G90" t="str">
        <f t="shared" si="6"/>
        <v>Palace - Benteke</v>
      </c>
    </row>
    <row r="91" spans="1:7" x14ac:dyDescent="0.25">
      <c r="A91" t="s">
        <v>1520</v>
      </c>
      <c r="B91" t="s">
        <v>1263</v>
      </c>
      <c r="C91" t="s">
        <v>1263</v>
      </c>
      <c r="D91" t="str">
        <f t="shared" si="7"/>
        <v>Man. City - Kolarov</v>
      </c>
      <c r="F91" t="str">
        <f t="shared" si="5"/>
        <v>Man City - Kolarov</v>
      </c>
      <c r="G91" t="str">
        <f t="shared" si="6"/>
        <v>Man. City - Kolarov</v>
      </c>
    </row>
    <row r="92" spans="1:7" x14ac:dyDescent="0.25">
      <c r="A92" t="s">
        <v>1423</v>
      </c>
      <c r="B92" t="s">
        <v>1407</v>
      </c>
      <c r="C92" t="s">
        <v>1407</v>
      </c>
      <c r="D92" t="str">
        <f t="shared" si="7"/>
        <v>Arsenal - Ramsey</v>
      </c>
      <c r="F92" t="str">
        <f t="shared" si="5"/>
        <v>Arsenal - Ramsey</v>
      </c>
      <c r="G92" t="str">
        <f t="shared" si="6"/>
        <v>Arsenal - Ramsey</v>
      </c>
    </row>
    <row r="93" spans="1:7" x14ac:dyDescent="0.25">
      <c r="A93" t="s">
        <v>1188</v>
      </c>
      <c r="B93" t="s">
        <v>1172</v>
      </c>
      <c r="C93" t="s">
        <v>1172</v>
      </c>
      <c r="D93" t="str">
        <f t="shared" si="7"/>
        <v>Tottenham - Vertonghen</v>
      </c>
      <c r="F93" t="str">
        <f t="shared" si="5"/>
        <v>Tottenham - Vertonghen</v>
      </c>
      <c r="G93" t="str">
        <f t="shared" si="6"/>
        <v>Tottenham - Vertonghen</v>
      </c>
    </row>
    <row r="94" spans="1:7" x14ac:dyDescent="0.25">
      <c r="A94" t="s">
        <v>1367</v>
      </c>
      <c r="B94" t="s">
        <v>1545</v>
      </c>
      <c r="C94" t="s">
        <v>1353</v>
      </c>
      <c r="D94" t="str">
        <f t="shared" si="7"/>
        <v>Southampton - Fonte</v>
      </c>
      <c r="F94" t="str">
        <f t="shared" si="5"/>
        <v>Southampton - José Fonte</v>
      </c>
      <c r="G94" t="str">
        <f t="shared" si="6"/>
        <v>Southampton - Fonte</v>
      </c>
    </row>
    <row r="95" spans="1:7" x14ac:dyDescent="0.25">
      <c r="A95" t="s">
        <v>1446</v>
      </c>
      <c r="B95" t="s">
        <v>1428</v>
      </c>
      <c r="C95" t="s">
        <v>1428</v>
      </c>
      <c r="D95" t="str">
        <f t="shared" si="7"/>
        <v>Liverpool - Lovren</v>
      </c>
      <c r="F95" t="str">
        <f t="shared" si="5"/>
        <v>Liverpool - Lovren</v>
      </c>
      <c r="G95" t="str">
        <f t="shared" si="6"/>
        <v>Liverpool - Lovren</v>
      </c>
    </row>
    <row r="96" spans="1:7" x14ac:dyDescent="0.25">
      <c r="A96" t="s">
        <v>1520</v>
      </c>
      <c r="B96" t="s">
        <v>1260</v>
      </c>
      <c r="C96" t="s">
        <v>1260</v>
      </c>
      <c r="D96" t="str">
        <f t="shared" si="7"/>
        <v>Man. City - Bravo</v>
      </c>
      <c r="F96" t="str">
        <f t="shared" si="5"/>
        <v>Man City - Bravo</v>
      </c>
      <c r="G96" t="str">
        <f t="shared" si="6"/>
        <v>Man. City - Bravo</v>
      </c>
    </row>
    <row r="97" spans="1:7" x14ac:dyDescent="0.25">
      <c r="A97" t="s">
        <v>1524</v>
      </c>
      <c r="B97" t="s">
        <v>1123</v>
      </c>
      <c r="C97" t="s">
        <v>1123</v>
      </c>
      <c r="D97" t="str">
        <f t="shared" si="7"/>
        <v>Hull - Dawson</v>
      </c>
      <c r="F97" t="str">
        <f t="shared" si="5"/>
        <v>Hull city - Dawson</v>
      </c>
      <c r="G97" t="str">
        <f t="shared" si="6"/>
        <v>Hull - Dawson</v>
      </c>
    </row>
    <row r="98" spans="1:7" x14ac:dyDescent="0.25">
      <c r="A98" t="s">
        <v>1258</v>
      </c>
      <c r="B98" t="s">
        <v>1245</v>
      </c>
      <c r="C98" t="s">
        <v>1245</v>
      </c>
      <c r="D98" t="str">
        <f t="shared" si="7"/>
        <v>Leicester - Mahrez</v>
      </c>
      <c r="F98" t="str">
        <f t="shared" si="5"/>
        <v>Leicester - Mahrez</v>
      </c>
      <c r="G98" t="str">
        <f t="shared" si="6"/>
        <v>Leicester - Mahrez</v>
      </c>
    </row>
    <row r="99" spans="1:7" x14ac:dyDescent="0.25">
      <c r="A99" t="s">
        <v>1258</v>
      </c>
      <c r="B99" t="s">
        <v>1254</v>
      </c>
      <c r="C99" t="s">
        <v>1254</v>
      </c>
      <c r="D99" t="str">
        <f t="shared" si="7"/>
        <v>Leicester - Vardy</v>
      </c>
      <c r="F99" t="str">
        <f t="shared" si="5"/>
        <v>Leicester - Vardy</v>
      </c>
      <c r="G99" t="str">
        <f t="shared" si="6"/>
        <v>Leicester - Vardy</v>
      </c>
    </row>
    <row r="100" spans="1:7" x14ac:dyDescent="0.25">
      <c r="A100" t="s">
        <v>1393</v>
      </c>
      <c r="B100" t="s">
        <v>1567</v>
      </c>
      <c r="C100" t="s">
        <v>1567</v>
      </c>
      <c r="D100" t="e">
        <f t="shared" si="7"/>
        <v>#N/A</v>
      </c>
      <c r="F100" t="str">
        <f t="shared" si="5"/>
        <v>Watford - Dja Djédjé</v>
      </c>
      <c r="G100" t="str">
        <f t="shared" si="6"/>
        <v>Watford - Dja Djédjé</v>
      </c>
    </row>
    <row r="101" spans="1:7" x14ac:dyDescent="0.25">
      <c r="A101" t="s">
        <v>1188</v>
      </c>
      <c r="B101" t="s">
        <v>324</v>
      </c>
      <c r="C101" t="s">
        <v>324</v>
      </c>
      <c r="D101" t="str">
        <f t="shared" si="7"/>
        <v>Tottenham - Sissoko</v>
      </c>
      <c r="F101" t="str">
        <f t="shared" si="5"/>
        <v>Tottenham - Sissoko</v>
      </c>
      <c r="G101" t="str">
        <f t="shared" si="6"/>
        <v>Tottenham - Sissoko</v>
      </c>
    </row>
    <row r="102" spans="1:7" x14ac:dyDescent="0.25">
      <c r="A102" t="s">
        <v>1095</v>
      </c>
      <c r="B102" t="s">
        <v>1070</v>
      </c>
      <c r="C102" t="s">
        <v>1070</v>
      </c>
      <c r="D102" t="str">
        <f t="shared" si="7"/>
        <v>Swansea - Fabianski</v>
      </c>
      <c r="F102" t="str">
        <f t="shared" si="5"/>
        <v>Swansea - Fabianski</v>
      </c>
      <c r="G102" t="str">
        <f t="shared" si="6"/>
        <v>Swansea - Fabianski</v>
      </c>
    </row>
    <row r="103" spans="1:7" x14ac:dyDescent="0.25">
      <c r="A103" t="s">
        <v>1301</v>
      </c>
      <c r="B103" t="s">
        <v>1292</v>
      </c>
      <c r="C103" t="s">
        <v>1292</v>
      </c>
      <c r="D103" t="str">
        <f t="shared" si="7"/>
        <v>Sunderland - Januzaj</v>
      </c>
      <c r="F103" t="str">
        <f t="shared" si="5"/>
        <v>Sunderland - Januzaj</v>
      </c>
      <c r="G103" t="str">
        <f t="shared" si="6"/>
        <v>Sunderland - Januzaj</v>
      </c>
    </row>
    <row r="104" spans="1:7" x14ac:dyDescent="0.25">
      <c r="A104" t="s">
        <v>1521</v>
      </c>
      <c r="B104" t="s">
        <v>1494</v>
      </c>
      <c r="C104" t="s">
        <v>1494</v>
      </c>
      <c r="D104" t="str">
        <f t="shared" si="7"/>
        <v>Man. United - Martial</v>
      </c>
      <c r="F104" t="str">
        <f t="shared" si="5"/>
        <v>Man United - Martial</v>
      </c>
      <c r="G104" t="str">
        <f t="shared" si="6"/>
        <v>Man. United - Martial</v>
      </c>
    </row>
    <row r="105" spans="1:7" x14ac:dyDescent="0.25">
      <c r="A105" t="s">
        <v>1188</v>
      </c>
      <c r="B105" t="s">
        <v>1177</v>
      </c>
      <c r="C105" t="s">
        <v>1177</v>
      </c>
      <c r="D105" t="str">
        <f t="shared" si="7"/>
        <v>Tottenham - Dier</v>
      </c>
      <c r="F105" t="str">
        <f t="shared" si="5"/>
        <v>Tottenham - Dier</v>
      </c>
      <c r="G105" t="str">
        <f t="shared" si="6"/>
        <v>Tottenham - Dier</v>
      </c>
    </row>
    <row r="106" spans="1:7" x14ac:dyDescent="0.25">
      <c r="A106" t="s">
        <v>1446</v>
      </c>
      <c r="B106" t="s">
        <v>1543</v>
      </c>
      <c r="C106" t="s">
        <v>1442</v>
      </c>
      <c r="D106" t="str">
        <f t="shared" si="7"/>
        <v>Liverpool - Firmino</v>
      </c>
      <c r="F106" t="str">
        <f t="shared" si="5"/>
        <v>Liverpool - Roberto Firmino</v>
      </c>
      <c r="G106" t="str">
        <f t="shared" si="6"/>
        <v>Liverpool - Firmino</v>
      </c>
    </row>
    <row r="107" spans="1:7" x14ac:dyDescent="0.25">
      <c r="A107" t="s">
        <v>1167</v>
      </c>
      <c r="B107" t="s">
        <v>1146</v>
      </c>
      <c r="C107" t="s">
        <v>1146</v>
      </c>
      <c r="D107" t="str">
        <f t="shared" si="7"/>
        <v>Everton - Robles</v>
      </c>
      <c r="F107" t="str">
        <f t="shared" si="5"/>
        <v>Everton - Robles</v>
      </c>
      <c r="G107" t="str">
        <f t="shared" si="6"/>
        <v>Everton - Robles</v>
      </c>
    </row>
    <row r="108" spans="1:7" x14ac:dyDescent="0.25">
      <c r="A108" t="s">
        <v>1167</v>
      </c>
      <c r="B108" t="s">
        <v>1151</v>
      </c>
      <c r="C108" t="s">
        <v>1151</v>
      </c>
      <c r="D108" t="str">
        <f t="shared" si="7"/>
        <v>Everton - Coleman</v>
      </c>
      <c r="F108" t="str">
        <f t="shared" si="5"/>
        <v>Everton - Coleman</v>
      </c>
      <c r="G108" t="str">
        <f t="shared" si="6"/>
        <v>Everton - Coleman</v>
      </c>
    </row>
    <row r="109" spans="1:7" x14ac:dyDescent="0.25">
      <c r="A109" t="s">
        <v>1521</v>
      </c>
      <c r="B109" t="s">
        <v>1481</v>
      </c>
      <c r="C109" t="s">
        <v>1481</v>
      </c>
      <c r="D109" t="str">
        <f t="shared" si="7"/>
        <v>Man. United - Smalling</v>
      </c>
      <c r="F109" t="str">
        <f t="shared" si="5"/>
        <v>Man United - Smalling</v>
      </c>
      <c r="G109" t="str">
        <f t="shared" si="6"/>
        <v>Man. United - Smalling</v>
      </c>
    </row>
    <row r="110" spans="1:7" x14ac:dyDescent="0.25">
      <c r="A110" t="s">
        <v>1212</v>
      </c>
      <c r="B110" t="s">
        <v>1203</v>
      </c>
      <c r="C110" t="s">
        <v>1203</v>
      </c>
      <c r="D110" t="str">
        <f t="shared" si="7"/>
        <v>West Ham - Payet</v>
      </c>
      <c r="F110" t="str">
        <f t="shared" si="5"/>
        <v>West Ham - Payet</v>
      </c>
      <c r="G110" t="str">
        <f t="shared" si="6"/>
        <v>West Ham - Payet</v>
      </c>
    </row>
    <row r="111" spans="1:7" x14ac:dyDescent="0.25">
      <c r="A111" t="s">
        <v>1258</v>
      </c>
      <c r="B111" t="s">
        <v>1241</v>
      </c>
      <c r="C111" t="s">
        <v>1241</v>
      </c>
      <c r="D111" t="str">
        <f t="shared" ref="D111:D136" si="8">VLOOKUP(G111,_DATA,1,FALSE)</f>
        <v>Leicester - Fuchs</v>
      </c>
      <c r="F111" t="str">
        <f t="shared" si="5"/>
        <v>Leicester - Fuchs</v>
      </c>
      <c r="G111" t="str">
        <f t="shared" si="6"/>
        <v>Leicester - Fuchs</v>
      </c>
    </row>
    <row r="112" spans="1:7" x14ac:dyDescent="0.25">
      <c r="A112" t="s">
        <v>1423</v>
      </c>
      <c r="B112" t="s">
        <v>1417</v>
      </c>
      <c r="C112" t="s">
        <v>1417</v>
      </c>
      <c r="D112" t="str">
        <f t="shared" si="8"/>
        <v>Arsenal - Walcott</v>
      </c>
      <c r="F112" t="str">
        <f t="shared" si="5"/>
        <v>Arsenal - Walcott</v>
      </c>
      <c r="G112" t="str">
        <f t="shared" si="6"/>
        <v>Arsenal - Walcott</v>
      </c>
    </row>
    <row r="113" spans="1:7" x14ac:dyDescent="0.25">
      <c r="A113" t="s">
        <v>1520</v>
      </c>
      <c r="B113" t="s">
        <v>1276</v>
      </c>
      <c r="C113" t="s">
        <v>1276</v>
      </c>
      <c r="D113" t="str">
        <f t="shared" si="8"/>
        <v>Man. City - Iheanacho</v>
      </c>
      <c r="F113" t="str">
        <f t="shared" si="5"/>
        <v>Man City - Iheanacho</v>
      </c>
      <c r="G113" t="str">
        <f t="shared" si="6"/>
        <v>Man. City - Iheanacho</v>
      </c>
    </row>
    <row r="114" spans="1:7" x14ac:dyDescent="0.25">
      <c r="A114" t="s">
        <v>1520</v>
      </c>
      <c r="B114" t="s">
        <v>1278</v>
      </c>
      <c r="C114" t="s">
        <v>1278</v>
      </c>
      <c r="D114" t="str">
        <f t="shared" si="8"/>
        <v>Man. City - Sterling</v>
      </c>
      <c r="F114" t="str">
        <f t="shared" si="5"/>
        <v>Man City - Sterling</v>
      </c>
      <c r="G114" t="str">
        <f t="shared" si="6"/>
        <v>Man. City - Sterling</v>
      </c>
    </row>
    <row r="115" spans="1:7" x14ac:dyDescent="0.25">
      <c r="A115" t="s">
        <v>1167</v>
      </c>
      <c r="B115" t="s">
        <v>1145</v>
      </c>
      <c r="C115" t="s">
        <v>1145</v>
      </c>
      <c r="D115" t="str">
        <f t="shared" si="8"/>
        <v>Everton - Stekelenburg</v>
      </c>
      <c r="F115" t="str">
        <f t="shared" si="5"/>
        <v>Everton - Stekelenburg</v>
      </c>
      <c r="G115" t="str">
        <f t="shared" si="6"/>
        <v>Everton - Stekelenburg</v>
      </c>
    </row>
    <row r="116" spans="1:7" x14ac:dyDescent="0.25">
      <c r="A116" t="s">
        <v>1324</v>
      </c>
      <c r="B116" t="s">
        <v>1310</v>
      </c>
      <c r="C116" t="s">
        <v>1310</v>
      </c>
      <c r="D116" t="str">
        <f t="shared" si="8"/>
        <v>Middlesbrough - Husband</v>
      </c>
      <c r="F116" t="str">
        <f t="shared" si="5"/>
        <v>Middlesbrough - Husband</v>
      </c>
      <c r="G116" t="str">
        <f t="shared" si="6"/>
        <v>Middlesbrough - Husband</v>
      </c>
    </row>
    <row r="117" spans="1:7" x14ac:dyDescent="0.25">
      <c r="A117" t="s">
        <v>1520</v>
      </c>
      <c r="B117" t="s">
        <v>1266</v>
      </c>
      <c r="C117" t="s">
        <v>1266</v>
      </c>
      <c r="D117" t="str">
        <f t="shared" si="8"/>
        <v>Man. City - Otamendi</v>
      </c>
      <c r="F117" t="str">
        <f t="shared" si="5"/>
        <v>Man City - Otamendi</v>
      </c>
      <c r="G117" t="str">
        <f t="shared" si="6"/>
        <v>Man. City - Otamendi</v>
      </c>
    </row>
    <row r="118" spans="1:7" x14ac:dyDescent="0.25">
      <c r="A118" s="35" t="s">
        <v>1519</v>
      </c>
      <c r="B118" s="35" t="s">
        <v>1508</v>
      </c>
      <c r="C118" s="35" t="s">
        <v>1508</v>
      </c>
      <c r="D118" t="str">
        <f t="shared" si="8"/>
        <v>Chelsea - Willian</v>
      </c>
      <c r="F118" t="str">
        <f t="shared" si="5"/>
        <v>Chelsea - Willian</v>
      </c>
      <c r="G118" t="str">
        <f t="shared" si="6"/>
        <v>Chelsea - Willian</v>
      </c>
    </row>
    <row r="119" spans="1:7" x14ac:dyDescent="0.25">
      <c r="A119" t="s">
        <v>1520</v>
      </c>
      <c r="B119" t="s">
        <v>119</v>
      </c>
      <c r="C119" t="s">
        <v>119</v>
      </c>
      <c r="D119" t="str">
        <f t="shared" si="8"/>
        <v>Man. City - Silva</v>
      </c>
      <c r="F119" t="str">
        <f t="shared" si="5"/>
        <v>Man City - Silva</v>
      </c>
      <c r="G119" t="str">
        <f t="shared" si="6"/>
        <v>Man. City - Silva</v>
      </c>
    </row>
    <row r="120" spans="1:7" x14ac:dyDescent="0.25">
      <c r="A120" s="35" t="s">
        <v>1521</v>
      </c>
      <c r="B120" s="35" t="s">
        <v>1489</v>
      </c>
      <c r="C120" s="35" t="s">
        <v>1489</v>
      </c>
      <c r="D120" t="str">
        <f t="shared" si="8"/>
        <v>Man. United - Schweinsteiger</v>
      </c>
      <c r="F120" t="str">
        <f t="shared" si="5"/>
        <v>Man United - Schweinsteiger</v>
      </c>
      <c r="G120" t="str">
        <f t="shared" si="6"/>
        <v>Man. United - Schweinsteiger</v>
      </c>
    </row>
    <row r="121" spans="1:7" x14ac:dyDescent="0.25">
      <c r="A121" s="35" t="s">
        <v>1474</v>
      </c>
      <c r="B121" s="35" t="s">
        <v>1456</v>
      </c>
      <c r="C121" s="35" t="s">
        <v>1456</v>
      </c>
      <c r="D121" t="str">
        <f t="shared" si="8"/>
        <v>Bournemouth - Mings</v>
      </c>
      <c r="F121" t="str">
        <f t="shared" si="5"/>
        <v>Bournemouth - Mings</v>
      </c>
      <c r="G121" t="str">
        <f t="shared" si="6"/>
        <v>Bournemouth - Mings</v>
      </c>
    </row>
    <row r="122" spans="1:7" x14ac:dyDescent="0.25">
      <c r="A122" s="35" t="s">
        <v>1095</v>
      </c>
      <c r="B122" s="35" t="s">
        <v>1086</v>
      </c>
      <c r="C122" s="35" t="s">
        <v>1086</v>
      </c>
      <c r="D122" t="str">
        <f t="shared" si="8"/>
        <v>Swansea - Sigurdsson</v>
      </c>
      <c r="F122" t="str">
        <f t="shared" si="5"/>
        <v>Swansea - Sigurdsson</v>
      </c>
      <c r="G122" t="str">
        <f t="shared" si="6"/>
        <v>Swansea - Sigurdsson</v>
      </c>
    </row>
    <row r="123" spans="1:7" x14ac:dyDescent="0.25">
      <c r="A123" t="s">
        <v>1167</v>
      </c>
      <c r="B123" t="s">
        <v>1163</v>
      </c>
      <c r="C123" t="s">
        <v>1163</v>
      </c>
      <c r="D123" t="str">
        <f t="shared" si="8"/>
        <v>Everton - Mirallas</v>
      </c>
      <c r="F123" t="str">
        <f t="shared" si="5"/>
        <v>Everton - Mirallas</v>
      </c>
      <c r="G123" t="str">
        <f t="shared" si="6"/>
        <v>Everton - Mirallas</v>
      </c>
    </row>
    <row r="124" spans="1:7" x14ac:dyDescent="0.25">
      <c r="A124" s="35" t="s">
        <v>1095</v>
      </c>
      <c r="B124" s="35" t="s">
        <v>1091</v>
      </c>
      <c r="C124" s="35" t="s">
        <v>1091</v>
      </c>
      <c r="D124" t="str">
        <f t="shared" si="8"/>
        <v>Swansea - Llorente</v>
      </c>
      <c r="F124" t="str">
        <f t="shared" si="5"/>
        <v>Swansea - Llorente</v>
      </c>
      <c r="G124" t="str">
        <f t="shared" si="6"/>
        <v>Swansea - Llorente</v>
      </c>
    </row>
    <row r="125" spans="1:7" x14ac:dyDescent="0.25">
      <c r="A125" t="s">
        <v>1095</v>
      </c>
      <c r="B125" t="s">
        <v>1076</v>
      </c>
      <c r="C125" t="s">
        <v>1076</v>
      </c>
      <c r="D125" t="str">
        <f t="shared" si="8"/>
        <v>Swansea - Kingsley</v>
      </c>
      <c r="F125" t="str">
        <f t="shared" si="5"/>
        <v>Swansea - Kingsley</v>
      </c>
      <c r="G125" t="str">
        <f t="shared" si="6"/>
        <v>Swansea - Kingsley</v>
      </c>
    </row>
    <row r="126" spans="1:7" x14ac:dyDescent="0.25">
      <c r="A126" t="s">
        <v>1523</v>
      </c>
      <c r="B126" t="s">
        <v>1120</v>
      </c>
      <c r="C126" t="s">
        <v>1120</v>
      </c>
      <c r="D126" t="str">
        <f t="shared" si="8"/>
        <v>WBA - Foster</v>
      </c>
      <c r="F126" t="str">
        <f t="shared" si="5"/>
        <v>West Bromwich - Foster</v>
      </c>
      <c r="G126" t="str">
        <f t="shared" si="6"/>
        <v>WBA - Foster</v>
      </c>
    </row>
    <row r="127" spans="1:7" x14ac:dyDescent="0.25">
      <c r="A127" t="s">
        <v>1167</v>
      </c>
      <c r="B127" t="s">
        <v>1155</v>
      </c>
      <c r="C127" t="s">
        <v>1155</v>
      </c>
      <c r="D127" t="str">
        <f t="shared" si="8"/>
        <v>Everton - Gueye</v>
      </c>
      <c r="F127" t="str">
        <f t="shared" si="5"/>
        <v>Everton - Gueye</v>
      </c>
      <c r="G127" t="str">
        <f t="shared" si="6"/>
        <v>Everton - Gueye</v>
      </c>
    </row>
    <row r="128" spans="1:7" x14ac:dyDescent="0.25">
      <c r="A128" t="s">
        <v>1324</v>
      </c>
      <c r="B128" t="s">
        <v>1307</v>
      </c>
      <c r="C128" t="s">
        <v>1307</v>
      </c>
      <c r="D128" t="str">
        <f t="shared" si="8"/>
        <v>Middlesbrough - Ayala</v>
      </c>
      <c r="F128" t="str">
        <f t="shared" si="5"/>
        <v>Middlesbrough - Ayala</v>
      </c>
      <c r="G128" t="str">
        <f t="shared" si="6"/>
        <v>Middlesbrough - Ayala</v>
      </c>
    </row>
    <row r="129" spans="1:7" x14ac:dyDescent="0.25">
      <c r="A129" t="s">
        <v>1474</v>
      </c>
      <c r="B129" t="s">
        <v>1469</v>
      </c>
      <c r="C129" t="s">
        <v>1469</v>
      </c>
      <c r="D129" t="str">
        <f t="shared" si="8"/>
        <v>Bournemouth - Wilson</v>
      </c>
      <c r="F129" t="str">
        <f t="shared" ref="F129:F187" si="9">A129&amp; " - " &amp; B129</f>
        <v>Bournemouth - Wilson</v>
      </c>
      <c r="G129" t="str">
        <f t="shared" ref="G129:G187" si="10">VLOOKUP(A129,_EQUIPES,2,FALSE) &amp; " - " &amp; C129</f>
        <v>Bournemouth - Wilson</v>
      </c>
    </row>
    <row r="130" spans="1:7" x14ac:dyDescent="0.25">
      <c r="A130" t="s">
        <v>1522</v>
      </c>
      <c r="B130" t="s">
        <v>1103</v>
      </c>
      <c r="C130" t="s">
        <v>1103</v>
      </c>
      <c r="D130" t="str">
        <f t="shared" si="8"/>
        <v>Palace - Townsend</v>
      </c>
      <c r="F130" t="str">
        <f t="shared" si="9"/>
        <v>Crystal Palace - Townsend</v>
      </c>
      <c r="G130" t="str">
        <f t="shared" si="10"/>
        <v>Palace - Townsend</v>
      </c>
    </row>
    <row r="131" spans="1:7" x14ac:dyDescent="0.25">
      <c r="A131" t="s">
        <v>1188</v>
      </c>
      <c r="B131" t="s">
        <v>1170</v>
      </c>
      <c r="C131" t="s">
        <v>1170</v>
      </c>
      <c r="D131" t="str">
        <f t="shared" si="8"/>
        <v>Tottenham - Walker</v>
      </c>
      <c r="F131" t="str">
        <f t="shared" si="9"/>
        <v>Tottenham - Walker</v>
      </c>
      <c r="G131" t="str">
        <f t="shared" si="10"/>
        <v>Tottenham - Walker</v>
      </c>
    </row>
    <row r="132" spans="1:7" x14ac:dyDescent="0.25">
      <c r="A132" t="s">
        <v>1212</v>
      </c>
      <c r="B132" t="s">
        <v>1192</v>
      </c>
      <c r="C132" t="s">
        <v>1192</v>
      </c>
      <c r="D132" t="str">
        <f t="shared" si="8"/>
        <v>West Ham - Antonio</v>
      </c>
      <c r="F132" t="str">
        <f t="shared" si="9"/>
        <v>West Ham - Antonio</v>
      </c>
      <c r="G132" t="str">
        <f t="shared" si="10"/>
        <v>West Ham - Antonio</v>
      </c>
    </row>
    <row r="133" spans="1:7" x14ac:dyDescent="0.25">
      <c r="A133" t="s">
        <v>1522</v>
      </c>
      <c r="B133" t="s">
        <v>1051</v>
      </c>
      <c r="C133" t="s">
        <v>1051</v>
      </c>
      <c r="D133" t="str">
        <f t="shared" si="8"/>
        <v>Palace - Ward</v>
      </c>
      <c r="F133" t="str">
        <f t="shared" si="9"/>
        <v>Crystal Palace - Ward</v>
      </c>
      <c r="G133" t="str">
        <f t="shared" si="10"/>
        <v>Palace - Ward</v>
      </c>
    </row>
    <row r="134" spans="1:7" x14ac:dyDescent="0.25">
      <c r="A134" t="s">
        <v>1212</v>
      </c>
      <c r="B134" t="s">
        <v>1200</v>
      </c>
      <c r="C134" t="s">
        <v>1200</v>
      </c>
      <c r="D134" t="str">
        <f t="shared" si="8"/>
        <v>West Ham - Kouyaté</v>
      </c>
      <c r="F134" t="str">
        <f t="shared" si="9"/>
        <v>West Ham - Kouyaté</v>
      </c>
      <c r="G134" t="str">
        <f t="shared" si="10"/>
        <v>West Ham - Kouyaté</v>
      </c>
    </row>
    <row r="135" spans="1:7" x14ac:dyDescent="0.25">
      <c r="A135" t="s">
        <v>1095</v>
      </c>
      <c r="B135" t="s">
        <v>1084</v>
      </c>
      <c r="C135" t="s">
        <v>1084</v>
      </c>
      <c r="D135" t="str">
        <f t="shared" si="8"/>
        <v>Swansea - Fer</v>
      </c>
      <c r="F135" t="str">
        <f t="shared" si="9"/>
        <v>Swansea - Fer</v>
      </c>
      <c r="G135" t="str">
        <f t="shared" si="10"/>
        <v>Swansea - Fer</v>
      </c>
    </row>
    <row r="136" spans="1:7" x14ac:dyDescent="0.25">
      <c r="A136" t="s">
        <v>1393</v>
      </c>
      <c r="B136" t="s">
        <v>1388</v>
      </c>
      <c r="C136" t="s">
        <v>1388</v>
      </c>
      <c r="D136" t="str">
        <f t="shared" si="8"/>
        <v>Watford - Deeney</v>
      </c>
      <c r="F136" t="str">
        <f t="shared" si="9"/>
        <v>Watford - Deeney</v>
      </c>
      <c r="G136" t="str">
        <f t="shared" si="10"/>
        <v>Watford - Deeney</v>
      </c>
    </row>
    <row r="137" spans="1:7" x14ac:dyDescent="0.25">
      <c r="A137" t="s">
        <v>1446</v>
      </c>
      <c r="B137" t="s">
        <v>1434</v>
      </c>
      <c r="C137" t="s">
        <v>1434</v>
      </c>
      <c r="D137" t="str">
        <f t="shared" ref="D137:D162" si="11">VLOOKUP(G137,_DATA,1,FALSE)</f>
        <v>Liverpool - Lallana</v>
      </c>
      <c r="F137" t="str">
        <f t="shared" si="9"/>
        <v>Liverpool - Lallana</v>
      </c>
      <c r="G137" t="str">
        <f t="shared" si="10"/>
        <v>Liverpool - Lallana</v>
      </c>
    </row>
    <row r="138" spans="1:7" x14ac:dyDescent="0.25">
      <c r="A138" s="35" t="s">
        <v>1393</v>
      </c>
      <c r="B138" s="35" t="s">
        <v>1382</v>
      </c>
      <c r="C138" s="35" t="s">
        <v>1382</v>
      </c>
      <c r="D138" t="str">
        <f t="shared" si="11"/>
        <v>Watford - Capoue</v>
      </c>
      <c r="F138" t="str">
        <f t="shared" si="9"/>
        <v>Watford - Capoue</v>
      </c>
      <c r="G138" t="str">
        <f t="shared" si="10"/>
        <v>Watford - Capoue</v>
      </c>
    </row>
    <row r="139" spans="1:7" x14ac:dyDescent="0.25">
      <c r="A139" t="s">
        <v>1523</v>
      </c>
      <c r="B139" t="s">
        <v>1124</v>
      </c>
      <c r="C139" t="s">
        <v>1124</v>
      </c>
      <c r="D139" t="str">
        <f t="shared" si="11"/>
        <v>WBA - McAuley</v>
      </c>
      <c r="F139" t="str">
        <f t="shared" si="9"/>
        <v>West Bromwich - McAuley</v>
      </c>
      <c r="G139" t="str">
        <f t="shared" si="10"/>
        <v>WBA - McAuley</v>
      </c>
    </row>
    <row r="140" spans="1:7" x14ac:dyDescent="0.25">
      <c r="A140" t="s">
        <v>1522</v>
      </c>
      <c r="B140" t="s">
        <v>1098</v>
      </c>
      <c r="C140" t="s">
        <v>1098</v>
      </c>
      <c r="D140" t="str">
        <f t="shared" si="11"/>
        <v>Palace - Dann</v>
      </c>
      <c r="F140" t="str">
        <f t="shared" si="9"/>
        <v>Crystal Palace - Dann</v>
      </c>
      <c r="G140" t="str">
        <f t="shared" si="10"/>
        <v>Palace - Dann</v>
      </c>
    </row>
    <row r="141" spans="1:7" x14ac:dyDescent="0.25">
      <c r="A141" t="s">
        <v>1167</v>
      </c>
      <c r="B141" t="s">
        <v>1156</v>
      </c>
      <c r="C141" t="s">
        <v>1156</v>
      </c>
      <c r="D141" t="str">
        <f t="shared" si="11"/>
        <v>Everton - Barry</v>
      </c>
      <c r="F141" t="str">
        <f t="shared" si="9"/>
        <v>Everton - Barry</v>
      </c>
      <c r="G141" t="str">
        <f t="shared" si="10"/>
        <v>Everton - Barry</v>
      </c>
    </row>
    <row r="142" spans="1:7" x14ac:dyDescent="0.25">
      <c r="A142" t="s">
        <v>1523</v>
      </c>
      <c r="B142" t="s">
        <v>1121</v>
      </c>
      <c r="C142" t="s">
        <v>1121</v>
      </c>
      <c r="D142" t="str">
        <f t="shared" si="11"/>
        <v>WBA - Myhill</v>
      </c>
      <c r="F142" t="str">
        <f t="shared" si="9"/>
        <v>West Bromwich - Myhill</v>
      </c>
      <c r="G142" t="str">
        <f t="shared" si="10"/>
        <v>WBA - Myhill</v>
      </c>
    </row>
    <row r="143" spans="1:7" x14ac:dyDescent="0.25">
      <c r="A143" t="s">
        <v>1301</v>
      </c>
      <c r="B143" t="s">
        <v>1299</v>
      </c>
      <c r="C143" t="s">
        <v>1299</v>
      </c>
      <c r="D143" t="str">
        <f t="shared" si="11"/>
        <v>Sunderland - Defoe</v>
      </c>
      <c r="F143" t="str">
        <f t="shared" si="9"/>
        <v>Sunderland - Defoe</v>
      </c>
      <c r="G143" t="str">
        <f t="shared" si="10"/>
        <v>Sunderland - Defoe</v>
      </c>
    </row>
    <row r="144" spans="1:7" x14ac:dyDescent="0.25">
      <c r="A144" t="s">
        <v>1167</v>
      </c>
      <c r="B144" t="s">
        <v>1148</v>
      </c>
      <c r="C144" t="s">
        <v>1148</v>
      </c>
      <c r="D144" t="str">
        <f t="shared" si="11"/>
        <v>Everton - Jagielka</v>
      </c>
      <c r="F144" t="str">
        <f t="shared" si="9"/>
        <v>Everton - Jagielka</v>
      </c>
      <c r="G144" t="str">
        <f t="shared" si="10"/>
        <v>Everton - Jagielka</v>
      </c>
    </row>
    <row r="145" spans="1:7" x14ac:dyDescent="0.25">
      <c r="A145" t="s">
        <v>1524</v>
      </c>
      <c r="B145" t="s">
        <v>1160</v>
      </c>
      <c r="C145" t="s">
        <v>1160</v>
      </c>
      <c r="D145" t="str">
        <f t="shared" si="11"/>
        <v>Hull - Davies</v>
      </c>
      <c r="F145" t="str">
        <f t="shared" si="9"/>
        <v>Hull city - Davies</v>
      </c>
      <c r="G145" t="str">
        <f t="shared" si="10"/>
        <v>Hull - Davies</v>
      </c>
    </row>
    <row r="146" spans="1:7" x14ac:dyDescent="0.25">
      <c r="A146" s="35" t="s">
        <v>1188</v>
      </c>
      <c r="B146" s="35" t="s">
        <v>1187</v>
      </c>
      <c r="C146" s="35" t="s">
        <v>1187</v>
      </c>
      <c r="D146" t="str">
        <f t="shared" si="11"/>
        <v>Tottenham - Janssen</v>
      </c>
      <c r="F146" t="str">
        <f t="shared" si="9"/>
        <v>Tottenham - Janssen</v>
      </c>
      <c r="G146" t="str">
        <f t="shared" si="10"/>
        <v>Tottenham - Janssen</v>
      </c>
    </row>
    <row r="147" spans="1:7" x14ac:dyDescent="0.25">
      <c r="A147" s="35" t="s">
        <v>1258</v>
      </c>
      <c r="B147" s="35" t="s">
        <v>1256</v>
      </c>
      <c r="C147" s="35" t="s">
        <v>1256</v>
      </c>
      <c r="D147" t="str">
        <f t="shared" si="11"/>
        <v>Leicester - Slimani</v>
      </c>
      <c r="F147" t="str">
        <f t="shared" si="9"/>
        <v>Leicester - Slimani</v>
      </c>
      <c r="G147" t="str">
        <f t="shared" si="10"/>
        <v>Leicester - Slimani</v>
      </c>
    </row>
    <row r="148" spans="1:7" x14ac:dyDescent="0.25">
      <c r="A148" t="s">
        <v>1524</v>
      </c>
      <c r="B148" t="s">
        <v>1029</v>
      </c>
      <c r="C148" t="s">
        <v>411</v>
      </c>
      <c r="D148" t="str">
        <f t="shared" si="11"/>
        <v>Hull - Diomandé</v>
      </c>
      <c r="F148" t="str">
        <f t="shared" si="9"/>
        <v>Hull city - Diomande</v>
      </c>
      <c r="G148" t="str">
        <f t="shared" si="10"/>
        <v>Hull - Diomandé</v>
      </c>
    </row>
    <row r="149" spans="1:7" x14ac:dyDescent="0.25">
      <c r="A149" t="s">
        <v>1188</v>
      </c>
      <c r="B149" t="s">
        <v>1168</v>
      </c>
      <c r="C149" t="s">
        <v>1168</v>
      </c>
      <c r="D149" t="str">
        <f t="shared" si="11"/>
        <v>Tottenham - Vorm</v>
      </c>
      <c r="F149" t="str">
        <f t="shared" si="9"/>
        <v>Tottenham - Vorm</v>
      </c>
      <c r="G149" t="str">
        <f t="shared" si="10"/>
        <v>Tottenham - Vorm</v>
      </c>
    </row>
    <row r="150" spans="1:7" x14ac:dyDescent="0.25">
      <c r="A150" t="s">
        <v>1188</v>
      </c>
      <c r="B150" t="s">
        <v>1568</v>
      </c>
      <c r="C150" t="s">
        <v>1570</v>
      </c>
      <c r="D150" t="str">
        <f t="shared" si="11"/>
        <v>Tottenham - Nkoudou</v>
      </c>
      <c r="F150" t="str">
        <f t="shared" si="9"/>
        <v>Tottenham - Georges-Kévin Nkoudou</v>
      </c>
      <c r="G150" t="str">
        <f t="shared" si="10"/>
        <v>Tottenham - Nkoudou</v>
      </c>
    </row>
    <row r="151" spans="1:7" x14ac:dyDescent="0.25">
      <c r="A151" t="s">
        <v>1522</v>
      </c>
      <c r="B151" t="s">
        <v>1113</v>
      </c>
      <c r="C151" t="s">
        <v>1113</v>
      </c>
      <c r="D151" t="str">
        <f t="shared" si="11"/>
        <v>Palace - McArthur</v>
      </c>
      <c r="F151" t="str">
        <f t="shared" si="9"/>
        <v>Crystal Palace - McArthur</v>
      </c>
      <c r="G151" t="str">
        <f t="shared" si="10"/>
        <v>Palace - McArthur</v>
      </c>
    </row>
    <row r="152" spans="1:7" x14ac:dyDescent="0.25">
      <c r="A152" t="s">
        <v>1522</v>
      </c>
      <c r="B152" t="s">
        <v>1111</v>
      </c>
      <c r="C152" t="s">
        <v>1111</v>
      </c>
      <c r="D152" t="str">
        <f t="shared" si="11"/>
        <v>Palace - Tomkins</v>
      </c>
      <c r="F152" t="str">
        <f t="shared" si="9"/>
        <v>Crystal Palace - Tomkins</v>
      </c>
      <c r="G152" t="str">
        <f t="shared" si="10"/>
        <v>Palace - Tomkins</v>
      </c>
    </row>
    <row r="153" spans="1:7" x14ac:dyDescent="0.25">
      <c r="A153" s="35" t="s">
        <v>1474</v>
      </c>
      <c r="B153" s="35" t="s">
        <v>1574</v>
      </c>
      <c r="C153" s="35" t="s">
        <v>1453</v>
      </c>
      <c r="D153" t="str">
        <f t="shared" si="11"/>
        <v>Bournemouth - S. Cook</v>
      </c>
      <c r="F153" t="str">
        <f t="shared" si="9"/>
        <v>Bournemouth - Cook</v>
      </c>
      <c r="G153" t="str">
        <f t="shared" si="10"/>
        <v>Bournemouth - S. Cook</v>
      </c>
    </row>
    <row r="154" spans="1:7" x14ac:dyDescent="0.25">
      <c r="A154" s="35" t="s">
        <v>1423</v>
      </c>
      <c r="B154" s="35" t="s">
        <v>1406</v>
      </c>
      <c r="C154" s="35" t="s">
        <v>1406</v>
      </c>
      <c r="D154" t="str">
        <f t="shared" si="11"/>
        <v>Arsenal - Coquelin</v>
      </c>
      <c r="F154" t="str">
        <f t="shared" si="9"/>
        <v>Arsenal - Coquelin</v>
      </c>
      <c r="G154" t="str">
        <f t="shared" si="10"/>
        <v>Arsenal - Coquelin</v>
      </c>
    </row>
    <row r="155" spans="1:7" x14ac:dyDescent="0.25">
      <c r="A155" t="s">
        <v>1446</v>
      </c>
      <c r="B155" t="s">
        <v>1432</v>
      </c>
      <c r="C155" t="s">
        <v>1432</v>
      </c>
      <c r="D155" t="str">
        <f t="shared" si="11"/>
        <v>Liverpool - Matip</v>
      </c>
      <c r="F155" t="str">
        <f t="shared" si="9"/>
        <v>Liverpool - Matip</v>
      </c>
      <c r="G155" t="str">
        <f t="shared" si="10"/>
        <v>Liverpool - Matip</v>
      </c>
    </row>
    <row r="156" spans="1:7" x14ac:dyDescent="0.25">
      <c r="A156" t="s">
        <v>1367</v>
      </c>
      <c r="B156" t="s">
        <v>1364</v>
      </c>
      <c r="C156" t="s">
        <v>1364</v>
      </c>
      <c r="D156" t="str">
        <f t="shared" si="11"/>
        <v>Southampton - Redmond</v>
      </c>
      <c r="F156" t="str">
        <f t="shared" si="9"/>
        <v>Southampton - Redmond</v>
      </c>
      <c r="G156" t="str">
        <f t="shared" si="10"/>
        <v>Southampton - Redmond</v>
      </c>
    </row>
    <row r="157" spans="1:7" x14ac:dyDescent="0.25">
      <c r="A157" t="s">
        <v>1474</v>
      </c>
      <c r="B157" t="s">
        <v>1575</v>
      </c>
      <c r="C157" t="s">
        <v>1466</v>
      </c>
      <c r="D157" t="str">
        <f t="shared" si="11"/>
        <v>Bournemouth - A. Smith</v>
      </c>
      <c r="F157" t="str">
        <f t="shared" si="9"/>
        <v>Bournemouth - Smith</v>
      </c>
      <c r="G157" t="str">
        <f t="shared" si="10"/>
        <v>Bournemouth - A. Smith</v>
      </c>
    </row>
    <row r="158" spans="1:7" x14ac:dyDescent="0.25">
      <c r="A158" t="s">
        <v>1474</v>
      </c>
      <c r="B158" t="s">
        <v>1464</v>
      </c>
      <c r="C158" t="s">
        <v>1464</v>
      </c>
      <c r="D158" t="str">
        <f t="shared" si="11"/>
        <v>Bournemouth - Stanislas</v>
      </c>
      <c r="F158" t="str">
        <f t="shared" si="9"/>
        <v>Bournemouth - Stanislas</v>
      </c>
      <c r="G158" t="str">
        <f t="shared" si="10"/>
        <v>Bournemouth - Stanislas</v>
      </c>
    </row>
    <row r="159" spans="1:7" x14ac:dyDescent="0.25">
      <c r="A159" t="s">
        <v>1188</v>
      </c>
      <c r="B159" t="s">
        <v>1179</v>
      </c>
      <c r="C159" t="s">
        <v>1179</v>
      </c>
      <c r="D159" t="str">
        <f t="shared" si="11"/>
        <v>Tottenham - Wanyama</v>
      </c>
      <c r="F159" t="str">
        <f t="shared" si="9"/>
        <v>Tottenham - Wanyama</v>
      </c>
      <c r="G159" t="str">
        <f t="shared" si="10"/>
        <v>Tottenham - Wanyama</v>
      </c>
    </row>
    <row r="160" spans="1:7" x14ac:dyDescent="0.25">
      <c r="A160" t="s">
        <v>1167</v>
      </c>
      <c r="B160" t="s">
        <v>1150</v>
      </c>
      <c r="C160" t="s">
        <v>1150</v>
      </c>
      <c r="D160" t="str">
        <f t="shared" si="11"/>
        <v>Everton - Williams</v>
      </c>
      <c r="F160" t="str">
        <f t="shared" si="9"/>
        <v>Everton - Williams</v>
      </c>
      <c r="G160" t="str">
        <f t="shared" si="10"/>
        <v>Everton - Williams</v>
      </c>
    </row>
    <row r="161" spans="1:7" x14ac:dyDescent="0.25">
      <c r="A161" s="35" t="s">
        <v>1446</v>
      </c>
      <c r="B161" s="35" t="s">
        <v>1427</v>
      </c>
      <c r="C161" s="35" t="s">
        <v>1427</v>
      </c>
      <c r="D161" t="str">
        <f t="shared" si="11"/>
        <v>Liverpool - Clyne</v>
      </c>
      <c r="F161" t="str">
        <f t="shared" si="9"/>
        <v>Liverpool - Clyne</v>
      </c>
      <c r="G161" t="str">
        <f t="shared" si="10"/>
        <v>Liverpool - Clyne</v>
      </c>
    </row>
    <row r="162" spans="1:7" x14ac:dyDescent="0.25">
      <c r="A162" s="35" t="s">
        <v>1446</v>
      </c>
      <c r="B162" s="35" t="s">
        <v>1426</v>
      </c>
      <c r="C162" s="35" t="s">
        <v>1426</v>
      </c>
      <c r="D162" t="str">
        <f t="shared" si="11"/>
        <v>Liverpool - Karius</v>
      </c>
      <c r="F162" t="str">
        <f t="shared" si="9"/>
        <v>Liverpool - Karius</v>
      </c>
      <c r="G162" t="str">
        <f t="shared" si="10"/>
        <v>Liverpool - Karius</v>
      </c>
    </row>
    <row r="163" spans="1:7" x14ac:dyDescent="0.25">
      <c r="A163" t="s">
        <v>1446</v>
      </c>
      <c r="B163" t="s">
        <v>1425</v>
      </c>
      <c r="C163" t="s">
        <v>1425</v>
      </c>
      <c r="F163" t="str">
        <f t="shared" si="9"/>
        <v>Liverpool - Manninger</v>
      </c>
      <c r="G163" t="str">
        <f t="shared" si="10"/>
        <v>Liverpool - Manninger</v>
      </c>
    </row>
    <row r="164" spans="1:7" x14ac:dyDescent="0.25">
      <c r="A164" s="35" t="s">
        <v>1446</v>
      </c>
      <c r="B164" s="35" t="s">
        <v>1438</v>
      </c>
      <c r="C164" s="35" t="s">
        <v>1438</v>
      </c>
      <c r="F164" t="str">
        <f t="shared" si="9"/>
        <v>Liverpool - Milner</v>
      </c>
      <c r="G164" t="str">
        <f t="shared" si="10"/>
        <v>Liverpool - Milner</v>
      </c>
    </row>
    <row r="165" spans="1:7" x14ac:dyDescent="0.25">
      <c r="A165" s="35" t="s">
        <v>1212</v>
      </c>
      <c r="B165" s="35" t="s">
        <v>1211</v>
      </c>
      <c r="C165" s="35" t="s">
        <v>1211</v>
      </c>
      <c r="F165" t="str">
        <f t="shared" si="9"/>
        <v>West Ham - Zaza</v>
      </c>
      <c r="G165" t="str">
        <f t="shared" si="10"/>
        <v>West Ham - Zaza</v>
      </c>
    </row>
    <row r="166" spans="1:7" x14ac:dyDescent="0.25">
      <c r="C166" s="155"/>
      <c r="F166" t="str">
        <f t="shared" si="9"/>
        <v xml:space="preserve"> - </v>
      </c>
      <c r="G166" t="e">
        <f t="shared" si="10"/>
        <v>#N/A</v>
      </c>
    </row>
    <row r="167" spans="1:7" x14ac:dyDescent="0.25">
      <c r="C167" s="155"/>
      <c r="F167" t="str">
        <f t="shared" si="9"/>
        <v xml:space="preserve"> - </v>
      </c>
      <c r="G167" t="e">
        <f t="shared" si="10"/>
        <v>#N/A</v>
      </c>
    </row>
    <row r="168" spans="1:7" x14ac:dyDescent="0.25">
      <c r="C168" s="155"/>
      <c r="F168" t="str">
        <f t="shared" si="9"/>
        <v xml:space="preserve"> - </v>
      </c>
      <c r="G168" t="e">
        <f t="shared" si="10"/>
        <v>#N/A</v>
      </c>
    </row>
    <row r="169" spans="1:7" x14ac:dyDescent="0.25">
      <c r="C169" s="155"/>
      <c r="F169" t="str">
        <f t="shared" si="9"/>
        <v xml:space="preserve"> - </v>
      </c>
      <c r="G169" t="e">
        <f t="shared" si="10"/>
        <v>#N/A</v>
      </c>
    </row>
    <row r="170" spans="1:7" x14ac:dyDescent="0.25">
      <c r="C170" s="155"/>
      <c r="F170" t="str">
        <f t="shared" si="9"/>
        <v xml:space="preserve"> - </v>
      </c>
      <c r="G170" t="e">
        <f t="shared" si="10"/>
        <v>#N/A</v>
      </c>
    </row>
    <row r="171" spans="1:7" x14ac:dyDescent="0.25">
      <c r="C171" s="155"/>
      <c r="F171" t="str">
        <f t="shared" si="9"/>
        <v xml:space="preserve"> - </v>
      </c>
      <c r="G171" t="e">
        <f t="shared" si="10"/>
        <v>#N/A</v>
      </c>
    </row>
    <row r="172" spans="1:7" x14ac:dyDescent="0.25">
      <c r="C172" s="155"/>
      <c r="F172" t="str">
        <f t="shared" si="9"/>
        <v xml:space="preserve"> - </v>
      </c>
      <c r="G172" t="e">
        <f t="shared" si="10"/>
        <v>#N/A</v>
      </c>
    </row>
    <row r="173" spans="1:7" x14ac:dyDescent="0.25">
      <c r="C173" s="155"/>
      <c r="F173" t="str">
        <f t="shared" si="9"/>
        <v xml:space="preserve"> - </v>
      </c>
      <c r="G173" t="e">
        <f t="shared" si="10"/>
        <v>#N/A</v>
      </c>
    </row>
    <row r="174" spans="1:7" x14ac:dyDescent="0.25">
      <c r="C174" s="155"/>
      <c r="F174" t="str">
        <f t="shared" si="9"/>
        <v xml:space="preserve"> - </v>
      </c>
      <c r="G174" t="e">
        <f t="shared" si="10"/>
        <v>#N/A</v>
      </c>
    </row>
    <row r="175" spans="1:7" x14ac:dyDescent="0.25">
      <c r="C175" s="155"/>
      <c r="F175" t="str">
        <f t="shared" si="9"/>
        <v xml:space="preserve"> - </v>
      </c>
      <c r="G175" t="e">
        <f t="shared" si="10"/>
        <v>#N/A</v>
      </c>
    </row>
    <row r="176" spans="1:7" x14ac:dyDescent="0.25">
      <c r="C176" s="155"/>
      <c r="F176" t="str">
        <f t="shared" si="9"/>
        <v xml:space="preserve"> - </v>
      </c>
      <c r="G176" t="e">
        <f t="shared" si="10"/>
        <v>#N/A</v>
      </c>
    </row>
    <row r="177" spans="3:7" x14ac:dyDescent="0.25">
      <c r="C177" s="155"/>
      <c r="F177" t="str">
        <f t="shared" si="9"/>
        <v xml:space="preserve"> - </v>
      </c>
      <c r="G177" t="e">
        <f t="shared" si="10"/>
        <v>#N/A</v>
      </c>
    </row>
    <row r="178" spans="3:7" x14ac:dyDescent="0.25">
      <c r="C178" s="155"/>
      <c r="F178" t="str">
        <f t="shared" si="9"/>
        <v xml:space="preserve"> - </v>
      </c>
      <c r="G178" t="e">
        <f t="shared" si="10"/>
        <v>#N/A</v>
      </c>
    </row>
    <row r="179" spans="3:7" x14ac:dyDescent="0.25">
      <c r="C179" s="155"/>
      <c r="F179" t="str">
        <f t="shared" si="9"/>
        <v xml:space="preserve"> - </v>
      </c>
      <c r="G179" t="e">
        <f t="shared" si="10"/>
        <v>#N/A</v>
      </c>
    </row>
    <row r="180" spans="3:7" x14ac:dyDescent="0.25">
      <c r="C180" s="155"/>
      <c r="F180" t="str">
        <f t="shared" si="9"/>
        <v xml:space="preserve"> - </v>
      </c>
      <c r="G180" t="e">
        <f t="shared" si="10"/>
        <v>#N/A</v>
      </c>
    </row>
    <row r="181" spans="3:7" x14ac:dyDescent="0.25">
      <c r="C181" s="155"/>
      <c r="F181" t="str">
        <f t="shared" si="9"/>
        <v xml:space="preserve"> - </v>
      </c>
      <c r="G181" t="e">
        <f t="shared" si="10"/>
        <v>#N/A</v>
      </c>
    </row>
    <row r="182" spans="3:7" x14ac:dyDescent="0.25">
      <c r="C182" s="155"/>
      <c r="F182" t="str">
        <f t="shared" si="9"/>
        <v xml:space="preserve"> - </v>
      </c>
      <c r="G182" t="e">
        <f t="shared" si="10"/>
        <v>#N/A</v>
      </c>
    </row>
    <row r="183" spans="3:7" x14ac:dyDescent="0.25">
      <c r="C183" s="155"/>
      <c r="F183" t="str">
        <f t="shared" si="9"/>
        <v xml:space="preserve"> - </v>
      </c>
      <c r="G183" t="e">
        <f t="shared" si="10"/>
        <v>#N/A</v>
      </c>
    </row>
    <row r="184" spans="3:7" x14ac:dyDescent="0.25">
      <c r="C184" s="155"/>
      <c r="F184" t="str">
        <f t="shared" si="9"/>
        <v xml:space="preserve"> - </v>
      </c>
      <c r="G184" t="e">
        <f t="shared" si="10"/>
        <v>#N/A</v>
      </c>
    </row>
    <row r="185" spans="3:7" x14ac:dyDescent="0.25">
      <c r="C185" s="155"/>
      <c r="F185" t="str">
        <f t="shared" si="9"/>
        <v xml:space="preserve"> - </v>
      </c>
      <c r="G185" t="e">
        <f t="shared" si="10"/>
        <v>#N/A</v>
      </c>
    </row>
    <row r="186" spans="3:7" x14ac:dyDescent="0.25">
      <c r="C186" s="155"/>
      <c r="F186" t="str">
        <f t="shared" si="9"/>
        <v xml:space="preserve"> - </v>
      </c>
      <c r="G186" t="e">
        <f t="shared" si="10"/>
        <v>#N/A</v>
      </c>
    </row>
    <row r="187" spans="3:7" x14ac:dyDescent="0.25">
      <c r="C187" s="155"/>
      <c r="F187" t="str">
        <f t="shared" si="9"/>
        <v xml:space="preserve"> - </v>
      </c>
      <c r="G187" t="e">
        <f t="shared" si="10"/>
        <v>#N/A</v>
      </c>
    </row>
    <row r="188" spans="3:7" x14ac:dyDescent="0.25">
      <c r="C188" s="155"/>
      <c r="F188" t="str">
        <f t="shared" ref="F188:F250" si="12">A188&amp; " - " &amp; B188</f>
        <v xml:space="preserve"> - </v>
      </c>
      <c r="G188" t="e">
        <f t="shared" ref="G188:G250" si="13">VLOOKUP(A188,_EQUIPES,2,FALSE) &amp; " - " &amp; C188</f>
        <v>#N/A</v>
      </c>
    </row>
    <row r="189" spans="3:7" x14ac:dyDescent="0.25">
      <c r="C189" s="155"/>
      <c r="F189" t="str">
        <f t="shared" si="12"/>
        <v xml:space="preserve"> - </v>
      </c>
      <c r="G189" t="e">
        <f t="shared" si="13"/>
        <v>#N/A</v>
      </c>
    </row>
    <row r="190" spans="3:7" x14ac:dyDescent="0.25">
      <c r="C190" s="155"/>
      <c r="F190" t="str">
        <f t="shared" si="12"/>
        <v xml:space="preserve"> - </v>
      </c>
      <c r="G190" t="e">
        <f t="shared" si="13"/>
        <v>#N/A</v>
      </c>
    </row>
    <row r="191" spans="3:7" x14ac:dyDescent="0.25">
      <c r="C191" s="155"/>
      <c r="F191" t="str">
        <f t="shared" si="12"/>
        <v xml:space="preserve"> - </v>
      </c>
      <c r="G191" t="e">
        <f t="shared" si="13"/>
        <v>#N/A</v>
      </c>
    </row>
    <row r="192" spans="3:7" x14ac:dyDescent="0.25">
      <c r="C192" s="155"/>
      <c r="F192" t="str">
        <f t="shared" si="12"/>
        <v xml:space="preserve"> - </v>
      </c>
      <c r="G192" t="e">
        <f t="shared" si="13"/>
        <v>#N/A</v>
      </c>
    </row>
    <row r="193" spans="3:7" x14ac:dyDescent="0.25">
      <c r="C193" s="155"/>
      <c r="F193" t="str">
        <f t="shared" si="12"/>
        <v xml:space="preserve"> - </v>
      </c>
      <c r="G193" t="e">
        <f t="shared" si="13"/>
        <v>#N/A</v>
      </c>
    </row>
    <row r="194" spans="3:7" x14ac:dyDescent="0.25">
      <c r="C194" s="155"/>
      <c r="F194" t="str">
        <f t="shared" si="12"/>
        <v xml:space="preserve"> - </v>
      </c>
      <c r="G194" t="e">
        <f t="shared" si="13"/>
        <v>#N/A</v>
      </c>
    </row>
    <row r="195" spans="3:7" x14ac:dyDescent="0.25">
      <c r="C195" s="155"/>
      <c r="F195" t="str">
        <f t="shared" si="12"/>
        <v xml:space="preserve"> - </v>
      </c>
      <c r="G195" t="e">
        <f t="shared" si="13"/>
        <v>#N/A</v>
      </c>
    </row>
    <row r="196" spans="3:7" x14ac:dyDescent="0.25">
      <c r="C196" s="155"/>
      <c r="F196" t="str">
        <f t="shared" si="12"/>
        <v xml:space="preserve"> - </v>
      </c>
      <c r="G196" t="e">
        <f t="shared" si="13"/>
        <v>#N/A</v>
      </c>
    </row>
    <row r="197" spans="3:7" x14ac:dyDescent="0.25">
      <c r="C197" s="155"/>
      <c r="F197" t="str">
        <f t="shared" si="12"/>
        <v xml:space="preserve"> - </v>
      </c>
      <c r="G197" t="e">
        <f t="shared" si="13"/>
        <v>#N/A</v>
      </c>
    </row>
    <row r="198" spans="3:7" x14ac:dyDescent="0.25">
      <c r="C198" s="155"/>
      <c r="F198" t="str">
        <f t="shared" si="12"/>
        <v xml:space="preserve"> - </v>
      </c>
      <c r="G198" t="e">
        <f t="shared" si="13"/>
        <v>#N/A</v>
      </c>
    </row>
    <row r="199" spans="3:7" x14ac:dyDescent="0.25">
      <c r="C199" s="155"/>
      <c r="F199" t="str">
        <f t="shared" si="12"/>
        <v xml:space="preserve"> - </v>
      </c>
      <c r="G199" t="e">
        <f t="shared" si="13"/>
        <v>#N/A</v>
      </c>
    </row>
    <row r="200" spans="3:7" x14ac:dyDescent="0.25">
      <c r="C200" s="155"/>
      <c r="F200" t="str">
        <f t="shared" si="12"/>
        <v xml:space="preserve"> - </v>
      </c>
      <c r="G200" t="e">
        <f t="shared" si="13"/>
        <v>#N/A</v>
      </c>
    </row>
    <row r="201" spans="3:7" x14ac:dyDescent="0.25">
      <c r="C201" s="155"/>
      <c r="F201" t="str">
        <f t="shared" si="12"/>
        <v xml:space="preserve"> - </v>
      </c>
      <c r="G201" t="e">
        <f t="shared" si="13"/>
        <v>#N/A</v>
      </c>
    </row>
    <row r="202" spans="3:7" x14ac:dyDescent="0.25">
      <c r="C202" s="155"/>
      <c r="F202" t="str">
        <f t="shared" si="12"/>
        <v xml:space="preserve"> - </v>
      </c>
      <c r="G202" t="e">
        <f t="shared" si="13"/>
        <v>#N/A</v>
      </c>
    </row>
    <row r="203" spans="3:7" x14ac:dyDescent="0.25">
      <c r="C203" s="155"/>
      <c r="F203" t="str">
        <f t="shared" si="12"/>
        <v xml:space="preserve"> - </v>
      </c>
      <c r="G203" t="e">
        <f t="shared" si="13"/>
        <v>#N/A</v>
      </c>
    </row>
    <row r="204" spans="3:7" x14ac:dyDescent="0.25">
      <c r="C204" s="155"/>
      <c r="F204" t="str">
        <f t="shared" si="12"/>
        <v xml:space="preserve"> - </v>
      </c>
      <c r="G204" t="e">
        <f t="shared" si="13"/>
        <v>#N/A</v>
      </c>
    </row>
    <row r="205" spans="3:7" x14ac:dyDescent="0.25">
      <c r="C205" s="155"/>
      <c r="F205" t="str">
        <f t="shared" si="12"/>
        <v xml:space="preserve"> - </v>
      </c>
      <c r="G205" t="e">
        <f t="shared" si="13"/>
        <v>#N/A</v>
      </c>
    </row>
    <row r="206" spans="3:7" x14ac:dyDescent="0.25">
      <c r="C206" s="155"/>
      <c r="F206" t="str">
        <f t="shared" si="12"/>
        <v xml:space="preserve"> - </v>
      </c>
      <c r="G206" t="e">
        <f t="shared" si="13"/>
        <v>#N/A</v>
      </c>
    </row>
    <row r="207" spans="3:7" x14ac:dyDescent="0.25">
      <c r="C207" s="155"/>
      <c r="F207" t="str">
        <f t="shared" si="12"/>
        <v xml:space="preserve"> - </v>
      </c>
      <c r="G207" t="e">
        <f t="shared" si="13"/>
        <v>#N/A</v>
      </c>
    </row>
    <row r="208" spans="3:7" x14ac:dyDescent="0.25">
      <c r="C208" s="155"/>
      <c r="F208" t="str">
        <f t="shared" si="12"/>
        <v xml:space="preserve"> - </v>
      </c>
      <c r="G208" t="e">
        <f t="shared" si="13"/>
        <v>#N/A</v>
      </c>
    </row>
    <row r="209" spans="3:7" x14ac:dyDescent="0.25">
      <c r="C209" s="155"/>
      <c r="F209" t="str">
        <f t="shared" si="12"/>
        <v xml:space="preserve"> - </v>
      </c>
      <c r="G209" t="e">
        <f t="shared" si="13"/>
        <v>#N/A</v>
      </c>
    </row>
    <row r="210" spans="3:7" x14ac:dyDescent="0.25">
      <c r="C210" s="155"/>
      <c r="F210" t="str">
        <f t="shared" si="12"/>
        <v xml:space="preserve"> - </v>
      </c>
      <c r="G210" t="e">
        <f t="shared" si="13"/>
        <v>#N/A</v>
      </c>
    </row>
    <row r="211" spans="3:7" x14ac:dyDescent="0.25">
      <c r="C211" s="155"/>
      <c r="F211" t="str">
        <f t="shared" si="12"/>
        <v xml:space="preserve"> - </v>
      </c>
      <c r="G211" t="e">
        <f t="shared" si="13"/>
        <v>#N/A</v>
      </c>
    </row>
    <row r="212" spans="3:7" x14ac:dyDescent="0.25">
      <c r="C212" s="155"/>
      <c r="F212" t="str">
        <f t="shared" si="12"/>
        <v xml:space="preserve"> - </v>
      </c>
      <c r="G212" t="e">
        <f t="shared" si="13"/>
        <v>#N/A</v>
      </c>
    </row>
    <row r="213" spans="3:7" x14ac:dyDescent="0.25">
      <c r="C213" s="155"/>
      <c r="F213" t="str">
        <f t="shared" si="12"/>
        <v xml:space="preserve"> - </v>
      </c>
      <c r="G213" t="e">
        <f t="shared" si="13"/>
        <v>#N/A</v>
      </c>
    </row>
    <row r="214" spans="3:7" x14ac:dyDescent="0.25">
      <c r="C214" s="155"/>
      <c r="F214" t="str">
        <f t="shared" si="12"/>
        <v xml:space="preserve"> - </v>
      </c>
      <c r="G214" t="e">
        <f t="shared" si="13"/>
        <v>#N/A</v>
      </c>
    </row>
    <row r="215" spans="3:7" x14ac:dyDescent="0.25">
      <c r="C215" s="155"/>
      <c r="F215" t="str">
        <f t="shared" si="12"/>
        <v xml:space="preserve"> - </v>
      </c>
      <c r="G215" t="e">
        <f t="shared" si="13"/>
        <v>#N/A</v>
      </c>
    </row>
    <row r="216" spans="3:7" x14ac:dyDescent="0.25">
      <c r="C216" s="155"/>
      <c r="F216" t="str">
        <f t="shared" si="12"/>
        <v xml:space="preserve"> - </v>
      </c>
      <c r="G216" t="e">
        <f t="shared" si="13"/>
        <v>#N/A</v>
      </c>
    </row>
    <row r="217" spans="3:7" x14ac:dyDescent="0.25">
      <c r="C217" s="155"/>
      <c r="F217" t="str">
        <f t="shared" si="12"/>
        <v xml:space="preserve"> - </v>
      </c>
      <c r="G217" t="e">
        <f t="shared" si="13"/>
        <v>#N/A</v>
      </c>
    </row>
    <row r="218" spans="3:7" x14ac:dyDescent="0.25">
      <c r="C218" s="155"/>
      <c r="F218" t="str">
        <f t="shared" si="12"/>
        <v xml:space="preserve"> - </v>
      </c>
      <c r="G218" t="e">
        <f t="shared" si="13"/>
        <v>#N/A</v>
      </c>
    </row>
    <row r="219" spans="3:7" x14ac:dyDescent="0.25">
      <c r="C219" s="155"/>
      <c r="F219" t="str">
        <f t="shared" si="12"/>
        <v xml:space="preserve"> - </v>
      </c>
      <c r="G219" t="e">
        <f t="shared" si="13"/>
        <v>#N/A</v>
      </c>
    </row>
    <row r="220" spans="3:7" x14ac:dyDescent="0.25">
      <c r="C220" s="155"/>
      <c r="F220" t="str">
        <f t="shared" si="12"/>
        <v xml:space="preserve"> - </v>
      </c>
      <c r="G220" t="e">
        <f t="shared" si="13"/>
        <v>#N/A</v>
      </c>
    </row>
    <row r="221" spans="3:7" x14ac:dyDescent="0.25">
      <c r="C221" s="155"/>
      <c r="F221" t="str">
        <f t="shared" si="12"/>
        <v xml:space="preserve"> - </v>
      </c>
      <c r="G221" t="e">
        <f t="shared" si="13"/>
        <v>#N/A</v>
      </c>
    </row>
    <row r="222" spans="3:7" x14ac:dyDescent="0.25">
      <c r="C222" s="155"/>
      <c r="F222" t="str">
        <f t="shared" si="12"/>
        <v xml:space="preserve"> - </v>
      </c>
      <c r="G222" t="e">
        <f t="shared" si="13"/>
        <v>#N/A</v>
      </c>
    </row>
    <row r="223" spans="3:7" x14ac:dyDescent="0.25">
      <c r="C223" s="155"/>
      <c r="F223" t="str">
        <f t="shared" si="12"/>
        <v xml:space="preserve"> - </v>
      </c>
      <c r="G223" t="e">
        <f t="shared" si="13"/>
        <v>#N/A</v>
      </c>
    </row>
    <row r="224" spans="3:7" x14ac:dyDescent="0.25">
      <c r="C224" s="155"/>
      <c r="F224" t="str">
        <f t="shared" si="12"/>
        <v xml:space="preserve"> - </v>
      </c>
      <c r="G224" t="e">
        <f t="shared" si="13"/>
        <v>#N/A</v>
      </c>
    </row>
    <row r="225" spans="3:7" x14ac:dyDescent="0.25">
      <c r="C225" s="155"/>
      <c r="F225" t="str">
        <f t="shared" si="12"/>
        <v xml:space="preserve"> - </v>
      </c>
      <c r="G225" t="e">
        <f t="shared" si="13"/>
        <v>#N/A</v>
      </c>
    </row>
    <row r="226" spans="3:7" x14ac:dyDescent="0.25">
      <c r="C226" s="155"/>
      <c r="F226" t="str">
        <f t="shared" si="12"/>
        <v xml:space="preserve"> - </v>
      </c>
      <c r="G226" t="e">
        <f t="shared" si="13"/>
        <v>#N/A</v>
      </c>
    </row>
    <row r="227" spans="3:7" x14ac:dyDescent="0.25">
      <c r="C227" s="155"/>
      <c r="F227" t="str">
        <f t="shared" si="12"/>
        <v xml:space="preserve"> - </v>
      </c>
      <c r="G227" t="e">
        <f t="shared" si="13"/>
        <v>#N/A</v>
      </c>
    </row>
    <row r="228" spans="3:7" x14ac:dyDescent="0.25">
      <c r="C228" s="155"/>
      <c r="F228" t="str">
        <f t="shared" si="12"/>
        <v xml:space="preserve"> - </v>
      </c>
      <c r="G228" t="e">
        <f t="shared" si="13"/>
        <v>#N/A</v>
      </c>
    </row>
    <row r="229" spans="3:7" x14ac:dyDescent="0.25">
      <c r="C229" s="155"/>
      <c r="F229" t="str">
        <f t="shared" si="12"/>
        <v xml:space="preserve"> - </v>
      </c>
      <c r="G229" t="e">
        <f t="shared" si="13"/>
        <v>#N/A</v>
      </c>
    </row>
    <row r="230" spans="3:7" x14ac:dyDescent="0.25">
      <c r="C230" s="155"/>
      <c r="F230" t="str">
        <f t="shared" si="12"/>
        <v xml:space="preserve"> - </v>
      </c>
      <c r="G230" t="e">
        <f t="shared" si="13"/>
        <v>#N/A</v>
      </c>
    </row>
    <row r="231" spans="3:7" x14ac:dyDescent="0.25">
      <c r="C231" s="155"/>
      <c r="F231" t="str">
        <f t="shared" si="12"/>
        <v xml:space="preserve"> - </v>
      </c>
      <c r="G231" t="e">
        <f t="shared" si="13"/>
        <v>#N/A</v>
      </c>
    </row>
    <row r="232" spans="3:7" x14ac:dyDescent="0.25">
      <c r="C232" s="155"/>
      <c r="F232" t="str">
        <f t="shared" si="12"/>
        <v xml:space="preserve"> - </v>
      </c>
      <c r="G232" t="e">
        <f t="shared" si="13"/>
        <v>#N/A</v>
      </c>
    </row>
    <row r="233" spans="3:7" x14ac:dyDescent="0.25">
      <c r="C233" s="155"/>
      <c r="F233" t="str">
        <f t="shared" si="12"/>
        <v xml:space="preserve"> - </v>
      </c>
      <c r="G233" t="e">
        <f t="shared" si="13"/>
        <v>#N/A</v>
      </c>
    </row>
    <row r="234" spans="3:7" x14ac:dyDescent="0.25">
      <c r="C234" s="155"/>
      <c r="F234" t="str">
        <f t="shared" si="12"/>
        <v xml:space="preserve"> - </v>
      </c>
      <c r="G234" t="e">
        <f t="shared" si="13"/>
        <v>#N/A</v>
      </c>
    </row>
    <row r="235" spans="3:7" x14ac:dyDescent="0.25">
      <c r="C235" s="155"/>
      <c r="F235" t="str">
        <f t="shared" si="12"/>
        <v xml:space="preserve"> - </v>
      </c>
      <c r="G235" t="e">
        <f t="shared" si="13"/>
        <v>#N/A</v>
      </c>
    </row>
    <row r="236" spans="3:7" x14ac:dyDescent="0.25">
      <c r="C236" s="155"/>
      <c r="F236" t="str">
        <f t="shared" si="12"/>
        <v xml:space="preserve"> - </v>
      </c>
      <c r="G236" t="e">
        <f t="shared" si="13"/>
        <v>#N/A</v>
      </c>
    </row>
    <row r="237" spans="3:7" x14ac:dyDescent="0.25">
      <c r="C237" s="155"/>
      <c r="F237" t="str">
        <f t="shared" si="12"/>
        <v xml:space="preserve"> - </v>
      </c>
      <c r="G237" t="e">
        <f t="shared" si="13"/>
        <v>#N/A</v>
      </c>
    </row>
    <row r="238" spans="3:7" x14ac:dyDescent="0.25">
      <c r="C238" s="155"/>
      <c r="F238" t="str">
        <f t="shared" si="12"/>
        <v xml:space="preserve"> - </v>
      </c>
      <c r="G238" t="e">
        <f t="shared" si="13"/>
        <v>#N/A</v>
      </c>
    </row>
    <row r="239" spans="3:7" x14ac:dyDescent="0.25">
      <c r="C239" s="155"/>
      <c r="F239" t="str">
        <f t="shared" si="12"/>
        <v xml:space="preserve"> - </v>
      </c>
      <c r="G239" t="e">
        <f t="shared" si="13"/>
        <v>#N/A</v>
      </c>
    </row>
    <row r="240" spans="3:7" x14ac:dyDescent="0.25">
      <c r="C240" s="155"/>
      <c r="F240" t="str">
        <f t="shared" si="12"/>
        <v xml:space="preserve"> - </v>
      </c>
      <c r="G240" t="e">
        <f t="shared" si="13"/>
        <v>#N/A</v>
      </c>
    </row>
    <row r="241" spans="3:7" x14ac:dyDescent="0.25">
      <c r="C241" s="155"/>
      <c r="F241" t="str">
        <f t="shared" si="12"/>
        <v xml:space="preserve"> - </v>
      </c>
      <c r="G241" t="e">
        <f t="shared" si="13"/>
        <v>#N/A</v>
      </c>
    </row>
    <row r="242" spans="3:7" x14ac:dyDescent="0.25">
      <c r="C242" s="155"/>
      <c r="F242" t="str">
        <f t="shared" si="12"/>
        <v xml:space="preserve"> - </v>
      </c>
      <c r="G242" t="e">
        <f t="shared" si="13"/>
        <v>#N/A</v>
      </c>
    </row>
    <row r="243" spans="3:7" x14ac:dyDescent="0.25">
      <c r="C243" s="155"/>
      <c r="F243" t="str">
        <f t="shared" si="12"/>
        <v xml:space="preserve"> - </v>
      </c>
      <c r="G243" t="e">
        <f t="shared" si="13"/>
        <v>#N/A</v>
      </c>
    </row>
    <row r="244" spans="3:7" x14ac:dyDescent="0.25">
      <c r="C244" s="155"/>
      <c r="F244" t="str">
        <f t="shared" si="12"/>
        <v xml:space="preserve"> - </v>
      </c>
      <c r="G244" t="e">
        <f t="shared" si="13"/>
        <v>#N/A</v>
      </c>
    </row>
    <row r="245" spans="3:7" x14ac:dyDescent="0.25">
      <c r="C245" s="155"/>
      <c r="F245" t="str">
        <f t="shared" si="12"/>
        <v xml:space="preserve"> - </v>
      </c>
      <c r="G245" t="e">
        <f t="shared" si="13"/>
        <v>#N/A</v>
      </c>
    </row>
    <row r="246" spans="3:7" x14ac:dyDescent="0.25">
      <c r="C246" s="155"/>
      <c r="F246" t="str">
        <f t="shared" si="12"/>
        <v xml:space="preserve"> - </v>
      </c>
      <c r="G246" t="e">
        <f t="shared" si="13"/>
        <v>#N/A</v>
      </c>
    </row>
    <row r="247" spans="3:7" x14ac:dyDescent="0.25">
      <c r="C247" s="155"/>
      <c r="F247" t="str">
        <f t="shared" si="12"/>
        <v xml:space="preserve"> - </v>
      </c>
      <c r="G247" t="e">
        <f t="shared" si="13"/>
        <v>#N/A</v>
      </c>
    </row>
    <row r="248" spans="3:7" x14ac:dyDescent="0.25">
      <c r="C248" s="155"/>
      <c r="F248" t="str">
        <f t="shared" si="12"/>
        <v xml:space="preserve"> - </v>
      </c>
      <c r="G248" t="e">
        <f t="shared" si="13"/>
        <v>#N/A</v>
      </c>
    </row>
    <row r="249" spans="3:7" x14ac:dyDescent="0.25">
      <c r="C249" s="155"/>
      <c r="F249" t="str">
        <f t="shared" si="12"/>
        <v xml:space="preserve"> - </v>
      </c>
      <c r="G249" t="e">
        <f t="shared" si="13"/>
        <v>#N/A</v>
      </c>
    </row>
    <row r="250" spans="3:7" x14ac:dyDescent="0.25">
      <c r="C250" s="155"/>
      <c r="F250" t="str">
        <f t="shared" si="12"/>
        <v xml:space="preserve"> - </v>
      </c>
      <c r="G250" t="e">
        <f t="shared" si="13"/>
        <v>#N/A</v>
      </c>
    </row>
    <row r="251" spans="3:7" x14ac:dyDescent="0.25">
      <c r="C251" s="155"/>
      <c r="F251" t="str">
        <f t="shared" ref="F251:F273" si="14">A251&amp; " - " &amp; B251</f>
        <v xml:space="preserve"> - </v>
      </c>
      <c r="G251" t="e">
        <f t="shared" ref="G251:G280" si="15">VLOOKUP(A251,_EQUIPES,2,FALSE) &amp; " - " &amp; C251</f>
        <v>#N/A</v>
      </c>
    </row>
    <row r="252" spans="3:7" x14ac:dyDescent="0.25">
      <c r="C252" s="155"/>
      <c r="F252" t="str">
        <f t="shared" si="14"/>
        <v xml:space="preserve"> - </v>
      </c>
      <c r="G252" t="e">
        <f t="shared" si="15"/>
        <v>#N/A</v>
      </c>
    </row>
    <row r="253" spans="3:7" x14ac:dyDescent="0.25">
      <c r="C253" s="155"/>
      <c r="F253" t="str">
        <f t="shared" si="14"/>
        <v xml:space="preserve"> - </v>
      </c>
      <c r="G253" t="e">
        <f t="shared" si="15"/>
        <v>#N/A</v>
      </c>
    </row>
    <row r="254" spans="3:7" x14ac:dyDescent="0.25">
      <c r="C254" s="155"/>
      <c r="F254" t="str">
        <f t="shared" si="14"/>
        <v xml:space="preserve"> - </v>
      </c>
      <c r="G254" t="e">
        <f t="shared" si="15"/>
        <v>#N/A</v>
      </c>
    </row>
    <row r="255" spans="3:7" x14ac:dyDescent="0.25">
      <c r="C255" s="155"/>
      <c r="F255" t="str">
        <f t="shared" si="14"/>
        <v xml:space="preserve"> - </v>
      </c>
      <c r="G255" t="e">
        <f t="shared" si="15"/>
        <v>#N/A</v>
      </c>
    </row>
    <row r="256" spans="3:7" x14ac:dyDescent="0.25">
      <c r="C256" s="155"/>
      <c r="F256" t="str">
        <f t="shared" si="14"/>
        <v xml:space="preserve"> - </v>
      </c>
      <c r="G256" t="e">
        <f t="shared" si="15"/>
        <v>#N/A</v>
      </c>
    </row>
    <row r="257" spans="1:7" x14ac:dyDescent="0.25">
      <c r="C257" s="155"/>
      <c r="F257" t="str">
        <f t="shared" si="14"/>
        <v xml:space="preserve"> - </v>
      </c>
      <c r="G257" t="e">
        <f t="shared" si="15"/>
        <v>#N/A</v>
      </c>
    </row>
    <row r="258" spans="1:7" x14ac:dyDescent="0.25">
      <c r="C258" s="155"/>
      <c r="F258" t="str">
        <f t="shared" si="14"/>
        <v xml:space="preserve"> - </v>
      </c>
      <c r="G258" t="e">
        <f t="shared" si="15"/>
        <v>#N/A</v>
      </c>
    </row>
    <row r="259" spans="1:7" x14ac:dyDescent="0.25">
      <c r="C259" s="155"/>
      <c r="F259" t="str">
        <f t="shared" si="14"/>
        <v xml:space="preserve"> - </v>
      </c>
      <c r="G259" t="e">
        <f t="shared" si="15"/>
        <v>#N/A</v>
      </c>
    </row>
    <row r="260" spans="1:7" x14ac:dyDescent="0.25">
      <c r="C260" s="155"/>
      <c r="F260" t="str">
        <f t="shared" si="14"/>
        <v xml:space="preserve"> - </v>
      </c>
      <c r="G260" t="e">
        <f t="shared" si="15"/>
        <v>#N/A</v>
      </c>
    </row>
    <row r="261" spans="1:7" x14ac:dyDescent="0.25">
      <c r="C261" s="155"/>
      <c r="F261" t="str">
        <f t="shared" si="14"/>
        <v xml:space="preserve"> - </v>
      </c>
      <c r="G261" t="e">
        <f t="shared" si="15"/>
        <v>#N/A</v>
      </c>
    </row>
    <row r="262" spans="1:7" x14ac:dyDescent="0.25">
      <c r="C262" s="155"/>
      <c r="F262" t="str">
        <f t="shared" si="14"/>
        <v xml:space="preserve"> - </v>
      </c>
      <c r="G262" t="e">
        <f t="shared" si="15"/>
        <v>#N/A</v>
      </c>
    </row>
    <row r="263" spans="1:7" x14ac:dyDescent="0.25">
      <c r="C263" s="155"/>
      <c r="F263" t="str">
        <f t="shared" si="14"/>
        <v xml:space="preserve"> - </v>
      </c>
      <c r="G263" t="e">
        <f t="shared" si="15"/>
        <v>#N/A</v>
      </c>
    </row>
    <row r="264" spans="1:7" x14ac:dyDescent="0.25">
      <c r="C264" s="155"/>
      <c r="F264" t="str">
        <f t="shared" si="14"/>
        <v xml:space="preserve"> - </v>
      </c>
      <c r="G264" t="e">
        <f t="shared" si="15"/>
        <v>#N/A</v>
      </c>
    </row>
    <row r="265" spans="1:7" x14ac:dyDescent="0.25">
      <c r="C265" s="155"/>
      <c r="F265" t="str">
        <f t="shared" si="14"/>
        <v xml:space="preserve"> - </v>
      </c>
      <c r="G265" t="e">
        <f t="shared" si="15"/>
        <v>#N/A</v>
      </c>
    </row>
    <row r="266" spans="1:7" x14ac:dyDescent="0.25">
      <c r="C266" s="155"/>
      <c r="F266" t="str">
        <f t="shared" si="14"/>
        <v xml:space="preserve"> - </v>
      </c>
      <c r="G266" t="e">
        <f t="shared" si="15"/>
        <v>#N/A</v>
      </c>
    </row>
    <row r="267" spans="1:7" x14ac:dyDescent="0.25">
      <c r="A267" s="211"/>
      <c r="B267" s="211"/>
      <c r="C267" s="155"/>
      <c r="F267" t="str">
        <f t="shared" si="14"/>
        <v xml:space="preserve"> - </v>
      </c>
      <c r="G267" t="e">
        <f t="shared" si="15"/>
        <v>#N/A</v>
      </c>
    </row>
    <row r="268" spans="1:7" x14ac:dyDescent="0.25">
      <c r="C268" s="155"/>
      <c r="F268" t="str">
        <f t="shared" si="14"/>
        <v xml:space="preserve"> - </v>
      </c>
      <c r="G268" t="e">
        <f t="shared" si="15"/>
        <v>#N/A</v>
      </c>
    </row>
    <row r="269" spans="1:7" x14ac:dyDescent="0.25">
      <c r="C269" s="155"/>
      <c r="F269" t="str">
        <f t="shared" si="14"/>
        <v xml:space="preserve"> - </v>
      </c>
      <c r="G269" t="e">
        <f t="shared" si="15"/>
        <v>#N/A</v>
      </c>
    </row>
    <row r="270" spans="1:7" x14ac:dyDescent="0.25">
      <c r="C270" s="155"/>
      <c r="F270" t="str">
        <f t="shared" si="14"/>
        <v xml:space="preserve"> - </v>
      </c>
      <c r="G270" t="e">
        <f t="shared" si="15"/>
        <v>#N/A</v>
      </c>
    </row>
    <row r="271" spans="1:7" x14ac:dyDescent="0.25">
      <c r="C271" s="155"/>
      <c r="F271" t="str">
        <f t="shared" si="14"/>
        <v xml:space="preserve"> - </v>
      </c>
      <c r="G271" t="e">
        <f t="shared" si="15"/>
        <v>#N/A</v>
      </c>
    </row>
    <row r="272" spans="1:7" x14ac:dyDescent="0.25">
      <c r="C272" s="155"/>
      <c r="F272" t="str">
        <f t="shared" si="14"/>
        <v xml:space="preserve"> - </v>
      </c>
      <c r="G272" t="e">
        <f t="shared" si="15"/>
        <v>#N/A</v>
      </c>
    </row>
    <row r="273" spans="3:7" x14ac:dyDescent="0.25">
      <c r="C273" s="155"/>
      <c r="F273" t="str">
        <f t="shared" si="14"/>
        <v xml:space="preserve"> - </v>
      </c>
      <c r="G273" t="e">
        <f t="shared" si="15"/>
        <v>#N/A</v>
      </c>
    </row>
    <row r="274" spans="3:7" x14ac:dyDescent="0.25">
      <c r="C274" s="155"/>
      <c r="F274" t="str">
        <f t="shared" ref="F274:F280" si="16">A274&amp; " - " &amp; B274</f>
        <v xml:space="preserve"> - </v>
      </c>
      <c r="G274" t="e">
        <f t="shared" si="15"/>
        <v>#N/A</v>
      </c>
    </row>
    <row r="275" spans="3:7" x14ac:dyDescent="0.25">
      <c r="C275" s="155"/>
      <c r="F275" t="str">
        <f t="shared" si="16"/>
        <v xml:space="preserve"> - </v>
      </c>
      <c r="G275" t="e">
        <f t="shared" si="15"/>
        <v>#N/A</v>
      </c>
    </row>
    <row r="276" spans="3:7" x14ac:dyDescent="0.25">
      <c r="C276" s="155"/>
      <c r="F276" t="str">
        <f t="shared" si="16"/>
        <v xml:space="preserve"> - </v>
      </c>
      <c r="G276" t="e">
        <f t="shared" si="15"/>
        <v>#N/A</v>
      </c>
    </row>
    <row r="277" spans="3:7" x14ac:dyDescent="0.25">
      <c r="C277" s="155"/>
      <c r="F277" t="str">
        <f t="shared" si="16"/>
        <v xml:space="preserve"> - </v>
      </c>
      <c r="G277" t="e">
        <f t="shared" si="15"/>
        <v>#N/A</v>
      </c>
    </row>
    <row r="278" spans="3:7" x14ac:dyDescent="0.25">
      <c r="C278" s="155"/>
      <c r="F278" t="str">
        <f t="shared" si="16"/>
        <v xml:space="preserve"> - </v>
      </c>
      <c r="G278" t="e">
        <f t="shared" si="15"/>
        <v>#N/A</v>
      </c>
    </row>
    <row r="279" spans="3:7" x14ac:dyDescent="0.25">
      <c r="C279" s="155"/>
      <c r="F279" t="str">
        <f t="shared" si="16"/>
        <v xml:space="preserve"> - </v>
      </c>
      <c r="G279" t="e">
        <f t="shared" si="15"/>
        <v>#N/A</v>
      </c>
    </row>
    <row r="280" spans="3:7" x14ac:dyDescent="0.25">
      <c r="C280" s="155"/>
      <c r="F280" t="str">
        <f t="shared" si="16"/>
        <v xml:space="preserve"> - </v>
      </c>
      <c r="G280" t="e">
        <f t="shared" si="15"/>
        <v>#N/A</v>
      </c>
    </row>
  </sheetData>
  <autoFilter ref="A1:G280">
    <filterColumn colId="0" showButton="0"/>
  </autoFilter>
  <sortState ref="L2:L21">
    <sortCondition ref="L2"/>
  </sortState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 filterMode="1"/>
  <dimension ref="A15:AR591"/>
  <sheetViews>
    <sheetView topLeftCell="B1" workbookViewId="0">
      <selection activeCell="F53" sqref="F53"/>
    </sheetView>
  </sheetViews>
  <sheetFormatPr baseColWidth="10" defaultRowHeight="15" x14ac:dyDescent="0.25"/>
  <cols>
    <col min="1" max="1" width="25.625" hidden="1" customWidth="1"/>
    <col min="3" max="3" width="17" customWidth="1"/>
  </cols>
  <sheetData>
    <row r="15" spans="1:44" ht="15.75" thickBot="1" x14ac:dyDescent="0.3">
      <c r="B15" t="s">
        <v>59</v>
      </c>
      <c r="C15" t="s">
        <v>1044</v>
      </c>
      <c r="D15" t="s">
        <v>0</v>
      </c>
      <c r="E15" t="s">
        <v>51</v>
      </c>
      <c r="F15" t="s">
        <v>200</v>
      </c>
      <c r="G15" t="s">
        <v>201</v>
      </c>
      <c r="H15" t="s">
        <v>202</v>
      </c>
      <c r="I15" t="s">
        <v>203</v>
      </c>
      <c r="J15" t="s">
        <v>204</v>
      </c>
      <c r="K15" t="s">
        <v>205</v>
      </c>
      <c r="L15" t="s">
        <v>206</v>
      </c>
      <c r="M15" t="s">
        <v>207</v>
      </c>
      <c r="N15" t="s">
        <v>208</v>
      </c>
      <c r="O15" t="s">
        <v>209</v>
      </c>
      <c r="P15" t="s">
        <v>210</v>
      </c>
      <c r="Q15" t="s">
        <v>211</v>
      </c>
      <c r="R15" t="s">
        <v>212</v>
      </c>
      <c r="S15" t="s">
        <v>213</v>
      </c>
      <c r="T15" t="s">
        <v>214</v>
      </c>
      <c r="U15" t="s">
        <v>215</v>
      </c>
      <c r="V15" t="s">
        <v>216</v>
      </c>
      <c r="W15" t="s">
        <v>217</v>
      </c>
      <c r="X15" t="s">
        <v>218</v>
      </c>
      <c r="Y15" t="s">
        <v>219</v>
      </c>
      <c r="Z15" t="s">
        <v>220</v>
      </c>
      <c r="AA15" t="s">
        <v>221</v>
      </c>
      <c r="AB15" t="s">
        <v>222</v>
      </c>
      <c r="AC15" t="s">
        <v>223</v>
      </c>
      <c r="AD15" t="s">
        <v>224</v>
      </c>
      <c r="AE15" t="s">
        <v>225</v>
      </c>
      <c r="AF15" t="s">
        <v>226</v>
      </c>
      <c r="AG15" t="s">
        <v>227</v>
      </c>
      <c r="AH15" t="s">
        <v>228</v>
      </c>
      <c r="AI15" t="s">
        <v>560</v>
      </c>
      <c r="AJ15" t="s">
        <v>561</v>
      </c>
      <c r="AK15" t="s">
        <v>562</v>
      </c>
      <c r="AL15" t="s">
        <v>563</v>
      </c>
      <c r="AM15" t="s">
        <v>564</v>
      </c>
      <c r="AN15" t="s">
        <v>565</v>
      </c>
      <c r="AO15" t="s">
        <v>566</v>
      </c>
      <c r="AP15" t="s">
        <v>567</v>
      </c>
      <c r="AQ15" t="s">
        <v>568</v>
      </c>
      <c r="AR15" t="s">
        <v>574</v>
      </c>
    </row>
    <row r="16" spans="1:44" x14ac:dyDescent="0.25">
      <c r="A16" t="str">
        <f>B16 &amp; " - " &amp;E16</f>
        <v>Sunderland - McNair</v>
      </c>
      <c r="B16" t="s">
        <v>1301</v>
      </c>
      <c r="C16" t="str">
        <f ca="1">IFERROR(VLOOKUP(INDEX(OFFSET(_JOUEURS,0,0,,1),MATCH(A16,OFFSET(_JOUEURS,0,1,,1),0)),_MPG,2,FALSE),"")</f>
        <v/>
      </c>
      <c r="D16" s="277" t="s">
        <v>369</v>
      </c>
      <c r="E16" s="217" t="s">
        <v>1293</v>
      </c>
      <c r="F16" s="214">
        <v>1</v>
      </c>
      <c r="G16" s="265">
        <v>3</v>
      </c>
      <c r="H16" s="313" t="s">
        <v>380</v>
      </c>
      <c r="I16" s="14">
        <f>AVERAGE(K16)</f>
        <v>4</v>
      </c>
      <c r="J16" s="79" t="s">
        <v>364</v>
      </c>
      <c r="K16" s="59">
        <v>4</v>
      </c>
      <c r="L16" s="59"/>
      <c r="M16" s="59"/>
      <c r="N16" s="28" t="s">
        <v>364</v>
      </c>
      <c r="O16" s="28" t="s">
        <v>364</v>
      </c>
      <c r="P16" s="17"/>
      <c r="Q16" s="17"/>
      <c r="R16" s="17"/>
      <c r="S16" s="59"/>
      <c r="T16" s="59"/>
      <c r="U16" s="59"/>
      <c r="V16" s="17"/>
      <c r="W16" s="59"/>
      <c r="X16" s="17"/>
      <c r="Y16" s="17"/>
      <c r="Z16" s="17"/>
      <c r="AA16" s="59"/>
      <c r="AB16" s="59"/>
      <c r="AC16" s="59"/>
      <c r="AD16" s="59"/>
      <c r="AE16" s="59"/>
      <c r="AF16" s="99"/>
      <c r="AG16" s="109"/>
      <c r="AH16" s="17"/>
      <c r="AI16" s="17"/>
      <c r="AJ16" s="17"/>
      <c r="AK16" s="17"/>
      <c r="AL16" s="17"/>
      <c r="AM16" s="17"/>
      <c r="AN16" s="59"/>
      <c r="AO16" s="17"/>
      <c r="AP16" s="101"/>
      <c r="AQ16" s="17"/>
      <c r="AR16">
        <f>F16 +G16</f>
        <v>4</v>
      </c>
    </row>
    <row r="17" spans="1:44" hidden="1" x14ac:dyDescent="0.25">
      <c r="A17" t="str">
        <f>B17 &amp; " - " &amp;E17</f>
        <v>Everton - Stekelenburg</v>
      </c>
      <c r="B17" t="s">
        <v>1167</v>
      </c>
      <c r="C17" t="str">
        <f ca="1">IFERROR(VLOOKUP(INDEX(OFFSET(_JOUEURS,0,0,,1),MATCH(A17,OFFSET(_JOUEURS,0,1,,1),0)),_MPG,2,FALSE),"")</f>
        <v>74 c'est la champion's league</v>
      </c>
      <c r="D17" s="23" t="s">
        <v>360</v>
      </c>
      <c r="E17" s="24" t="s">
        <v>1145</v>
      </c>
      <c r="F17" s="25">
        <v>6</v>
      </c>
      <c r="G17" s="26"/>
      <c r="H17" s="317" t="s">
        <v>380</v>
      </c>
      <c r="I17" s="27">
        <f>AVERAGE(J17,K17,L17,M17,N17,O17)</f>
        <v>5.333333333333333</v>
      </c>
      <c r="J17" s="109">
        <v>6</v>
      </c>
      <c r="K17" s="17">
        <v>6</v>
      </c>
      <c r="L17" s="16">
        <v>6</v>
      </c>
      <c r="M17" s="16">
        <v>6</v>
      </c>
      <c r="N17" s="17">
        <v>4</v>
      </c>
      <c r="O17" s="17">
        <v>4</v>
      </c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01"/>
      <c r="AG17" s="109"/>
      <c r="AH17" s="17"/>
      <c r="AI17" s="17"/>
      <c r="AJ17" s="17"/>
      <c r="AK17" s="17"/>
      <c r="AL17" s="17"/>
      <c r="AM17" s="17"/>
      <c r="AN17" s="17"/>
      <c r="AO17" s="17"/>
      <c r="AP17" s="101"/>
      <c r="AQ17" s="17"/>
      <c r="AR17">
        <f>F17 +G17</f>
        <v>6</v>
      </c>
    </row>
    <row r="18" spans="1:44" x14ac:dyDescent="0.25">
      <c r="A18" t="str">
        <f>B18 &amp; " - " &amp;E18</f>
        <v>Stoke City - Given</v>
      </c>
      <c r="B18" t="s">
        <v>1347</v>
      </c>
      <c r="C18" t="str">
        <f ca="1">IFERROR(VLOOKUP(INDEX(OFFSET(_JOUEURS,0,0,,1),MATCH(A18,OFFSET(_JOUEURS,0,1,,1),0)),_MPG,2,FALSE),"")</f>
        <v/>
      </c>
      <c r="D18" s="52" t="s">
        <v>360</v>
      </c>
      <c r="E18" s="53" t="s">
        <v>1325</v>
      </c>
      <c r="F18" s="54">
        <v>5</v>
      </c>
      <c r="G18" s="310"/>
      <c r="H18" s="314" t="s">
        <v>380</v>
      </c>
      <c r="I18" s="55">
        <f>AVERAGE(J18,K18,L18,M18,N18)</f>
        <v>4.8</v>
      </c>
      <c r="J18" s="124">
        <v>5</v>
      </c>
      <c r="K18" s="183">
        <v>4</v>
      </c>
      <c r="L18" s="97">
        <v>7</v>
      </c>
      <c r="M18" s="17">
        <v>4</v>
      </c>
      <c r="N18" s="17">
        <v>4</v>
      </c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01"/>
      <c r="AE18" s="17"/>
      <c r="AF18" s="99"/>
      <c r="AG18" s="109"/>
      <c r="AH18" s="59"/>
      <c r="AI18" s="99"/>
      <c r="AJ18" s="17"/>
      <c r="AK18" s="59"/>
      <c r="AL18" s="17"/>
      <c r="AM18" s="17"/>
      <c r="AN18" s="17"/>
      <c r="AO18" s="17"/>
      <c r="AP18" s="101"/>
      <c r="AQ18" s="101"/>
      <c r="AR18">
        <f>F18 +G18</f>
        <v>5</v>
      </c>
    </row>
    <row r="19" spans="1:44" x14ac:dyDescent="0.25">
      <c r="A19" t="str">
        <f>B19 &amp; " - " &amp;E19</f>
        <v>Arsenal - Cech</v>
      </c>
      <c r="B19" t="s">
        <v>1423</v>
      </c>
      <c r="C19" t="str">
        <f ca="1">IFERROR(VLOOKUP(INDEX(OFFSET(_JOUEURS,0,0,,1),MATCH(A19,OFFSET(_JOUEURS,0,1,,1),0)),_MPG,2,FALSE),"")</f>
        <v/>
      </c>
      <c r="D19" s="104" t="s">
        <v>360</v>
      </c>
      <c r="E19" s="36" t="s">
        <v>1394</v>
      </c>
      <c r="F19" s="106">
        <v>6</v>
      </c>
      <c r="G19" s="17"/>
      <c r="H19" s="266" t="s">
        <v>380</v>
      </c>
      <c r="I19" s="27">
        <f>AVERAGE(J19,K19,L19,M19,N19,O19)</f>
        <v>5.333333333333333</v>
      </c>
      <c r="J19" s="59">
        <v>4</v>
      </c>
      <c r="K19" s="16">
        <v>6</v>
      </c>
      <c r="L19" s="28">
        <v>6</v>
      </c>
      <c r="M19" s="18">
        <v>6</v>
      </c>
      <c r="N19" s="28">
        <v>4</v>
      </c>
      <c r="O19" s="60">
        <v>6</v>
      </c>
      <c r="P19" s="18"/>
      <c r="Q19" s="28"/>
      <c r="R19" s="18"/>
      <c r="S19" s="17"/>
      <c r="T19" s="18"/>
      <c r="U19" s="18"/>
      <c r="V19" s="18"/>
      <c r="W19" s="28"/>
      <c r="X19" s="18"/>
      <c r="Y19" s="18"/>
      <c r="Z19" s="28"/>
      <c r="AA19" s="18"/>
      <c r="AB19" s="18"/>
      <c r="AC19" s="21"/>
      <c r="AD19" s="28"/>
      <c r="AE19" s="21"/>
      <c r="AF19" s="21"/>
      <c r="AG19" s="18"/>
      <c r="AH19" s="21"/>
      <c r="AI19" s="18"/>
      <c r="AJ19" s="18"/>
      <c r="AK19" s="18"/>
      <c r="AL19" s="18"/>
      <c r="AM19" s="28"/>
      <c r="AN19" s="18"/>
      <c r="AO19" s="20"/>
      <c r="AP19" s="20"/>
      <c r="AQ19" s="18"/>
      <c r="AR19">
        <f>F19 +G19</f>
        <v>6</v>
      </c>
    </row>
    <row r="20" spans="1:44" hidden="1" x14ac:dyDescent="0.25">
      <c r="A20" t="str">
        <f>B20 &amp; " - " &amp;E20</f>
        <v>Man. City - Agüero</v>
      </c>
      <c r="B20" t="s">
        <v>1279</v>
      </c>
      <c r="C20" t="str">
        <f ca="1">IFERROR(VLOOKUP(INDEX(OFFSET(_JOUEURS,0,0,,1),MATCH(A20,OFFSET(_JOUEURS,0,1,,1),0)),_MPG,2,FALSE),"")</f>
        <v>myteam</v>
      </c>
      <c r="D20" s="274" t="s">
        <v>372</v>
      </c>
      <c r="E20" s="163" t="s">
        <v>1275</v>
      </c>
      <c r="F20" s="194">
        <v>4</v>
      </c>
      <c r="G20" s="29"/>
      <c r="H20" s="221">
        <v>5</v>
      </c>
      <c r="I20" s="27">
        <f>AVERAGE(J20,K20,L20,O20)</f>
        <v>6.25</v>
      </c>
      <c r="J20" s="60">
        <v>6</v>
      </c>
      <c r="K20" s="58">
        <v>7</v>
      </c>
      <c r="L20" s="59">
        <v>5</v>
      </c>
      <c r="M20" s="59"/>
      <c r="N20" s="59"/>
      <c r="O20" s="58">
        <v>7</v>
      </c>
      <c r="P20" s="85"/>
      <c r="Q20" s="59"/>
      <c r="R20" s="17"/>
      <c r="S20" s="59"/>
      <c r="T20" s="59"/>
      <c r="U20" s="59"/>
      <c r="V20" s="59"/>
      <c r="W20" s="59"/>
      <c r="X20" s="59"/>
      <c r="Y20" s="84"/>
      <c r="Z20" s="17"/>
      <c r="AA20" s="85"/>
      <c r="AB20" s="59"/>
      <c r="AC20" s="99"/>
      <c r="AD20" s="59"/>
      <c r="AE20" s="99"/>
      <c r="AF20" s="89"/>
      <c r="AG20" s="17"/>
      <c r="AH20" s="101"/>
      <c r="AI20" s="17"/>
      <c r="AJ20" s="59"/>
      <c r="AK20" s="17"/>
      <c r="AL20" s="17"/>
      <c r="AM20" s="17"/>
      <c r="AN20" s="59"/>
      <c r="AO20" s="101"/>
      <c r="AP20" s="101"/>
      <c r="AQ20" s="17"/>
      <c r="AR20">
        <f>F20 +G20</f>
        <v>4</v>
      </c>
    </row>
    <row r="21" spans="1:44" hidden="1" x14ac:dyDescent="0.25">
      <c r="A21" t="str">
        <f>B21 &amp; " - " &amp;E21</f>
        <v>Chelsea - Diego Costa</v>
      </c>
      <c r="B21" t="s">
        <v>1519</v>
      </c>
      <c r="C21" t="str">
        <f ca="1">IFERROR(VLOOKUP(INDEX(OFFSET(_JOUEURS,0,0,,1),MATCH(A21,OFFSET(_JOUEURS,0,1,,1),0)),_MPG,2,FALSE),"")</f>
        <v>myteam</v>
      </c>
      <c r="D21" s="104" t="s">
        <v>372</v>
      </c>
      <c r="E21" s="163" t="s">
        <v>1518</v>
      </c>
      <c r="F21" s="106">
        <v>6</v>
      </c>
      <c r="G21" s="17"/>
      <c r="H21" s="170">
        <v>5</v>
      </c>
      <c r="I21" s="135">
        <f>AVERAGE(J21,K21,L21,M21,N21,O21)</f>
        <v>5.833333333333333</v>
      </c>
      <c r="J21" s="60">
        <v>6</v>
      </c>
      <c r="K21" s="60">
        <v>6</v>
      </c>
      <c r="L21" s="59">
        <v>6</v>
      </c>
      <c r="M21" s="58">
        <v>8</v>
      </c>
      <c r="N21" s="60">
        <v>6</v>
      </c>
      <c r="O21" s="145">
        <v>3</v>
      </c>
      <c r="P21" s="59"/>
      <c r="Q21" s="59"/>
      <c r="R21" s="17"/>
      <c r="S21" s="17"/>
      <c r="T21" s="17"/>
      <c r="U21" s="17"/>
      <c r="V21" s="17"/>
      <c r="W21" s="59"/>
      <c r="X21" s="17"/>
      <c r="Y21" s="59"/>
      <c r="Z21" s="59"/>
      <c r="AA21" s="17"/>
      <c r="AB21" s="59"/>
      <c r="AC21" s="101"/>
      <c r="AD21" s="59"/>
      <c r="AE21" s="99"/>
      <c r="AF21" s="101"/>
      <c r="AG21" s="17"/>
      <c r="AH21" s="101"/>
      <c r="AI21" s="17"/>
      <c r="AJ21" s="59"/>
      <c r="AK21" s="59"/>
      <c r="AL21" s="17"/>
      <c r="AM21" s="59"/>
      <c r="AN21" s="17"/>
      <c r="AO21" s="101"/>
      <c r="AP21" s="99"/>
      <c r="AQ21" s="17"/>
      <c r="AR21">
        <f>F21 +G21</f>
        <v>6</v>
      </c>
    </row>
    <row r="22" spans="1:44" hidden="1" x14ac:dyDescent="0.25">
      <c r="A22" t="str">
        <f>B22 &amp; " - " &amp;E22</f>
        <v>Watford - Capoue</v>
      </c>
      <c r="B22" t="s">
        <v>1393</v>
      </c>
      <c r="C22" t="str">
        <f ca="1">IFERROR(VLOOKUP(INDEX(OFFSET(_JOUEURS,0,0,,1),MATCH(A22,OFFSET(_JOUEURS,0,1,,1),0)),_MPG,2,FALSE),"")</f>
        <v>The Bastards</v>
      </c>
      <c r="D22" s="104" t="s">
        <v>369</v>
      </c>
      <c r="E22" s="163" t="s">
        <v>1382</v>
      </c>
      <c r="F22" s="106">
        <v>6</v>
      </c>
      <c r="G22" s="17"/>
      <c r="H22" s="170">
        <v>4</v>
      </c>
      <c r="I22" s="27">
        <f>AVERAGE(J22,K22,L22,M22,N22,O22)</f>
        <v>6</v>
      </c>
      <c r="J22" s="58">
        <v>7</v>
      </c>
      <c r="K22" s="16">
        <v>6</v>
      </c>
      <c r="L22" s="59">
        <v>5</v>
      </c>
      <c r="M22" s="60">
        <v>6</v>
      </c>
      <c r="N22" s="58">
        <v>7</v>
      </c>
      <c r="O22" s="59">
        <v>5</v>
      </c>
      <c r="P22" s="59"/>
      <c r="Q22" s="59"/>
      <c r="R22" s="17"/>
      <c r="S22" s="59"/>
      <c r="T22" s="17"/>
      <c r="U22" s="17"/>
      <c r="V22" s="17"/>
      <c r="W22" s="59"/>
      <c r="X22" s="59"/>
      <c r="Y22" s="59"/>
      <c r="Z22" s="59"/>
      <c r="AA22" s="59"/>
      <c r="AB22" s="59"/>
      <c r="AC22" s="99"/>
      <c r="AD22" s="59"/>
      <c r="AE22" s="99"/>
      <c r="AF22" s="109"/>
      <c r="AG22" s="17"/>
      <c r="AH22" s="99"/>
      <c r="AI22" s="17"/>
      <c r="AJ22" s="17"/>
      <c r="AK22" s="17"/>
      <c r="AL22" s="17"/>
      <c r="AM22" s="59"/>
      <c r="AN22" s="17"/>
      <c r="AO22" s="101"/>
      <c r="AP22" s="99"/>
      <c r="AQ22" s="17"/>
      <c r="AR22">
        <f>F22 +G22</f>
        <v>6</v>
      </c>
    </row>
    <row r="23" spans="1:44" hidden="1" x14ac:dyDescent="0.25">
      <c r="A23" t="str">
        <f>B23 &amp; " - " &amp;E23</f>
        <v>Tottenham - Son</v>
      </c>
      <c r="B23" t="s">
        <v>1188</v>
      </c>
      <c r="C23" t="str">
        <f ca="1">IFERROR(VLOOKUP(INDEX(OFFSET(_JOUEURS,0,0,,1),MATCH(A23,OFFSET(_JOUEURS,0,1,,1),0)),_MPG,2,FALSE),"")</f>
        <v>Fuck-Tonio FC</v>
      </c>
      <c r="D23" s="104" t="s">
        <v>369</v>
      </c>
      <c r="E23" s="163" t="s">
        <v>1185</v>
      </c>
      <c r="F23" s="106">
        <v>3</v>
      </c>
      <c r="G23" s="17"/>
      <c r="H23" s="170">
        <v>4</v>
      </c>
      <c r="I23" s="27">
        <f>AVERAGE(M23,N23,O23)</f>
        <v>7.333333333333333</v>
      </c>
      <c r="J23" s="28"/>
      <c r="K23" s="17"/>
      <c r="L23" s="17"/>
      <c r="M23" s="19">
        <v>8</v>
      </c>
      <c r="N23" s="17">
        <v>6</v>
      </c>
      <c r="O23" s="19">
        <v>8</v>
      </c>
      <c r="P23" s="17"/>
      <c r="Q23" s="17"/>
      <c r="R23" s="17"/>
      <c r="S23" s="85"/>
      <c r="T23" s="17"/>
      <c r="U23" s="17"/>
      <c r="V23" s="17"/>
      <c r="W23" s="17"/>
      <c r="X23" s="17"/>
      <c r="Y23" s="17"/>
      <c r="Z23" s="17"/>
      <c r="AA23" s="17"/>
      <c r="AB23" s="17"/>
      <c r="AC23" s="101"/>
      <c r="AD23" s="17"/>
      <c r="AE23" s="101"/>
      <c r="AF23" s="109"/>
      <c r="AG23" s="59"/>
      <c r="AH23" s="101"/>
      <c r="AI23" s="17"/>
      <c r="AJ23" s="17"/>
      <c r="AK23" s="17"/>
      <c r="AL23" s="17"/>
      <c r="AM23" s="59"/>
      <c r="AN23" s="59"/>
      <c r="AO23" s="101"/>
      <c r="AP23" s="99"/>
      <c r="AQ23" s="17"/>
      <c r="AR23">
        <f>F23 +G23</f>
        <v>3</v>
      </c>
    </row>
    <row r="24" spans="1:44" hidden="1" x14ac:dyDescent="0.25">
      <c r="A24" t="str">
        <f>B24 &amp; " - " &amp;E24</f>
        <v>West Ham - Antonio</v>
      </c>
      <c r="B24" t="s">
        <v>1212</v>
      </c>
      <c r="C24" t="str">
        <f ca="1">IFERROR(VLOOKUP(INDEX(OFFSET(_JOUEURS,0,0,,1),MATCH(A24,OFFSET(_JOUEURS,0,1,,1),0)),_MPG,2,FALSE),"")</f>
        <v>The Bastards</v>
      </c>
      <c r="D24" s="104" t="s">
        <v>363</v>
      </c>
      <c r="E24" s="163" t="s">
        <v>1192</v>
      </c>
      <c r="F24" s="106">
        <v>6</v>
      </c>
      <c r="G24" s="17"/>
      <c r="H24" s="292">
        <v>4</v>
      </c>
      <c r="I24" s="27">
        <f>AVERAGE(J24,K24,L24,M24,N24,O24)</f>
        <v>5.166666666666667</v>
      </c>
      <c r="J24" s="114">
        <v>3</v>
      </c>
      <c r="K24" s="19">
        <v>7</v>
      </c>
      <c r="L24" s="60">
        <v>5</v>
      </c>
      <c r="M24" s="19">
        <v>7</v>
      </c>
      <c r="N24" s="16">
        <v>6</v>
      </c>
      <c r="O24" s="114">
        <v>3</v>
      </c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01"/>
      <c r="AD24" s="17"/>
      <c r="AE24" s="101"/>
      <c r="AF24" s="109"/>
      <c r="AG24" s="17"/>
      <c r="AH24" s="101"/>
      <c r="AI24" s="17"/>
      <c r="AJ24" s="17"/>
      <c r="AK24" s="17"/>
      <c r="AL24" s="17"/>
      <c r="AM24" s="17"/>
      <c r="AN24" s="17"/>
      <c r="AO24" s="101"/>
      <c r="AP24" s="101"/>
      <c r="AQ24" s="17"/>
      <c r="AR24">
        <f>F24 +G24</f>
        <v>6</v>
      </c>
    </row>
    <row r="25" spans="1:44" hidden="1" x14ac:dyDescent="0.25">
      <c r="A25" t="str">
        <f>B25 &amp; " - " &amp;E25</f>
        <v>Everton - Lukaku</v>
      </c>
      <c r="B25" t="s">
        <v>1167</v>
      </c>
      <c r="C25" t="str">
        <f ca="1">IFERROR(VLOOKUP(INDEX(OFFSET(_JOUEURS,0,0,,1),MATCH(A25,OFFSET(_JOUEURS,0,1,,1),0)),_MPG,2,FALSE),"")</f>
        <v>Fuck-Tonio FC</v>
      </c>
      <c r="D25" s="23" t="s">
        <v>372</v>
      </c>
      <c r="E25" s="163" t="s">
        <v>1165</v>
      </c>
      <c r="F25" s="25">
        <v>4</v>
      </c>
      <c r="G25" s="26">
        <v>1</v>
      </c>
      <c r="H25" s="290">
        <v>4</v>
      </c>
      <c r="I25" s="27">
        <f>AVERAGE(L25,M25,N25,O25)</f>
        <v>6.25</v>
      </c>
      <c r="J25" s="225"/>
      <c r="K25" s="28" t="s">
        <v>364</v>
      </c>
      <c r="L25" s="17">
        <v>5</v>
      </c>
      <c r="M25" s="19">
        <v>9</v>
      </c>
      <c r="N25" s="58">
        <v>7</v>
      </c>
      <c r="O25" s="17">
        <v>4</v>
      </c>
      <c r="P25" s="59"/>
      <c r="Q25" s="17"/>
      <c r="R25" s="17"/>
      <c r="S25" s="17"/>
      <c r="T25" s="17"/>
      <c r="U25" s="17"/>
      <c r="V25" s="59"/>
      <c r="W25" s="17"/>
      <c r="X25" s="17"/>
      <c r="Y25" s="17"/>
      <c r="Z25" s="17"/>
      <c r="AA25" s="17"/>
      <c r="AB25" s="17"/>
      <c r="AC25" s="99"/>
      <c r="AD25" s="17"/>
      <c r="AE25" s="99"/>
      <c r="AF25" s="99"/>
      <c r="AG25" s="59"/>
      <c r="AH25" s="101"/>
      <c r="AI25" s="17"/>
      <c r="AJ25" s="17"/>
      <c r="AK25" s="17"/>
      <c r="AL25" s="59"/>
      <c r="AM25" s="59"/>
      <c r="AN25" s="17"/>
      <c r="AO25" s="99"/>
      <c r="AP25" s="101"/>
      <c r="AQ25" s="17"/>
      <c r="AR25">
        <f>F25 +G25</f>
        <v>5</v>
      </c>
    </row>
    <row r="26" spans="1:44" hidden="1" x14ac:dyDescent="0.25">
      <c r="A26" t="str">
        <f>B26 &amp; " - " &amp;E26</f>
        <v>Man. City - Sterling</v>
      </c>
      <c r="B26" t="s">
        <v>1279</v>
      </c>
      <c r="C26" t="str">
        <f ca="1">IFERROR(VLOOKUP(INDEX(OFFSET(_JOUEURS,0,0,,1),MATCH(A26,OFFSET(_JOUEURS,0,1,,1),0)),_MPG,2,FALSE),"")</f>
        <v>74 c'est la champion's league</v>
      </c>
      <c r="D26" s="148" t="s">
        <v>372</v>
      </c>
      <c r="E26" s="197" t="s">
        <v>1278</v>
      </c>
      <c r="F26" s="195">
        <v>6</v>
      </c>
      <c r="G26" s="267"/>
      <c r="H26" s="268">
        <v>4</v>
      </c>
      <c r="I26" s="55">
        <f>AVERAGE(J26,K26,L26,M26,N26,O26)</f>
        <v>6.333333333333333</v>
      </c>
      <c r="J26" s="59">
        <v>5</v>
      </c>
      <c r="K26" s="28">
        <v>6</v>
      </c>
      <c r="L26" s="58">
        <v>8</v>
      </c>
      <c r="M26" s="59">
        <v>4</v>
      </c>
      <c r="N26" s="58">
        <v>9</v>
      </c>
      <c r="O26" s="16">
        <v>6</v>
      </c>
      <c r="P26" s="85"/>
      <c r="Q26" s="59"/>
      <c r="R26" s="84"/>
      <c r="S26" s="17"/>
      <c r="T26" s="59"/>
      <c r="U26" s="59"/>
      <c r="V26" s="59"/>
      <c r="W26" s="17"/>
      <c r="X26" s="84"/>
      <c r="Y26" s="17"/>
      <c r="Z26" s="59"/>
      <c r="AA26" s="59"/>
      <c r="AB26" s="17"/>
      <c r="AC26" s="101"/>
      <c r="AD26" s="59"/>
      <c r="AE26" s="101"/>
      <c r="AF26" s="101"/>
      <c r="AG26" s="17"/>
      <c r="AH26" s="101"/>
      <c r="AI26" s="59"/>
      <c r="AJ26" s="85"/>
      <c r="AK26" s="59"/>
      <c r="AL26" s="59"/>
      <c r="AM26" s="84"/>
      <c r="AN26" s="59"/>
      <c r="AO26" s="86"/>
      <c r="AP26" s="86"/>
      <c r="AQ26" s="17"/>
      <c r="AR26">
        <f>F26 +G26</f>
        <v>6</v>
      </c>
    </row>
    <row r="27" spans="1:44" hidden="1" x14ac:dyDescent="0.25">
      <c r="A27" t="str">
        <f>B27 &amp; " - " &amp;E27</f>
        <v>Sunderland - Defoe</v>
      </c>
      <c r="B27" t="s">
        <v>1301</v>
      </c>
      <c r="C27" t="str">
        <f ca="1">IFERROR(VLOOKUP(INDEX(OFFSET(_JOUEURS,0,0,,1),MATCH(A27,OFFSET(_JOUEURS,0,1,,1),0)),_MPG,2,FALSE),"")</f>
        <v>The Bastards</v>
      </c>
      <c r="D27" s="104" t="s">
        <v>372</v>
      </c>
      <c r="E27" s="163" t="s">
        <v>1299</v>
      </c>
      <c r="F27" s="106">
        <v>6</v>
      </c>
      <c r="G27" s="17"/>
      <c r="H27" s="292">
        <v>4</v>
      </c>
      <c r="I27" s="27">
        <f>AVERAGE(J27,K27,L27,M27,N27,O27)</f>
        <v>4.833333333333333</v>
      </c>
      <c r="J27" s="60">
        <v>6</v>
      </c>
      <c r="K27" s="59">
        <v>4</v>
      </c>
      <c r="L27" s="60">
        <v>6</v>
      </c>
      <c r="M27" s="145">
        <v>3</v>
      </c>
      <c r="N27" s="114">
        <v>3</v>
      </c>
      <c r="O27" s="19">
        <v>7</v>
      </c>
      <c r="P27" s="85"/>
      <c r="Q27" s="85"/>
      <c r="R27" s="85"/>
      <c r="S27" s="84"/>
      <c r="T27" s="84"/>
      <c r="U27" s="85"/>
      <c r="V27" s="85"/>
      <c r="W27" s="84"/>
      <c r="X27" s="85"/>
      <c r="Y27" s="85"/>
      <c r="Z27" s="85"/>
      <c r="AA27" s="84"/>
      <c r="AB27" s="85"/>
      <c r="AC27" s="86"/>
      <c r="AD27" s="84"/>
      <c r="AE27" s="86"/>
      <c r="AF27" s="83"/>
      <c r="AG27" s="85"/>
      <c r="AH27" s="125"/>
      <c r="AI27" s="85"/>
      <c r="AJ27" s="84"/>
      <c r="AK27" s="85"/>
      <c r="AL27" s="85"/>
      <c r="AM27" s="85"/>
      <c r="AN27" s="85"/>
      <c r="AO27" s="86"/>
      <c r="AP27" s="86"/>
      <c r="AQ27" s="85"/>
      <c r="AR27">
        <f>F27 +G27</f>
        <v>6</v>
      </c>
    </row>
    <row r="28" spans="1:44" hidden="1" x14ac:dyDescent="0.25">
      <c r="A28" t="str">
        <f>B28 &amp; " - " &amp;E28</f>
        <v>Arsenal - Sanchez</v>
      </c>
      <c r="B28" t="s">
        <v>1423</v>
      </c>
      <c r="C28" t="str">
        <f ca="1">IFERROR(VLOOKUP(INDEX(OFFSET(_JOUEURS,0,0,,1),MATCH(A28,OFFSET(_JOUEURS,0,1,,1),0)),_MPG,2,FALSE),"")</f>
        <v>Fuck-Tonio FC</v>
      </c>
      <c r="D28" s="104" t="s">
        <v>372</v>
      </c>
      <c r="E28" s="29" t="s">
        <v>1418</v>
      </c>
      <c r="F28" s="106">
        <v>5</v>
      </c>
      <c r="G28" s="109"/>
      <c r="H28" s="292">
        <v>4</v>
      </c>
      <c r="I28" s="27">
        <f>AVERAGE(J28,K28,L28,N28,O28)</f>
        <v>6.4</v>
      </c>
      <c r="J28" s="59">
        <v>4</v>
      </c>
      <c r="K28" s="17">
        <v>5</v>
      </c>
      <c r="L28" s="58">
        <v>8</v>
      </c>
      <c r="M28" s="59"/>
      <c r="N28" s="58">
        <v>7</v>
      </c>
      <c r="O28" s="58">
        <v>8</v>
      </c>
      <c r="P28" s="17"/>
      <c r="Q28" s="60"/>
      <c r="R28" s="59"/>
      <c r="S28" s="17"/>
      <c r="T28" s="17"/>
      <c r="U28" s="59"/>
      <c r="V28" s="17"/>
      <c r="W28" s="59"/>
      <c r="X28" s="17"/>
      <c r="Y28" s="16"/>
      <c r="Z28" s="59"/>
      <c r="AA28" s="59"/>
      <c r="AB28" s="17"/>
      <c r="AC28" s="99"/>
      <c r="AD28" s="60"/>
      <c r="AE28" s="22"/>
      <c r="AF28" s="22"/>
      <c r="AG28" s="17"/>
      <c r="AH28" s="101"/>
      <c r="AI28" s="17"/>
      <c r="AJ28" s="17"/>
      <c r="AK28" s="16"/>
      <c r="AL28" s="17"/>
      <c r="AM28" s="59"/>
      <c r="AN28" s="16"/>
      <c r="AO28" s="101"/>
      <c r="AP28" s="99"/>
      <c r="AQ28" s="17"/>
      <c r="AR28">
        <f>F28 +G28</f>
        <v>5</v>
      </c>
    </row>
    <row r="29" spans="1:44" hidden="1" x14ac:dyDescent="0.25">
      <c r="A29" t="str">
        <f>B29 &amp; " - " &amp;E29</f>
        <v>Man. United - Ibrahimovic</v>
      </c>
      <c r="B29" t="s">
        <v>1497</v>
      </c>
      <c r="C29" t="str">
        <f ca="1">IFERROR(VLOOKUP(INDEX(OFFSET(_JOUEURS,0,0,,1),MATCH(A29,OFFSET(_JOUEURS,0,1,,1),0)),_MPG,2,FALSE),"")</f>
        <v>Shame On You</v>
      </c>
      <c r="D29" s="104" t="s">
        <v>372</v>
      </c>
      <c r="E29" s="109" t="s">
        <v>65</v>
      </c>
      <c r="F29" s="106">
        <v>6</v>
      </c>
      <c r="G29" s="109"/>
      <c r="H29" s="170">
        <v>4</v>
      </c>
      <c r="I29" s="27">
        <f>AVERAGE(J29,K29,L29,M29,N29,O29)</f>
        <v>5.666666666666667</v>
      </c>
      <c r="J29" s="58">
        <v>7</v>
      </c>
      <c r="K29" s="58">
        <v>7</v>
      </c>
      <c r="L29" s="59">
        <v>5</v>
      </c>
      <c r="M29" s="16">
        <v>6</v>
      </c>
      <c r="N29" s="59">
        <v>4</v>
      </c>
      <c r="O29" s="59">
        <v>5</v>
      </c>
      <c r="P29" s="59"/>
      <c r="Q29" s="59"/>
      <c r="R29" s="59"/>
      <c r="S29" s="17"/>
      <c r="T29" s="59"/>
      <c r="U29" s="59"/>
      <c r="V29" s="59"/>
      <c r="W29" s="59"/>
      <c r="X29" s="17"/>
      <c r="Y29" s="17"/>
      <c r="Z29" s="59"/>
      <c r="AA29" s="17"/>
      <c r="AB29" s="59"/>
      <c r="AC29" s="101"/>
      <c r="AD29" s="59"/>
      <c r="AE29" s="101"/>
      <c r="AF29" s="109"/>
      <c r="AG29" s="17"/>
      <c r="AH29" s="101"/>
      <c r="AI29" s="17"/>
      <c r="AJ29" s="17"/>
      <c r="AK29" s="59"/>
      <c r="AL29" s="17"/>
      <c r="AM29" s="59"/>
      <c r="AN29" s="17"/>
      <c r="AO29" s="101"/>
      <c r="AP29" s="99"/>
      <c r="AQ29" s="17"/>
      <c r="AR29">
        <f>F29 +G29</f>
        <v>6</v>
      </c>
    </row>
    <row r="30" spans="1:44" hidden="1" x14ac:dyDescent="0.25">
      <c r="A30" t="str">
        <f>B30 &amp; " - " &amp;E30</f>
        <v>Swansea - Fer</v>
      </c>
      <c r="B30" t="s">
        <v>1095</v>
      </c>
      <c r="C30" t="str">
        <f ca="1">IFERROR(VLOOKUP(INDEX(OFFSET(_JOUEURS,0,0,,1),MATCH(A30,OFFSET(_JOUEURS,0,1,,1),0)),_MPG,2,FALSE),"")</f>
        <v>The Bastards</v>
      </c>
      <c r="D30" s="23" t="s">
        <v>369</v>
      </c>
      <c r="E30" s="29" t="s">
        <v>1084</v>
      </c>
      <c r="F30" s="194">
        <v>6</v>
      </c>
      <c r="G30" s="29"/>
      <c r="H30" s="221">
        <v>3</v>
      </c>
      <c r="I30" s="27">
        <f>AVERAGE(J30,K30,L30,M30,N30,O30)</f>
        <v>5.666666666666667</v>
      </c>
      <c r="J30" s="58">
        <v>7</v>
      </c>
      <c r="K30" s="28">
        <v>5</v>
      </c>
      <c r="L30" s="60">
        <v>6</v>
      </c>
      <c r="M30" s="60">
        <v>6</v>
      </c>
      <c r="N30" s="18">
        <v>5</v>
      </c>
      <c r="O30" s="18">
        <v>5</v>
      </c>
      <c r="P30" s="18"/>
      <c r="Q30" s="28"/>
      <c r="R30" s="28"/>
      <c r="S30" s="18"/>
      <c r="T30" s="28"/>
      <c r="U30" s="28"/>
      <c r="V30" s="28"/>
      <c r="W30" s="18"/>
      <c r="X30" s="60"/>
      <c r="Y30" s="28"/>
      <c r="Z30" s="28"/>
      <c r="AA30" s="28"/>
      <c r="AB30" s="28"/>
      <c r="AC30" s="22"/>
      <c r="AD30" s="18"/>
      <c r="AE30" s="21"/>
      <c r="AF30" s="70"/>
      <c r="AG30" s="28"/>
      <c r="AH30" s="22"/>
      <c r="AI30" s="28"/>
      <c r="AJ30" s="18"/>
      <c r="AK30" s="28"/>
      <c r="AL30" s="16"/>
      <c r="AM30" s="16"/>
      <c r="AN30" s="28"/>
      <c r="AO30" s="22"/>
      <c r="AP30" s="20"/>
      <c r="AQ30" s="18"/>
      <c r="AR30">
        <f>F30 +G30</f>
        <v>6</v>
      </c>
    </row>
    <row r="31" spans="1:44" hidden="1" x14ac:dyDescent="0.25">
      <c r="A31" t="str">
        <f>B31 &amp; " - " &amp;E31</f>
        <v>Liverpool - Lallana</v>
      </c>
      <c r="B31" t="s">
        <v>1446</v>
      </c>
      <c r="C31" t="str">
        <f ca="1">IFERROR(VLOOKUP(INDEX(OFFSET(_JOUEURS,0,0,,1),MATCH(A31,OFFSET(_JOUEURS,0,1,,1),0)),_MPG,2,FALSE),"")</f>
        <v>The Bastards</v>
      </c>
      <c r="D31" s="23" t="s">
        <v>369</v>
      </c>
      <c r="E31" s="29" t="s">
        <v>1434</v>
      </c>
      <c r="F31" s="25">
        <v>6</v>
      </c>
      <c r="G31" s="24"/>
      <c r="H31" s="290">
        <v>3</v>
      </c>
      <c r="I31" s="27">
        <f>AVERAGE(J31,K31,L31,M31,N31,O31)</f>
        <v>5.833333333333333</v>
      </c>
      <c r="J31" s="60">
        <v>6</v>
      </c>
      <c r="K31" s="17">
        <v>5</v>
      </c>
      <c r="L31" s="59">
        <v>5</v>
      </c>
      <c r="M31" s="58">
        <v>7</v>
      </c>
      <c r="N31" s="59">
        <v>4</v>
      </c>
      <c r="O31" s="58">
        <v>8</v>
      </c>
      <c r="P31" s="59"/>
      <c r="Q31" s="59"/>
      <c r="R31" s="59"/>
      <c r="S31" s="59"/>
      <c r="T31" s="17"/>
      <c r="U31" s="17"/>
      <c r="V31" s="17"/>
      <c r="W31" s="59"/>
      <c r="X31" s="59"/>
      <c r="Y31" s="17"/>
      <c r="Z31" s="59"/>
      <c r="AA31" s="17"/>
      <c r="AB31" s="17"/>
      <c r="AC31" s="99"/>
      <c r="AD31" s="59"/>
      <c r="AE31" s="101"/>
      <c r="AF31" s="89"/>
      <c r="AG31" s="17"/>
      <c r="AH31" s="101"/>
      <c r="AI31" s="59"/>
      <c r="AJ31" s="17"/>
      <c r="AK31" s="59"/>
      <c r="AL31" s="17"/>
      <c r="AM31" s="59"/>
      <c r="AN31" s="59"/>
      <c r="AO31" s="99"/>
      <c r="AP31" s="99"/>
      <c r="AQ31" s="17"/>
      <c r="AR31">
        <f>F31 +G31</f>
        <v>6</v>
      </c>
    </row>
    <row r="32" spans="1:44" hidden="1" x14ac:dyDescent="0.25">
      <c r="A32" t="str">
        <f>B32 &amp; " - " &amp;E32</f>
        <v>Liverpool - Milner</v>
      </c>
      <c r="B32" t="s">
        <v>1446</v>
      </c>
      <c r="C32" t="str">
        <f ca="1">IFERROR(VLOOKUP(INDEX(OFFSET(_JOUEURS,0,0,,1),MATCH(A32,OFFSET(_JOUEURS,0,1,,1),0)),_MPG,2,FALSE),"")</f>
        <v>nut fc</v>
      </c>
      <c r="D32" s="23" t="s">
        <v>369</v>
      </c>
      <c r="E32" s="29" t="s">
        <v>1438</v>
      </c>
      <c r="F32" s="25">
        <v>5</v>
      </c>
      <c r="G32" s="24"/>
      <c r="H32" s="290">
        <v>3</v>
      </c>
      <c r="I32" s="27">
        <f>AVERAGE(K32,L32,M32,N32,O32)</f>
        <v>5.8</v>
      </c>
      <c r="J32" s="59"/>
      <c r="K32" s="17">
        <v>5</v>
      </c>
      <c r="L32" s="60">
        <v>6</v>
      </c>
      <c r="M32" s="17">
        <v>6</v>
      </c>
      <c r="N32" s="59">
        <v>4</v>
      </c>
      <c r="O32" s="58">
        <v>8</v>
      </c>
      <c r="P32" s="17"/>
      <c r="Q32" s="59"/>
      <c r="R32" s="17"/>
      <c r="S32" s="17"/>
      <c r="T32" s="17"/>
      <c r="U32" s="17"/>
      <c r="V32" s="17"/>
      <c r="W32" s="59"/>
      <c r="X32" s="17"/>
      <c r="Y32" s="17"/>
      <c r="Z32" s="59"/>
      <c r="AA32" s="17"/>
      <c r="AB32" s="17"/>
      <c r="AC32" s="101"/>
      <c r="AD32" s="59"/>
      <c r="AE32" s="99"/>
      <c r="AF32" s="109"/>
      <c r="AG32" s="17"/>
      <c r="AH32" s="101"/>
      <c r="AI32" s="17"/>
      <c r="AJ32" s="17"/>
      <c r="AK32" s="59"/>
      <c r="AL32" s="17"/>
      <c r="AM32" s="59"/>
      <c r="AN32" s="17"/>
      <c r="AO32" s="99"/>
      <c r="AP32" s="99"/>
      <c r="AQ32" s="59"/>
      <c r="AR32">
        <f>F32 +G32</f>
        <v>5</v>
      </c>
    </row>
    <row r="33" spans="1:44" hidden="1" x14ac:dyDescent="0.25">
      <c r="A33" t="str">
        <f>B33 &amp; " - " &amp;E33</f>
        <v>Liverpool - Coutinho</v>
      </c>
      <c r="B33" t="s">
        <v>1446</v>
      </c>
      <c r="C33" t="str">
        <f ca="1">IFERROR(VLOOKUP(INDEX(OFFSET(_JOUEURS,0,0,,1),MATCH(A33,OFFSET(_JOUEURS,0,1,,1),0)),_MPG,2,FALSE),"")</f>
        <v>nut fc</v>
      </c>
      <c r="D33" s="23" t="s">
        <v>369</v>
      </c>
      <c r="E33" s="29" t="s">
        <v>1441</v>
      </c>
      <c r="F33" s="25">
        <v>5</v>
      </c>
      <c r="G33" s="24">
        <v>1</v>
      </c>
      <c r="H33" s="290">
        <v>3</v>
      </c>
      <c r="I33" s="27">
        <f>AVERAGE(J33,K33,L33,N33,O33)</f>
        <v>6.6</v>
      </c>
      <c r="J33" s="58">
        <v>8</v>
      </c>
      <c r="K33" s="17">
        <v>6</v>
      </c>
      <c r="L33" s="59">
        <v>4</v>
      </c>
      <c r="M33" s="28" t="s">
        <v>364</v>
      </c>
      <c r="N33" s="97">
        <v>7</v>
      </c>
      <c r="O33" s="58">
        <v>8</v>
      </c>
      <c r="P33" s="17"/>
      <c r="Q33" s="59"/>
      <c r="R33" s="17"/>
      <c r="S33" s="17"/>
      <c r="T33" s="17"/>
      <c r="U33" s="17"/>
      <c r="V33" s="17"/>
      <c r="W33" s="59"/>
      <c r="X33" s="17"/>
      <c r="Y33" s="17"/>
      <c r="Z33" s="59"/>
      <c r="AA33" s="17"/>
      <c r="AB33" s="17"/>
      <c r="AC33" s="101"/>
      <c r="AD33" s="59"/>
      <c r="AE33" s="101"/>
      <c r="AF33" s="109"/>
      <c r="AG33" s="59"/>
      <c r="AH33" s="101"/>
      <c r="AI33" s="17"/>
      <c r="AJ33" s="17"/>
      <c r="AK33" s="17"/>
      <c r="AL33" s="17"/>
      <c r="AM33" s="59"/>
      <c r="AN33" s="17"/>
      <c r="AO33" s="101"/>
      <c r="AP33" s="99"/>
      <c r="AQ33" s="17"/>
      <c r="AR33">
        <f>F33 +G33</f>
        <v>6</v>
      </c>
    </row>
    <row r="34" spans="1:44" hidden="1" x14ac:dyDescent="0.25">
      <c r="A34" t="str">
        <f>B34 &amp; " - " &amp;E34</f>
        <v>WBA - Rondon</v>
      </c>
      <c r="B34" t="s">
        <v>1144</v>
      </c>
      <c r="C34" t="str">
        <f ca="1">IFERROR(VLOOKUP(INDEX(OFFSET(_JOUEURS,0,0,,1),MATCH(A34,OFFSET(_JOUEURS,0,1,,1),0)),_MPG,2,FALSE),"")</f>
        <v>Shame On You</v>
      </c>
      <c r="D34" s="104" t="s">
        <v>372</v>
      </c>
      <c r="E34" s="29" t="s">
        <v>1140</v>
      </c>
      <c r="F34" s="106">
        <v>5</v>
      </c>
      <c r="G34" s="109">
        <v>1</v>
      </c>
      <c r="H34" s="170">
        <v>3</v>
      </c>
      <c r="I34" s="27">
        <f>AVERAGE(J34,K34,L34,N34,O34)</f>
        <v>5.6</v>
      </c>
      <c r="J34" s="58">
        <v>7</v>
      </c>
      <c r="K34" s="17">
        <v>4</v>
      </c>
      <c r="L34" s="59">
        <v>4</v>
      </c>
      <c r="M34" s="59" t="s">
        <v>364</v>
      </c>
      <c r="N34" s="19">
        <v>7</v>
      </c>
      <c r="O34" s="16">
        <v>6</v>
      </c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6"/>
      <c r="AD34" s="85"/>
      <c r="AE34" s="86"/>
      <c r="AF34" s="293"/>
      <c r="AG34" s="85"/>
      <c r="AH34" s="86"/>
      <c r="AI34" s="85"/>
      <c r="AJ34" s="85"/>
      <c r="AK34" s="85"/>
      <c r="AL34" s="85"/>
      <c r="AM34" s="85"/>
      <c r="AN34" s="85"/>
      <c r="AO34" s="86"/>
      <c r="AP34" s="86"/>
      <c r="AQ34" s="85"/>
      <c r="AR34">
        <f>F34 +G34</f>
        <v>6</v>
      </c>
    </row>
    <row r="35" spans="1:44" hidden="1" x14ac:dyDescent="0.25">
      <c r="A35" t="str">
        <f>B35 &amp; " - " &amp;E35</f>
        <v>Hull - Snodgrass</v>
      </c>
      <c r="B35" t="s">
        <v>1237</v>
      </c>
      <c r="C35" t="str">
        <f ca="1">IFERROR(VLOOKUP(INDEX(OFFSET(_JOUEURS,0,0,,1),MATCH(A35,OFFSET(_JOUEURS,0,1,,1),0)),_MPG,2,FALSE),"")</f>
        <v>Shame On You</v>
      </c>
      <c r="D35" s="80" t="s">
        <v>372</v>
      </c>
      <c r="E35" s="69" t="s">
        <v>1231</v>
      </c>
      <c r="F35" s="137">
        <v>6</v>
      </c>
      <c r="G35" s="111"/>
      <c r="H35" s="262">
        <v>3</v>
      </c>
      <c r="I35" s="55">
        <f>AVERAGE(J35,K35,L35,M35,N35,O35)</f>
        <v>5.5</v>
      </c>
      <c r="J35" s="58">
        <v>7</v>
      </c>
      <c r="K35" s="28">
        <v>6</v>
      </c>
      <c r="L35" s="59">
        <v>4</v>
      </c>
      <c r="M35" s="58">
        <v>7</v>
      </c>
      <c r="N35" s="60">
        <v>6</v>
      </c>
      <c r="O35" s="145">
        <v>3</v>
      </c>
      <c r="P35" s="17"/>
      <c r="Q35" s="59"/>
      <c r="R35" s="17"/>
      <c r="S35" s="59"/>
      <c r="T35" s="17"/>
      <c r="U35" s="59"/>
      <c r="V35" s="84"/>
      <c r="W35" s="59"/>
      <c r="X35" s="59"/>
      <c r="Y35" s="59"/>
      <c r="Z35" s="85"/>
      <c r="AA35" s="59"/>
      <c r="AB35" s="59"/>
      <c r="AC35" s="99"/>
      <c r="AD35" s="17"/>
      <c r="AE35" s="101"/>
      <c r="AF35" s="109"/>
      <c r="AG35" s="85"/>
      <c r="AH35" s="99"/>
      <c r="AI35" s="17"/>
      <c r="AJ35" s="85"/>
      <c r="AK35" s="17"/>
      <c r="AL35" s="59"/>
      <c r="AM35" s="59"/>
      <c r="AN35" s="59"/>
      <c r="AO35" s="101"/>
      <c r="AP35" s="86"/>
      <c r="AQ35" s="17"/>
      <c r="AR35">
        <f>F35 +G35</f>
        <v>6</v>
      </c>
    </row>
    <row r="36" spans="1:44" hidden="1" x14ac:dyDescent="0.25">
      <c r="A36" t="str">
        <f>B36 &amp; " - " &amp;E36</f>
        <v>Arsenal - Walcott</v>
      </c>
      <c r="B36" t="s">
        <v>1423</v>
      </c>
      <c r="C36" t="str">
        <f ca="1">IFERROR(VLOOKUP(INDEX(OFFSET(_JOUEURS,0,0,,1),MATCH(A36,OFFSET(_JOUEURS,0,1,,1),0)),_MPG,2,FALSE),"")</f>
        <v>74 c'est la champion's league</v>
      </c>
      <c r="D36" s="104" t="s">
        <v>372</v>
      </c>
      <c r="E36" s="109" t="s">
        <v>1417</v>
      </c>
      <c r="F36" s="106">
        <v>6</v>
      </c>
      <c r="G36" s="109"/>
      <c r="H36" s="170">
        <v>3</v>
      </c>
      <c r="I36" s="135">
        <f>AVERAGE(J36,K36,L36,M36,N36,O36)</f>
        <v>6.166666666666667</v>
      </c>
      <c r="J36" s="60">
        <v>5</v>
      </c>
      <c r="K36" s="17">
        <v>6</v>
      </c>
      <c r="L36" s="97">
        <v>7</v>
      </c>
      <c r="M36" s="59">
        <v>5</v>
      </c>
      <c r="N36" s="58">
        <v>7</v>
      </c>
      <c r="O36" s="58">
        <v>7</v>
      </c>
      <c r="P36" s="85"/>
      <c r="Q36" s="84"/>
      <c r="R36" s="84"/>
      <c r="S36" s="85"/>
      <c r="T36" s="85"/>
      <c r="U36" s="84"/>
      <c r="V36" s="85"/>
      <c r="W36" s="84"/>
      <c r="X36" s="85"/>
      <c r="Y36" s="85"/>
      <c r="Z36" s="84"/>
      <c r="AA36" s="84"/>
      <c r="AB36" s="85"/>
      <c r="AC36" s="125"/>
      <c r="AD36" s="84"/>
      <c r="AE36" s="86"/>
      <c r="AF36" s="293"/>
      <c r="AG36" s="85"/>
      <c r="AH36" s="86"/>
      <c r="AI36" s="85"/>
      <c r="AJ36" s="85"/>
      <c r="AK36" s="85"/>
      <c r="AL36" s="85"/>
      <c r="AM36" s="84"/>
      <c r="AN36" s="85"/>
      <c r="AO36" s="86"/>
      <c r="AP36" s="125"/>
      <c r="AQ36" s="85"/>
      <c r="AR36">
        <f>F36 +G36</f>
        <v>6</v>
      </c>
    </row>
    <row r="37" spans="1:44" hidden="1" x14ac:dyDescent="0.25">
      <c r="A37" t="str">
        <f>B37 &amp; " - " &amp;E37</f>
        <v>Liverpool - Mané</v>
      </c>
      <c r="B37" t="s">
        <v>1446</v>
      </c>
      <c r="C37" t="str">
        <f ca="1">IFERROR(VLOOKUP(INDEX(OFFSET(_JOUEURS,0,0,,1),MATCH(A37,OFFSET(_JOUEURS,0,1,,1),0)),_MPG,2,FALSE),"")</f>
        <v>Shame On You</v>
      </c>
      <c r="D37" s="104" t="s">
        <v>372</v>
      </c>
      <c r="E37" s="29" t="s">
        <v>1041</v>
      </c>
      <c r="F37" s="106">
        <v>5</v>
      </c>
      <c r="G37" s="109"/>
      <c r="H37" s="170">
        <v>3</v>
      </c>
      <c r="I37" s="27">
        <f>AVERAGE(J37,L37,M37,N37,O37)</f>
        <v>5.6</v>
      </c>
      <c r="J37" s="58">
        <v>7</v>
      </c>
      <c r="K37" s="17"/>
      <c r="L37" s="59">
        <v>4</v>
      </c>
      <c r="M37" s="60">
        <v>6</v>
      </c>
      <c r="N37" s="59">
        <v>4</v>
      </c>
      <c r="O37" s="58">
        <v>7</v>
      </c>
      <c r="P37" s="17"/>
      <c r="Q37" s="59"/>
      <c r="R37" s="59"/>
      <c r="S37" s="17"/>
      <c r="T37" s="17"/>
      <c r="U37" s="59"/>
      <c r="V37" s="59"/>
      <c r="W37" s="59"/>
      <c r="X37" s="59"/>
      <c r="Y37" s="59"/>
      <c r="Z37" s="59"/>
      <c r="AA37" s="59"/>
      <c r="AB37" s="17"/>
      <c r="AC37" s="99"/>
      <c r="AD37" s="59"/>
      <c r="AE37" s="101"/>
      <c r="AF37" s="109"/>
      <c r="AG37" s="17"/>
      <c r="AH37" s="101"/>
      <c r="AI37" s="17"/>
      <c r="AJ37" s="59"/>
      <c r="AK37" s="17"/>
      <c r="AL37" s="59"/>
      <c r="AM37" s="59"/>
      <c r="AN37" s="17"/>
      <c r="AO37" s="101"/>
      <c r="AP37" s="99"/>
      <c r="AQ37" s="17"/>
      <c r="AR37">
        <f>F37 +G37</f>
        <v>5</v>
      </c>
    </row>
    <row r="38" spans="1:44" hidden="1" x14ac:dyDescent="0.25">
      <c r="A38" t="str">
        <f>B38 &amp; " - " &amp;E38</f>
        <v>Man. United - Rashford</v>
      </c>
      <c r="B38" t="s">
        <v>1497</v>
      </c>
      <c r="C38" t="str">
        <f ca="1">IFERROR(VLOOKUP(INDEX(OFFSET(_JOUEURS,0,0,,1),MATCH(A38,OFFSET(_JOUEURS,0,1,,1),0)),_MPG,2,FALSE),"")</f>
        <v>nut fc</v>
      </c>
      <c r="D38" s="152" t="s">
        <v>372</v>
      </c>
      <c r="E38" s="109" t="s">
        <v>1496</v>
      </c>
      <c r="F38" s="106">
        <v>2</v>
      </c>
      <c r="G38" s="109">
        <v>2</v>
      </c>
      <c r="H38" s="170">
        <v>3</v>
      </c>
      <c r="I38" s="27">
        <f>AVERAGE(N38,O38)</f>
        <v>5.5</v>
      </c>
      <c r="J38" s="28"/>
      <c r="K38" s="17"/>
      <c r="L38" s="60" t="s">
        <v>364</v>
      </c>
      <c r="M38" s="28" t="s">
        <v>364</v>
      </c>
      <c r="N38" s="60">
        <v>5</v>
      </c>
      <c r="O38" s="60">
        <v>6</v>
      </c>
      <c r="P38" s="17"/>
      <c r="Q38" s="59"/>
      <c r="R38" s="59"/>
      <c r="S38" s="59"/>
      <c r="T38" s="17"/>
      <c r="U38" s="59"/>
      <c r="V38" s="59"/>
      <c r="W38" s="59"/>
      <c r="X38" s="17"/>
      <c r="Y38" s="59"/>
      <c r="Z38" s="59"/>
      <c r="AA38" s="59"/>
      <c r="AB38" s="17"/>
      <c r="AC38" s="99"/>
      <c r="AD38" s="59"/>
      <c r="AE38" s="101"/>
      <c r="AF38" s="109"/>
      <c r="AG38" s="17"/>
      <c r="AH38" s="101"/>
      <c r="AI38" s="17"/>
      <c r="AJ38" s="17"/>
      <c r="AK38" s="17"/>
      <c r="AL38" s="17"/>
      <c r="AM38" s="59"/>
      <c r="AN38" s="17"/>
      <c r="AO38" s="101"/>
      <c r="AP38" s="99"/>
      <c r="AQ38" s="17"/>
      <c r="AR38">
        <f>F38 +G38</f>
        <v>4</v>
      </c>
    </row>
    <row r="39" spans="1:44" ht="15.75" hidden="1" thickBot="1" x14ac:dyDescent="0.3">
      <c r="A39" t="str">
        <f>B39 &amp; " - " &amp;E39</f>
        <v>Palace - McArthur</v>
      </c>
      <c r="B39" t="s">
        <v>1119</v>
      </c>
      <c r="C39" t="str">
        <f ca="1">IFERROR(VLOOKUP(INDEX(OFFSET(_JOUEURS,0,0,,1),MATCH(A39,OFFSET(_JOUEURS,0,1,,1),0)),_MPG,2,FALSE),"")</f>
        <v>The Bastards</v>
      </c>
      <c r="D39" s="128" t="s">
        <v>369</v>
      </c>
      <c r="E39" s="174" t="s">
        <v>1113</v>
      </c>
      <c r="F39" s="118">
        <v>4</v>
      </c>
      <c r="G39" s="116"/>
      <c r="H39" s="263">
        <v>2</v>
      </c>
      <c r="I39" s="210">
        <f>AVERAGE(L39,M39,N39,O39)</f>
        <v>6</v>
      </c>
      <c r="J39" s="59"/>
      <c r="K39" s="59"/>
      <c r="L39" s="59">
        <v>5</v>
      </c>
      <c r="M39" s="59">
        <v>5</v>
      </c>
      <c r="N39" s="19">
        <v>7</v>
      </c>
      <c r="O39" s="19">
        <v>7</v>
      </c>
      <c r="P39" s="17"/>
      <c r="Q39" s="17"/>
      <c r="R39" s="17"/>
      <c r="S39" s="17"/>
      <c r="T39" s="17"/>
      <c r="U39" s="59"/>
      <c r="V39" s="59"/>
      <c r="W39" s="59"/>
      <c r="X39" s="225"/>
      <c r="Y39" s="17"/>
      <c r="Z39" s="224"/>
      <c r="AA39" s="17"/>
      <c r="AB39" s="17"/>
      <c r="AC39" s="101"/>
      <c r="AD39" s="17"/>
      <c r="AE39" s="226"/>
      <c r="AF39" s="109"/>
      <c r="AG39" s="17"/>
      <c r="AH39" s="226"/>
      <c r="AI39" s="17"/>
      <c r="AJ39" s="17"/>
      <c r="AK39" s="224"/>
      <c r="AL39" s="17"/>
      <c r="AM39" s="224"/>
      <c r="AN39" s="17"/>
      <c r="AO39" s="99"/>
      <c r="AP39" s="99"/>
      <c r="AQ39" s="17"/>
      <c r="AR39">
        <f>F39 +G39</f>
        <v>4</v>
      </c>
    </row>
    <row r="40" spans="1:44" hidden="1" x14ac:dyDescent="0.25">
      <c r="A40" t="str">
        <f>B40 &amp; " - " &amp;E40</f>
        <v>Everton - Barry</v>
      </c>
      <c r="B40" t="s">
        <v>1167</v>
      </c>
      <c r="C40" t="str">
        <f ca="1">IFERROR(VLOOKUP(INDEX(OFFSET(_JOUEURS,0,0,,1),MATCH(A40,OFFSET(_JOUEURS,0,1,,1),0)),_MPG,2,FALSE),"")</f>
        <v>The Bastards</v>
      </c>
      <c r="D40" s="12" t="s">
        <v>369</v>
      </c>
      <c r="E40" s="272" t="s">
        <v>1156</v>
      </c>
      <c r="F40" s="13">
        <v>6</v>
      </c>
      <c r="G40" s="75"/>
      <c r="H40" s="112">
        <v>2</v>
      </c>
      <c r="I40" s="14">
        <f>AVERAGE(J40,K40,L40,M40,N40,O40)</f>
        <v>5.833333333333333</v>
      </c>
      <c r="J40" s="109">
        <v>5</v>
      </c>
      <c r="K40" s="58">
        <v>7</v>
      </c>
      <c r="L40" s="59">
        <v>6</v>
      </c>
      <c r="M40" s="59">
        <v>6</v>
      </c>
      <c r="N40" s="19">
        <v>7</v>
      </c>
      <c r="O40" s="17">
        <v>4</v>
      </c>
      <c r="P40" s="17"/>
      <c r="Q40" s="17"/>
      <c r="R40" s="59"/>
      <c r="S40" s="17"/>
      <c r="T40" s="17"/>
      <c r="U40" s="17"/>
      <c r="V40" s="17"/>
      <c r="W40" s="17"/>
      <c r="X40" s="17"/>
      <c r="Y40" s="59"/>
      <c r="Z40" s="17"/>
      <c r="AA40" s="17"/>
      <c r="AB40" s="17"/>
      <c r="AC40" s="17"/>
      <c r="AD40" s="17"/>
      <c r="AE40" s="101"/>
      <c r="AF40" s="17"/>
      <c r="AG40" s="17"/>
      <c r="AH40" s="59"/>
      <c r="AI40" s="17"/>
      <c r="AJ40" s="59"/>
      <c r="AK40" s="17"/>
      <c r="AL40" s="17"/>
      <c r="AM40" s="17"/>
      <c r="AN40" s="101"/>
      <c r="AO40" s="17"/>
      <c r="AP40" s="17"/>
      <c r="AQ40" s="101"/>
      <c r="AR40">
        <f>F40 +G40</f>
        <v>6</v>
      </c>
    </row>
    <row r="41" spans="1:44" x14ac:dyDescent="0.25">
      <c r="A41" t="str">
        <f>B41 &amp; " - " &amp;E41</f>
        <v>WBA - Chadli</v>
      </c>
      <c r="B41" t="s">
        <v>1144</v>
      </c>
      <c r="C41" t="str">
        <f ca="1">IFERROR(VLOOKUP(INDEX(OFFSET(_JOUEURS,0,0,,1),MATCH(A41,OFFSET(_JOUEURS,0,1,,1),0)),_MPG,2,FALSE),"")</f>
        <v/>
      </c>
      <c r="D41" s="152" t="s">
        <v>369</v>
      </c>
      <c r="E41" s="36" t="s">
        <v>1137</v>
      </c>
      <c r="F41" s="106">
        <v>3</v>
      </c>
      <c r="G41" s="101"/>
      <c r="H41" s="36">
        <v>2</v>
      </c>
      <c r="I41" s="27">
        <f>AVERAGE(M41,N41,O41)</f>
        <v>6</v>
      </c>
      <c r="J41" s="35"/>
      <c r="K41" s="28"/>
      <c r="L41" s="28"/>
      <c r="M41" s="28">
        <v>5</v>
      </c>
      <c r="N41" s="58">
        <v>8</v>
      </c>
      <c r="O41" s="28">
        <v>5</v>
      </c>
      <c r="P41" s="28"/>
      <c r="Q41" s="18"/>
      <c r="R41" s="18"/>
      <c r="S41" s="18"/>
      <c r="T41" s="18"/>
      <c r="U41" s="28"/>
      <c r="V41" s="18"/>
      <c r="W41" s="28"/>
      <c r="X41" s="18"/>
      <c r="Y41" s="18"/>
      <c r="Z41" s="28"/>
      <c r="AA41" s="18"/>
      <c r="AB41" s="18"/>
      <c r="AC41" s="18"/>
      <c r="AD41" s="18"/>
      <c r="AE41" s="20"/>
      <c r="AF41" s="29"/>
      <c r="AG41" s="18"/>
      <c r="AH41" s="18"/>
      <c r="AI41" s="28"/>
      <c r="AJ41" s="28"/>
      <c r="AK41" s="28"/>
      <c r="AL41" s="28"/>
      <c r="AM41" s="28"/>
      <c r="AN41" s="21"/>
      <c r="AO41" s="18"/>
      <c r="AP41" s="18"/>
      <c r="AQ41" s="20"/>
      <c r="AR41">
        <f>F41 +G41</f>
        <v>3</v>
      </c>
    </row>
    <row r="42" spans="1:44" hidden="1" x14ac:dyDescent="0.25">
      <c r="A42" t="str">
        <f>B42 &amp; " - " &amp;E42</f>
        <v>Man. City - De Bruyne</v>
      </c>
      <c r="B42" t="s">
        <v>1279</v>
      </c>
      <c r="C42" t="str">
        <f ca="1">IFERROR(VLOOKUP(INDEX(OFFSET(_JOUEURS,0,0,,1),MATCH(A42,OFFSET(_JOUEURS,0,1,,1),0)),_MPG,2,FALSE),"")</f>
        <v>I speak pas english</v>
      </c>
      <c r="D42" s="80" t="s">
        <v>369</v>
      </c>
      <c r="E42" s="197" t="s">
        <v>1269</v>
      </c>
      <c r="F42" s="195">
        <v>6</v>
      </c>
      <c r="G42" s="196"/>
      <c r="H42" s="197">
        <v>2</v>
      </c>
      <c r="I42" s="55">
        <f>AVERAGE(J42,K42,L42,M42,N42,O42)</f>
        <v>6.833333333333333</v>
      </c>
      <c r="J42" s="124">
        <v>5</v>
      </c>
      <c r="K42" s="59">
        <v>6</v>
      </c>
      <c r="L42" s="97">
        <v>7</v>
      </c>
      <c r="M42" s="58">
        <v>8</v>
      </c>
      <c r="N42" s="58">
        <v>9</v>
      </c>
      <c r="O42" s="17">
        <v>6</v>
      </c>
      <c r="P42" s="17"/>
      <c r="Q42" s="17"/>
      <c r="R42" s="17"/>
      <c r="S42" s="17"/>
      <c r="T42" s="17"/>
      <c r="U42" s="59"/>
      <c r="V42" s="17"/>
      <c r="W42" s="17"/>
      <c r="X42" s="85"/>
      <c r="Y42" s="17"/>
      <c r="Z42" s="59"/>
      <c r="AA42" s="17"/>
      <c r="AB42" s="59"/>
      <c r="AC42" s="17"/>
      <c r="AD42" s="17"/>
      <c r="AE42" s="101"/>
      <c r="AF42" s="109"/>
      <c r="AG42" s="17"/>
      <c r="AH42" s="17"/>
      <c r="AI42" s="17"/>
      <c r="AJ42" s="59"/>
      <c r="AK42" s="17"/>
      <c r="AL42" s="17"/>
      <c r="AM42" s="17"/>
      <c r="AN42" s="101"/>
      <c r="AO42" s="17"/>
      <c r="AP42" s="17"/>
      <c r="AQ42" s="101"/>
      <c r="AR42">
        <f>F42 +G42</f>
        <v>6</v>
      </c>
    </row>
    <row r="43" spans="1:44" hidden="1" x14ac:dyDescent="0.25">
      <c r="A43" t="str">
        <f>B43 &amp; " - " &amp;E43</f>
        <v>Arsenal - Cazorla</v>
      </c>
      <c r="B43" t="s">
        <v>1423</v>
      </c>
      <c r="C43" t="str">
        <f ca="1">IFERROR(VLOOKUP(INDEX(OFFSET(_JOUEURS,0,0,,1),MATCH(A43,OFFSET(_JOUEURS,0,1,,1),0)),_MPG,2,FALSE),"")</f>
        <v>Shame On You</v>
      </c>
      <c r="D43" s="104" t="s">
        <v>369</v>
      </c>
      <c r="E43" s="29" t="s">
        <v>1410</v>
      </c>
      <c r="F43" s="106">
        <v>5</v>
      </c>
      <c r="G43" s="101">
        <v>1</v>
      </c>
      <c r="H43" s="36">
        <v>2</v>
      </c>
      <c r="I43" s="27">
        <f>AVERAGE(K43,L43,M43,N43,O43)</f>
        <v>6.2</v>
      </c>
      <c r="J43" s="79" t="s">
        <v>364</v>
      </c>
      <c r="K43" s="18">
        <v>4</v>
      </c>
      <c r="L43" s="58">
        <v>7</v>
      </c>
      <c r="M43" s="19">
        <v>8</v>
      </c>
      <c r="N43" s="28">
        <v>6</v>
      </c>
      <c r="O43" s="59">
        <v>6</v>
      </c>
      <c r="P43" s="18"/>
      <c r="Q43" s="28"/>
      <c r="R43" s="18"/>
      <c r="S43" s="59"/>
      <c r="T43" s="18"/>
      <c r="U43" s="28"/>
      <c r="V43" s="28"/>
      <c r="W43" s="28"/>
      <c r="X43" s="18"/>
      <c r="Y43" s="18"/>
      <c r="Z43" s="28"/>
      <c r="AA43" s="18"/>
      <c r="AB43" s="18"/>
      <c r="AC43" s="18"/>
      <c r="AD43" s="28"/>
      <c r="AE43" s="20"/>
      <c r="AF43" s="18"/>
      <c r="AG43" s="28"/>
      <c r="AH43" s="18"/>
      <c r="AI43" s="18"/>
      <c r="AJ43" s="18"/>
      <c r="AK43" s="18"/>
      <c r="AL43" s="28"/>
      <c r="AM43" s="28"/>
      <c r="AN43" s="21"/>
      <c r="AO43" s="18"/>
      <c r="AP43" s="28"/>
      <c r="AQ43" s="21"/>
      <c r="AR43">
        <f>F43 +G43</f>
        <v>6</v>
      </c>
    </row>
    <row r="44" spans="1:44" hidden="1" x14ac:dyDescent="0.25">
      <c r="A44" t="str">
        <f>B44 &amp; " - " &amp;E44</f>
        <v>Arsenal - Özil</v>
      </c>
      <c r="B44" t="s">
        <v>1423</v>
      </c>
      <c r="C44" t="str">
        <f ca="1">IFERROR(VLOOKUP(INDEX(OFFSET(_JOUEURS,0,0,,1),MATCH(A44,OFFSET(_JOUEURS,0,1,,1),0)),_MPG,2,FALSE),"")</f>
        <v>Saxe-Gambetta FC</v>
      </c>
      <c r="D44" s="104" t="s">
        <v>369</v>
      </c>
      <c r="E44" s="163" t="s">
        <v>1413</v>
      </c>
      <c r="F44" s="106">
        <v>4</v>
      </c>
      <c r="G44" s="101">
        <v>1</v>
      </c>
      <c r="H44" s="36">
        <v>2</v>
      </c>
      <c r="I44" s="27">
        <f>AVERAGE(L44,M44,N44,O44)</f>
        <v>6</v>
      </c>
      <c r="J44" s="89"/>
      <c r="K44" s="28" t="s">
        <v>364</v>
      </c>
      <c r="L44" s="60">
        <v>6</v>
      </c>
      <c r="M44" s="18">
        <v>5</v>
      </c>
      <c r="N44" s="28">
        <v>6</v>
      </c>
      <c r="O44" s="58">
        <v>7</v>
      </c>
      <c r="P44" s="28"/>
      <c r="Q44" s="28"/>
      <c r="R44" s="28"/>
      <c r="S44" s="17"/>
      <c r="T44" s="28"/>
      <c r="U44" s="18"/>
      <c r="V44" s="18"/>
      <c r="W44" s="28"/>
      <c r="X44" s="28"/>
      <c r="Y44" s="18"/>
      <c r="Z44" s="28"/>
      <c r="AA44" s="28"/>
      <c r="AB44" s="28"/>
      <c r="AC44" s="28"/>
      <c r="AD44" s="28"/>
      <c r="AE44" s="21"/>
      <c r="AF44" s="21"/>
      <c r="AG44" s="18"/>
      <c r="AH44" s="18"/>
      <c r="AI44" s="18"/>
      <c r="AJ44" s="18"/>
      <c r="AK44" s="18"/>
      <c r="AL44" s="18"/>
      <c r="AM44" s="28"/>
      <c r="AN44" s="21"/>
      <c r="AO44" s="18"/>
      <c r="AP44" s="28"/>
      <c r="AQ44" s="21"/>
      <c r="AR44">
        <f>F44 +G44</f>
        <v>5</v>
      </c>
    </row>
    <row r="45" spans="1:44" hidden="1" x14ac:dyDescent="0.25">
      <c r="A45" t="str">
        <f>B45 &amp; " - " &amp;E45</f>
        <v>Man. United - Mata</v>
      </c>
      <c r="B45" t="s">
        <v>1497</v>
      </c>
      <c r="C45" t="str">
        <f ca="1">IFERROR(VLOOKUP(INDEX(OFFSET(_JOUEURS,0,0,,1),MATCH(A45,OFFSET(_JOUEURS,0,1,,1),0)),_MPG,2,FALSE),"")</f>
        <v>Saxe-Gambetta FC</v>
      </c>
      <c r="D45" s="152" t="s">
        <v>369</v>
      </c>
      <c r="E45" s="36" t="s">
        <v>1492</v>
      </c>
      <c r="F45" s="106">
        <v>4</v>
      </c>
      <c r="G45" s="101">
        <v>1</v>
      </c>
      <c r="H45" s="36">
        <v>2</v>
      </c>
      <c r="I45" s="27">
        <f>AVERAGE(J45,K45,L45,O45)</f>
        <v>6.75</v>
      </c>
      <c r="J45" s="108">
        <v>7</v>
      </c>
      <c r="K45" s="17">
        <v>6</v>
      </c>
      <c r="L45" s="59">
        <v>6</v>
      </c>
      <c r="M45" s="17"/>
      <c r="N45" s="28" t="s">
        <v>364</v>
      </c>
      <c r="O45" s="58">
        <v>8</v>
      </c>
      <c r="P45" s="17"/>
      <c r="Q45" s="59"/>
      <c r="R45" s="17"/>
      <c r="S45" s="17"/>
      <c r="T45" s="17"/>
      <c r="U45" s="17"/>
      <c r="V45" s="17"/>
      <c r="W45" s="59"/>
      <c r="X45" s="17"/>
      <c r="Y45" s="17"/>
      <c r="Z45" s="59"/>
      <c r="AA45" s="17"/>
      <c r="AB45" s="17"/>
      <c r="AC45" s="17"/>
      <c r="AD45" s="59"/>
      <c r="AE45" s="101"/>
      <c r="AF45" s="101"/>
      <c r="AG45" s="17"/>
      <c r="AH45" s="17"/>
      <c r="AI45" s="59"/>
      <c r="AJ45" s="17"/>
      <c r="AK45" s="17"/>
      <c r="AL45" s="17"/>
      <c r="AM45" s="59"/>
      <c r="AN45" s="99"/>
      <c r="AO45" s="17"/>
      <c r="AP45" s="59"/>
      <c r="AQ45" s="101"/>
      <c r="AR45">
        <f>F45 +G45</f>
        <v>5</v>
      </c>
    </row>
    <row r="46" spans="1:44" hidden="1" x14ac:dyDescent="0.25">
      <c r="A46" t="str">
        <f>B46 &amp; " - " &amp;E46</f>
        <v>Chelsea - Hazard</v>
      </c>
      <c r="B46" t="s">
        <v>1519</v>
      </c>
      <c r="C46" t="str">
        <f ca="1">IFERROR(VLOOKUP(INDEX(OFFSET(_JOUEURS,0,0,,1),MATCH(A46,OFFSET(_JOUEURS,0,1,,1),0)),_MPG,2,FALSE),"")</f>
        <v>nut fc</v>
      </c>
      <c r="D46" s="23" t="s">
        <v>369</v>
      </c>
      <c r="E46" s="163" t="s">
        <v>1512</v>
      </c>
      <c r="F46" s="149">
        <v>6</v>
      </c>
      <c r="G46" s="150"/>
      <c r="H46" s="61">
        <v>2</v>
      </c>
      <c r="I46" s="135">
        <f>AVERAGE(J46,K46,L46,M46,N46,O46)</f>
        <v>5.666666666666667</v>
      </c>
      <c r="J46" s="126">
        <v>6</v>
      </c>
      <c r="K46" s="67">
        <v>7</v>
      </c>
      <c r="L46" s="58">
        <v>8</v>
      </c>
      <c r="M46" s="59">
        <v>5</v>
      </c>
      <c r="N46" s="59">
        <v>5</v>
      </c>
      <c r="O46" s="145">
        <v>3</v>
      </c>
      <c r="P46" s="59"/>
      <c r="Q46" s="59"/>
      <c r="R46" s="59"/>
      <c r="S46" s="59"/>
      <c r="T46" s="17"/>
      <c r="U46" s="17"/>
      <c r="V46" s="17"/>
      <c r="W46" s="59"/>
      <c r="X46" s="59"/>
      <c r="Y46" s="59"/>
      <c r="Z46" s="59"/>
      <c r="AA46" s="59"/>
      <c r="AB46" s="59"/>
      <c r="AC46" s="17"/>
      <c r="AD46" s="59"/>
      <c r="AE46" s="101"/>
      <c r="AF46" s="99"/>
      <c r="AG46" s="59"/>
      <c r="AH46" s="17"/>
      <c r="AI46" s="59"/>
      <c r="AJ46" s="17"/>
      <c r="AK46" s="17"/>
      <c r="AL46" s="59"/>
      <c r="AM46" s="59"/>
      <c r="AN46" s="99"/>
      <c r="AO46" s="59"/>
      <c r="AP46" s="59"/>
      <c r="AQ46" s="101"/>
      <c r="AR46">
        <f>F46 +G46</f>
        <v>6</v>
      </c>
    </row>
    <row r="47" spans="1:44" hidden="1" x14ac:dyDescent="0.25">
      <c r="A47" t="str">
        <f>B47 &amp; " - " &amp;E47</f>
        <v>Palace - Dann</v>
      </c>
      <c r="B47" t="s">
        <v>1119</v>
      </c>
      <c r="C47" t="str">
        <f ca="1">IFERROR(VLOOKUP(INDEX(OFFSET(_JOUEURS,0,0,,1),MATCH(A47,OFFSET(_JOUEURS,0,1,,1),0)),_MPG,2,FALSE),"")</f>
        <v>The Bastards</v>
      </c>
      <c r="D47" s="104" t="s">
        <v>363</v>
      </c>
      <c r="E47" s="163" t="s">
        <v>1098</v>
      </c>
      <c r="F47" s="106">
        <v>5</v>
      </c>
      <c r="G47" s="101"/>
      <c r="H47" s="36">
        <v>2</v>
      </c>
      <c r="I47" s="135">
        <f>AVERAGE(J47,K47,L47,M47,N47)</f>
        <v>5.8</v>
      </c>
      <c r="J47" s="300">
        <v>5</v>
      </c>
      <c r="K47" s="59">
        <v>4</v>
      </c>
      <c r="L47" s="58">
        <v>7</v>
      </c>
      <c r="M47" s="59">
        <v>6</v>
      </c>
      <c r="N47" s="19">
        <v>7</v>
      </c>
      <c r="O47" s="17"/>
      <c r="P47" s="17"/>
      <c r="Q47" s="17"/>
      <c r="R47" s="59"/>
      <c r="S47" s="17"/>
      <c r="T47" s="17"/>
      <c r="U47" s="17"/>
      <c r="V47" s="59"/>
      <c r="W47" s="59"/>
      <c r="X47" s="59"/>
      <c r="Y47" s="17"/>
      <c r="Z47" s="17"/>
      <c r="AA47" s="59"/>
      <c r="AB47" s="59"/>
      <c r="AC47" s="59"/>
      <c r="AD47" s="17"/>
      <c r="AE47" s="101"/>
      <c r="AF47" s="101"/>
      <c r="AG47" s="17"/>
      <c r="AH47" s="59"/>
      <c r="AI47" s="17"/>
      <c r="AJ47" s="59"/>
      <c r="AK47" s="17"/>
      <c r="AL47" s="17"/>
      <c r="AM47" s="59"/>
      <c r="AN47" s="101"/>
      <c r="AO47" s="59"/>
      <c r="AP47" s="17"/>
      <c r="AQ47" s="101"/>
      <c r="AR47">
        <f>F47 +G47</f>
        <v>5</v>
      </c>
    </row>
    <row r="48" spans="1:44" hidden="1" x14ac:dyDescent="0.25">
      <c r="A48" t="str">
        <f>B48 &amp; " - " &amp;E48</f>
        <v>Palace - Benteke</v>
      </c>
      <c r="B48" t="s">
        <v>1119</v>
      </c>
      <c r="C48" t="str">
        <f ca="1">IFERROR(VLOOKUP(INDEX(OFFSET(_JOUEURS,0,0,,1),MATCH(A48,OFFSET(_JOUEURS,0,1,,1),0)),_MPG,2,FALSE),"")</f>
        <v>I speak pas english</v>
      </c>
      <c r="D48" s="104" t="s">
        <v>372</v>
      </c>
      <c r="E48" s="163" t="s">
        <v>1116</v>
      </c>
      <c r="F48" s="106">
        <v>4</v>
      </c>
      <c r="G48" s="101"/>
      <c r="H48" s="36">
        <v>2</v>
      </c>
      <c r="I48" s="135">
        <f>AVERAGE(L48,M48,N48,O48)</f>
        <v>5.5</v>
      </c>
      <c r="J48" s="124"/>
      <c r="K48" s="59"/>
      <c r="L48" s="59">
        <v>5</v>
      </c>
      <c r="M48" s="60">
        <v>6</v>
      </c>
      <c r="N48" s="17">
        <v>4</v>
      </c>
      <c r="O48" s="19">
        <v>7</v>
      </c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01"/>
      <c r="AF48" s="101"/>
      <c r="AG48" s="17"/>
      <c r="AH48" s="17"/>
      <c r="AI48" s="17"/>
      <c r="AJ48" s="17"/>
      <c r="AK48" s="17"/>
      <c r="AL48" s="17"/>
      <c r="AM48" s="17"/>
      <c r="AN48" s="101"/>
      <c r="AO48" s="17"/>
      <c r="AP48" s="17"/>
      <c r="AQ48" s="101"/>
      <c r="AR48">
        <f>F48 +G48</f>
        <v>4</v>
      </c>
    </row>
    <row r="49" spans="1:44" hidden="1" x14ac:dyDescent="0.25">
      <c r="A49" t="str">
        <f>B49 &amp; " - " &amp;E49</f>
        <v>Tottenham - Kane</v>
      </c>
      <c r="B49" t="s">
        <v>1188</v>
      </c>
      <c r="C49" t="str">
        <f ca="1">IFERROR(VLOOKUP(INDEX(OFFSET(_JOUEURS,0,0,,1),MATCH(A49,OFFSET(_JOUEURS,0,1,,1),0)),_MPG,2,FALSE),"")</f>
        <v>Saxe-Gambetta FC</v>
      </c>
      <c r="D49" s="104" t="s">
        <v>372</v>
      </c>
      <c r="E49" s="163" t="s">
        <v>1186</v>
      </c>
      <c r="F49" s="106">
        <v>5</v>
      </c>
      <c r="G49" s="101"/>
      <c r="H49" s="36">
        <v>2</v>
      </c>
      <c r="I49" s="27">
        <f>AVERAGE(J49,K49,L49,M49,N49)</f>
        <v>5.6</v>
      </c>
      <c r="J49" s="70">
        <v>4</v>
      </c>
      <c r="K49" s="59">
        <v>6</v>
      </c>
      <c r="L49" s="59">
        <v>4</v>
      </c>
      <c r="M49" s="58">
        <v>7</v>
      </c>
      <c r="N49" s="19">
        <v>7</v>
      </c>
      <c r="O49" s="85"/>
      <c r="P49" s="85"/>
      <c r="Q49" s="85"/>
      <c r="R49" s="85"/>
      <c r="S49" s="85"/>
      <c r="T49" s="85"/>
      <c r="U49" s="84"/>
      <c r="V49" s="85"/>
      <c r="W49" s="85"/>
      <c r="X49" s="85"/>
      <c r="Y49" s="85"/>
      <c r="Z49" s="85"/>
      <c r="AA49" s="85"/>
      <c r="AB49" s="85"/>
      <c r="AC49" s="85"/>
      <c r="AD49" s="85"/>
      <c r="AE49" s="86"/>
      <c r="AF49" s="86"/>
      <c r="AG49" s="85"/>
      <c r="AH49" s="84"/>
      <c r="AI49" s="85"/>
      <c r="AJ49" s="85"/>
      <c r="AK49" s="85"/>
      <c r="AL49" s="84"/>
      <c r="AM49" s="85"/>
      <c r="AN49" s="125"/>
      <c r="AO49" s="85"/>
      <c r="AP49" s="85"/>
      <c r="AQ49" s="86"/>
      <c r="AR49">
        <f>F49 +G49</f>
        <v>5</v>
      </c>
    </row>
    <row r="50" spans="1:44" hidden="1" x14ac:dyDescent="0.25">
      <c r="A50" t="str">
        <f>B50 &amp; " - " &amp;E50</f>
        <v>Leicester - Vardy</v>
      </c>
      <c r="B50" t="s">
        <v>1258</v>
      </c>
      <c r="C50" t="str">
        <f ca="1">IFERROR(VLOOKUP(INDEX(OFFSET(_JOUEURS,0,0,,1),MATCH(A50,OFFSET(_JOUEURS,0,1,,1),0)),_MPG,2,FALSE),"")</f>
        <v>I speak pas english</v>
      </c>
      <c r="D50" s="104" t="s">
        <v>372</v>
      </c>
      <c r="E50" s="163" t="s">
        <v>1254</v>
      </c>
      <c r="F50" s="106">
        <v>6</v>
      </c>
      <c r="G50" s="101"/>
      <c r="H50" s="36">
        <v>2</v>
      </c>
      <c r="I50" s="27">
        <f>AVERAGE(J50,K50,L50,M50,N50,O50)</f>
        <v>4.5</v>
      </c>
      <c r="J50" s="228">
        <v>3</v>
      </c>
      <c r="K50" s="28">
        <v>4</v>
      </c>
      <c r="L50" s="60">
        <v>6</v>
      </c>
      <c r="M50" s="60">
        <v>4</v>
      </c>
      <c r="N50" s="28">
        <v>6</v>
      </c>
      <c r="O50" s="28">
        <v>4</v>
      </c>
      <c r="P50" s="28"/>
      <c r="Q50" s="17"/>
      <c r="R50" s="18"/>
      <c r="S50" s="18"/>
      <c r="T50" s="28"/>
      <c r="U50" s="28"/>
      <c r="V50" s="28"/>
      <c r="W50" s="60"/>
      <c r="X50" s="60"/>
      <c r="Y50" s="59"/>
      <c r="Z50" s="59"/>
      <c r="AA50" s="60"/>
      <c r="AB50" s="28"/>
      <c r="AC50" s="28"/>
      <c r="AD50" s="28"/>
      <c r="AE50" s="20"/>
      <c r="AF50" s="21"/>
      <c r="AG50" s="28"/>
      <c r="AH50" s="28"/>
      <c r="AI50" s="16"/>
      <c r="AJ50" s="60"/>
      <c r="AK50" s="28"/>
      <c r="AL50" s="28"/>
      <c r="AM50" s="28"/>
      <c r="AN50" s="21"/>
      <c r="AO50" s="28"/>
      <c r="AP50" s="28"/>
      <c r="AQ50" s="20"/>
      <c r="AR50">
        <f>F50 +G50</f>
        <v>6</v>
      </c>
    </row>
    <row r="51" spans="1:44" hidden="1" x14ac:dyDescent="0.25">
      <c r="A51" t="str">
        <f>B51 &amp; " - " &amp;E51</f>
        <v>Man. City - Iheanacho</v>
      </c>
      <c r="B51" t="s">
        <v>1279</v>
      </c>
      <c r="C51" t="str">
        <f ca="1">IFERROR(VLOOKUP(INDEX(OFFSET(_JOUEURS,0,0,,1),MATCH(A51,OFFSET(_JOUEURS,0,1,,1),0)),_MPG,2,FALSE),"")</f>
        <v>74 c'est la champion's league</v>
      </c>
      <c r="D51" s="276" t="s">
        <v>372</v>
      </c>
      <c r="E51" s="81" t="s">
        <v>1276</v>
      </c>
      <c r="F51" s="195">
        <v>2</v>
      </c>
      <c r="G51" s="196">
        <v>2</v>
      </c>
      <c r="H51" s="197">
        <v>2</v>
      </c>
      <c r="I51" s="55">
        <f>AVERAGE(M51,N51)</f>
        <v>7</v>
      </c>
      <c r="J51" s="70" t="s">
        <v>364</v>
      </c>
      <c r="K51" s="28" t="s">
        <v>364</v>
      </c>
      <c r="L51" s="59"/>
      <c r="M51" s="60">
        <v>6</v>
      </c>
      <c r="N51" s="58">
        <v>8</v>
      </c>
      <c r="O51" s="59"/>
      <c r="P51" s="85"/>
      <c r="Q51" s="59"/>
      <c r="R51" s="17"/>
      <c r="S51" s="59"/>
      <c r="T51" s="59"/>
      <c r="U51" s="59"/>
      <c r="V51" s="59"/>
      <c r="W51" s="59"/>
      <c r="X51" s="59"/>
      <c r="Y51" s="84"/>
      <c r="Z51" s="17"/>
      <c r="AA51" s="85"/>
      <c r="AB51" s="59"/>
      <c r="AC51" s="59"/>
      <c r="AD51" s="59"/>
      <c r="AE51" s="99"/>
      <c r="AF51" s="99"/>
      <c r="AG51" s="17"/>
      <c r="AH51" s="17"/>
      <c r="AI51" s="17"/>
      <c r="AJ51" s="59"/>
      <c r="AK51" s="17"/>
      <c r="AL51" s="17"/>
      <c r="AM51" s="17"/>
      <c r="AN51" s="99"/>
      <c r="AO51" s="17"/>
      <c r="AP51" s="17"/>
      <c r="AQ51" s="101"/>
      <c r="AR51">
        <f>F51 +G51</f>
        <v>4</v>
      </c>
    </row>
    <row r="52" spans="1:44" hidden="1" x14ac:dyDescent="0.25">
      <c r="A52" t="str">
        <f>B52 &amp; " - " &amp;E52</f>
        <v>Man. City - Nolito</v>
      </c>
      <c r="B52" t="s">
        <v>1279</v>
      </c>
      <c r="C52" t="str">
        <f ca="1">IFERROR(VLOOKUP(INDEX(OFFSET(_JOUEURS,0,0,,1),MATCH(A52,OFFSET(_JOUEURS,0,1,,1),0)),_MPG,2,FALSE),"")</f>
        <v>I speak pas english</v>
      </c>
      <c r="D52" s="152" t="s">
        <v>372</v>
      </c>
      <c r="E52" s="163" t="s">
        <v>1277</v>
      </c>
      <c r="F52" s="194">
        <v>4</v>
      </c>
      <c r="G52" s="21">
        <v>1</v>
      </c>
      <c r="H52" s="163">
        <v>2</v>
      </c>
      <c r="I52" s="27">
        <f>AVERAGE(J52,L52,M52,N52)</f>
        <v>5.75</v>
      </c>
      <c r="J52" s="124">
        <v>5</v>
      </c>
      <c r="K52" s="60" t="s">
        <v>364</v>
      </c>
      <c r="L52" s="193">
        <v>7</v>
      </c>
      <c r="M52" s="136">
        <v>5</v>
      </c>
      <c r="N52" s="59">
        <v>6</v>
      </c>
      <c r="O52" s="59"/>
      <c r="P52" s="85"/>
      <c r="Q52" s="59"/>
      <c r="R52" s="17"/>
      <c r="S52" s="59"/>
      <c r="T52" s="59"/>
      <c r="U52" s="59"/>
      <c r="V52" s="59"/>
      <c r="W52" s="59"/>
      <c r="X52" s="59"/>
      <c r="Y52" s="84"/>
      <c r="Z52" s="17"/>
      <c r="AA52" s="85"/>
      <c r="AB52" s="59"/>
      <c r="AC52" s="59"/>
      <c r="AD52" s="59"/>
      <c r="AE52" s="99"/>
      <c r="AF52" s="89"/>
      <c r="AG52" s="17"/>
      <c r="AH52" s="17"/>
      <c r="AI52" s="17"/>
      <c r="AJ52" s="59"/>
      <c r="AK52" s="17"/>
      <c r="AL52" s="17"/>
      <c r="AM52" s="17"/>
      <c r="AN52" s="99"/>
      <c r="AO52" s="17"/>
      <c r="AP52" s="17"/>
      <c r="AQ52" s="101"/>
      <c r="AR52">
        <f>F52 +G52</f>
        <v>5</v>
      </c>
    </row>
    <row r="53" spans="1:44" x14ac:dyDescent="0.25">
      <c r="A53" t="str">
        <f>B53 &amp; " - " &amp;E53</f>
        <v>Middlesbrough - Stuani</v>
      </c>
      <c r="B53" t="s">
        <v>1324</v>
      </c>
      <c r="C53" t="str">
        <f ca="1">IFERROR(VLOOKUP(INDEX(OFFSET(_JOUEURS,0,0,,1),MATCH(A53,OFFSET(_JOUEURS,0,1,,1),0)),_MPG,2,FALSE),"")</f>
        <v/>
      </c>
      <c r="D53" s="152" t="s">
        <v>372</v>
      </c>
      <c r="E53" s="163" t="s">
        <v>1323</v>
      </c>
      <c r="F53" s="106">
        <v>4</v>
      </c>
      <c r="G53" s="101"/>
      <c r="H53" s="36">
        <v>2</v>
      </c>
      <c r="I53" s="27">
        <f>AVERAGE(K53,L53,M53,O53)</f>
        <v>5.25</v>
      </c>
      <c r="J53" s="124"/>
      <c r="K53" s="96">
        <v>8</v>
      </c>
      <c r="L53" s="136">
        <v>5</v>
      </c>
      <c r="M53" s="59">
        <v>4</v>
      </c>
      <c r="N53" s="85"/>
      <c r="O53" s="17">
        <v>4</v>
      </c>
      <c r="P53" s="85"/>
      <c r="Q53" s="59"/>
      <c r="R53" s="17"/>
      <c r="S53" s="17"/>
      <c r="T53" s="59"/>
      <c r="U53" s="59"/>
      <c r="V53" s="84"/>
      <c r="W53" s="85"/>
      <c r="X53" s="17"/>
      <c r="Y53" s="85"/>
      <c r="Z53" s="59"/>
      <c r="AA53" s="17"/>
      <c r="AB53" s="17"/>
      <c r="AC53" s="59"/>
      <c r="AD53" s="59"/>
      <c r="AE53" s="125"/>
      <c r="AF53" s="293"/>
      <c r="AG53" s="17"/>
      <c r="AH53" s="85"/>
      <c r="AI53" s="59"/>
      <c r="AJ53" s="17"/>
      <c r="AK53" s="17"/>
      <c r="AL53" s="59"/>
      <c r="AM53" s="59"/>
      <c r="AN53" s="99"/>
      <c r="AO53" s="59"/>
      <c r="AP53" s="59"/>
      <c r="AQ53" s="101"/>
      <c r="AR53">
        <f>F53 +G53</f>
        <v>4</v>
      </c>
    </row>
    <row r="54" spans="1:44" hidden="1" x14ac:dyDescent="0.25">
      <c r="A54" t="str">
        <f>B54 &amp; " - " &amp;E54</f>
        <v>Southampton - Austin</v>
      </c>
      <c r="B54" t="s">
        <v>1367</v>
      </c>
      <c r="C54" t="str">
        <f ca="1">IFERROR(VLOOKUP(INDEX(OFFSET(_JOUEURS,0,0,,1),MATCH(A54,OFFSET(_JOUEURS,0,1,,1),0)),_MPG,2,FALSE),"")</f>
        <v>nut fc</v>
      </c>
      <c r="D54" s="104" t="s">
        <v>372</v>
      </c>
      <c r="E54" s="163" t="s">
        <v>1365</v>
      </c>
      <c r="F54" s="106">
        <v>2</v>
      </c>
      <c r="G54" s="101">
        <v>3</v>
      </c>
      <c r="H54" s="36">
        <v>2</v>
      </c>
      <c r="I54" s="27">
        <f>AVERAGE(L54,O54)</f>
        <v>5.5</v>
      </c>
      <c r="J54" s="70" t="s">
        <v>364</v>
      </c>
      <c r="K54" s="62" t="s">
        <v>364</v>
      </c>
      <c r="L54" s="28">
        <v>4</v>
      </c>
      <c r="M54" s="18"/>
      <c r="N54" s="60" t="s">
        <v>364</v>
      </c>
      <c r="O54" s="58">
        <v>7</v>
      </c>
      <c r="P54" s="60"/>
      <c r="Q54" s="28"/>
      <c r="R54" s="28"/>
      <c r="S54" s="28"/>
      <c r="T54" s="60"/>
      <c r="U54" s="18"/>
      <c r="V54" s="28"/>
      <c r="W54" s="18"/>
      <c r="X54" s="28"/>
      <c r="Y54" s="28"/>
      <c r="Z54" s="28"/>
      <c r="AA54" s="28"/>
      <c r="AB54" s="28"/>
      <c r="AC54" s="28"/>
      <c r="AD54" s="28"/>
      <c r="AE54" s="21"/>
      <c r="AF54" s="79"/>
      <c r="AG54" s="18"/>
      <c r="AH54" s="28"/>
      <c r="AI54" s="18"/>
      <c r="AJ54" s="18"/>
      <c r="AK54" s="28"/>
      <c r="AL54" s="28"/>
      <c r="AM54" s="28"/>
      <c r="AN54" s="20"/>
      <c r="AO54" s="18"/>
      <c r="AP54" s="18"/>
      <c r="AQ54" s="21"/>
    </row>
    <row r="55" spans="1:44" hidden="1" x14ac:dyDescent="0.25">
      <c r="A55" t="str">
        <f>B55 &amp; " - " &amp;E55</f>
        <v>Leicester - Slimani</v>
      </c>
      <c r="B55" t="s">
        <v>1258</v>
      </c>
      <c r="C55" t="str">
        <f ca="1">IFERROR(VLOOKUP(INDEX(OFFSET(_JOUEURS,0,0,,1),MATCH(A55,OFFSET(_JOUEURS,0,1,,1),0)),_MPG,2,FALSE),"")</f>
        <v>The Bastards</v>
      </c>
      <c r="D55" s="152" t="s">
        <v>372</v>
      </c>
      <c r="E55" s="163" t="s">
        <v>1256</v>
      </c>
      <c r="F55" s="106">
        <v>2</v>
      </c>
      <c r="G55" s="101"/>
      <c r="H55" s="36">
        <v>2</v>
      </c>
      <c r="I55" s="27">
        <f>AVERAGE(N55,O55)</f>
        <v>6</v>
      </c>
      <c r="J55" s="122"/>
      <c r="K55" s="59"/>
      <c r="L55" s="28"/>
      <c r="M55" s="28"/>
      <c r="N55" s="58">
        <v>8</v>
      </c>
      <c r="O55" s="59">
        <v>4</v>
      </c>
      <c r="P55" s="84"/>
      <c r="Q55" s="16"/>
      <c r="R55" s="85"/>
      <c r="S55" s="85"/>
      <c r="T55" s="84"/>
      <c r="U55" s="84"/>
      <c r="V55" s="84"/>
      <c r="W55" s="16"/>
      <c r="X55" s="85"/>
      <c r="Y55" s="85"/>
      <c r="Z55" s="84"/>
      <c r="AA55" s="85"/>
      <c r="AB55" s="84"/>
      <c r="AC55" s="84"/>
      <c r="AD55" s="84"/>
      <c r="AE55" s="125"/>
      <c r="AF55" s="86"/>
      <c r="AG55" s="84"/>
      <c r="AH55" s="84"/>
      <c r="AI55" s="85"/>
      <c r="AJ55" s="84"/>
      <c r="AK55" s="84"/>
      <c r="AL55" s="84"/>
      <c r="AM55" s="84"/>
      <c r="AN55" s="86"/>
      <c r="AO55" s="84"/>
      <c r="AP55" s="84"/>
      <c r="AQ55" s="125"/>
      <c r="AR55">
        <f>F55 +G55</f>
        <v>2</v>
      </c>
    </row>
    <row r="56" spans="1:44" hidden="1" x14ac:dyDescent="0.25">
      <c r="A56" t="str">
        <f>B56 &amp; " - " &amp;E56</f>
        <v>Watford - Deeney</v>
      </c>
      <c r="B56" t="s">
        <v>1393</v>
      </c>
      <c r="C56" t="str">
        <f ca="1">IFERROR(VLOOKUP(INDEX(OFFSET(_JOUEURS,0,0,,1),MATCH(A56,OFFSET(_JOUEURS,0,1,,1),0)),_MPG,2,FALSE),"")</f>
        <v>The Bastards</v>
      </c>
      <c r="D56" s="104" t="s">
        <v>372</v>
      </c>
      <c r="E56" s="163" t="s">
        <v>1388</v>
      </c>
      <c r="F56" s="106">
        <v>6</v>
      </c>
      <c r="G56" s="101"/>
      <c r="H56" s="36">
        <v>2</v>
      </c>
      <c r="I56" s="27">
        <f>AVERAGE(J56,K56,L56,M56,N56,O56)</f>
        <v>5</v>
      </c>
      <c r="J56" s="124">
        <v>6</v>
      </c>
      <c r="K56" s="17">
        <v>5</v>
      </c>
      <c r="L56" s="145">
        <v>3</v>
      </c>
      <c r="M56" s="60">
        <v>6</v>
      </c>
      <c r="N56" s="16">
        <v>6</v>
      </c>
      <c r="O56" s="17">
        <v>4</v>
      </c>
      <c r="P56" s="17"/>
      <c r="Q56" s="17"/>
      <c r="R56" s="17"/>
      <c r="S56" s="17"/>
      <c r="T56" s="17"/>
      <c r="U56" s="59"/>
      <c r="V56" s="17"/>
      <c r="W56" s="17"/>
      <c r="X56" s="17"/>
      <c r="Y56" s="17"/>
      <c r="Z56" s="17"/>
      <c r="AA56" s="17"/>
      <c r="AB56" s="17"/>
      <c r="AC56" s="17"/>
      <c r="AD56" s="17"/>
      <c r="AE56" s="101"/>
      <c r="AF56" s="17"/>
      <c r="AG56" s="17"/>
      <c r="AH56" s="17"/>
      <c r="AI56" s="17"/>
      <c r="AJ56" s="17"/>
      <c r="AK56" s="17"/>
      <c r="AL56" s="17"/>
      <c r="AM56" s="17"/>
      <c r="AN56" s="101"/>
      <c r="AO56" s="17"/>
      <c r="AP56" s="17"/>
      <c r="AQ56" s="101"/>
      <c r="AR56">
        <f>F56 +G56</f>
        <v>6</v>
      </c>
    </row>
    <row r="57" spans="1:44" hidden="1" x14ac:dyDescent="0.25">
      <c r="A57" t="str">
        <f>B57 &amp; " - " &amp;E57</f>
        <v>Liverpool - Firmino</v>
      </c>
      <c r="B57" t="s">
        <v>1446</v>
      </c>
      <c r="C57" t="str">
        <f ca="1">IFERROR(VLOOKUP(INDEX(OFFSET(_JOUEURS,0,0,,1),MATCH(A57,OFFSET(_JOUEURS,0,1,,1),0)),_MPG,2,FALSE),"")</f>
        <v>74 c'est la champion's league</v>
      </c>
      <c r="D57" s="23" t="s">
        <v>372</v>
      </c>
      <c r="E57" s="163" t="s">
        <v>1442</v>
      </c>
      <c r="F57" s="25">
        <v>5</v>
      </c>
      <c r="G57" s="77"/>
      <c r="H57" s="56">
        <v>2</v>
      </c>
      <c r="I57" s="27">
        <f>AVERAGE(J57,K57,L57,M57,O57)</f>
        <v>6</v>
      </c>
      <c r="J57" s="124">
        <v>4</v>
      </c>
      <c r="K57" s="59">
        <v>6</v>
      </c>
      <c r="L57" s="59">
        <v>6</v>
      </c>
      <c r="M57" s="58">
        <v>8</v>
      </c>
      <c r="N57" s="59"/>
      <c r="O57" s="59">
        <v>6</v>
      </c>
      <c r="P57" s="17"/>
      <c r="Q57" s="59"/>
      <c r="R57" s="17"/>
      <c r="S57" s="17"/>
      <c r="T57" s="17"/>
      <c r="U57" s="17"/>
      <c r="V57" s="59"/>
      <c r="W57" s="59"/>
      <c r="X57" s="17"/>
      <c r="Y57" s="17"/>
      <c r="Z57" s="59"/>
      <c r="AA57" s="17"/>
      <c r="AB57" s="59"/>
      <c r="AC57" s="17"/>
      <c r="AD57" s="59"/>
      <c r="AE57" s="101"/>
      <c r="AF57" s="59"/>
      <c r="AG57" s="17"/>
      <c r="AH57" s="17"/>
      <c r="AI57" s="17"/>
      <c r="AJ57" s="17"/>
      <c r="AK57" s="17"/>
      <c r="AL57" s="59"/>
      <c r="AM57" s="59"/>
      <c r="AN57" s="99"/>
      <c r="AO57" s="17"/>
      <c r="AP57" s="59"/>
      <c r="AQ57" s="101"/>
      <c r="AR57">
        <f>F57 +G57</f>
        <v>5</v>
      </c>
    </row>
    <row r="58" spans="1:44" x14ac:dyDescent="0.25">
      <c r="A58" t="str">
        <f>B58 &amp; " - " &amp;E58</f>
        <v>Burnley - Defour</v>
      </c>
      <c r="B58" t="s">
        <v>1069</v>
      </c>
      <c r="C58" t="str">
        <f ca="1">IFERROR(VLOOKUP(INDEX(OFFSET(_JOUEURS,0,0,,1),MATCH(A58,OFFSET(_JOUEURS,0,1,,1),0)),_MPG,2,FALSE),"")</f>
        <v/>
      </c>
      <c r="D58" s="104" t="s">
        <v>369</v>
      </c>
      <c r="E58" s="163" t="s">
        <v>1061</v>
      </c>
      <c r="F58" s="194">
        <v>5</v>
      </c>
      <c r="G58" s="21"/>
      <c r="H58" s="163">
        <v>1</v>
      </c>
      <c r="I58" s="27">
        <f>AVERAGE(K58,L58,M58,N58,O58)</f>
        <v>6</v>
      </c>
      <c r="J58" s="29"/>
      <c r="K58" s="59">
        <v>6</v>
      </c>
      <c r="L58" s="18">
        <v>5</v>
      </c>
      <c r="M58" s="19">
        <v>7</v>
      </c>
      <c r="N58" s="18">
        <v>4</v>
      </c>
      <c r="O58" s="66">
        <v>8</v>
      </c>
      <c r="P58" s="18"/>
      <c r="Q58" s="18"/>
      <c r="R58" s="18"/>
      <c r="S58" s="18"/>
      <c r="T58" s="18"/>
      <c r="U58" s="18"/>
      <c r="V58" s="28"/>
      <c r="W58" s="18"/>
      <c r="X58" s="18"/>
      <c r="Y58" s="18"/>
      <c r="Z58" s="18"/>
      <c r="AA58" s="18"/>
      <c r="AB58" s="18"/>
      <c r="AC58" s="28"/>
      <c r="AD58" s="18"/>
      <c r="AE58" s="21"/>
      <c r="AF58" s="223"/>
      <c r="AG58" s="28"/>
      <c r="AH58" s="18"/>
      <c r="AI58" s="28"/>
      <c r="AJ58" s="18"/>
      <c r="AK58" s="28"/>
      <c r="AL58" s="28"/>
      <c r="AM58" s="18"/>
      <c r="AN58" s="22"/>
      <c r="AO58" s="18"/>
      <c r="AP58" s="18"/>
      <c r="AQ58" s="20"/>
      <c r="AR58">
        <f>F58 +G58</f>
        <v>5</v>
      </c>
    </row>
    <row r="59" spans="1:44" x14ac:dyDescent="0.25">
      <c r="A59" t="str">
        <f>B59 &amp; " - " &amp;E59</f>
        <v>Burnley - Hendrick</v>
      </c>
      <c r="B59" t="s">
        <v>1069</v>
      </c>
      <c r="C59" t="str">
        <f ca="1">IFERROR(VLOOKUP(INDEX(OFFSET(_JOUEURS,0,0,,1),MATCH(A59,OFFSET(_JOUEURS,0,1,,1),0)),_MPG,2,FALSE),"")</f>
        <v/>
      </c>
      <c r="D59" s="80" t="s">
        <v>369</v>
      </c>
      <c r="E59" s="197" t="s">
        <v>1063</v>
      </c>
      <c r="F59" s="195">
        <v>2</v>
      </c>
      <c r="G59" s="196">
        <v>1</v>
      </c>
      <c r="H59" s="197">
        <v>1</v>
      </c>
      <c r="I59" s="55">
        <f>AVERAGE(N59,O59)</f>
        <v>5</v>
      </c>
      <c r="J59" s="29"/>
      <c r="K59" s="28"/>
      <c r="L59" s="28"/>
      <c r="M59" s="28" t="s">
        <v>364</v>
      </c>
      <c r="N59" s="18">
        <v>4</v>
      </c>
      <c r="O59" s="16">
        <v>6</v>
      </c>
      <c r="P59" s="18"/>
      <c r="Q59" s="18"/>
      <c r="R59" s="18"/>
      <c r="S59" s="18"/>
      <c r="T59" s="18"/>
      <c r="U59" s="18"/>
      <c r="V59" s="28"/>
      <c r="W59" s="18"/>
      <c r="X59" s="18"/>
      <c r="Y59" s="18"/>
      <c r="Z59" s="18"/>
      <c r="AA59" s="18"/>
      <c r="AB59" s="18"/>
      <c r="AC59" s="28"/>
      <c r="AD59" s="18"/>
      <c r="AE59" s="21"/>
      <c r="AF59" s="126"/>
      <c r="AG59" s="28"/>
      <c r="AH59" s="18"/>
      <c r="AI59" s="28"/>
      <c r="AJ59" s="18"/>
      <c r="AK59" s="28"/>
      <c r="AL59" s="28"/>
      <c r="AM59" s="18"/>
      <c r="AN59" s="99"/>
      <c r="AO59" s="18"/>
      <c r="AP59" s="18"/>
      <c r="AQ59" s="21"/>
      <c r="AR59">
        <f>F59 +G59</f>
        <v>3</v>
      </c>
    </row>
    <row r="60" spans="1:44" hidden="1" x14ac:dyDescent="0.25">
      <c r="A60" t="str">
        <f>B60 &amp; " - " &amp;E60</f>
        <v>Swansea - Sigurdsson</v>
      </c>
      <c r="B60" t="s">
        <v>1095</v>
      </c>
      <c r="C60" t="str">
        <f ca="1">IFERROR(VLOOKUP(INDEX(OFFSET(_JOUEURS,0,0,,1),MATCH(A60,OFFSET(_JOUEURS,0,1,,1),0)),_MPG,2,FALSE),"")</f>
        <v>74 c'est la champion's league</v>
      </c>
      <c r="D60" s="23" t="s">
        <v>369</v>
      </c>
      <c r="E60" s="29" t="s">
        <v>1086</v>
      </c>
      <c r="F60" s="194">
        <v>5</v>
      </c>
      <c r="G60" s="21">
        <v>1</v>
      </c>
      <c r="H60" s="175">
        <v>1</v>
      </c>
      <c r="I60" s="27">
        <f>AVERAGE(K60,L60,M60,N60,O60)</f>
        <v>5.2</v>
      </c>
      <c r="J60" s="169" t="s">
        <v>364</v>
      </c>
      <c r="K60" s="57">
        <v>5</v>
      </c>
      <c r="L60" s="18">
        <v>5</v>
      </c>
      <c r="M60" s="60">
        <v>6</v>
      </c>
      <c r="N60" s="18">
        <v>4</v>
      </c>
      <c r="O60" s="18">
        <v>6</v>
      </c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21"/>
      <c r="AF60" s="18"/>
      <c r="AG60" s="18"/>
      <c r="AH60" s="18"/>
      <c r="AI60" s="18"/>
      <c r="AJ60" s="18"/>
      <c r="AK60" s="18"/>
      <c r="AL60" s="18"/>
      <c r="AM60" s="17"/>
      <c r="AN60" s="21"/>
      <c r="AO60" s="18"/>
      <c r="AP60" s="18"/>
      <c r="AQ60" s="21"/>
      <c r="AR60">
        <f>F60 +G60</f>
        <v>6</v>
      </c>
    </row>
    <row r="61" spans="1:44" hidden="1" x14ac:dyDescent="0.25">
      <c r="A61" t="str">
        <f>B61 &amp; " - " &amp;E61</f>
        <v>Palace - Townsend</v>
      </c>
      <c r="B61" t="s">
        <v>1119</v>
      </c>
      <c r="C61" t="str">
        <f ca="1">IFERROR(VLOOKUP(INDEX(OFFSET(_JOUEURS,0,0,,1),MATCH(A61,OFFSET(_JOUEURS,0,1,,1),0)),_MPG,2,FALSE),"")</f>
        <v>The Bastards</v>
      </c>
      <c r="D61" s="104" t="s">
        <v>369</v>
      </c>
      <c r="E61" s="163" t="s">
        <v>1103</v>
      </c>
      <c r="F61" s="106">
        <v>6</v>
      </c>
      <c r="G61" s="101"/>
      <c r="H61" s="36">
        <v>1</v>
      </c>
      <c r="I61" s="135">
        <f>AVERAGE(J61,K61,L61,M61,N61,O61)</f>
        <v>5.166666666666667</v>
      </c>
      <c r="J61" s="89">
        <v>6</v>
      </c>
      <c r="K61" s="59">
        <v>4</v>
      </c>
      <c r="L61" s="59">
        <v>5</v>
      </c>
      <c r="M61" s="59">
        <v>6</v>
      </c>
      <c r="N61" s="19">
        <v>7</v>
      </c>
      <c r="O61" s="145">
        <v>3</v>
      </c>
      <c r="P61" s="17"/>
      <c r="Q61" s="59"/>
      <c r="R61" s="17"/>
      <c r="S61" s="59"/>
      <c r="T61" s="17"/>
      <c r="U61" s="59"/>
      <c r="V61" s="17"/>
      <c r="W61" s="17"/>
      <c r="X61" s="59"/>
      <c r="Y61" s="17"/>
      <c r="Z61" s="17"/>
      <c r="AA61" s="17"/>
      <c r="AB61" s="17"/>
      <c r="AC61" s="224"/>
      <c r="AD61" s="17"/>
      <c r="AE61" s="101"/>
      <c r="AF61" s="101"/>
      <c r="AG61" s="17"/>
      <c r="AH61" s="17"/>
      <c r="AI61" s="17"/>
      <c r="AJ61" s="17"/>
      <c r="AK61" s="17"/>
      <c r="AL61" s="17"/>
      <c r="AM61" s="17"/>
      <c r="AN61" s="101"/>
      <c r="AO61" s="17"/>
      <c r="AP61" s="17"/>
      <c r="AQ61" s="101"/>
      <c r="AR61">
        <f>F61 +G61</f>
        <v>6</v>
      </c>
    </row>
    <row r="62" spans="1:44" hidden="1" x14ac:dyDescent="0.25">
      <c r="A62" t="str">
        <f>B62 &amp; " - " &amp;E62</f>
        <v>Palace - Tomkins</v>
      </c>
      <c r="B62" t="s">
        <v>1119</v>
      </c>
      <c r="C62" t="str">
        <f ca="1">IFERROR(VLOOKUP(INDEX(OFFSET(_JOUEURS,0,0,,1),MATCH(A62,OFFSET(_JOUEURS,0,1,,1),0)),_MPG,2,FALSE),"")</f>
        <v>The Bastards</v>
      </c>
      <c r="D62" s="104" t="s">
        <v>369</v>
      </c>
      <c r="E62" s="163" t="s">
        <v>1111</v>
      </c>
      <c r="F62" s="106">
        <v>2</v>
      </c>
      <c r="G62" s="101">
        <v>1</v>
      </c>
      <c r="H62" s="36">
        <v>1</v>
      </c>
      <c r="I62" s="135">
        <f>AVERAGE(N62,O62)</f>
        <v>6</v>
      </c>
      <c r="J62" s="89"/>
      <c r="K62" s="28" t="s">
        <v>364</v>
      </c>
      <c r="L62" s="59"/>
      <c r="M62" s="225"/>
      <c r="N62" s="19">
        <v>7</v>
      </c>
      <c r="O62" s="17">
        <v>5</v>
      </c>
      <c r="P62" s="17"/>
      <c r="Q62" s="17"/>
      <c r="R62" s="17"/>
      <c r="S62" s="17"/>
      <c r="T62" s="17"/>
      <c r="U62" s="59"/>
      <c r="V62" s="59"/>
      <c r="W62" s="59"/>
      <c r="X62" s="225"/>
      <c r="Y62" s="17"/>
      <c r="Z62" s="224"/>
      <c r="AA62" s="17"/>
      <c r="AB62" s="17"/>
      <c r="AC62" s="17"/>
      <c r="AD62" s="17"/>
      <c r="AE62" s="226"/>
      <c r="AF62" s="109"/>
      <c r="AG62" s="17"/>
      <c r="AH62" s="224"/>
      <c r="AI62" s="17"/>
      <c r="AJ62" s="17"/>
      <c r="AK62" s="224"/>
      <c r="AL62" s="17"/>
      <c r="AM62" s="224"/>
      <c r="AN62" s="101"/>
      <c r="AO62" s="59"/>
      <c r="AP62" s="17"/>
      <c r="AQ62" s="101"/>
      <c r="AR62">
        <f>F62 +G62</f>
        <v>3</v>
      </c>
    </row>
    <row r="63" spans="1:44" hidden="1" x14ac:dyDescent="0.25">
      <c r="A63" t="str">
        <f>B63 &amp; " - " &amp;E63</f>
        <v>Palace - Zaha</v>
      </c>
      <c r="B63" t="s">
        <v>1119</v>
      </c>
      <c r="C63" t="str">
        <f ca="1">IFERROR(VLOOKUP(INDEX(OFFSET(_JOUEURS,0,0,,1),MATCH(A63,OFFSET(_JOUEURS,0,1,,1),0)),_MPG,2,FALSE),"")</f>
        <v>Shame On You</v>
      </c>
      <c r="D63" s="104" t="s">
        <v>369</v>
      </c>
      <c r="E63" s="163" t="s">
        <v>1107</v>
      </c>
      <c r="F63" s="106">
        <v>4</v>
      </c>
      <c r="G63" s="101">
        <v>1</v>
      </c>
      <c r="H63" s="36">
        <v>1</v>
      </c>
      <c r="I63" s="135">
        <f>AVERAGE(J63,K63,M63,N63)</f>
        <v>5.25</v>
      </c>
      <c r="J63" s="322">
        <v>3</v>
      </c>
      <c r="K63" s="59">
        <v>5</v>
      </c>
      <c r="L63" s="28" t="s">
        <v>364</v>
      </c>
      <c r="M63" s="58">
        <v>7</v>
      </c>
      <c r="N63" s="17">
        <v>6</v>
      </c>
      <c r="O63" s="59"/>
      <c r="P63" s="224"/>
      <c r="Q63" s="17"/>
      <c r="R63" s="59"/>
      <c r="S63" s="17"/>
      <c r="T63" s="17"/>
      <c r="U63" s="17"/>
      <c r="V63" s="17"/>
      <c r="W63" s="224"/>
      <c r="X63" s="17"/>
      <c r="Y63" s="17"/>
      <c r="Z63" s="17"/>
      <c r="AA63" s="17"/>
      <c r="AB63" s="17"/>
      <c r="AC63" s="59"/>
      <c r="AD63" s="17"/>
      <c r="AE63" s="99"/>
      <c r="AF63" s="109"/>
      <c r="AG63" s="17"/>
      <c r="AH63" s="17"/>
      <c r="AI63" s="17"/>
      <c r="AJ63" s="17"/>
      <c r="AK63" s="59"/>
      <c r="AL63" s="59"/>
      <c r="AM63" s="224"/>
      <c r="AN63" s="101"/>
      <c r="AO63" s="17"/>
      <c r="AP63" s="224"/>
      <c r="AQ63" s="101"/>
      <c r="AR63">
        <f>F63 +G63</f>
        <v>5</v>
      </c>
    </row>
    <row r="64" spans="1:44" ht="15.75" hidden="1" thickBot="1" x14ac:dyDescent="0.3">
      <c r="A64" t="str">
        <f>B64 &amp; " - " &amp;E64</f>
        <v>Palace - Ledley</v>
      </c>
      <c r="B64" t="s">
        <v>1119</v>
      </c>
      <c r="C64" t="str">
        <f ca="1">IFERROR(VLOOKUP(INDEX(OFFSET(_JOUEURS,0,0,,1),MATCH(A64,OFFSET(_JOUEURS,0,1,,1),0)),_MPG,2,FALSE),"")</f>
        <v>myteam</v>
      </c>
      <c r="D64" s="128" t="s">
        <v>369</v>
      </c>
      <c r="E64" s="176" t="s">
        <v>1110</v>
      </c>
      <c r="F64" s="118">
        <v>4</v>
      </c>
      <c r="G64" s="119"/>
      <c r="H64" s="120">
        <v>1</v>
      </c>
      <c r="I64" s="210">
        <f>AVERAGE(K64,M64,N64,O64)</f>
        <v>5.5</v>
      </c>
      <c r="J64" s="89"/>
      <c r="K64" s="59">
        <v>5</v>
      </c>
      <c r="L64" s="59"/>
      <c r="M64" s="59">
        <v>5</v>
      </c>
      <c r="N64" s="17">
        <v>6</v>
      </c>
      <c r="O64" s="16">
        <v>6</v>
      </c>
      <c r="P64" s="17"/>
      <c r="Q64" s="17"/>
      <c r="R64" s="17"/>
      <c r="S64" s="17"/>
      <c r="T64" s="17"/>
      <c r="U64" s="59"/>
      <c r="V64" s="59"/>
      <c r="W64" s="59"/>
      <c r="X64" s="225"/>
      <c r="Y64" s="17"/>
      <c r="Z64" s="224"/>
      <c r="AA64" s="17"/>
      <c r="AB64" s="17"/>
      <c r="AC64" s="17"/>
      <c r="AD64" s="17"/>
      <c r="AE64" s="226"/>
      <c r="AF64" s="109"/>
      <c r="AG64" s="17"/>
      <c r="AH64" s="224"/>
      <c r="AI64" s="17"/>
      <c r="AJ64" s="17"/>
      <c r="AK64" s="224"/>
      <c r="AL64" s="59"/>
      <c r="AM64" s="224"/>
      <c r="AN64" s="99"/>
      <c r="AO64" s="17"/>
      <c r="AP64" s="17"/>
      <c r="AQ64" s="101"/>
      <c r="AR64">
        <f>F64 +G64</f>
        <v>4</v>
      </c>
    </row>
    <row r="65" spans="1:44" hidden="1" x14ac:dyDescent="0.25">
      <c r="A65" t="str">
        <f>B65 &amp; " - " &amp;E65</f>
        <v>WBA - McClean</v>
      </c>
      <c r="B65" t="s">
        <v>1144</v>
      </c>
      <c r="C65" t="str">
        <f ca="1">IFERROR(VLOOKUP(INDEX(OFFSET(_JOUEURS,0,0,,1),MATCH(A65,OFFSET(_JOUEURS,0,1,,1),0)),_MPG,2,FALSE),"")</f>
        <v>Shame On You</v>
      </c>
      <c r="D65" s="202" t="s">
        <v>369</v>
      </c>
      <c r="E65" s="219" t="s">
        <v>1134</v>
      </c>
      <c r="F65" s="203">
        <v>3</v>
      </c>
      <c r="G65" s="204">
        <v>2</v>
      </c>
      <c r="H65" s="205">
        <v>1</v>
      </c>
      <c r="I65" s="14">
        <f>AVERAGE(L65,N65,O65)</f>
        <v>5.333333333333333</v>
      </c>
      <c r="J65" s="28" t="s">
        <v>364</v>
      </c>
      <c r="K65" s="28" t="s">
        <v>364</v>
      </c>
      <c r="L65" s="28">
        <v>5</v>
      </c>
      <c r="M65" s="28"/>
      <c r="N65" s="58">
        <v>7</v>
      </c>
      <c r="O65" s="28">
        <v>4</v>
      </c>
      <c r="P65" s="18"/>
      <c r="Q65" s="18"/>
      <c r="R65" s="28"/>
      <c r="S65" s="28"/>
      <c r="T65" s="28"/>
      <c r="U65" s="18"/>
      <c r="V65" s="18"/>
      <c r="W65" s="28"/>
      <c r="X65" s="28"/>
      <c r="Y65" s="18"/>
      <c r="Z65" s="18"/>
      <c r="AA65" s="28"/>
      <c r="AB65" s="18"/>
      <c r="AC65" s="21"/>
      <c r="AD65" s="18"/>
      <c r="AE65" s="18"/>
      <c r="AF65" s="28"/>
      <c r="AG65" s="21"/>
      <c r="AH65" s="18"/>
      <c r="AI65" s="21"/>
      <c r="AJ65" s="18"/>
      <c r="AK65" s="20"/>
      <c r="AL65" s="18"/>
      <c r="AM65" s="18"/>
      <c r="AN65" s="18"/>
      <c r="AO65" s="21"/>
      <c r="AP65" s="18"/>
      <c r="AQ65" s="18"/>
      <c r="AR65">
        <f>F65 +G65</f>
        <v>5</v>
      </c>
    </row>
    <row r="66" spans="1:44" hidden="1" x14ac:dyDescent="0.25">
      <c r="A66" t="str">
        <f>B66 &amp; " - " &amp;E66</f>
        <v>Tottenham - Lamela</v>
      </c>
      <c r="B66" t="s">
        <v>1188</v>
      </c>
      <c r="C66" t="str">
        <f ca="1">IFERROR(VLOOKUP(INDEX(OFFSET(_JOUEURS,0,0,,1),MATCH(A66,OFFSET(_JOUEURS,0,1,,1),0)),_MPG,2,FALSE),"")</f>
        <v>nut fc</v>
      </c>
      <c r="D66" s="104" t="s">
        <v>369</v>
      </c>
      <c r="E66" s="29" t="s">
        <v>1176</v>
      </c>
      <c r="F66" s="106">
        <v>3</v>
      </c>
      <c r="G66" s="101">
        <v>3</v>
      </c>
      <c r="H66" s="36">
        <v>1</v>
      </c>
      <c r="I66" s="27">
        <f>AVERAGE(J66,K66,L66)</f>
        <v>5.666666666666667</v>
      </c>
      <c r="J66" s="16">
        <v>6</v>
      </c>
      <c r="K66" s="17">
        <v>5</v>
      </c>
      <c r="L66" s="17">
        <v>6</v>
      </c>
      <c r="M66" s="20" t="s">
        <v>364</v>
      </c>
      <c r="N66" s="79" t="s">
        <v>364</v>
      </c>
      <c r="O66" s="28" t="s">
        <v>364</v>
      </c>
      <c r="P66" s="59"/>
      <c r="Q66" s="17"/>
      <c r="R66" s="17"/>
      <c r="S66" s="17"/>
      <c r="T66" s="17"/>
      <c r="U66" s="17"/>
      <c r="V66" s="17"/>
      <c r="W66" s="59"/>
      <c r="X66" s="17"/>
      <c r="Y66" s="59"/>
      <c r="Z66" s="17"/>
      <c r="AA66" s="17"/>
      <c r="AB66" s="17"/>
      <c r="AC66" s="59"/>
      <c r="AD66" s="17"/>
      <c r="AE66" s="17"/>
      <c r="AF66" s="59"/>
      <c r="AG66" s="101"/>
      <c r="AH66" s="17"/>
      <c r="AI66" s="101"/>
      <c r="AJ66" s="17"/>
      <c r="AK66" s="101"/>
      <c r="AL66" s="17"/>
      <c r="AM66" s="17"/>
      <c r="AN66" s="17"/>
      <c r="AO66" s="101"/>
      <c r="AP66" s="17"/>
      <c r="AQ66" s="17"/>
      <c r="AR66">
        <f>F66 +G66</f>
        <v>6</v>
      </c>
    </row>
    <row r="67" spans="1:44" hidden="1" x14ac:dyDescent="0.25">
      <c r="A67" t="str">
        <f>B67 &amp; " - " &amp;E67</f>
        <v>Tottenham - Dele Alli</v>
      </c>
      <c r="B67" t="s">
        <v>1188</v>
      </c>
      <c r="C67" t="str">
        <f ca="1">IFERROR(VLOOKUP(INDEX(OFFSET(_JOUEURS,0,0,,1),MATCH(A67,OFFSET(_JOUEURS,0,1,,1),0)),_MPG,2,FALSE),"")</f>
        <v>Saxe-Gambetta FC</v>
      </c>
      <c r="D67" s="276" t="s">
        <v>369</v>
      </c>
      <c r="E67" s="69" t="s">
        <v>1178</v>
      </c>
      <c r="F67" s="137">
        <v>5</v>
      </c>
      <c r="G67" s="123">
        <v>1</v>
      </c>
      <c r="H67" s="81">
        <v>1</v>
      </c>
      <c r="I67" s="55">
        <f>AVERAGE(J67,L67,M67,N67,O67)</f>
        <v>5.4</v>
      </c>
      <c r="J67" s="17">
        <v>4</v>
      </c>
      <c r="K67" s="28" t="s">
        <v>364</v>
      </c>
      <c r="L67" s="17">
        <v>6</v>
      </c>
      <c r="M67" s="98">
        <v>8</v>
      </c>
      <c r="N67" s="109">
        <v>5</v>
      </c>
      <c r="O67" s="17">
        <v>4</v>
      </c>
      <c r="P67" s="17"/>
      <c r="Q67" s="17"/>
      <c r="R67" s="59"/>
      <c r="S67" s="17"/>
      <c r="T67" s="17"/>
      <c r="U67" s="17"/>
      <c r="V67" s="59"/>
      <c r="W67" s="17"/>
      <c r="X67" s="17"/>
      <c r="Y67" s="17"/>
      <c r="Z67" s="59"/>
      <c r="AA67" s="84"/>
      <c r="AB67" s="59"/>
      <c r="AC67" s="17"/>
      <c r="AD67" s="17"/>
      <c r="AE67" s="59"/>
      <c r="AF67" s="17"/>
      <c r="AG67" s="101"/>
      <c r="AH67" s="17"/>
      <c r="AI67" s="101"/>
      <c r="AJ67" s="17"/>
      <c r="AK67" s="101"/>
      <c r="AL67" s="17"/>
      <c r="AM67" s="59"/>
      <c r="AN67" s="59"/>
      <c r="AO67" s="86"/>
      <c r="AP67" s="17"/>
      <c r="AQ67" s="17"/>
      <c r="AR67">
        <f>F67 +G67</f>
        <v>6</v>
      </c>
    </row>
    <row r="68" spans="1:44" hidden="1" x14ac:dyDescent="0.25">
      <c r="A68" t="str">
        <f>B68 &amp; " - " &amp;E68</f>
        <v>Tottenham - Wanyama</v>
      </c>
      <c r="B68" t="s">
        <v>1188</v>
      </c>
      <c r="C68" t="str">
        <f ca="1">IFERROR(VLOOKUP(INDEX(OFFSET(_JOUEURS,0,0,,1),MATCH(A68,OFFSET(_JOUEURS,0,1,,1),0)),_MPG,2,FALSE),"")</f>
        <v>myteam</v>
      </c>
      <c r="D68" s="274" t="s">
        <v>369</v>
      </c>
      <c r="E68" s="29" t="s">
        <v>1179</v>
      </c>
      <c r="F68" s="106">
        <v>6</v>
      </c>
      <c r="G68" s="101"/>
      <c r="H68" s="36">
        <v>1</v>
      </c>
      <c r="I68" s="27">
        <f>AVERAGE(J68,K68,L68,M68,N68,O68)</f>
        <v>5.666666666666667</v>
      </c>
      <c r="J68" s="59">
        <v>5</v>
      </c>
      <c r="K68" s="19">
        <v>7</v>
      </c>
      <c r="L68" s="17">
        <v>6</v>
      </c>
      <c r="M68" s="99">
        <v>5</v>
      </c>
      <c r="N68" s="109">
        <v>6</v>
      </c>
      <c r="O68" s="17">
        <v>5</v>
      </c>
      <c r="P68" s="17"/>
      <c r="Q68" s="17"/>
      <c r="R68" s="17"/>
      <c r="S68" s="17"/>
      <c r="T68" s="17"/>
      <c r="U68" s="17"/>
      <c r="V68" s="59"/>
      <c r="W68" s="17"/>
      <c r="X68" s="17"/>
      <c r="Y68" s="17"/>
      <c r="Z68" s="59"/>
      <c r="AA68" s="59"/>
      <c r="AB68" s="59"/>
      <c r="AC68" s="17"/>
      <c r="AD68" s="17"/>
      <c r="AE68" s="59"/>
      <c r="AF68" s="17"/>
      <c r="AG68" s="101"/>
      <c r="AH68" s="17"/>
      <c r="AI68" s="101"/>
      <c r="AJ68" s="17"/>
      <c r="AK68" s="101"/>
      <c r="AL68" s="59"/>
      <c r="AM68" s="59"/>
      <c r="AN68" s="17"/>
      <c r="AO68" s="101"/>
      <c r="AP68" s="85"/>
      <c r="AQ68" s="59"/>
      <c r="AR68">
        <f>F68 +G68</f>
        <v>6</v>
      </c>
    </row>
    <row r="69" spans="1:44" x14ac:dyDescent="0.25">
      <c r="A69" t="str">
        <f>B69 &amp; " - " &amp;E69</f>
        <v>Hull - Meyler</v>
      </c>
      <c r="B69" t="s">
        <v>1237</v>
      </c>
      <c r="C69" t="str">
        <f ca="1">IFERROR(VLOOKUP(INDEX(OFFSET(_JOUEURS,0,0,,1),MATCH(A69,OFFSET(_JOUEURS,0,1,,1),0)),_MPG,2,FALSE),"")</f>
        <v/>
      </c>
      <c r="D69" s="104" t="s">
        <v>369</v>
      </c>
      <c r="E69" s="29" t="s">
        <v>1221</v>
      </c>
      <c r="F69" s="106">
        <v>5</v>
      </c>
      <c r="G69" s="101">
        <v>1</v>
      </c>
      <c r="H69" s="36">
        <v>1</v>
      </c>
      <c r="I69" s="27">
        <f>AVERAGE(J69,K69,L69,M69,N69)</f>
        <v>5</v>
      </c>
      <c r="J69" s="59">
        <v>5</v>
      </c>
      <c r="K69" s="28">
        <v>6</v>
      </c>
      <c r="L69" s="28">
        <v>6</v>
      </c>
      <c r="M69" s="99">
        <v>5</v>
      </c>
      <c r="N69" s="281">
        <v>3</v>
      </c>
      <c r="O69" s="60" t="s">
        <v>364</v>
      </c>
      <c r="P69" s="17"/>
      <c r="Q69" s="59"/>
      <c r="R69" s="17"/>
      <c r="S69" s="59"/>
      <c r="T69" s="17"/>
      <c r="U69" s="17"/>
      <c r="V69" s="17"/>
      <c r="W69" s="59"/>
      <c r="X69" s="17"/>
      <c r="Y69" s="59"/>
      <c r="Z69" s="17"/>
      <c r="AA69" s="17"/>
      <c r="AB69" s="17"/>
      <c r="AC69" s="17"/>
      <c r="AD69" s="59"/>
      <c r="AE69" s="59"/>
      <c r="AF69" s="17"/>
      <c r="AG69" s="99"/>
      <c r="AH69" s="59"/>
      <c r="AI69" s="99"/>
      <c r="AJ69" s="59"/>
      <c r="AK69" s="99"/>
      <c r="AL69" s="59"/>
      <c r="AM69" s="17"/>
      <c r="AN69" s="17"/>
      <c r="AO69" s="101"/>
      <c r="AP69" s="17"/>
      <c r="AQ69" s="59"/>
      <c r="AR69">
        <f>F69 +G69</f>
        <v>6</v>
      </c>
    </row>
    <row r="70" spans="1:44" x14ac:dyDescent="0.25">
      <c r="A70" t="str">
        <f>B70 &amp; " - " &amp;E70</f>
        <v>Hull - Maloney</v>
      </c>
      <c r="B70" t="s">
        <v>1237</v>
      </c>
      <c r="C70" t="str">
        <f ca="1">IFERROR(VLOOKUP(INDEX(OFFSET(_JOUEURS,0,0,,1),MATCH(A70,OFFSET(_JOUEURS,0,1,,1),0)),_MPG,2,FALSE),"")</f>
        <v/>
      </c>
      <c r="D70" s="104" t="s">
        <v>369</v>
      </c>
      <c r="E70" s="29" t="s">
        <v>1224</v>
      </c>
      <c r="F70" s="106"/>
      <c r="G70" s="101">
        <v>3</v>
      </c>
      <c r="H70" s="36">
        <v>1</v>
      </c>
      <c r="I70" s="27"/>
      <c r="J70" s="136"/>
      <c r="K70" s="60" t="s">
        <v>364</v>
      </c>
      <c r="L70" s="28" t="s">
        <v>364</v>
      </c>
      <c r="M70" s="20" t="s">
        <v>364</v>
      </c>
      <c r="N70" s="89"/>
      <c r="O70" s="17"/>
      <c r="P70" s="59"/>
      <c r="Q70" s="59"/>
      <c r="R70" s="59"/>
      <c r="S70" s="59"/>
      <c r="T70" s="59"/>
      <c r="U70" s="59"/>
      <c r="V70" s="17"/>
      <c r="W70" s="59"/>
      <c r="X70" s="17"/>
      <c r="Y70" s="59"/>
      <c r="Z70" s="17"/>
      <c r="AA70" s="59"/>
      <c r="AB70" s="17"/>
      <c r="AC70" s="17"/>
      <c r="AD70" s="17"/>
      <c r="AE70" s="59"/>
      <c r="AF70" s="17"/>
      <c r="AG70" s="101"/>
      <c r="AH70" s="17"/>
      <c r="AI70" s="99"/>
      <c r="AJ70" s="17"/>
      <c r="AK70" s="99"/>
      <c r="AL70" s="59"/>
      <c r="AM70" s="17"/>
      <c r="AN70" s="17"/>
      <c r="AO70" s="99"/>
      <c r="AP70" s="59"/>
      <c r="AQ70" s="17"/>
      <c r="AR70">
        <f>F70 +G70</f>
        <v>3</v>
      </c>
    </row>
    <row r="71" spans="1:44" hidden="1" x14ac:dyDescent="0.25">
      <c r="A71" t="str">
        <f>B71 &amp; " - " &amp;E71</f>
        <v>Leicester - Mahrez</v>
      </c>
      <c r="B71" t="s">
        <v>1258</v>
      </c>
      <c r="C71" t="str">
        <f ca="1">IFERROR(VLOOKUP(INDEX(OFFSET(_JOUEURS,0,0,,1),MATCH(A71,OFFSET(_JOUEURS,0,1,,1),0)),_MPG,2,FALSE),"")</f>
        <v>I speak pas english</v>
      </c>
      <c r="D71" s="23" t="s">
        <v>369</v>
      </c>
      <c r="E71" s="29" t="s">
        <v>1245</v>
      </c>
      <c r="F71" s="194">
        <v>6</v>
      </c>
      <c r="G71" s="21"/>
      <c r="H71" s="163">
        <v>1</v>
      </c>
      <c r="I71" s="27">
        <f>AVERAGE(J71,K71,L71,M71,N71,O71)</f>
        <v>4.666666666666667</v>
      </c>
      <c r="J71" s="60">
        <v>6</v>
      </c>
      <c r="K71" s="28">
        <v>5</v>
      </c>
      <c r="L71" s="28">
        <v>4</v>
      </c>
      <c r="M71" s="156">
        <v>3</v>
      </c>
      <c r="N71" s="79">
        <v>6</v>
      </c>
      <c r="O71" s="18">
        <v>4</v>
      </c>
      <c r="P71" s="18"/>
      <c r="Q71" s="28"/>
      <c r="R71" s="59"/>
      <c r="S71" s="18"/>
      <c r="T71" s="18"/>
      <c r="U71" s="18"/>
      <c r="V71" s="18"/>
      <c r="W71" s="28"/>
      <c r="X71" s="28"/>
      <c r="Y71" s="18"/>
      <c r="Z71" s="18"/>
      <c r="AA71" s="28"/>
      <c r="AB71" s="18"/>
      <c r="AC71" s="16"/>
      <c r="AD71" s="18"/>
      <c r="AE71" s="16"/>
      <c r="AF71" s="18"/>
      <c r="AG71" s="21"/>
      <c r="AH71" s="18"/>
      <c r="AI71" s="20"/>
      <c r="AJ71" s="28"/>
      <c r="AK71" s="21"/>
      <c r="AL71" s="18"/>
      <c r="AM71" s="18"/>
      <c r="AN71" s="18"/>
      <c r="AO71" s="21"/>
      <c r="AP71" s="28"/>
      <c r="AQ71" s="18"/>
      <c r="AR71">
        <f>F71 +G71</f>
        <v>6</v>
      </c>
    </row>
    <row r="72" spans="1:44" hidden="1" x14ac:dyDescent="0.25">
      <c r="A72" t="str">
        <f>B72 &amp; " - " &amp;E72</f>
        <v>Leicester - Gray</v>
      </c>
      <c r="B72" t="s">
        <v>1258</v>
      </c>
      <c r="C72" t="str">
        <f ca="1">IFERROR(VLOOKUP(INDEX(OFFSET(_JOUEURS,0,0,,1),MATCH(A72,OFFSET(_JOUEURS,0,1,,1),0)),_MPG,2,FALSE),"")</f>
        <v>Fuck-Tonio FC</v>
      </c>
      <c r="D72" s="23" t="s">
        <v>369</v>
      </c>
      <c r="E72" s="109" t="s">
        <v>1065</v>
      </c>
      <c r="F72" s="194">
        <v>1</v>
      </c>
      <c r="G72" s="304">
        <v>2</v>
      </c>
      <c r="H72" s="163">
        <v>1</v>
      </c>
      <c r="I72" s="27">
        <f>AVERAGE(J72)</f>
        <v>5</v>
      </c>
      <c r="J72" s="28">
        <v>5</v>
      </c>
      <c r="K72" s="28"/>
      <c r="L72" s="28"/>
      <c r="M72" s="20"/>
      <c r="N72" s="79" t="s">
        <v>364</v>
      </c>
      <c r="O72" s="60" t="s">
        <v>364</v>
      </c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28"/>
      <c r="AF72" s="18"/>
      <c r="AG72" s="21"/>
      <c r="AH72" s="18"/>
      <c r="AI72" s="21"/>
      <c r="AJ72" s="28"/>
      <c r="AK72" s="74"/>
      <c r="AL72" s="18"/>
      <c r="AM72" s="28"/>
      <c r="AN72" s="18"/>
      <c r="AO72" s="21"/>
      <c r="AP72" s="18"/>
      <c r="AQ72" s="16"/>
      <c r="AR72">
        <f>F72 +G72</f>
        <v>3</v>
      </c>
    </row>
    <row r="73" spans="1:44" hidden="1" x14ac:dyDescent="0.25">
      <c r="A73" t="str">
        <f>B73 &amp; " - " &amp;E73</f>
        <v>Man. City - Fernandinho</v>
      </c>
      <c r="B73" t="s">
        <v>1279</v>
      </c>
      <c r="C73" t="str">
        <f ca="1">IFERROR(VLOOKUP(INDEX(OFFSET(_JOUEURS,0,0,,1),MATCH(A73,OFFSET(_JOUEURS,0,1,,1),0)),_MPG,2,FALSE),"")</f>
        <v>Shame On You</v>
      </c>
      <c r="D73" s="80" t="s">
        <v>369</v>
      </c>
      <c r="E73" s="69" t="s">
        <v>1268</v>
      </c>
      <c r="F73" s="195">
        <v>6</v>
      </c>
      <c r="G73" s="312"/>
      <c r="H73" s="197">
        <v>1</v>
      </c>
      <c r="I73" s="27">
        <f>AVERAGE(J73,K73,L73,M73,N73,O73)</f>
        <v>6.333333333333333</v>
      </c>
      <c r="J73" s="59">
        <v>6</v>
      </c>
      <c r="K73" s="59">
        <v>6</v>
      </c>
      <c r="L73" s="58">
        <v>7</v>
      </c>
      <c r="M73" s="28">
        <v>6</v>
      </c>
      <c r="N73" s="97">
        <v>7</v>
      </c>
      <c r="O73" s="17">
        <v>6</v>
      </c>
      <c r="P73" s="59"/>
      <c r="Q73" s="17"/>
      <c r="R73" s="59"/>
      <c r="S73" s="59"/>
      <c r="T73" s="17"/>
      <c r="U73" s="59"/>
      <c r="V73" s="17"/>
      <c r="W73" s="17"/>
      <c r="X73" s="17"/>
      <c r="Y73" s="17"/>
      <c r="Z73" s="17"/>
      <c r="AA73" s="17"/>
      <c r="AB73" s="17"/>
      <c r="AC73" s="59"/>
      <c r="AD73" s="17"/>
      <c r="AE73" s="17"/>
      <c r="AF73" s="17"/>
      <c r="AG73" s="101"/>
      <c r="AH73" s="17"/>
      <c r="AI73" s="101"/>
      <c r="AJ73" s="17"/>
      <c r="AK73" s="101"/>
      <c r="AL73" s="59"/>
      <c r="AM73" s="17"/>
      <c r="AN73" s="17"/>
      <c r="AO73" s="101"/>
      <c r="AP73" s="17"/>
      <c r="AQ73" s="59"/>
      <c r="AR73">
        <f>F73 +G73</f>
        <v>6</v>
      </c>
    </row>
    <row r="74" spans="1:44" hidden="1" x14ac:dyDescent="0.25">
      <c r="A74" t="str">
        <f>B74 &amp; " - " &amp;E74</f>
        <v>Man. City - Gündogan</v>
      </c>
      <c r="B74" t="s">
        <v>1279</v>
      </c>
      <c r="C74" t="str">
        <f ca="1">IFERROR(VLOOKUP(INDEX(OFFSET(_JOUEURS,0,0,,1),MATCH(A74,OFFSET(_JOUEURS,0,1,,1),0)),_MPG,2,FALSE),"")</f>
        <v>I speak pas english</v>
      </c>
      <c r="D74" s="274" t="s">
        <v>369</v>
      </c>
      <c r="E74" s="109" t="s">
        <v>1274</v>
      </c>
      <c r="F74" s="106">
        <v>2</v>
      </c>
      <c r="G74" s="86"/>
      <c r="H74" s="36">
        <v>1</v>
      </c>
      <c r="I74" s="94">
        <f>AVERAGE(N74,O74)</f>
        <v>6.5</v>
      </c>
      <c r="J74" s="59"/>
      <c r="K74" s="59"/>
      <c r="L74" s="59"/>
      <c r="M74" s="59"/>
      <c r="N74" s="58">
        <v>7</v>
      </c>
      <c r="O74" s="59">
        <v>6</v>
      </c>
      <c r="P74" s="85"/>
      <c r="Q74" s="59"/>
      <c r="R74" s="17"/>
      <c r="S74" s="59"/>
      <c r="T74" s="59"/>
      <c r="U74" s="59"/>
      <c r="V74" s="59"/>
      <c r="W74" s="59"/>
      <c r="X74" s="59"/>
      <c r="Y74" s="84"/>
      <c r="Z74" s="17"/>
      <c r="AA74" s="85"/>
      <c r="AB74" s="59"/>
      <c r="AC74" s="59"/>
      <c r="AD74" s="59"/>
      <c r="AE74" s="59"/>
      <c r="AF74" s="59"/>
      <c r="AG74" s="101"/>
      <c r="AH74" s="17"/>
      <c r="AI74" s="101"/>
      <c r="AJ74" s="59"/>
      <c r="AK74" s="101"/>
      <c r="AL74" s="17"/>
      <c r="AM74" s="17"/>
      <c r="AN74" s="59"/>
      <c r="AO74" s="101"/>
      <c r="AP74" s="17"/>
      <c r="AQ74" s="17"/>
      <c r="AR74">
        <f>F74 +G74</f>
        <v>2</v>
      </c>
    </row>
    <row r="75" spans="1:44" x14ac:dyDescent="0.25">
      <c r="A75" t="str">
        <f>B75 &amp; " - " &amp;E75</f>
        <v>Stoke City - Shaqiri</v>
      </c>
      <c r="B75" t="s">
        <v>1347</v>
      </c>
      <c r="C75" t="str">
        <f ca="1">IFERROR(VLOOKUP(INDEX(OFFSET(_JOUEURS,0,0,,1),MATCH(A75,OFFSET(_JOUEURS,0,1,,1),0)),_MPG,2,FALSE),"")</f>
        <v/>
      </c>
      <c r="D75" s="23" t="s">
        <v>369</v>
      </c>
      <c r="E75" s="24" t="s">
        <v>1334</v>
      </c>
      <c r="F75" s="25">
        <v>2</v>
      </c>
      <c r="G75" s="77"/>
      <c r="H75" s="56">
        <v>1</v>
      </c>
      <c r="I75" s="78">
        <f>AVERAGE(J75,O75)</f>
        <v>6</v>
      </c>
      <c r="J75" s="58">
        <v>7</v>
      </c>
      <c r="K75" s="17"/>
      <c r="L75" s="59"/>
      <c r="M75" s="101"/>
      <c r="N75" s="109"/>
      <c r="O75" s="17">
        <v>5</v>
      </c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59"/>
      <c r="AA75" s="59"/>
      <c r="AB75" s="17"/>
      <c r="AC75" s="17"/>
      <c r="AD75" s="17"/>
      <c r="AE75" s="17"/>
      <c r="AF75" s="59"/>
      <c r="AG75" s="101"/>
      <c r="AH75" s="59"/>
      <c r="AI75" s="99"/>
      <c r="AJ75" s="17"/>
      <c r="AK75" s="99"/>
      <c r="AL75" s="17"/>
      <c r="AM75" s="17"/>
      <c r="AN75" s="17"/>
      <c r="AO75" s="101"/>
      <c r="AP75" s="17"/>
      <c r="AQ75" s="17"/>
      <c r="AR75">
        <f>F75 +G75</f>
        <v>2</v>
      </c>
    </row>
    <row r="76" spans="1:44" hidden="1" x14ac:dyDescent="0.25">
      <c r="A76" t="str">
        <f>B76 &amp; " - " &amp;E76</f>
        <v>Stoke City - Arnautovic</v>
      </c>
      <c r="B76" t="s">
        <v>1347</v>
      </c>
      <c r="C76" t="str">
        <f ca="1">IFERROR(VLOOKUP(INDEX(OFFSET(_JOUEURS,0,0,,1),MATCH(A76,OFFSET(_JOUEURS,0,1,,1),0)),_MPG,2,FALSE),"")</f>
        <v>nut fc</v>
      </c>
      <c r="D76" s="23" t="s">
        <v>369</v>
      </c>
      <c r="E76" s="29" t="s">
        <v>1337</v>
      </c>
      <c r="F76" s="25">
        <v>6</v>
      </c>
      <c r="G76" s="77"/>
      <c r="H76" s="56">
        <v>1</v>
      </c>
      <c r="I76" s="27">
        <f>AVERAGE(J76,K76,L76,M76,N76,O76)</f>
        <v>4.166666666666667</v>
      </c>
      <c r="J76" s="59">
        <v>5</v>
      </c>
      <c r="K76" s="145">
        <v>3</v>
      </c>
      <c r="L76" s="59">
        <v>5</v>
      </c>
      <c r="M76" s="233">
        <v>3</v>
      </c>
      <c r="N76" s="60">
        <v>4</v>
      </c>
      <c r="O76" s="59">
        <v>5</v>
      </c>
      <c r="P76" s="59"/>
      <c r="Q76" s="59"/>
      <c r="R76" s="59"/>
      <c r="S76" s="17"/>
      <c r="T76" s="59"/>
      <c r="U76" s="17"/>
      <c r="V76" s="59"/>
      <c r="W76" s="59"/>
      <c r="X76" s="17"/>
      <c r="Y76" s="17"/>
      <c r="Z76" s="17"/>
      <c r="AA76" s="17"/>
      <c r="AB76" s="17"/>
      <c r="AC76" s="17"/>
      <c r="AD76" s="17"/>
      <c r="AE76" s="17"/>
      <c r="AF76" s="59"/>
      <c r="AG76" s="101"/>
      <c r="AH76" s="59"/>
      <c r="AI76" s="99"/>
      <c r="AJ76" s="17"/>
      <c r="AK76" s="99"/>
      <c r="AL76" s="17"/>
      <c r="AM76" s="17"/>
      <c r="AN76" s="17"/>
      <c r="AO76" s="101"/>
      <c r="AP76" s="17"/>
      <c r="AQ76" s="17"/>
      <c r="AR76">
        <f>F76 +G76</f>
        <v>6</v>
      </c>
    </row>
    <row r="77" spans="1:44" x14ac:dyDescent="0.25">
      <c r="A77" t="str">
        <f>B77 &amp; " - " &amp;E77</f>
        <v>Stoke City - Allen</v>
      </c>
      <c r="B77" t="s">
        <v>1347</v>
      </c>
      <c r="C77" t="str">
        <f ca="1">IFERROR(VLOOKUP(INDEX(OFFSET(_JOUEURS,0,0,,1),MATCH(A77,OFFSET(_JOUEURS,0,1,,1),0)),_MPG,2,FALSE),"")</f>
        <v/>
      </c>
      <c r="D77" s="23" t="s">
        <v>369</v>
      </c>
      <c r="E77" s="29" t="s">
        <v>1338</v>
      </c>
      <c r="F77" s="25">
        <v>5</v>
      </c>
      <c r="G77" s="77">
        <v>1</v>
      </c>
      <c r="H77" s="56">
        <v>1</v>
      </c>
      <c r="I77" s="27">
        <f>AVERAGE(K77,L77,M77,N77,O77)</f>
        <v>4.8</v>
      </c>
      <c r="J77" s="28" t="s">
        <v>364</v>
      </c>
      <c r="K77" s="17">
        <v>4</v>
      </c>
      <c r="L77" s="59">
        <v>4</v>
      </c>
      <c r="M77" s="101">
        <v>4</v>
      </c>
      <c r="N77" s="89">
        <v>5</v>
      </c>
      <c r="O77" s="58">
        <v>7</v>
      </c>
      <c r="P77" s="59"/>
      <c r="Q77" s="59"/>
      <c r="R77" s="59"/>
      <c r="S77" s="17"/>
      <c r="T77" s="59"/>
      <c r="U77" s="17"/>
      <c r="V77" s="59"/>
      <c r="W77" s="59"/>
      <c r="X77" s="17"/>
      <c r="Y77" s="17"/>
      <c r="Z77" s="17"/>
      <c r="AA77" s="17"/>
      <c r="AB77" s="17"/>
      <c r="AC77" s="17"/>
      <c r="AD77" s="17"/>
      <c r="AE77" s="17"/>
      <c r="AF77" s="59"/>
      <c r="AG77" s="101"/>
      <c r="AH77" s="59"/>
      <c r="AI77" s="99"/>
      <c r="AJ77" s="17"/>
      <c r="AK77" s="99"/>
      <c r="AL77" s="17"/>
      <c r="AM77" s="17"/>
      <c r="AN77" s="17"/>
      <c r="AO77" s="101"/>
      <c r="AP77" s="17"/>
      <c r="AQ77" s="17"/>
      <c r="AR77">
        <f>F77 +G77</f>
        <v>6</v>
      </c>
    </row>
    <row r="78" spans="1:44" hidden="1" x14ac:dyDescent="0.25">
      <c r="A78" t="str">
        <f>B78 &amp; " - " &amp;E78</f>
        <v>Southampton - Tadic</v>
      </c>
      <c r="B78" t="s">
        <v>1367</v>
      </c>
      <c r="C78" t="str">
        <f ca="1">IFERROR(VLOOKUP(INDEX(OFFSET(_JOUEURS,0,0,,1),MATCH(A78,OFFSET(_JOUEURS,0,1,,1),0)),_MPG,2,FALSE),"")</f>
        <v>nut fc</v>
      </c>
      <c r="D78" s="104" t="s">
        <v>369</v>
      </c>
      <c r="E78" s="29" t="s">
        <v>1359</v>
      </c>
      <c r="F78" s="194">
        <v>6</v>
      </c>
      <c r="G78" s="21"/>
      <c r="H78" s="163">
        <v>1</v>
      </c>
      <c r="I78" s="27">
        <f>AVERAGE(J78,K78,L78,M78,N78,O78)</f>
        <v>5.166666666666667</v>
      </c>
      <c r="J78" s="28">
        <v>5</v>
      </c>
      <c r="K78" s="18">
        <v>4</v>
      </c>
      <c r="L78" s="28">
        <v>4</v>
      </c>
      <c r="M78" s="20">
        <v>5</v>
      </c>
      <c r="N78" s="29">
        <v>6</v>
      </c>
      <c r="O78" s="19">
        <v>7</v>
      </c>
      <c r="P78" s="28"/>
      <c r="Q78" s="60"/>
      <c r="R78" s="18"/>
      <c r="S78" s="28"/>
      <c r="T78" s="28"/>
      <c r="U78" s="18"/>
      <c r="V78" s="28"/>
      <c r="W78" s="18"/>
      <c r="X78" s="28"/>
      <c r="Y78" s="28"/>
      <c r="Z78" s="28"/>
      <c r="AA78" s="28"/>
      <c r="AB78" s="18"/>
      <c r="AC78" s="18"/>
      <c r="AD78" s="28"/>
      <c r="AE78" s="18"/>
      <c r="AF78" s="28"/>
      <c r="AG78" s="21"/>
      <c r="AH78" s="28"/>
      <c r="AI78" s="21"/>
      <c r="AJ78" s="28"/>
      <c r="AK78" s="20"/>
      <c r="AL78" s="18"/>
      <c r="AM78" s="60"/>
      <c r="AN78" s="28"/>
      <c r="AO78" s="21"/>
      <c r="AP78" s="28"/>
      <c r="AQ78" s="28"/>
      <c r="AR78">
        <f>F78 +G78</f>
        <v>6</v>
      </c>
    </row>
    <row r="79" spans="1:44" x14ac:dyDescent="0.25">
      <c r="A79" t="str">
        <f>B79 &amp; " - " &amp;E79</f>
        <v>Southampton - Ward-Prowse</v>
      </c>
      <c r="B79" t="s">
        <v>1367</v>
      </c>
      <c r="C79" t="str">
        <f ca="1">IFERROR(VLOOKUP(INDEX(OFFSET(_JOUEURS,0,0,,1),MATCH(A79,OFFSET(_JOUEURS,0,1,,1),0)),_MPG,2,FALSE),"")</f>
        <v/>
      </c>
      <c r="D79" s="104" t="s">
        <v>369</v>
      </c>
      <c r="E79" s="29" t="s">
        <v>1360</v>
      </c>
      <c r="F79" s="194">
        <v>1</v>
      </c>
      <c r="G79" s="21">
        <v>3</v>
      </c>
      <c r="H79" s="163">
        <v>1</v>
      </c>
      <c r="I79" s="27">
        <f>AVERAGE(J79)</f>
        <v>5</v>
      </c>
      <c r="J79" s="28">
        <v>5</v>
      </c>
      <c r="K79" s="15"/>
      <c r="L79" s="59" t="s">
        <v>364</v>
      </c>
      <c r="M79" s="20" t="s">
        <v>364</v>
      </c>
      <c r="N79" s="29"/>
      <c r="O79" s="60" t="s">
        <v>364</v>
      </c>
      <c r="P79" s="18"/>
      <c r="Q79" s="28"/>
      <c r="R79" s="18"/>
      <c r="S79" s="59"/>
      <c r="T79" s="28"/>
      <c r="U79" s="28"/>
      <c r="V79" s="28"/>
      <c r="W79" s="59"/>
      <c r="X79" s="28"/>
      <c r="Y79" s="28"/>
      <c r="Z79" s="18"/>
      <c r="AA79" s="28"/>
      <c r="AB79" s="18"/>
      <c r="AC79" s="18"/>
      <c r="AD79" s="16"/>
      <c r="AE79" s="18"/>
      <c r="AF79" s="28"/>
      <c r="AG79" s="21"/>
      <c r="AH79" s="28"/>
      <c r="AI79" s="21"/>
      <c r="AJ79" s="18"/>
      <c r="AK79" s="20"/>
      <c r="AL79" s="18"/>
      <c r="AM79" s="28"/>
      <c r="AN79" s="28"/>
      <c r="AO79" s="21"/>
      <c r="AP79" s="28"/>
      <c r="AQ79" s="18"/>
      <c r="AR79">
        <f>F79 +G79</f>
        <v>4</v>
      </c>
    </row>
    <row r="80" spans="1:44" x14ac:dyDescent="0.25">
      <c r="A80" t="str">
        <f>B80 &amp; " - " &amp;E80</f>
        <v>Watford - Holebas</v>
      </c>
      <c r="B80" t="s">
        <v>1393</v>
      </c>
      <c r="C80" t="str">
        <f ca="1">IFERROR(VLOOKUP(INDEX(OFFSET(_JOUEURS,0,0,,1),MATCH(A80,OFFSET(_JOUEURS,0,1,,1),0)),_MPG,2,FALSE),"")</f>
        <v/>
      </c>
      <c r="D80" s="104" t="s">
        <v>369</v>
      </c>
      <c r="E80" s="29" t="s">
        <v>1383</v>
      </c>
      <c r="F80" s="106">
        <v>6</v>
      </c>
      <c r="G80" s="101"/>
      <c r="H80" s="36">
        <v>1</v>
      </c>
      <c r="I80" s="27">
        <f>AVERAGE(J80,K80,L80,M80,N80,O80)</f>
        <v>4.666666666666667</v>
      </c>
      <c r="J80" s="59">
        <v>5</v>
      </c>
      <c r="K80" s="17">
        <v>4</v>
      </c>
      <c r="L80" s="59">
        <v>4</v>
      </c>
      <c r="M80" s="74">
        <v>6</v>
      </c>
      <c r="N80" s="89">
        <v>5</v>
      </c>
      <c r="O80" s="59">
        <v>4</v>
      </c>
      <c r="P80" s="17"/>
      <c r="Q80" s="59"/>
      <c r="R80" s="17"/>
      <c r="S80" s="17"/>
      <c r="T80" s="59"/>
      <c r="U80" s="17"/>
      <c r="V80" s="17"/>
      <c r="W80" s="59"/>
      <c r="X80" s="17"/>
      <c r="Y80" s="17"/>
      <c r="Z80" s="59"/>
      <c r="AA80" s="59"/>
      <c r="AB80" s="17"/>
      <c r="AC80" s="17"/>
      <c r="AD80" s="59"/>
      <c r="AE80" s="17"/>
      <c r="AF80" s="59"/>
      <c r="AG80" s="101"/>
      <c r="AH80" s="59"/>
      <c r="AI80" s="101"/>
      <c r="AJ80" s="59"/>
      <c r="AK80" s="99"/>
      <c r="AL80" s="17"/>
      <c r="AM80" s="59"/>
      <c r="AN80" s="17"/>
      <c r="AO80" s="99"/>
      <c r="AP80" s="59"/>
      <c r="AQ80" s="17"/>
      <c r="AR80">
        <f>F80 +G80</f>
        <v>6</v>
      </c>
    </row>
    <row r="81" spans="1:44" x14ac:dyDescent="0.25">
      <c r="A81" t="str">
        <f>B81 &amp; " - " &amp;E81</f>
        <v>Watford - Pereyra</v>
      </c>
      <c r="B81" t="s">
        <v>1393</v>
      </c>
      <c r="C81" t="str">
        <f ca="1">IFERROR(VLOOKUP(INDEX(OFFSET(_JOUEURS,0,0,,1),MATCH(A81,OFFSET(_JOUEURS,0,1,,1),0)),_MPG,2,FALSE),"")</f>
        <v/>
      </c>
      <c r="D81" s="104" t="s">
        <v>369</v>
      </c>
      <c r="E81" s="29" t="s">
        <v>1387</v>
      </c>
      <c r="F81" s="106">
        <v>3</v>
      </c>
      <c r="G81" s="101">
        <v>1</v>
      </c>
      <c r="H81" s="36">
        <v>1</v>
      </c>
      <c r="I81" s="27">
        <f>AVERAGE(M81,N81,O81)</f>
        <v>6</v>
      </c>
      <c r="J81" s="59"/>
      <c r="K81" s="17"/>
      <c r="L81" s="60" t="s">
        <v>364</v>
      </c>
      <c r="M81" s="282">
        <v>7</v>
      </c>
      <c r="N81" s="303">
        <v>7</v>
      </c>
      <c r="O81" s="59">
        <v>4</v>
      </c>
      <c r="P81" s="59"/>
      <c r="Q81" s="59"/>
      <c r="R81" s="17"/>
      <c r="S81" s="17"/>
      <c r="T81" s="17"/>
      <c r="U81" s="59"/>
      <c r="V81" s="17"/>
      <c r="W81" s="59"/>
      <c r="X81" s="17"/>
      <c r="Y81" s="59"/>
      <c r="Z81" s="59"/>
      <c r="AA81" s="17"/>
      <c r="AB81" s="17"/>
      <c r="AC81" s="17"/>
      <c r="AD81" s="59"/>
      <c r="AE81" s="17"/>
      <c r="AF81" s="17"/>
      <c r="AG81" s="101"/>
      <c r="AH81" s="17"/>
      <c r="AI81" s="101"/>
      <c r="AJ81" s="17"/>
      <c r="AK81" s="101"/>
      <c r="AL81" s="17"/>
      <c r="AM81" s="59"/>
      <c r="AN81" s="17"/>
      <c r="AO81" s="101"/>
      <c r="AP81" s="59"/>
      <c r="AQ81" s="17"/>
      <c r="AR81">
        <f>F81 +G81</f>
        <v>4</v>
      </c>
    </row>
    <row r="82" spans="1:44" hidden="1" x14ac:dyDescent="0.25">
      <c r="A82" t="str">
        <f>B82 &amp; " - " &amp;E82</f>
        <v>Arsenal - Oxlade-Chamberlain</v>
      </c>
      <c r="B82" t="s">
        <v>1423</v>
      </c>
      <c r="C82" t="str">
        <f ca="1">IFERROR(VLOOKUP(INDEX(OFFSET(_JOUEURS,0,0,,1),MATCH(A82,OFFSET(_JOUEURS,0,1,,1),0)),_MPG,2,FALSE),"")</f>
        <v>nut fc</v>
      </c>
      <c r="D82" s="104" t="s">
        <v>369</v>
      </c>
      <c r="E82" s="29" t="s">
        <v>1411</v>
      </c>
      <c r="F82" s="106">
        <v>3</v>
      </c>
      <c r="G82" s="101">
        <v>1</v>
      </c>
      <c r="H82" s="36">
        <v>1</v>
      </c>
      <c r="I82" s="27">
        <f>AVERAGE(K82,L82,M82)</f>
        <v>5</v>
      </c>
      <c r="J82" s="60" t="s">
        <v>364</v>
      </c>
      <c r="K82" s="18">
        <v>5</v>
      </c>
      <c r="L82" s="28">
        <v>5</v>
      </c>
      <c r="M82" s="21">
        <v>5</v>
      </c>
      <c r="N82" s="79"/>
      <c r="O82" s="28"/>
      <c r="P82" s="28"/>
      <c r="Q82" s="28"/>
      <c r="R82" s="18"/>
      <c r="S82" s="17"/>
      <c r="T82" s="18"/>
      <c r="U82" s="18"/>
      <c r="V82" s="28"/>
      <c r="W82" s="28"/>
      <c r="X82" s="18"/>
      <c r="Y82" s="28"/>
      <c r="Z82" s="28"/>
      <c r="AA82" s="18"/>
      <c r="AB82" s="18"/>
      <c r="AC82" s="18"/>
      <c r="AD82" s="28"/>
      <c r="AE82" s="18"/>
      <c r="AF82" s="28"/>
      <c r="AG82" s="21"/>
      <c r="AH82" s="18"/>
      <c r="AI82" s="21"/>
      <c r="AJ82" s="28"/>
      <c r="AK82" s="21"/>
      <c r="AL82" s="18"/>
      <c r="AM82" s="28"/>
      <c r="AN82" s="18"/>
      <c r="AO82" s="20"/>
      <c r="AP82" s="28"/>
      <c r="AQ82" s="18"/>
      <c r="AR82">
        <f>F82 +G82</f>
        <v>4</v>
      </c>
    </row>
    <row r="83" spans="1:44" hidden="1" x14ac:dyDescent="0.25">
      <c r="A83" t="str">
        <f>B83 &amp; " - " &amp;E83</f>
        <v>Arsenal - Xhaka</v>
      </c>
      <c r="B83" t="s">
        <v>1423</v>
      </c>
      <c r="C83" t="str">
        <f ca="1">IFERROR(VLOOKUP(INDEX(OFFSET(_JOUEURS,0,0,,1),MATCH(A83,OFFSET(_JOUEURS,0,1,,1),0)),_MPG,2,FALSE),"")</f>
        <v>Fuck-Tonio FC</v>
      </c>
      <c r="D83" s="104" t="s">
        <v>369</v>
      </c>
      <c r="E83" s="29" t="s">
        <v>1412</v>
      </c>
      <c r="F83" s="106">
        <v>2</v>
      </c>
      <c r="G83" s="101">
        <v>3</v>
      </c>
      <c r="H83" s="36">
        <v>1</v>
      </c>
      <c r="I83" s="27">
        <f>AVERAGE(K83,L83)</f>
        <v>5.5</v>
      </c>
      <c r="J83" s="28" t="s">
        <v>364</v>
      </c>
      <c r="K83" s="18">
        <v>5</v>
      </c>
      <c r="L83" s="28">
        <v>6</v>
      </c>
      <c r="M83" s="21"/>
      <c r="N83" s="223" t="s">
        <v>364</v>
      </c>
      <c r="O83" s="28" t="s">
        <v>364</v>
      </c>
      <c r="P83" s="28"/>
      <c r="Q83" s="28"/>
      <c r="R83" s="28"/>
      <c r="S83" s="17"/>
      <c r="T83" s="28"/>
      <c r="U83" s="18"/>
      <c r="V83" s="18"/>
      <c r="W83" s="28"/>
      <c r="X83" s="28"/>
      <c r="Y83" s="18"/>
      <c r="Z83" s="28"/>
      <c r="AA83" s="28"/>
      <c r="AB83" s="28"/>
      <c r="AC83" s="28"/>
      <c r="AD83" s="28"/>
      <c r="AE83" s="18"/>
      <c r="AF83" s="18"/>
      <c r="AG83" s="21"/>
      <c r="AH83" s="18"/>
      <c r="AI83" s="21"/>
      <c r="AJ83" s="18"/>
      <c r="AK83" s="21"/>
      <c r="AL83" s="18"/>
      <c r="AM83" s="28"/>
      <c r="AN83" s="18"/>
      <c r="AO83" s="21"/>
      <c r="AP83" s="28"/>
      <c r="AQ83" s="28"/>
      <c r="AR83">
        <f>F83 +G83</f>
        <v>5</v>
      </c>
    </row>
    <row r="84" spans="1:44" hidden="1" x14ac:dyDescent="0.25">
      <c r="A84" t="str">
        <f>B84 &amp; " - " &amp;E84</f>
        <v>Liverpool - Henderson</v>
      </c>
      <c r="B84" t="s">
        <v>1446</v>
      </c>
      <c r="C84" t="str">
        <f ca="1">IFERROR(VLOOKUP(INDEX(OFFSET(_JOUEURS,0,0,,1),MATCH(A84,OFFSET(_JOUEURS,0,1,,1),0)),_MPG,2,FALSE),"")</f>
        <v>Fuck-Tonio FC</v>
      </c>
      <c r="D84" s="104" t="s">
        <v>369</v>
      </c>
      <c r="E84" s="29" t="s">
        <v>1435</v>
      </c>
      <c r="F84" s="106">
        <v>6</v>
      </c>
      <c r="G84" s="101"/>
      <c r="H84" s="36">
        <v>1</v>
      </c>
      <c r="I84" s="135">
        <f>AVERAGE(J84,K84,L84,M84,N84,O84)</f>
        <v>6.166666666666667</v>
      </c>
      <c r="J84" s="59">
        <v>6</v>
      </c>
      <c r="K84" s="17">
        <v>6</v>
      </c>
      <c r="L84" s="59">
        <v>5</v>
      </c>
      <c r="M84" s="101">
        <v>6</v>
      </c>
      <c r="N84" s="164">
        <v>7</v>
      </c>
      <c r="O84" s="97">
        <v>7</v>
      </c>
      <c r="P84" s="17"/>
      <c r="Q84" s="59"/>
      <c r="R84" s="17"/>
      <c r="S84" s="17"/>
      <c r="T84" s="17"/>
      <c r="U84" s="17"/>
      <c r="V84" s="17"/>
      <c r="W84" s="59"/>
      <c r="X84" s="17"/>
      <c r="Y84" s="17"/>
      <c r="Z84" s="59"/>
      <c r="AA84" s="17"/>
      <c r="AB84" s="59"/>
      <c r="AC84" s="17"/>
      <c r="AD84" s="59"/>
      <c r="AE84" s="17"/>
      <c r="AF84" s="17"/>
      <c r="AG84" s="101"/>
      <c r="AH84" s="17"/>
      <c r="AI84" s="101"/>
      <c r="AJ84" s="17"/>
      <c r="AK84" s="101"/>
      <c r="AL84" s="17"/>
      <c r="AM84" s="59"/>
      <c r="AN84" s="17"/>
      <c r="AO84" s="101"/>
      <c r="AP84" s="59"/>
      <c r="AQ84" s="17"/>
      <c r="AR84">
        <f>F84 +G84</f>
        <v>6</v>
      </c>
    </row>
    <row r="85" spans="1:44" hidden="1" x14ac:dyDescent="0.25">
      <c r="A85" t="str">
        <f>B85 &amp; " - " &amp;E85</f>
        <v>Bournemouth - Stanislas</v>
      </c>
      <c r="B85" t="s">
        <v>1474</v>
      </c>
      <c r="C85" t="str">
        <f ca="1">IFERROR(VLOOKUP(INDEX(OFFSET(_JOUEURS,0,0,,1),MATCH(A85,OFFSET(_JOUEURS,0,1,,1),0)),_MPG,2,FALSE),"")</f>
        <v>myteam</v>
      </c>
      <c r="D85" s="52" t="s">
        <v>369</v>
      </c>
      <c r="E85" s="111" t="s">
        <v>1464</v>
      </c>
      <c r="F85" s="137">
        <v>3</v>
      </c>
      <c r="G85" s="123"/>
      <c r="H85" s="81">
        <v>1</v>
      </c>
      <c r="I85" s="55">
        <f>AVERAGE(M85,N85,O85)</f>
        <v>4.666666666666667</v>
      </c>
      <c r="J85" s="17"/>
      <c r="K85" s="59"/>
      <c r="L85" s="136"/>
      <c r="M85" s="20">
        <v>5</v>
      </c>
      <c r="N85" s="323">
        <v>3</v>
      </c>
      <c r="O85" s="16">
        <v>6</v>
      </c>
      <c r="P85" s="59"/>
      <c r="Q85" s="17"/>
      <c r="R85" s="17"/>
      <c r="S85" s="17"/>
      <c r="T85" s="17"/>
      <c r="U85" s="17"/>
      <c r="V85" s="59"/>
      <c r="W85" s="17"/>
      <c r="X85" s="17"/>
      <c r="Y85" s="59"/>
      <c r="Z85" s="59"/>
      <c r="AA85" s="17"/>
      <c r="AB85" s="17"/>
      <c r="AC85" s="17"/>
      <c r="AD85" s="59"/>
      <c r="AE85" s="17"/>
      <c r="AF85" s="17"/>
      <c r="AG85" s="101"/>
      <c r="AH85" s="17"/>
      <c r="AI85" s="99"/>
      <c r="AJ85" s="17"/>
      <c r="AK85" s="101"/>
      <c r="AL85" s="59"/>
      <c r="AM85" s="17"/>
      <c r="AN85" s="17"/>
      <c r="AO85" s="101"/>
      <c r="AP85" s="17"/>
      <c r="AQ85" s="17"/>
      <c r="AR85">
        <f>F85 +G85</f>
        <v>3</v>
      </c>
    </row>
    <row r="86" spans="1:44" hidden="1" x14ac:dyDescent="0.25">
      <c r="A86" t="str">
        <f>B86 &amp; " - " &amp;E86</f>
        <v>Bournemouth - A. Smith</v>
      </c>
      <c r="B86" t="s">
        <v>1474</v>
      </c>
      <c r="C86" t="str">
        <f ca="1">IFERROR(VLOOKUP(INDEX(OFFSET(_JOUEURS,0,0,,1),MATCH(A86,OFFSET(_JOUEURS,0,1,,1),0)),_MPG,2,FALSE),"")</f>
        <v>myteam</v>
      </c>
      <c r="D86" s="23" t="s">
        <v>369</v>
      </c>
      <c r="E86" s="109" t="s">
        <v>1466</v>
      </c>
      <c r="F86" s="106">
        <v>5</v>
      </c>
      <c r="G86" s="101"/>
      <c r="H86" s="36">
        <v>1</v>
      </c>
      <c r="I86" s="27">
        <f>AVERAGE(J86,K86,L86,M86,N86)</f>
        <v>4.8</v>
      </c>
      <c r="J86" s="16">
        <v>4</v>
      </c>
      <c r="K86" s="136">
        <v>5</v>
      </c>
      <c r="L86" s="59">
        <v>5</v>
      </c>
      <c r="M86" s="282">
        <v>7</v>
      </c>
      <c r="N86" s="281">
        <v>3</v>
      </c>
      <c r="O86" s="17"/>
      <c r="P86" s="17"/>
      <c r="Q86" s="17"/>
      <c r="R86" s="17"/>
      <c r="S86" s="17"/>
      <c r="T86" s="17"/>
      <c r="U86" s="17"/>
      <c r="V86" s="59"/>
      <c r="W86" s="59"/>
      <c r="X86" s="17"/>
      <c r="Y86" s="59"/>
      <c r="Z86" s="17"/>
      <c r="AA86" s="17"/>
      <c r="AB86" s="17"/>
      <c r="AC86" s="17"/>
      <c r="AD86" s="59"/>
      <c r="AE86" s="17"/>
      <c r="AF86" s="17"/>
      <c r="AG86" s="101"/>
      <c r="AH86" s="17"/>
      <c r="AI86" s="99"/>
      <c r="AJ86" s="17"/>
      <c r="AK86" s="101"/>
      <c r="AL86" s="59"/>
      <c r="AM86" s="17"/>
      <c r="AN86" s="17"/>
      <c r="AO86" s="101"/>
      <c r="AP86" s="17"/>
      <c r="AQ86" s="17"/>
      <c r="AR86">
        <f>F86 +G86</f>
        <v>5</v>
      </c>
    </row>
    <row r="87" spans="1:44" hidden="1" x14ac:dyDescent="0.25">
      <c r="A87" t="str">
        <f>B87 &amp; " - " &amp;E87</f>
        <v>Man. United - Pogba</v>
      </c>
      <c r="B87" t="s">
        <v>1497</v>
      </c>
      <c r="C87" t="str">
        <f ca="1">IFERROR(VLOOKUP(INDEX(OFFSET(_JOUEURS,0,0,,1),MATCH(A87,OFFSET(_JOUEURS,0,1,,1),0)),_MPG,2,FALSE),"")</f>
        <v>Fuck-Tonio FC</v>
      </c>
      <c r="D87" s="104" t="s">
        <v>369</v>
      </c>
      <c r="E87" s="109" t="s">
        <v>276</v>
      </c>
      <c r="F87" s="106">
        <v>5</v>
      </c>
      <c r="G87" s="101"/>
      <c r="H87" s="36">
        <v>1</v>
      </c>
      <c r="I87" s="27">
        <f>AVERAGE(K87,L87,M87,N87,O87)</f>
        <v>6</v>
      </c>
      <c r="J87" s="70"/>
      <c r="K87" s="132">
        <v>7</v>
      </c>
      <c r="L87" s="59">
        <v>6</v>
      </c>
      <c r="M87" s="17">
        <v>5</v>
      </c>
      <c r="N87" s="59">
        <v>4</v>
      </c>
      <c r="O87" s="58">
        <v>8</v>
      </c>
      <c r="P87" s="17"/>
      <c r="Q87" s="59"/>
      <c r="R87" s="17"/>
      <c r="S87" s="17"/>
      <c r="T87" s="17"/>
      <c r="U87" s="17"/>
      <c r="V87" s="17"/>
      <c r="W87" s="59"/>
      <c r="X87" s="17"/>
      <c r="Y87" s="59"/>
      <c r="Z87" s="59"/>
      <c r="AA87" s="17"/>
      <c r="AB87" s="17"/>
      <c r="AC87" s="17"/>
      <c r="AD87" s="59"/>
      <c r="AE87" s="101"/>
      <c r="AF87" s="17"/>
      <c r="AG87" s="101"/>
      <c r="AH87" s="17"/>
      <c r="AI87" s="101"/>
      <c r="AJ87" s="101"/>
      <c r="AK87" s="17"/>
      <c r="AL87" s="17"/>
      <c r="AM87" s="59"/>
      <c r="AN87" s="17"/>
      <c r="AO87" s="101"/>
      <c r="AP87" s="59"/>
      <c r="AQ87" s="17"/>
      <c r="AR87">
        <f>F87 +G87</f>
        <v>5</v>
      </c>
    </row>
    <row r="88" spans="1:44" hidden="1" x14ac:dyDescent="0.25">
      <c r="A88" t="str">
        <f>B88 &amp; " - " &amp;E88</f>
        <v>Chelsea - Willian</v>
      </c>
      <c r="B88" t="s">
        <v>1519</v>
      </c>
      <c r="C88" t="str">
        <f ca="1">IFERROR(VLOOKUP(INDEX(OFFSET(_JOUEURS,0,0,,1),MATCH(A88,OFFSET(_JOUEURS,0,1,,1),0)),_MPG,2,FALSE),"")</f>
        <v>74 c'est la champion's league</v>
      </c>
      <c r="D88" s="23" t="s">
        <v>369</v>
      </c>
      <c r="E88" s="29" t="s">
        <v>1508</v>
      </c>
      <c r="F88" s="149">
        <v>5</v>
      </c>
      <c r="G88" s="150"/>
      <c r="H88" s="61">
        <v>1</v>
      </c>
      <c r="I88" s="135">
        <f>AVERAGE(J88,L88,M88,N88,O88)</f>
        <v>5.6</v>
      </c>
      <c r="J88" s="59">
        <v>6</v>
      </c>
      <c r="K88" s="17"/>
      <c r="L88" s="58">
        <v>7</v>
      </c>
      <c r="M88" s="21">
        <v>6</v>
      </c>
      <c r="N88" s="89">
        <v>5</v>
      </c>
      <c r="O88" s="59">
        <v>4</v>
      </c>
      <c r="P88" s="59"/>
      <c r="Q88" s="59"/>
      <c r="R88" s="59"/>
      <c r="S88" s="17"/>
      <c r="T88" s="59"/>
      <c r="U88" s="17"/>
      <c r="V88" s="17"/>
      <c r="W88" s="59"/>
      <c r="X88" s="17"/>
      <c r="Y88" s="17"/>
      <c r="Z88" s="59"/>
      <c r="AA88" s="59"/>
      <c r="AB88" s="17"/>
      <c r="AC88" s="17"/>
      <c r="AD88" s="59"/>
      <c r="AE88" s="17"/>
      <c r="AF88" s="17"/>
      <c r="AG88" s="101"/>
      <c r="AH88" s="17"/>
      <c r="AI88" s="101"/>
      <c r="AJ88" s="17"/>
      <c r="AK88" s="101"/>
      <c r="AL88" s="17"/>
      <c r="AM88" s="59"/>
      <c r="AN88" s="59"/>
      <c r="AO88" s="17"/>
      <c r="AP88" s="59"/>
      <c r="AQ88" s="17"/>
      <c r="AR88">
        <f>F88 +G88</f>
        <v>5</v>
      </c>
    </row>
    <row r="89" spans="1:44" x14ac:dyDescent="0.25">
      <c r="A89" t="str">
        <f>B89 &amp; " - " &amp;E89</f>
        <v>Chelsea - Moses</v>
      </c>
      <c r="B89" t="s">
        <v>1519</v>
      </c>
      <c r="C89" t="str">
        <f ca="1">IFERROR(VLOOKUP(INDEX(OFFSET(_JOUEURS,0,0,,1),MATCH(A89,OFFSET(_JOUEURS,0,1,,1),0)),_MPG,2,FALSE),"")</f>
        <v/>
      </c>
      <c r="D89" s="23" t="s">
        <v>369</v>
      </c>
      <c r="E89" s="29" t="s">
        <v>1513</v>
      </c>
      <c r="F89" s="149"/>
      <c r="G89" s="150">
        <v>5</v>
      </c>
      <c r="H89" s="61">
        <v>1</v>
      </c>
      <c r="I89" s="135"/>
      <c r="J89" s="28" t="s">
        <v>364</v>
      </c>
      <c r="K89" s="28" t="s">
        <v>364</v>
      </c>
      <c r="L89" s="60" t="s">
        <v>364</v>
      </c>
      <c r="M89" s="20" t="s">
        <v>364</v>
      </c>
      <c r="N89" s="79" t="s">
        <v>364</v>
      </c>
      <c r="O89" s="59"/>
      <c r="P89" s="59"/>
      <c r="Q89" s="59"/>
      <c r="R89" s="59"/>
      <c r="S89" s="59"/>
      <c r="T89" s="17"/>
      <c r="U89" s="17"/>
      <c r="V89" s="17"/>
      <c r="W89" s="59"/>
      <c r="X89" s="59"/>
      <c r="Y89" s="59"/>
      <c r="Z89" s="59"/>
      <c r="AA89" s="59"/>
      <c r="AB89" s="59"/>
      <c r="AC89" s="17"/>
      <c r="AD89" s="59"/>
      <c r="AE89" s="17"/>
      <c r="AF89" s="59"/>
      <c r="AG89" s="99"/>
      <c r="AH89" s="17"/>
      <c r="AI89" s="99"/>
      <c r="AJ89" s="17"/>
      <c r="AK89" s="101"/>
      <c r="AL89" s="59"/>
      <c r="AM89" s="59"/>
      <c r="AN89" s="59"/>
      <c r="AO89" s="59"/>
      <c r="AP89" s="59"/>
      <c r="AQ89" s="17"/>
      <c r="AR89">
        <f>F89 +G89</f>
        <v>5</v>
      </c>
    </row>
    <row r="90" spans="1:44" ht="15.75" thickBot="1" x14ac:dyDescent="0.3">
      <c r="A90" t="str">
        <f>B90 &amp; " - " &amp;E90</f>
        <v>Burnley - Keane</v>
      </c>
      <c r="B90" t="s">
        <v>1069</v>
      </c>
      <c r="C90" t="str">
        <f ca="1">IFERROR(VLOOKUP(INDEX(OFFSET(_JOUEURS,0,0,,1),MATCH(A90,OFFSET(_JOUEURS,0,1,,1),0)),_MPG,2,FALSE),"")</f>
        <v/>
      </c>
      <c r="D90" s="128" t="s">
        <v>363</v>
      </c>
      <c r="E90" s="174" t="s">
        <v>1049</v>
      </c>
      <c r="F90" s="198">
        <v>6</v>
      </c>
      <c r="G90" s="199"/>
      <c r="H90" s="315">
        <v>1</v>
      </c>
      <c r="I90" s="92">
        <f>AVERAGE(J90,K90,L90,M90,N90,O90)</f>
        <v>5.166666666666667</v>
      </c>
      <c r="J90" s="15">
        <v>5</v>
      </c>
      <c r="K90" s="57">
        <v>6</v>
      </c>
      <c r="L90" s="59">
        <v>4</v>
      </c>
      <c r="M90" s="20">
        <v>5</v>
      </c>
      <c r="N90" s="89">
        <v>4</v>
      </c>
      <c r="O90" s="58">
        <v>7</v>
      </c>
      <c r="P90" s="28"/>
      <c r="Q90" s="28"/>
      <c r="R90" s="28"/>
      <c r="S90" s="28"/>
      <c r="T90" s="60"/>
      <c r="U90" s="18"/>
      <c r="V90" s="18"/>
      <c r="W90" s="18"/>
      <c r="X90" s="60"/>
      <c r="Y90" s="18"/>
      <c r="Z90" s="18"/>
      <c r="AA90" s="18"/>
      <c r="AB90" s="18"/>
      <c r="AC90" s="28"/>
      <c r="AD90" s="18"/>
      <c r="AE90" s="18"/>
      <c r="AF90" s="18"/>
      <c r="AG90" s="20"/>
      <c r="AH90" s="28"/>
      <c r="AI90" s="20"/>
      <c r="AJ90" s="28"/>
      <c r="AK90" s="21"/>
      <c r="AL90" s="28"/>
      <c r="AM90" s="18"/>
      <c r="AN90" s="59"/>
      <c r="AO90" s="20"/>
      <c r="AP90" s="18"/>
      <c r="AQ90" s="18"/>
      <c r="AR90">
        <f>F90 +G90</f>
        <v>6</v>
      </c>
    </row>
    <row r="91" spans="1:44" hidden="1" x14ac:dyDescent="0.25">
      <c r="A91" t="str">
        <f>B91 &amp; " - " &amp;E91</f>
        <v>Everton - Coleman</v>
      </c>
      <c r="B91" t="s">
        <v>1167</v>
      </c>
      <c r="C91" t="str">
        <f ca="1">IFERROR(VLOOKUP(INDEX(OFFSET(_JOUEURS,0,0,,1),MATCH(A91,OFFSET(_JOUEURS,0,1,,1),0)),_MPG,2,FALSE),"")</f>
        <v>74 c'est la champion's league</v>
      </c>
      <c r="D91" s="12" t="s">
        <v>363</v>
      </c>
      <c r="E91" s="219" t="s">
        <v>1151</v>
      </c>
      <c r="F91" s="13">
        <v>3</v>
      </c>
      <c r="G91" s="75"/>
      <c r="H91" s="273">
        <v>1</v>
      </c>
      <c r="I91" s="14">
        <f>AVERAGE(M91,N91,O91)</f>
        <v>6.333333333333333</v>
      </c>
      <c r="J91" s="299"/>
      <c r="K91" s="17"/>
      <c r="L91" s="17"/>
      <c r="M91" s="17">
        <v>6</v>
      </c>
      <c r="N91" s="19">
        <v>7</v>
      </c>
      <c r="O91" s="17">
        <v>6</v>
      </c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01"/>
      <c r="AJ91" s="17"/>
      <c r="AK91" s="17"/>
      <c r="AL91" s="101"/>
      <c r="AM91" s="17"/>
      <c r="AN91" s="17"/>
      <c r="AO91" s="17"/>
      <c r="AP91" s="101"/>
      <c r="AQ91" s="101"/>
      <c r="AR91">
        <f>F91 +G91</f>
        <v>3</v>
      </c>
    </row>
    <row r="92" spans="1:44" hidden="1" x14ac:dyDescent="0.25">
      <c r="A92" t="str">
        <f>B92 &amp; " - " &amp;E92</f>
        <v>WBA - McAuley</v>
      </c>
      <c r="B92" t="s">
        <v>1144</v>
      </c>
      <c r="C92" t="str">
        <f ca="1">IFERROR(VLOOKUP(INDEX(OFFSET(_JOUEURS,0,0,,1),MATCH(A92,OFFSET(_JOUEURS,0,1,,1),0)),_MPG,2,FALSE),"")</f>
        <v>The Bastards</v>
      </c>
      <c r="D92" s="23" t="s">
        <v>363</v>
      </c>
      <c r="E92" s="29" t="s">
        <v>1124</v>
      </c>
      <c r="F92" s="106">
        <v>6</v>
      </c>
      <c r="G92" s="101"/>
      <c r="H92" s="36">
        <v>1</v>
      </c>
      <c r="I92" s="27">
        <f>AVERAGE(J92,K92,L92,M92,N92,O92)</f>
        <v>5</v>
      </c>
      <c r="J92" s="29">
        <v>6</v>
      </c>
      <c r="K92" s="102">
        <v>5</v>
      </c>
      <c r="L92" s="18">
        <v>5</v>
      </c>
      <c r="M92" s="18">
        <v>5</v>
      </c>
      <c r="N92" s="18">
        <v>5</v>
      </c>
      <c r="O92" s="28">
        <v>4</v>
      </c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21"/>
      <c r="AJ92" s="18"/>
      <c r="AK92" s="28"/>
      <c r="AL92" s="21"/>
      <c r="AM92" s="18"/>
      <c r="AN92" s="18"/>
      <c r="AO92" s="18"/>
      <c r="AP92" s="21"/>
      <c r="AQ92" s="21"/>
      <c r="AR92">
        <f>F92 +G92</f>
        <v>6</v>
      </c>
    </row>
    <row r="93" spans="1:44" hidden="1" x14ac:dyDescent="0.25">
      <c r="A93" t="str">
        <f>B93 &amp; " - " &amp;E93</f>
        <v>Tottenham - Rose</v>
      </c>
      <c r="B93" t="s">
        <v>1188</v>
      </c>
      <c r="C93" t="str">
        <f ca="1">IFERROR(VLOOKUP(INDEX(OFFSET(_JOUEURS,0,0,,1),MATCH(A93,OFFSET(_JOUEURS,0,1,,1),0)),_MPG,2,FALSE),"")</f>
        <v>Saxe-Gambetta FC</v>
      </c>
      <c r="D93" s="104" t="s">
        <v>363</v>
      </c>
      <c r="E93" s="29" t="s">
        <v>377</v>
      </c>
      <c r="F93" s="106">
        <v>3</v>
      </c>
      <c r="G93" s="101"/>
      <c r="H93" s="36">
        <v>1</v>
      </c>
      <c r="I93" s="27">
        <f>AVERAGE(J93,K93,L93)</f>
        <v>5.666666666666667</v>
      </c>
      <c r="J93" s="105">
        <v>5</v>
      </c>
      <c r="K93" s="17">
        <v>5</v>
      </c>
      <c r="L93" s="19">
        <v>7</v>
      </c>
      <c r="M93" s="59"/>
      <c r="N93" s="17"/>
      <c r="O93" s="17"/>
      <c r="P93" s="17"/>
      <c r="Q93" s="59"/>
      <c r="R93" s="17"/>
      <c r="S93" s="17"/>
      <c r="T93" s="17"/>
      <c r="U93" s="17"/>
      <c r="V93" s="17"/>
      <c r="W93" s="59"/>
      <c r="X93" s="17"/>
      <c r="Y93" s="17"/>
      <c r="Z93" s="59"/>
      <c r="AA93" s="17"/>
      <c r="AB93" s="17"/>
      <c r="AC93" s="17"/>
      <c r="AD93" s="59"/>
      <c r="AE93" s="17"/>
      <c r="AF93" s="17"/>
      <c r="AG93" s="17"/>
      <c r="AH93" s="17"/>
      <c r="AI93" s="101"/>
      <c r="AJ93" s="17"/>
      <c r="AK93" s="17"/>
      <c r="AL93" s="101"/>
      <c r="AM93" s="85"/>
      <c r="AN93" s="17"/>
      <c r="AO93" s="17"/>
      <c r="AP93" s="99"/>
      <c r="AQ93" s="99"/>
      <c r="AR93">
        <f>F93 +G93</f>
        <v>3</v>
      </c>
    </row>
    <row r="94" spans="1:44" x14ac:dyDescent="0.25">
      <c r="A94" t="str">
        <f>B94 &amp; " - " &amp;E94</f>
        <v>West Ham - Collins</v>
      </c>
      <c r="B94" t="s">
        <v>1212</v>
      </c>
      <c r="C94" t="str">
        <f ca="1">IFERROR(VLOOKUP(INDEX(OFFSET(_JOUEURS,0,0,,1),MATCH(A94,OFFSET(_JOUEURS,0,1,,1),0)),_MPG,2,FALSE),"")</f>
        <v/>
      </c>
      <c r="D94" s="80" t="s">
        <v>363</v>
      </c>
      <c r="E94" s="69" t="s">
        <v>1193</v>
      </c>
      <c r="F94" s="137">
        <v>5</v>
      </c>
      <c r="G94" s="123"/>
      <c r="H94" s="81">
        <v>1</v>
      </c>
      <c r="I94" s="55">
        <f>AVERAGE(J94,K94,L94,M94,N94)</f>
        <v>4.2</v>
      </c>
      <c r="J94" s="165">
        <v>6</v>
      </c>
      <c r="K94" s="101">
        <v>5</v>
      </c>
      <c r="L94" s="59">
        <v>4</v>
      </c>
      <c r="M94" s="114">
        <v>2</v>
      </c>
      <c r="N94" s="59">
        <v>4</v>
      </c>
      <c r="O94" s="59"/>
      <c r="P94" s="17"/>
      <c r="Q94" s="17"/>
      <c r="R94" s="17"/>
      <c r="S94" s="17"/>
      <c r="T94" s="59"/>
      <c r="U94" s="17"/>
      <c r="V94" s="17"/>
      <c r="W94" s="85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01"/>
      <c r="AJ94" s="17"/>
      <c r="AK94" s="17"/>
      <c r="AL94" s="101"/>
      <c r="AM94" s="17"/>
      <c r="AN94" s="85"/>
      <c r="AO94" s="17"/>
      <c r="AP94" s="99"/>
      <c r="AQ94" s="101"/>
      <c r="AR94">
        <f>F94 +G94</f>
        <v>5</v>
      </c>
    </row>
    <row r="95" spans="1:44" hidden="1" x14ac:dyDescent="0.25">
      <c r="A95" t="str">
        <f>B95 &amp; " - " &amp;E95</f>
        <v>Leicester - Morgan</v>
      </c>
      <c r="B95" t="s">
        <v>1258</v>
      </c>
      <c r="C95" t="str">
        <f ca="1">IFERROR(VLOOKUP(INDEX(OFFSET(_JOUEURS,0,0,,1),MATCH(A95,OFFSET(_JOUEURS,0,1,,1),0)),_MPG,2,FALSE),"")</f>
        <v>Fuck-Tonio FC</v>
      </c>
      <c r="D95" s="23" t="s">
        <v>363</v>
      </c>
      <c r="E95" s="29" t="s">
        <v>651</v>
      </c>
      <c r="F95" s="194">
        <v>6</v>
      </c>
      <c r="G95" s="21"/>
      <c r="H95" s="175">
        <v>1</v>
      </c>
      <c r="I95" s="27">
        <f>AVERAGE(J95,K95,L95,M95,N95,O95)</f>
        <v>4.333333333333333</v>
      </c>
      <c r="J95" s="70">
        <v>4</v>
      </c>
      <c r="K95" s="28">
        <v>5</v>
      </c>
      <c r="L95" s="60">
        <v>6</v>
      </c>
      <c r="M95" s="121">
        <v>3</v>
      </c>
      <c r="N95" s="18">
        <v>5</v>
      </c>
      <c r="O95" s="65">
        <v>3</v>
      </c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  <c r="AB95" s="18"/>
      <c r="AC95" s="18"/>
      <c r="AD95" s="18"/>
      <c r="AE95" s="18"/>
      <c r="AF95" s="18"/>
      <c r="AG95" s="18"/>
      <c r="AH95" s="18"/>
      <c r="AI95" s="21"/>
      <c r="AJ95" s="18"/>
      <c r="AK95" s="18"/>
      <c r="AL95" s="21"/>
      <c r="AM95" s="18"/>
      <c r="AN95" s="18"/>
      <c r="AO95" s="18"/>
      <c r="AP95" s="21"/>
      <c r="AQ95" s="21"/>
      <c r="AR95">
        <f>F95 +G95</f>
        <v>6</v>
      </c>
    </row>
    <row r="96" spans="1:44" hidden="1" x14ac:dyDescent="0.25">
      <c r="A96" t="str">
        <f>B96 &amp; " - " &amp;E96</f>
        <v>Middlesbrough - Ayala</v>
      </c>
      <c r="B96" t="s">
        <v>1324</v>
      </c>
      <c r="C96" t="str">
        <f ca="1">IFERROR(VLOOKUP(INDEX(OFFSET(_JOUEURS,0,0,,1),MATCH(A96,OFFSET(_JOUEURS,0,1,,1),0)),_MPG,2,FALSE),"")</f>
        <v>The Bastards</v>
      </c>
      <c r="D96" s="104" t="s">
        <v>363</v>
      </c>
      <c r="E96" s="29" t="s">
        <v>1307</v>
      </c>
      <c r="F96" s="106">
        <v>3</v>
      </c>
      <c r="G96" s="101">
        <v>1</v>
      </c>
      <c r="H96" s="36">
        <v>1</v>
      </c>
      <c r="I96" s="27">
        <f>AVERAGE(L96,M96,N96)</f>
        <v>5</v>
      </c>
      <c r="J96" s="129"/>
      <c r="K96" s="28" t="s">
        <v>364</v>
      </c>
      <c r="L96" s="28">
        <v>6</v>
      </c>
      <c r="M96" s="60">
        <v>6</v>
      </c>
      <c r="N96" s="145">
        <v>3</v>
      </c>
      <c r="O96" s="17"/>
      <c r="P96" s="17"/>
      <c r="Q96" s="17"/>
      <c r="R96" s="59"/>
      <c r="S96" s="17"/>
      <c r="T96" s="17"/>
      <c r="U96" s="17"/>
      <c r="V96" s="59"/>
      <c r="W96" s="17"/>
      <c r="X96" s="17"/>
      <c r="Y96" s="17"/>
      <c r="Z96" s="17"/>
      <c r="AA96" s="17"/>
      <c r="AB96" s="17"/>
      <c r="AC96" s="59"/>
      <c r="AD96" s="17"/>
      <c r="AE96" s="17"/>
      <c r="AF96" s="17"/>
      <c r="AG96" s="59"/>
      <c r="AH96" s="17"/>
      <c r="AI96" s="101"/>
      <c r="AJ96" s="59"/>
      <c r="AK96" s="17"/>
      <c r="AL96" s="101"/>
      <c r="AM96" s="17"/>
      <c r="AN96" s="17"/>
      <c r="AO96" s="17"/>
      <c r="AP96" s="101"/>
      <c r="AQ96" s="101"/>
      <c r="AR96">
        <f>F96 +G96</f>
        <v>4</v>
      </c>
    </row>
    <row r="97" spans="1:44" x14ac:dyDescent="0.25">
      <c r="A97" t="str">
        <f>B97 &amp; " - " &amp;E97</f>
        <v>Sunderland - van Aanholt</v>
      </c>
      <c r="B97" t="s">
        <v>1301</v>
      </c>
      <c r="C97" t="str">
        <f ca="1">IFERROR(VLOOKUP(INDEX(OFFSET(_JOUEURS,0,0,,1),MATCH(A97,OFFSET(_JOUEURS,0,1,,1),0)),_MPG,2,FALSE),"")</f>
        <v/>
      </c>
      <c r="D97" s="76" t="s">
        <v>363</v>
      </c>
      <c r="E97" s="29" t="s">
        <v>1284</v>
      </c>
      <c r="F97" s="194">
        <v>5</v>
      </c>
      <c r="G97" s="21"/>
      <c r="H97" s="175">
        <v>1</v>
      </c>
      <c r="I97" s="27">
        <f>AVERAGE(J97,K97,L97,M97,O97)</f>
        <v>4.5999999999999996</v>
      </c>
      <c r="J97" s="124">
        <v>4</v>
      </c>
      <c r="K97" s="130">
        <v>6</v>
      </c>
      <c r="L97" s="59">
        <v>5</v>
      </c>
      <c r="M97" s="59">
        <v>4</v>
      </c>
      <c r="N97" s="17"/>
      <c r="O97" s="17">
        <v>4</v>
      </c>
      <c r="P97" s="17"/>
      <c r="Q97" s="17"/>
      <c r="R97" s="17"/>
      <c r="S97" s="17"/>
      <c r="T97" s="17"/>
      <c r="U97" s="17"/>
      <c r="V97" s="59"/>
      <c r="W97" s="17"/>
      <c r="X97" s="17"/>
      <c r="Y97" s="17"/>
      <c r="Z97" s="17"/>
      <c r="AA97" s="59"/>
      <c r="AB97" s="17"/>
      <c r="AC97" s="59"/>
      <c r="AD97" s="17"/>
      <c r="AE97" s="59"/>
      <c r="AF97" s="17"/>
      <c r="AG97" s="17"/>
      <c r="AH97" s="17"/>
      <c r="AI97" s="101"/>
      <c r="AJ97" s="17"/>
      <c r="AK97" s="17"/>
      <c r="AL97" s="101"/>
      <c r="AM97" s="17"/>
      <c r="AN97" s="17"/>
      <c r="AO97" s="17"/>
      <c r="AP97" s="101"/>
      <c r="AQ97" s="101"/>
      <c r="AR97">
        <f>F97 +G97</f>
        <v>5</v>
      </c>
    </row>
    <row r="98" spans="1:44" hidden="1" x14ac:dyDescent="0.25">
      <c r="A98" t="str">
        <f>B98 &amp; " - " &amp;E98</f>
        <v>Middlesbrough - Gibson</v>
      </c>
      <c r="B98" t="s">
        <v>1324</v>
      </c>
      <c r="C98" t="str">
        <f ca="1">IFERROR(VLOOKUP(INDEX(OFFSET(_JOUEURS,0,0,,1),MATCH(A98,OFFSET(_JOUEURS,0,1,,1),0)),_MPG,2,FALSE),"")</f>
        <v>nut fc</v>
      </c>
      <c r="D98" s="104" t="s">
        <v>363</v>
      </c>
      <c r="E98" s="29" t="s">
        <v>1159</v>
      </c>
      <c r="F98" s="106">
        <v>6</v>
      </c>
      <c r="G98" s="101"/>
      <c r="H98" s="36">
        <v>1</v>
      </c>
      <c r="I98" s="27">
        <f>AVERAGE(J98,K98,L98,M98,N98,O98)</f>
        <v>5</v>
      </c>
      <c r="J98" s="187">
        <v>5</v>
      </c>
      <c r="K98" s="183">
        <v>5</v>
      </c>
      <c r="L98" s="183">
        <v>6</v>
      </c>
      <c r="M98" s="17">
        <v>4</v>
      </c>
      <c r="N98" s="17">
        <v>4</v>
      </c>
      <c r="O98" s="16">
        <v>6</v>
      </c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85"/>
      <c r="AC98" s="17"/>
      <c r="AD98" s="17"/>
      <c r="AE98" s="17"/>
      <c r="AF98" s="17"/>
      <c r="AG98" s="17"/>
      <c r="AH98" s="17"/>
      <c r="AI98" s="101"/>
      <c r="AJ98" s="17"/>
      <c r="AK98" s="17"/>
      <c r="AL98" s="101"/>
      <c r="AM98" s="17"/>
      <c r="AN98" s="85"/>
      <c r="AO98" s="17"/>
      <c r="AP98" s="101"/>
      <c r="AQ98" s="101"/>
      <c r="AR98">
        <f>F98 +G98</f>
        <v>6</v>
      </c>
    </row>
    <row r="99" spans="1:44" hidden="1" x14ac:dyDescent="0.25">
      <c r="A99" t="str">
        <f>B99 &amp; " - " &amp;E99</f>
        <v>Watford - Zuniga</v>
      </c>
      <c r="B99" t="s">
        <v>1393</v>
      </c>
      <c r="C99" t="str">
        <f ca="1">IFERROR(VLOOKUP(INDEX(OFFSET(_JOUEURS,0,0,,1),MATCH(A99,OFFSET(_JOUEURS,0,1,,1),0)),_MPG,2,FALSE),"")</f>
        <v>Shame On You</v>
      </c>
      <c r="D99" s="104" t="s">
        <v>363</v>
      </c>
      <c r="E99" s="29" t="s">
        <v>1374</v>
      </c>
      <c r="F99" s="106"/>
      <c r="G99" s="101">
        <v>3</v>
      </c>
      <c r="H99" s="36">
        <v>1</v>
      </c>
      <c r="I99" s="27"/>
      <c r="J99" s="70" t="s">
        <v>364</v>
      </c>
      <c r="K99" s="28" t="s">
        <v>364</v>
      </c>
      <c r="L99" s="17"/>
      <c r="M99" s="17"/>
      <c r="N99" s="60" t="s">
        <v>364</v>
      </c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01"/>
      <c r="AJ99" s="17"/>
      <c r="AK99" s="17"/>
      <c r="AL99" s="101"/>
      <c r="AM99" s="17"/>
      <c r="AN99" s="17"/>
      <c r="AO99" s="17"/>
      <c r="AP99" s="101"/>
      <c r="AQ99" s="101"/>
      <c r="AR99">
        <f>F99 +G99</f>
        <v>3</v>
      </c>
    </row>
    <row r="100" spans="1:44" x14ac:dyDescent="0.25">
      <c r="A100" t="str">
        <f>B100 &amp; " - " &amp;E100</f>
        <v>Arsenal - Chambers</v>
      </c>
      <c r="B100" t="s">
        <v>1423</v>
      </c>
      <c r="C100" t="str">
        <f ca="1">IFERROR(VLOOKUP(INDEX(OFFSET(_JOUEURS,0,0,,1),MATCH(A100,OFFSET(_JOUEURS,0,1,,1),0)),_MPG,2,FALSE),"")</f>
        <v/>
      </c>
      <c r="D100" s="80" t="s">
        <v>363</v>
      </c>
      <c r="E100" s="111" t="s">
        <v>1309</v>
      </c>
      <c r="F100" s="137">
        <v>1</v>
      </c>
      <c r="G100" s="123"/>
      <c r="H100" s="190">
        <v>1</v>
      </c>
      <c r="I100" s="55">
        <f>AVERAGE(J100)</f>
        <v>5</v>
      </c>
      <c r="J100" s="126">
        <v>5</v>
      </c>
      <c r="K100" s="18"/>
      <c r="L100" s="28"/>
      <c r="M100" s="18"/>
      <c r="N100" s="28"/>
      <c r="O100" s="28"/>
      <c r="P100" s="18"/>
      <c r="Q100" s="28"/>
      <c r="R100" s="18"/>
      <c r="S100" s="17"/>
      <c r="T100" s="18"/>
      <c r="U100" s="18"/>
      <c r="V100" s="18"/>
      <c r="W100" s="28"/>
      <c r="X100" s="18"/>
      <c r="Y100" s="16"/>
      <c r="Z100" s="28"/>
      <c r="AA100" s="18"/>
      <c r="AB100" s="18"/>
      <c r="AC100" s="18"/>
      <c r="AD100" s="59"/>
      <c r="AE100" s="18"/>
      <c r="AF100" s="18"/>
      <c r="AG100" s="18"/>
      <c r="AH100" s="18"/>
      <c r="AI100" s="21"/>
      <c r="AJ100" s="18"/>
      <c r="AK100" s="28"/>
      <c r="AL100" s="21"/>
      <c r="AM100" s="28"/>
      <c r="AN100" s="16"/>
      <c r="AO100" s="28"/>
      <c r="AP100" s="20"/>
      <c r="AQ100" s="21"/>
      <c r="AR100">
        <f>F100 +G100</f>
        <v>1</v>
      </c>
    </row>
    <row r="101" spans="1:44" hidden="1" x14ac:dyDescent="0.25">
      <c r="A101" t="str">
        <f>B101 &amp; " - " &amp;E101</f>
        <v>Arsenal - Koscielny</v>
      </c>
      <c r="B101" t="s">
        <v>1423</v>
      </c>
      <c r="C101" t="str">
        <f ca="1">IFERROR(VLOOKUP(INDEX(OFFSET(_JOUEURS,0,0,,1),MATCH(A101,OFFSET(_JOUEURS,0,1,,1),0)),_MPG,2,FALSE),"")</f>
        <v>Fuck-Tonio FC</v>
      </c>
      <c r="D101" s="104" t="s">
        <v>363</v>
      </c>
      <c r="E101" s="109" t="s">
        <v>1399</v>
      </c>
      <c r="F101" s="106">
        <v>5</v>
      </c>
      <c r="G101" s="101"/>
      <c r="H101" s="36">
        <v>1</v>
      </c>
      <c r="I101" s="27">
        <f>AVERAGE(K101,L101,M101,N101,O101)</f>
        <v>6.2</v>
      </c>
      <c r="J101" s="124"/>
      <c r="K101" s="18">
        <v>5</v>
      </c>
      <c r="L101" s="28">
        <v>6</v>
      </c>
      <c r="M101" s="19">
        <v>7</v>
      </c>
      <c r="N101" s="28">
        <v>6</v>
      </c>
      <c r="O101" s="67">
        <v>7</v>
      </c>
      <c r="P101" s="18"/>
      <c r="Q101" s="28"/>
      <c r="R101" s="18"/>
      <c r="S101" s="17"/>
      <c r="T101" s="18"/>
      <c r="U101" s="18"/>
      <c r="V101" s="18"/>
      <c r="W101" s="28"/>
      <c r="X101" s="18"/>
      <c r="Y101" s="16"/>
      <c r="Z101" s="28"/>
      <c r="AA101" s="18"/>
      <c r="AB101" s="18"/>
      <c r="AC101" s="18"/>
      <c r="AD101" s="60"/>
      <c r="AE101" s="18"/>
      <c r="AF101" s="18"/>
      <c r="AG101" s="18"/>
      <c r="AH101" s="18"/>
      <c r="AI101" s="21"/>
      <c r="AJ101" s="18"/>
      <c r="AK101" s="28"/>
      <c r="AL101" s="21"/>
      <c r="AM101" s="28"/>
      <c r="AN101" s="18"/>
      <c r="AO101" s="28"/>
      <c r="AP101" s="20"/>
      <c r="AQ101" s="21"/>
      <c r="AR101">
        <f>F101 +G101</f>
        <v>5</v>
      </c>
    </row>
    <row r="102" spans="1:44" hidden="1" x14ac:dyDescent="0.25">
      <c r="A102" t="str">
        <f>B102 &amp; " - " &amp;E102</f>
        <v>Liverpool - Lovren</v>
      </c>
      <c r="B102" t="s">
        <v>1446</v>
      </c>
      <c r="C102" t="str">
        <f ca="1">IFERROR(VLOOKUP(INDEX(OFFSET(_JOUEURS,0,0,,1),MATCH(A102,OFFSET(_JOUEURS,0,1,,1),0)),_MPG,2,FALSE),"")</f>
        <v>I speak pas english</v>
      </c>
      <c r="D102" s="23" t="s">
        <v>363</v>
      </c>
      <c r="E102" s="29" t="s">
        <v>1428</v>
      </c>
      <c r="F102" s="25">
        <v>4</v>
      </c>
      <c r="G102" s="77"/>
      <c r="H102" s="56">
        <v>1</v>
      </c>
      <c r="I102" s="27">
        <f>AVERAGE(J102,K102,L102,N102)</f>
        <v>5.25</v>
      </c>
      <c r="J102" s="124">
        <v>4</v>
      </c>
      <c r="K102" s="17">
        <v>5</v>
      </c>
      <c r="L102" s="59">
        <v>5</v>
      </c>
      <c r="M102" s="17"/>
      <c r="N102" s="58">
        <v>7</v>
      </c>
      <c r="O102" s="59"/>
      <c r="P102" s="17"/>
      <c r="Q102" s="59"/>
      <c r="R102" s="17"/>
      <c r="S102" s="17"/>
      <c r="T102" s="17"/>
      <c r="U102" s="17"/>
      <c r="V102" s="17"/>
      <c r="W102" s="59"/>
      <c r="X102" s="17"/>
      <c r="Y102" s="17"/>
      <c r="Z102" s="59"/>
      <c r="AA102" s="17"/>
      <c r="AB102" s="17"/>
      <c r="AC102" s="17"/>
      <c r="AD102" s="59"/>
      <c r="AE102" s="59"/>
      <c r="AF102" s="17"/>
      <c r="AG102" s="17"/>
      <c r="AH102" s="59"/>
      <c r="AI102" s="101"/>
      <c r="AJ102" s="17"/>
      <c r="AK102" s="17"/>
      <c r="AL102" s="101"/>
      <c r="AM102" s="59"/>
      <c r="AN102" s="17"/>
      <c r="AO102" s="17"/>
      <c r="AP102" s="99"/>
      <c r="AQ102" s="101"/>
      <c r="AR102">
        <f>F102 +G102</f>
        <v>4</v>
      </c>
    </row>
    <row r="103" spans="1:44" hidden="1" x14ac:dyDescent="0.25">
      <c r="A103" t="str">
        <f>B103 &amp; " - " &amp;E103</f>
        <v>Man. United - Smalling</v>
      </c>
      <c r="B103" t="s">
        <v>1497</v>
      </c>
      <c r="C103" t="str">
        <f ca="1">IFERROR(VLOOKUP(INDEX(OFFSET(_JOUEURS,0,0,,1),MATCH(A103,OFFSET(_JOUEURS,0,1,,1),0)),_MPG,2,FALSE),"")</f>
        <v>74 c'est la champion's league</v>
      </c>
      <c r="D103" s="104" t="s">
        <v>363</v>
      </c>
      <c r="E103" s="109" t="s">
        <v>1481</v>
      </c>
      <c r="F103" s="106">
        <v>2</v>
      </c>
      <c r="G103" s="101">
        <v>2</v>
      </c>
      <c r="H103" s="36">
        <v>1</v>
      </c>
      <c r="I103" s="27">
        <f>AVERAGE(N103,O103)</f>
        <v>6</v>
      </c>
      <c r="J103" s="124"/>
      <c r="K103" s="28" t="s">
        <v>364</v>
      </c>
      <c r="L103" s="28" t="s">
        <v>364</v>
      </c>
      <c r="M103" s="17"/>
      <c r="N103" s="59">
        <v>5</v>
      </c>
      <c r="O103" s="58">
        <v>7</v>
      </c>
      <c r="P103" s="17"/>
      <c r="Q103" s="59"/>
      <c r="R103" s="17"/>
      <c r="S103" s="17"/>
      <c r="T103" s="17"/>
      <c r="U103" s="17"/>
      <c r="V103" s="17"/>
      <c r="W103" s="59"/>
      <c r="X103" s="17"/>
      <c r="Y103" s="17"/>
      <c r="Z103" s="59"/>
      <c r="AA103" s="17"/>
      <c r="AB103" s="17"/>
      <c r="AC103" s="17"/>
      <c r="AD103" s="59"/>
      <c r="AE103" s="17"/>
      <c r="AF103" s="17"/>
      <c r="AG103" s="17"/>
      <c r="AH103" s="17"/>
      <c r="AI103" s="101"/>
      <c r="AJ103" s="17"/>
      <c r="AK103" s="17"/>
      <c r="AL103" s="101"/>
      <c r="AM103" s="59"/>
      <c r="AN103" s="17"/>
      <c r="AO103" s="17"/>
      <c r="AP103" s="99"/>
      <c r="AQ103" s="101"/>
      <c r="AR103">
        <f>F103 +G103</f>
        <v>4</v>
      </c>
    </row>
    <row r="104" spans="1:44" x14ac:dyDescent="0.25">
      <c r="A104" t="str">
        <f>B104 &amp; " - " &amp;E104</f>
        <v>Burnley - Gray</v>
      </c>
      <c r="B104" t="s">
        <v>1069</v>
      </c>
      <c r="C104" t="str">
        <f ca="1">IFERROR(VLOOKUP(INDEX(OFFSET(_JOUEURS,0,0,,1),MATCH(A104,OFFSET(_JOUEURS,0,1,,1),0)),_MPG,2,FALSE),"")</f>
        <v/>
      </c>
      <c r="D104" s="104" t="s">
        <v>372</v>
      </c>
      <c r="E104" s="29" t="s">
        <v>1065</v>
      </c>
      <c r="F104" s="194">
        <v>5</v>
      </c>
      <c r="G104" s="21"/>
      <c r="H104" s="163">
        <v>1</v>
      </c>
      <c r="I104" s="27">
        <f>AVERAGE(J104,K104,L104,M104,N104)</f>
        <v>4.2</v>
      </c>
      <c r="J104" s="29">
        <v>4</v>
      </c>
      <c r="K104" s="58">
        <v>7</v>
      </c>
      <c r="L104" s="65">
        <v>3</v>
      </c>
      <c r="M104" s="18">
        <v>4</v>
      </c>
      <c r="N104" s="65">
        <v>3</v>
      </c>
      <c r="O104" s="18"/>
      <c r="P104" s="18"/>
      <c r="Q104" s="18"/>
      <c r="R104" s="18"/>
      <c r="S104" s="18"/>
      <c r="T104" s="18"/>
      <c r="U104" s="18"/>
      <c r="V104" s="28"/>
      <c r="W104" s="18"/>
      <c r="X104" s="18"/>
      <c r="Y104" s="18"/>
      <c r="Z104" s="18"/>
      <c r="AA104" s="18"/>
      <c r="AB104" s="18"/>
      <c r="AC104" s="28"/>
      <c r="AD104" s="18"/>
      <c r="AE104" s="18"/>
      <c r="AF104" s="18"/>
      <c r="AG104" s="18"/>
      <c r="AH104" s="18"/>
      <c r="AI104" s="21"/>
      <c r="AJ104" s="18"/>
      <c r="AK104" s="18"/>
      <c r="AL104" s="21"/>
      <c r="AM104" s="18"/>
      <c r="AN104" s="18"/>
      <c r="AO104" s="18"/>
      <c r="AP104" s="21"/>
      <c r="AQ104" s="21"/>
      <c r="AR104">
        <f>F104 +G104</f>
        <v>5</v>
      </c>
    </row>
    <row r="105" spans="1:44" x14ac:dyDescent="0.25">
      <c r="A105" t="str">
        <f>B105 &amp; " - " &amp;E105</f>
        <v>Burnley - Vokes</v>
      </c>
      <c r="B105" t="s">
        <v>1069</v>
      </c>
      <c r="C105" t="str">
        <f ca="1">IFERROR(VLOOKUP(INDEX(OFFSET(_JOUEURS,0,0,,1),MATCH(A105,OFFSET(_JOUEURS,0,1,,1),0)),_MPG,2,FALSE),"")</f>
        <v/>
      </c>
      <c r="D105" s="104" t="s">
        <v>372</v>
      </c>
      <c r="E105" s="29" t="s">
        <v>1066</v>
      </c>
      <c r="F105" s="194">
        <v>5</v>
      </c>
      <c r="G105" s="21">
        <v>1</v>
      </c>
      <c r="H105" s="163">
        <v>1</v>
      </c>
      <c r="I105" s="27">
        <f>AVERAGE(J105,K105,L105,M105,O105)</f>
        <v>5</v>
      </c>
      <c r="J105" s="29">
        <v>4</v>
      </c>
      <c r="K105" s="58">
        <v>7</v>
      </c>
      <c r="L105" s="18">
        <v>4</v>
      </c>
      <c r="M105" s="18">
        <v>4</v>
      </c>
      <c r="N105" s="28" t="s">
        <v>364</v>
      </c>
      <c r="O105" s="18">
        <v>6</v>
      </c>
      <c r="P105" s="18"/>
      <c r="Q105" s="18"/>
      <c r="R105" s="18"/>
      <c r="S105" s="18"/>
      <c r="T105" s="18"/>
      <c r="U105" s="18"/>
      <c r="V105" s="28"/>
      <c r="W105" s="18"/>
      <c r="X105" s="18"/>
      <c r="Y105" s="18"/>
      <c r="Z105" s="18"/>
      <c r="AA105" s="18"/>
      <c r="AB105" s="18"/>
      <c r="AC105" s="28"/>
      <c r="AD105" s="18"/>
      <c r="AE105" s="18"/>
      <c r="AF105" s="60"/>
      <c r="AG105" s="18"/>
      <c r="AH105" s="18"/>
      <c r="AI105" s="21"/>
      <c r="AJ105" s="18"/>
      <c r="AK105" s="18"/>
      <c r="AL105" s="21"/>
      <c r="AM105" s="18"/>
      <c r="AN105" s="18"/>
      <c r="AO105" s="18"/>
      <c r="AP105" s="21"/>
      <c r="AQ105" s="21"/>
      <c r="AR105">
        <f>F105 +G105</f>
        <v>6</v>
      </c>
    </row>
    <row r="106" spans="1:44" hidden="1" x14ac:dyDescent="0.25">
      <c r="A106" t="str">
        <f>B106 &amp; " - " &amp;E106</f>
        <v>Swansea - Llorente</v>
      </c>
      <c r="B106" t="s">
        <v>1095</v>
      </c>
      <c r="C106" t="str">
        <f ca="1">IFERROR(VLOOKUP(INDEX(OFFSET(_JOUEURS,0,0,,1),MATCH(A106,OFFSET(_JOUEURS,0,1,,1),0)),_MPG,2,FALSE),"")</f>
        <v>74 c'est la champion's league</v>
      </c>
      <c r="D106" s="23" t="s">
        <v>372</v>
      </c>
      <c r="E106" s="29" t="s">
        <v>1091</v>
      </c>
      <c r="F106" s="194">
        <v>6</v>
      </c>
      <c r="G106" s="21"/>
      <c r="H106" s="163">
        <v>1</v>
      </c>
      <c r="I106" s="27">
        <f>AVERAGE(J106,K106,L106,M106,N106,O106)</f>
        <v>4.666666666666667</v>
      </c>
      <c r="J106" s="89">
        <v>6</v>
      </c>
      <c r="K106" s="59">
        <v>4</v>
      </c>
      <c r="L106" s="28">
        <v>4</v>
      </c>
      <c r="M106" s="59">
        <v>4</v>
      </c>
      <c r="N106" s="28">
        <v>4</v>
      </c>
      <c r="O106" s="60">
        <v>6</v>
      </c>
      <c r="P106" s="16"/>
      <c r="Q106" s="28"/>
      <c r="R106" s="16"/>
      <c r="S106" s="16"/>
      <c r="T106" s="18"/>
      <c r="U106" s="16"/>
      <c r="V106" s="16"/>
      <c r="W106" s="18"/>
      <c r="X106" s="18"/>
      <c r="Y106" s="17"/>
      <c r="Z106" s="16"/>
      <c r="AA106" s="16"/>
      <c r="AB106" s="16"/>
      <c r="AC106" s="59"/>
      <c r="AD106" s="59"/>
      <c r="AE106" s="59"/>
      <c r="AF106" s="59"/>
      <c r="AG106" s="60"/>
      <c r="AH106" s="18"/>
      <c r="AI106" s="21"/>
      <c r="AJ106" s="18"/>
      <c r="AK106" s="16"/>
      <c r="AL106" s="21"/>
      <c r="AM106" s="18"/>
      <c r="AN106" s="59"/>
      <c r="AO106" s="16"/>
      <c r="AP106" s="21"/>
      <c r="AQ106" s="22"/>
      <c r="AR106">
        <f>F106 +G106</f>
        <v>6</v>
      </c>
    </row>
    <row r="107" spans="1:44" x14ac:dyDescent="0.25">
      <c r="A107" t="str">
        <f>B107 &amp; " - " &amp;E107</f>
        <v>Everton - Barkley</v>
      </c>
      <c r="B107" t="s">
        <v>1167</v>
      </c>
      <c r="C107" t="str">
        <f ca="1">IFERROR(VLOOKUP(INDEX(OFFSET(_JOUEURS,0,0,,1),MATCH(A107,OFFSET(_JOUEURS,0,1,,1),0)),_MPG,2,FALSE),"")</f>
        <v/>
      </c>
      <c r="D107" s="23" t="s">
        <v>372</v>
      </c>
      <c r="E107" s="29" t="s">
        <v>1161</v>
      </c>
      <c r="F107" s="25">
        <v>6</v>
      </c>
      <c r="G107" s="77"/>
      <c r="H107" s="56">
        <v>1</v>
      </c>
      <c r="I107" s="27">
        <f>AVERAGE(J107,K107,L107,M107,N107,O107)</f>
        <v>4.666666666666667</v>
      </c>
      <c r="J107" s="164">
        <v>7</v>
      </c>
      <c r="K107" s="59">
        <v>4</v>
      </c>
      <c r="L107" s="59">
        <v>4</v>
      </c>
      <c r="M107" s="59">
        <v>4</v>
      </c>
      <c r="N107" s="17">
        <v>6</v>
      </c>
      <c r="O107" s="145">
        <v>3</v>
      </c>
      <c r="P107" s="17"/>
      <c r="Q107" s="17"/>
      <c r="R107" s="17"/>
      <c r="S107" s="17"/>
      <c r="T107" s="17"/>
      <c r="U107" s="17"/>
      <c r="V107" s="59"/>
      <c r="W107" s="17"/>
      <c r="X107" s="59"/>
      <c r="Y107" s="17"/>
      <c r="Z107" s="17"/>
      <c r="AA107" s="59"/>
      <c r="AB107" s="59"/>
      <c r="AC107" s="59"/>
      <c r="AD107" s="17"/>
      <c r="AE107" s="17"/>
      <c r="AF107" s="17"/>
      <c r="AG107" s="17"/>
      <c r="AH107" s="17"/>
      <c r="AI107" s="99"/>
      <c r="AJ107" s="59"/>
      <c r="AK107" s="59"/>
      <c r="AL107" s="99"/>
      <c r="AM107" s="59"/>
      <c r="AN107" s="17"/>
      <c r="AO107" s="17"/>
      <c r="AP107" s="99"/>
      <c r="AQ107" s="101"/>
      <c r="AR107">
        <f>F107 +G107</f>
        <v>6</v>
      </c>
    </row>
    <row r="108" spans="1:44" hidden="1" x14ac:dyDescent="0.25">
      <c r="A108" t="str">
        <f>B108 &amp; " - " &amp;E108</f>
        <v>Everton - Mirallas</v>
      </c>
      <c r="B108" t="s">
        <v>1167</v>
      </c>
      <c r="C108" t="str">
        <f ca="1">IFERROR(VLOOKUP(INDEX(OFFSET(_JOUEURS,0,0,,1),MATCH(A108,OFFSET(_JOUEURS,0,1,,1),0)),_MPG,2,FALSE),"")</f>
        <v>74 c'est la champion's league</v>
      </c>
      <c r="D108" s="104" t="s">
        <v>372</v>
      </c>
      <c r="E108" s="29" t="s">
        <v>1163</v>
      </c>
      <c r="F108" s="106">
        <v>6</v>
      </c>
      <c r="G108" s="101"/>
      <c r="H108" s="36">
        <v>1</v>
      </c>
      <c r="I108" s="27">
        <f>AVERAGE(J108,K108,L108,M108,N108,O108)</f>
        <v>5.5</v>
      </c>
      <c r="J108" s="109">
        <v>5</v>
      </c>
      <c r="K108" s="16">
        <v>6</v>
      </c>
      <c r="L108" s="59">
        <v>5</v>
      </c>
      <c r="M108" s="97">
        <v>7</v>
      </c>
      <c r="N108" s="17">
        <v>5</v>
      </c>
      <c r="O108" s="17">
        <v>5</v>
      </c>
      <c r="P108" s="59"/>
      <c r="Q108" s="17"/>
      <c r="R108" s="17"/>
      <c r="S108" s="17"/>
      <c r="T108" s="17"/>
      <c r="U108" s="59"/>
      <c r="V108" s="59"/>
      <c r="W108" s="59"/>
      <c r="X108" s="17"/>
      <c r="Y108" s="59"/>
      <c r="Z108" s="59"/>
      <c r="AA108" s="59"/>
      <c r="AB108" s="17"/>
      <c r="AC108" s="59"/>
      <c r="AD108" s="59"/>
      <c r="AE108" s="59"/>
      <c r="AF108" s="59"/>
      <c r="AG108" s="17"/>
      <c r="AH108" s="17"/>
      <c r="AI108" s="101"/>
      <c r="AJ108" s="17"/>
      <c r="AK108" s="17"/>
      <c r="AL108" s="101"/>
      <c r="AM108" s="17"/>
      <c r="AN108" s="17"/>
      <c r="AO108" s="17"/>
      <c r="AP108" s="99"/>
      <c r="AQ108" s="101"/>
      <c r="AR108">
        <f>F108 +G108</f>
        <v>6</v>
      </c>
    </row>
    <row r="109" spans="1:44" x14ac:dyDescent="0.25">
      <c r="A109" t="str">
        <f>B109 &amp; " - " &amp;E109</f>
        <v>West Ham - Lanzini</v>
      </c>
      <c r="B109" t="s">
        <v>1212</v>
      </c>
      <c r="C109" t="str">
        <f ca="1">IFERROR(VLOOKUP(INDEX(OFFSET(_JOUEURS,0,0,,1),MATCH(A109,OFFSET(_JOUEURS,0,1,,1),0)),_MPG,2,FALSE),"")</f>
        <v/>
      </c>
      <c r="D109" s="104" t="s">
        <v>372</v>
      </c>
      <c r="E109" s="29" t="s">
        <v>1209</v>
      </c>
      <c r="F109" s="106">
        <v>3</v>
      </c>
      <c r="G109" s="101">
        <v>1</v>
      </c>
      <c r="H109" s="36">
        <v>1</v>
      </c>
      <c r="I109" s="27">
        <f>AVERAGE(M109,N109,O109)</f>
        <v>4.666666666666667</v>
      </c>
      <c r="J109" s="89"/>
      <c r="K109" s="28"/>
      <c r="L109" s="59" t="s">
        <v>364</v>
      </c>
      <c r="M109" s="28">
        <v>4</v>
      </c>
      <c r="N109" s="16">
        <v>6</v>
      </c>
      <c r="O109" s="17">
        <v>4</v>
      </c>
      <c r="P109" s="59"/>
      <c r="Q109" s="17"/>
      <c r="R109" s="59"/>
      <c r="S109" s="17"/>
      <c r="T109" s="17"/>
      <c r="U109" s="17"/>
      <c r="V109" s="85"/>
      <c r="W109" s="17"/>
      <c r="X109" s="17"/>
      <c r="Y109" s="59"/>
      <c r="Z109" s="17"/>
      <c r="AA109" s="17"/>
      <c r="AB109" s="59"/>
      <c r="AC109" s="17"/>
      <c r="AD109" s="17"/>
      <c r="AE109" s="17"/>
      <c r="AF109" s="17"/>
      <c r="AG109" s="59"/>
      <c r="AH109" s="17"/>
      <c r="AI109" s="99"/>
      <c r="AJ109" s="59"/>
      <c r="AK109" s="17"/>
      <c r="AL109" s="99"/>
      <c r="AM109" s="59"/>
      <c r="AN109" s="84"/>
      <c r="AO109" s="59"/>
      <c r="AP109" s="99"/>
      <c r="AQ109" s="99"/>
      <c r="AR109">
        <f>F109 +G109</f>
        <v>4</v>
      </c>
    </row>
    <row r="110" spans="1:44" x14ac:dyDescent="0.25">
      <c r="A110" t="str">
        <f>B110 &amp; " - " &amp;E110</f>
        <v>Hull - Hernandez</v>
      </c>
      <c r="B110" t="s">
        <v>1237</v>
      </c>
      <c r="C110" t="str">
        <f ca="1">IFERROR(VLOOKUP(INDEX(OFFSET(_JOUEURS,0,0,,1),MATCH(A110,OFFSET(_JOUEURS,0,1,,1),0)),_MPG,2,FALSE),"")</f>
        <v/>
      </c>
      <c r="D110" s="104" t="s">
        <v>372</v>
      </c>
      <c r="E110" s="29" t="s">
        <v>1232</v>
      </c>
      <c r="F110" s="106">
        <v>6</v>
      </c>
      <c r="G110" s="101"/>
      <c r="H110" s="36">
        <v>1</v>
      </c>
      <c r="I110" s="27">
        <f>AVERAGE(J110,K110,L110,M110,N110,O110)</f>
        <v>4.166666666666667</v>
      </c>
      <c r="J110" s="124">
        <v>5</v>
      </c>
      <c r="K110" s="60">
        <v>6</v>
      </c>
      <c r="L110" s="59">
        <v>4</v>
      </c>
      <c r="M110" s="59">
        <v>4</v>
      </c>
      <c r="N110" s="114">
        <v>3</v>
      </c>
      <c r="O110" s="114">
        <v>3</v>
      </c>
      <c r="P110" s="85"/>
      <c r="Q110" s="84"/>
      <c r="R110" s="85"/>
      <c r="S110" s="84"/>
      <c r="T110" s="85"/>
      <c r="U110" s="85"/>
      <c r="V110" s="85"/>
      <c r="W110" s="84"/>
      <c r="X110" s="85"/>
      <c r="Y110" s="84"/>
      <c r="Z110" s="85"/>
      <c r="AA110" s="85"/>
      <c r="AB110" s="85"/>
      <c r="AC110" s="85"/>
      <c r="AD110" s="85"/>
      <c r="AE110" s="84"/>
      <c r="AF110" s="85"/>
      <c r="AG110" s="84"/>
      <c r="AH110" s="84"/>
      <c r="AI110" s="125"/>
      <c r="AJ110" s="84"/>
      <c r="AK110" s="84"/>
      <c r="AL110" s="125"/>
      <c r="AM110" s="85"/>
      <c r="AN110" s="85"/>
      <c r="AO110" s="85"/>
      <c r="AP110" s="86"/>
      <c r="AQ110" s="125"/>
      <c r="AR110">
        <f>F110 +G110</f>
        <v>6</v>
      </c>
    </row>
    <row r="111" spans="1:44" hidden="1" x14ac:dyDescent="0.25">
      <c r="A111" t="str">
        <f>B111 &amp; " - " &amp;E111</f>
        <v>Hull - Diomandé</v>
      </c>
      <c r="B111" t="s">
        <v>1237</v>
      </c>
      <c r="C111" t="str">
        <f ca="1">IFERROR(VLOOKUP(INDEX(OFFSET(_JOUEURS,0,0,,1),MATCH(A111,OFFSET(_JOUEURS,0,1,,1),0)),_MPG,2,FALSE),"")</f>
        <v>The Bastards</v>
      </c>
      <c r="D111" s="80" t="s">
        <v>372</v>
      </c>
      <c r="E111" s="69" t="s">
        <v>411</v>
      </c>
      <c r="F111" s="137">
        <v>6</v>
      </c>
      <c r="G111" s="123"/>
      <c r="H111" s="81">
        <v>1</v>
      </c>
      <c r="I111" s="55">
        <f>AVERAGE(J111,K111,L111,M111,N111,O111)</f>
        <v>4.666666666666667</v>
      </c>
      <c r="J111" s="108">
        <v>7</v>
      </c>
      <c r="K111" s="59">
        <v>4</v>
      </c>
      <c r="L111" s="59">
        <v>4</v>
      </c>
      <c r="M111" s="59">
        <v>5</v>
      </c>
      <c r="N111" s="17">
        <v>4</v>
      </c>
      <c r="O111" s="17">
        <v>4</v>
      </c>
      <c r="P111" s="85"/>
      <c r="Q111" s="84"/>
      <c r="R111" s="85"/>
      <c r="S111" s="84"/>
      <c r="T111" s="85"/>
      <c r="U111" s="85"/>
      <c r="V111" s="85"/>
      <c r="W111" s="84"/>
      <c r="X111" s="85"/>
      <c r="Y111" s="84"/>
      <c r="Z111" s="85"/>
      <c r="AA111" s="85"/>
      <c r="AB111" s="85"/>
      <c r="AC111" s="85"/>
      <c r="AD111" s="85"/>
      <c r="AE111" s="84"/>
      <c r="AF111" s="85"/>
      <c r="AG111" s="84"/>
      <c r="AH111" s="84"/>
      <c r="AI111" s="125"/>
      <c r="AJ111" s="84"/>
      <c r="AK111" s="84"/>
      <c r="AL111" s="125"/>
      <c r="AM111" s="85"/>
      <c r="AN111" s="85"/>
      <c r="AO111" s="85"/>
      <c r="AP111" s="86"/>
      <c r="AQ111" s="125"/>
      <c r="AR111">
        <f>F111 +G111</f>
        <v>6</v>
      </c>
    </row>
    <row r="112" spans="1:44" hidden="1" x14ac:dyDescent="0.25">
      <c r="A112" t="str">
        <f>B112 &amp; " - " &amp;E112</f>
        <v>Middlesbrough - Negredo</v>
      </c>
      <c r="B112" t="s">
        <v>1324</v>
      </c>
      <c r="C112" t="str">
        <f ca="1">IFERROR(VLOOKUP(INDEX(OFFSET(_JOUEURS,0,0,,1),MATCH(A112,OFFSET(_JOUEURS,0,1,,1),0)),_MPG,2,FALSE),"")</f>
        <v>Shame On You</v>
      </c>
      <c r="D112" s="104" t="s">
        <v>372</v>
      </c>
      <c r="E112" s="29" t="s">
        <v>1319</v>
      </c>
      <c r="F112" s="106">
        <v>6</v>
      </c>
      <c r="G112" s="101"/>
      <c r="H112" s="36">
        <v>1</v>
      </c>
      <c r="I112" s="27">
        <f>AVERAGE(J112,K112,L112,M112,N112,O112)</f>
        <v>4.666666666666667</v>
      </c>
      <c r="J112" s="126">
        <v>6</v>
      </c>
      <c r="K112" s="99">
        <v>6</v>
      </c>
      <c r="L112" s="59">
        <v>4</v>
      </c>
      <c r="M112" s="59">
        <v>4</v>
      </c>
      <c r="N112" s="59">
        <v>4</v>
      </c>
      <c r="O112" s="17">
        <v>4</v>
      </c>
      <c r="P112" s="17"/>
      <c r="Q112" s="17"/>
      <c r="R112" s="84"/>
      <c r="S112" s="17"/>
      <c r="T112" s="17"/>
      <c r="U112" s="17"/>
      <c r="V112" s="59"/>
      <c r="W112" s="17"/>
      <c r="X112" s="17"/>
      <c r="Y112" s="17"/>
      <c r="Z112" s="17"/>
      <c r="AA112" s="17"/>
      <c r="AB112" s="17"/>
      <c r="AC112" s="59"/>
      <c r="AD112" s="17"/>
      <c r="AE112" s="101"/>
      <c r="AF112" s="17"/>
      <c r="AG112" s="99"/>
      <c r="AH112" s="17"/>
      <c r="AI112" s="101"/>
      <c r="AJ112" s="99"/>
      <c r="AK112" s="17"/>
      <c r="AL112" s="17"/>
      <c r="AM112" s="17"/>
      <c r="AN112" s="17"/>
      <c r="AO112" s="101"/>
      <c r="AP112" s="17"/>
      <c r="AQ112" s="17"/>
      <c r="AR112">
        <f>F112 +G112</f>
        <v>6</v>
      </c>
    </row>
    <row r="113" spans="1:44" hidden="1" x14ac:dyDescent="0.25">
      <c r="A113" t="str">
        <f>B113 &amp; " - " &amp;E113</f>
        <v>Southampton - Redmond</v>
      </c>
      <c r="B113" t="s">
        <v>1367</v>
      </c>
      <c r="C113" t="str">
        <f ca="1">IFERROR(VLOOKUP(INDEX(OFFSET(_JOUEURS,0,0,,1),MATCH(A113,OFFSET(_JOUEURS,0,1,,1),0)),_MPG,2,FALSE),"")</f>
        <v>myteam</v>
      </c>
      <c r="D113" s="104" t="s">
        <v>372</v>
      </c>
      <c r="E113" s="109" t="s">
        <v>1364</v>
      </c>
      <c r="F113" s="106">
        <v>6</v>
      </c>
      <c r="G113" s="101"/>
      <c r="H113" s="36">
        <v>1</v>
      </c>
      <c r="I113" s="27">
        <f>AVERAGE(J113,K113,L113,M113,N113,O113)</f>
        <v>5.666666666666667</v>
      </c>
      <c r="J113" s="270">
        <v>7</v>
      </c>
      <c r="K113" s="18">
        <v>5</v>
      </c>
      <c r="L113" s="28">
        <v>6</v>
      </c>
      <c r="M113" s="18">
        <v>4</v>
      </c>
      <c r="N113" s="18">
        <v>6</v>
      </c>
      <c r="O113" s="18">
        <v>6</v>
      </c>
      <c r="P113" s="18"/>
      <c r="Q113" s="28"/>
      <c r="R113" s="18"/>
      <c r="S113" s="28"/>
      <c r="T113" s="28"/>
      <c r="U113" s="28"/>
      <c r="V113" s="60"/>
      <c r="W113" s="28"/>
      <c r="X113" s="28"/>
      <c r="Y113" s="28"/>
      <c r="Z113" s="16"/>
      <c r="AA113" s="28"/>
      <c r="AB113" s="28"/>
      <c r="AC113" s="18"/>
      <c r="AD113" s="18"/>
      <c r="AE113" s="18"/>
      <c r="AF113" s="28"/>
      <c r="AG113" s="18"/>
      <c r="AH113" s="28"/>
      <c r="AI113" s="21"/>
      <c r="AJ113" s="28"/>
      <c r="AK113" s="28"/>
      <c r="AL113" s="21"/>
      <c r="AM113" s="28"/>
      <c r="AN113" s="28"/>
      <c r="AO113" s="18"/>
      <c r="AP113" s="20"/>
      <c r="AQ113" s="21"/>
      <c r="AR113">
        <f>F113 +G113</f>
        <v>6</v>
      </c>
    </row>
    <row r="114" spans="1:44" x14ac:dyDescent="0.25">
      <c r="A114" t="str">
        <f>B114 &amp; " - " &amp;E114</f>
        <v>Southampton - Rodriguez</v>
      </c>
      <c r="B114" t="s">
        <v>1367</v>
      </c>
      <c r="C114" t="str">
        <f ca="1">IFERROR(VLOOKUP(INDEX(OFFSET(_JOUEURS,0,0,,1),MATCH(A114,OFFSET(_JOUEURS,0,1,,1),0)),_MPG,2,FALSE),"")</f>
        <v/>
      </c>
      <c r="D114" s="104" t="s">
        <v>372</v>
      </c>
      <c r="E114" s="109" t="s">
        <v>1366</v>
      </c>
      <c r="F114" s="106">
        <v>1</v>
      </c>
      <c r="G114" s="101">
        <v>2</v>
      </c>
      <c r="H114" s="36">
        <v>1</v>
      </c>
      <c r="I114" s="135">
        <f>AVERAGE(M114)</f>
        <v>4</v>
      </c>
      <c r="J114" s="129"/>
      <c r="K114" s="136" t="s">
        <v>364</v>
      </c>
      <c r="L114" s="60" t="s">
        <v>364</v>
      </c>
      <c r="M114" s="59">
        <v>4</v>
      </c>
      <c r="N114" s="84"/>
      <c r="O114" s="84"/>
      <c r="P114" s="84"/>
      <c r="Q114" s="84"/>
      <c r="R114" s="84"/>
      <c r="S114" s="84"/>
      <c r="T114" s="84"/>
      <c r="U114" s="85"/>
      <c r="V114" s="84"/>
      <c r="W114" s="85"/>
      <c r="X114" s="84"/>
      <c r="Y114" s="84"/>
      <c r="Z114" s="84"/>
      <c r="AA114" s="84"/>
      <c r="AB114" s="84"/>
      <c r="AC114" s="84"/>
      <c r="AD114" s="84"/>
      <c r="AE114" s="85"/>
      <c r="AF114" s="84"/>
      <c r="AG114" s="85"/>
      <c r="AH114" s="84"/>
      <c r="AI114" s="86"/>
      <c r="AJ114" s="84"/>
      <c r="AK114" s="84"/>
      <c r="AL114" s="22"/>
      <c r="AM114" s="84"/>
      <c r="AN114" s="84"/>
      <c r="AO114" s="85"/>
      <c r="AP114" s="86"/>
      <c r="AQ114" s="125"/>
      <c r="AR114">
        <f>F114 +G114</f>
        <v>3</v>
      </c>
    </row>
    <row r="115" spans="1:44" ht="15.75" thickBot="1" x14ac:dyDescent="0.3">
      <c r="A115" t="str">
        <f>B115 &amp; " - " &amp;E115</f>
        <v>Watford - Ighalo</v>
      </c>
      <c r="B115" t="s">
        <v>1393</v>
      </c>
      <c r="C115" t="str">
        <f ca="1">IFERROR(VLOOKUP(INDEX(OFFSET(_JOUEURS,0,0,,1),MATCH(A115,OFFSET(_JOUEURS,0,1,,1),0)),_MPG,2,FALSE),"")</f>
        <v/>
      </c>
      <c r="D115" s="128" t="s">
        <v>372</v>
      </c>
      <c r="E115" s="174" t="s">
        <v>1389</v>
      </c>
      <c r="F115" s="118">
        <v>6</v>
      </c>
      <c r="G115" s="119"/>
      <c r="H115" s="120">
        <v>1</v>
      </c>
      <c r="I115" s="92">
        <f>AVERAGE(J115,K115,L115,M115,N115,O115)</f>
        <v>4.5</v>
      </c>
      <c r="J115" s="124">
        <v>4</v>
      </c>
      <c r="K115" s="145">
        <v>3</v>
      </c>
      <c r="L115" s="59">
        <v>5</v>
      </c>
      <c r="M115" s="60">
        <v>7</v>
      </c>
      <c r="N115" s="59">
        <v>4</v>
      </c>
      <c r="O115" s="59">
        <v>4</v>
      </c>
      <c r="P115" s="59"/>
      <c r="Q115" s="59"/>
      <c r="R115" s="17"/>
      <c r="S115" s="17"/>
      <c r="T115" s="17"/>
      <c r="U115" s="17"/>
      <c r="V115" s="17"/>
      <c r="W115" s="59"/>
      <c r="X115" s="17"/>
      <c r="Y115" s="17"/>
      <c r="Z115" s="59"/>
      <c r="AA115" s="17"/>
      <c r="AB115" s="17"/>
      <c r="AC115" s="17"/>
      <c r="AD115" s="59"/>
      <c r="AE115" s="17"/>
      <c r="AF115" s="17"/>
      <c r="AG115" s="17"/>
      <c r="AH115" s="17"/>
      <c r="AI115" s="101"/>
      <c r="AJ115" s="17"/>
      <c r="AK115" s="17"/>
      <c r="AL115" s="101"/>
      <c r="AM115" s="59"/>
      <c r="AN115" s="17"/>
      <c r="AO115" s="17"/>
      <c r="AP115" s="99"/>
      <c r="AQ115" s="101"/>
      <c r="AR115">
        <f>F115 +G115</f>
        <v>6</v>
      </c>
    </row>
    <row r="116" spans="1:44" hidden="1" x14ac:dyDescent="0.25">
      <c r="A116" t="str">
        <f>B116 &amp; " - " &amp;E116</f>
        <v>Bournemouth - Wilson</v>
      </c>
      <c r="B116" t="s">
        <v>1474</v>
      </c>
      <c r="C116" t="str">
        <f ca="1">IFERROR(VLOOKUP(INDEX(OFFSET(_JOUEURS,0,0,,1),MATCH(A116,OFFSET(_JOUEURS,0,1,,1),0)),_MPG,2,FALSE),"")</f>
        <v>nut fc</v>
      </c>
      <c r="D116" s="218" t="s">
        <v>372</v>
      </c>
      <c r="E116" s="219" t="s">
        <v>1469</v>
      </c>
      <c r="F116" s="203">
        <v>5</v>
      </c>
      <c r="G116" s="204">
        <v>1</v>
      </c>
      <c r="H116" s="205">
        <v>1</v>
      </c>
      <c r="I116" s="14">
        <f>AVERAGE(J116,K116,L116,M116,O116)</f>
        <v>4</v>
      </c>
      <c r="J116" s="145">
        <v>3</v>
      </c>
      <c r="K116" s="28">
        <v>4</v>
      </c>
      <c r="L116" s="121">
        <v>3</v>
      </c>
      <c r="M116" s="60">
        <v>6</v>
      </c>
      <c r="N116" s="28" t="s">
        <v>364</v>
      </c>
      <c r="O116" s="17">
        <v>4</v>
      </c>
      <c r="P116" s="17"/>
      <c r="Q116" s="17"/>
      <c r="R116" s="17"/>
      <c r="S116" s="17"/>
      <c r="T116" s="17"/>
      <c r="U116" s="17"/>
      <c r="V116" s="99"/>
      <c r="W116" s="101"/>
      <c r="X116" s="17"/>
      <c r="Y116" s="59"/>
      <c r="Z116" s="101"/>
      <c r="AA116" s="17"/>
      <c r="AB116" s="17"/>
      <c r="AC116" s="59"/>
      <c r="AD116" s="17"/>
      <c r="AE116" s="59"/>
      <c r="AF116" s="101"/>
      <c r="AG116" s="99"/>
      <c r="AH116" s="59"/>
      <c r="AI116" s="59"/>
      <c r="AJ116" s="17"/>
      <c r="AK116" s="99"/>
      <c r="AL116" s="59"/>
      <c r="AM116" s="17"/>
      <c r="AN116" s="59"/>
      <c r="AO116" s="101"/>
      <c r="AP116" s="99"/>
      <c r="AQ116" s="59"/>
      <c r="AR116">
        <f>F116 +G116</f>
        <v>6</v>
      </c>
    </row>
    <row r="117" spans="1:44" hidden="1" x14ac:dyDescent="0.25">
      <c r="A117" t="str">
        <f>B117 &amp; " - " &amp;E117</f>
        <v>Bournemouth - King</v>
      </c>
      <c r="B117" t="s">
        <v>1474</v>
      </c>
      <c r="C117" t="str">
        <f ca="1">IFERROR(VLOOKUP(INDEX(OFFSET(_JOUEURS,0,0,,1),MATCH(A117,OFFSET(_JOUEURS,0,1,,1),0)),_MPG,2,FALSE),"")</f>
        <v>Shame On You</v>
      </c>
      <c r="D117" s="52" t="s">
        <v>372</v>
      </c>
      <c r="E117" s="68" t="s">
        <v>1246</v>
      </c>
      <c r="F117" s="137">
        <v>5</v>
      </c>
      <c r="G117" s="123"/>
      <c r="H117" s="81">
        <v>1</v>
      </c>
      <c r="I117" s="55">
        <f>AVERAGE(J117,K117,L117,M117,N117)</f>
        <v>5</v>
      </c>
      <c r="J117" s="59">
        <v>4</v>
      </c>
      <c r="K117" s="59">
        <v>5</v>
      </c>
      <c r="L117" s="58">
        <v>7</v>
      </c>
      <c r="M117" s="136">
        <v>5</v>
      </c>
      <c r="N117" s="17">
        <v>4</v>
      </c>
      <c r="O117" s="59"/>
      <c r="P117" s="59"/>
      <c r="Q117" s="17"/>
      <c r="R117" s="17"/>
      <c r="S117" s="17"/>
      <c r="T117" s="59"/>
      <c r="U117" s="59"/>
      <c r="V117" s="101"/>
      <c r="W117" s="89"/>
      <c r="X117" s="17"/>
      <c r="Y117" s="17"/>
      <c r="Z117" s="101"/>
      <c r="AA117" s="59"/>
      <c r="AB117" s="59"/>
      <c r="AC117" s="17"/>
      <c r="AD117" s="17"/>
      <c r="AE117" s="17"/>
      <c r="AF117" s="101"/>
      <c r="AG117" s="109"/>
      <c r="AH117" s="17"/>
      <c r="AI117" s="17"/>
      <c r="AJ117" s="59"/>
      <c r="AK117" s="99"/>
      <c r="AL117" s="59"/>
      <c r="AM117" s="17"/>
      <c r="AN117" s="17"/>
      <c r="AO117" s="101"/>
      <c r="AP117" s="99"/>
      <c r="AQ117" s="59"/>
      <c r="AR117">
        <f>F117 +G117</f>
        <v>5</v>
      </c>
    </row>
    <row r="118" spans="1:44" hidden="1" x14ac:dyDescent="0.25">
      <c r="A118" t="str">
        <f>B118 &amp; " - " &amp;E118</f>
        <v>Man. United - Rooney</v>
      </c>
      <c r="B118" t="s">
        <v>1497</v>
      </c>
      <c r="C118" t="str">
        <f ca="1">IFERROR(VLOOKUP(INDEX(OFFSET(_JOUEURS,0,0,,1),MATCH(A118,OFFSET(_JOUEURS,0,1,,1),0)),_MPG,2,FALSE),"")</f>
        <v>Saxe-Gambetta FC</v>
      </c>
      <c r="D118" s="104" t="s">
        <v>372</v>
      </c>
      <c r="E118" s="109" t="s">
        <v>1493</v>
      </c>
      <c r="F118" s="106">
        <v>5</v>
      </c>
      <c r="G118" s="101">
        <v>1</v>
      </c>
      <c r="H118" s="36">
        <v>1</v>
      </c>
      <c r="I118" s="27">
        <f>AVERAGE(J118,K118,L118,M118,N118)</f>
        <v>5.6</v>
      </c>
      <c r="J118" s="58">
        <v>7</v>
      </c>
      <c r="K118" s="59">
        <v>6</v>
      </c>
      <c r="L118" s="97">
        <v>7</v>
      </c>
      <c r="M118" s="17">
        <v>4</v>
      </c>
      <c r="N118" s="59">
        <v>4</v>
      </c>
      <c r="O118" s="28" t="s">
        <v>364</v>
      </c>
      <c r="P118" s="59"/>
      <c r="Q118" s="59"/>
      <c r="R118" s="17"/>
      <c r="S118" s="17"/>
      <c r="T118" s="17"/>
      <c r="U118" s="59"/>
      <c r="V118" s="101"/>
      <c r="W118" s="99"/>
      <c r="X118" s="17"/>
      <c r="Y118" s="59"/>
      <c r="Z118" s="99"/>
      <c r="AA118" s="17"/>
      <c r="AB118" s="17"/>
      <c r="AC118" s="59"/>
      <c r="AD118" s="59"/>
      <c r="AE118" s="59"/>
      <c r="AF118" s="99"/>
      <c r="AG118" s="101"/>
      <c r="AH118" s="17"/>
      <c r="AI118" s="17"/>
      <c r="AJ118" s="17"/>
      <c r="AK118" s="101"/>
      <c r="AL118" s="17"/>
      <c r="AM118" s="59"/>
      <c r="AN118" s="59"/>
      <c r="AO118" s="101"/>
      <c r="AP118" s="99"/>
      <c r="AQ118" s="17"/>
      <c r="AR118">
        <f>F118 +G118</f>
        <v>6</v>
      </c>
    </row>
    <row r="119" spans="1:44" x14ac:dyDescent="0.25">
      <c r="A119" t="str">
        <f>B119 &amp; " - " &amp;E119</f>
        <v>Chelsea - Batshuayi</v>
      </c>
      <c r="B119" t="s">
        <v>1519</v>
      </c>
      <c r="C119" t="str">
        <f ca="1">IFERROR(VLOOKUP(INDEX(OFFSET(_JOUEURS,0,0,,1),MATCH(A119,OFFSET(_JOUEURS,0,1,,1),0)),_MPG,2,FALSE),"")</f>
        <v/>
      </c>
      <c r="D119" s="104" t="s">
        <v>372</v>
      </c>
      <c r="E119" s="29" t="s">
        <v>373</v>
      </c>
      <c r="F119" s="106"/>
      <c r="G119" s="101">
        <v>5</v>
      </c>
      <c r="H119" s="36">
        <v>1</v>
      </c>
      <c r="I119" s="135"/>
      <c r="J119" s="28" t="s">
        <v>364</v>
      </c>
      <c r="K119" s="60" t="s">
        <v>364</v>
      </c>
      <c r="L119" s="28" t="s">
        <v>364</v>
      </c>
      <c r="M119" s="28" t="s">
        <v>364</v>
      </c>
      <c r="N119" s="59"/>
      <c r="O119" s="28" t="s">
        <v>364</v>
      </c>
      <c r="P119" s="59"/>
      <c r="Q119" s="59"/>
      <c r="R119" s="17"/>
      <c r="S119" s="59"/>
      <c r="T119" s="17"/>
      <c r="U119" s="59"/>
      <c r="V119" s="101"/>
      <c r="W119" s="99"/>
      <c r="X119" s="17"/>
      <c r="Y119" s="59"/>
      <c r="Z119" s="99"/>
      <c r="AA119" s="17"/>
      <c r="AB119" s="17"/>
      <c r="AC119" s="17"/>
      <c r="AD119" s="59"/>
      <c r="AE119" s="17"/>
      <c r="AF119" s="101"/>
      <c r="AG119" s="101"/>
      <c r="AH119" s="17"/>
      <c r="AI119" s="17"/>
      <c r="AJ119" s="17"/>
      <c r="AK119" s="101"/>
      <c r="AL119" s="17"/>
      <c r="AM119" s="59"/>
      <c r="AN119" s="17"/>
      <c r="AO119" s="99"/>
      <c r="AP119" s="99"/>
      <c r="AQ119" s="17"/>
      <c r="AR119">
        <f>F119 +G119</f>
        <v>5</v>
      </c>
    </row>
    <row r="120" spans="1:44" x14ac:dyDescent="0.25">
      <c r="A120" t="str">
        <f>B120 &amp; " - " &amp;E120</f>
        <v>Burnley - Boyd</v>
      </c>
      <c r="B120" t="s">
        <v>1069</v>
      </c>
      <c r="C120" t="str">
        <f ca="1">IFERROR(VLOOKUP(INDEX(OFFSET(_JOUEURS,0,0,,1),MATCH(A120,OFFSET(_JOUEURS,0,1,,1),0)),_MPG,2,FALSE),"")</f>
        <v/>
      </c>
      <c r="D120" s="104" t="s">
        <v>369</v>
      </c>
      <c r="E120" s="29" t="s">
        <v>1056</v>
      </c>
      <c r="F120" s="194">
        <v>6</v>
      </c>
      <c r="G120" s="21"/>
      <c r="H120" s="163"/>
      <c r="I120" s="27">
        <f>AVERAGE(J120,K120,L120,M120,N120,O120)</f>
        <v>5</v>
      </c>
      <c r="J120" s="15">
        <v>5</v>
      </c>
      <c r="K120" s="57">
        <v>6</v>
      </c>
      <c r="L120" s="59">
        <v>4</v>
      </c>
      <c r="M120" s="28">
        <v>5</v>
      </c>
      <c r="N120" s="59">
        <v>4</v>
      </c>
      <c r="O120" s="59">
        <v>6</v>
      </c>
      <c r="P120" s="28"/>
      <c r="Q120" s="28"/>
      <c r="R120" s="28"/>
      <c r="S120" s="28"/>
      <c r="T120" s="60"/>
      <c r="U120" s="18"/>
      <c r="V120" s="18"/>
      <c r="W120" s="21"/>
      <c r="X120" s="60"/>
      <c r="Y120" s="18"/>
      <c r="Z120" s="18"/>
      <c r="AA120" s="18"/>
      <c r="AB120" s="18"/>
      <c r="AC120" s="28"/>
      <c r="AD120" s="18"/>
      <c r="AE120" s="18"/>
      <c r="AF120" s="21"/>
      <c r="AG120" s="79"/>
      <c r="AH120" s="28"/>
      <c r="AI120" s="28"/>
      <c r="AJ120" s="28"/>
      <c r="AK120" s="21"/>
      <c r="AL120" s="28"/>
      <c r="AM120" s="18"/>
      <c r="AN120" s="59"/>
      <c r="AO120" s="20"/>
      <c r="AP120" s="21"/>
      <c r="AQ120" s="18"/>
      <c r="AR120">
        <f>F120 +G120</f>
        <v>6</v>
      </c>
    </row>
    <row r="121" spans="1:44" x14ac:dyDescent="0.25">
      <c r="A121" t="str">
        <f>B121 &amp; " - " &amp;E121</f>
        <v>Burnley - Marney</v>
      </c>
      <c r="B121" t="s">
        <v>1069</v>
      </c>
      <c r="C121" t="str">
        <f ca="1">IFERROR(VLOOKUP(INDEX(OFFSET(_JOUEURS,0,0,,1),MATCH(A121,OFFSET(_JOUEURS,0,1,,1),0)),_MPG,2,FALSE),"")</f>
        <v/>
      </c>
      <c r="D121" s="104" t="s">
        <v>369</v>
      </c>
      <c r="E121" s="29" t="s">
        <v>1057</v>
      </c>
      <c r="F121" s="194">
        <v>6</v>
      </c>
      <c r="G121" s="21"/>
      <c r="H121" s="163"/>
      <c r="I121" s="27">
        <f>AVERAGE(J121,K121,L121,M121,N121,O121)</f>
        <v>4.5</v>
      </c>
      <c r="J121" s="28">
        <v>5</v>
      </c>
      <c r="K121" s="28">
        <v>5</v>
      </c>
      <c r="L121" s="121">
        <v>3</v>
      </c>
      <c r="M121" s="28">
        <v>5</v>
      </c>
      <c r="N121" s="28">
        <v>4</v>
      </c>
      <c r="O121" s="18">
        <v>5</v>
      </c>
      <c r="P121" s="28"/>
      <c r="Q121" s="28"/>
      <c r="R121" s="28"/>
      <c r="S121" s="28"/>
      <c r="T121" s="18"/>
      <c r="U121" s="18"/>
      <c r="V121" s="28"/>
      <c r="W121" s="22"/>
      <c r="X121" s="18"/>
      <c r="Y121" s="18"/>
      <c r="Z121" s="60"/>
      <c r="AA121" s="18"/>
      <c r="AB121" s="18"/>
      <c r="AC121" s="28"/>
      <c r="AD121" s="60"/>
      <c r="AE121" s="18"/>
      <c r="AF121" s="21"/>
      <c r="AG121" s="29"/>
      <c r="AH121" s="28"/>
      <c r="AI121" s="18"/>
      <c r="AJ121" s="18"/>
      <c r="AK121" s="20"/>
      <c r="AL121" s="18"/>
      <c r="AM121" s="28"/>
      <c r="AN121" s="59"/>
      <c r="AO121" s="21"/>
      <c r="AP121" s="20"/>
      <c r="AQ121" s="18"/>
      <c r="AR121">
        <f>F121 +G121</f>
        <v>6</v>
      </c>
    </row>
    <row r="122" spans="1:44" x14ac:dyDescent="0.25">
      <c r="A122" t="str">
        <f>B122 &amp; " - " &amp;E122</f>
        <v>Burnley - Jones</v>
      </c>
      <c r="B122" t="s">
        <v>1069</v>
      </c>
      <c r="C122" t="str">
        <f ca="1">IFERROR(VLOOKUP(INDEX(OFFSET(_JOUEURS,0,0,,1),MATCH(A122,OFFSET(_JOUEURS,0,1,,1),0)),_MPG,2,FALSE),"")</f>
        <v/>
      </c>
      <c r="D122" s="104" t="s">
        <v>369</v>
      </c>
      <c r="E122" s="29" t="s">
        <v>1058</v>
      </c>
      <c r="F122" s="194">
        <v>1</v>
      </c>
      <c r="G122" s="21"/>
      <c r="H122" s="163"/>
      <c r="I122" s="27">
        <f>AVERAGE(J122)</f>
        <v>4</v>
      </c>
      <c r="J122" s="18">
        <v>4</v>
      </c>
      <c r="K122" s="28"/>
      <c r="L122" s="60"/>
      <c r="M122" s="28"/>
      <c r="N122" s="28"/>
      <c r="O122" s="18"/>
      <c r="P122" s="18"/>
      <c r="Q122" s="28"/>
      <c r="R122" s="28"/>
      <c r="S122" s="28"/>
      <c r="T122" s="18"/>
      <c r="U122" s="18"/>
      <c r="V122" s="18"/>
      <c r="W122" s="101"/>
      <c r="X122" s="18"/>
      <c r="Y122" s="16"/>
      <c r="Z122" s="60"/>
      <c r="AA122" s="18"/>
      <c r="AB122" s="18"/>
      <c r="AC122" s="28"/>
      <c r="AD122" s="59"/>
      <c r="AE122" s="16"/>
      <c r="AF122" s="21"/>
      <c r="AG122" s="29"/>
      <c r="AH122" s="16"/>
      <c r="AI122" s="18"/>
      <c r="AJ122" s="18"/>
      <c r="AK122" s="22"/>
      <c r="AL122" s="18"/>
      <c r="AM122" s="28"/>
      <c r="AN122" s="18"/>
      <c r="AO122" s="21"/>
      <c r="AP122" s="20"/>
      <c r="AQ122" s="18"/>
      <c r="AR122">
        <f>F122 +G122</f>
        <v>1</v>
      </c>
    </row>
    <row r="123" spans="1:44" x14ac:dyDescent="0.25">
      <c r="A123" t="str">
        <f>B123 &amp; " - " &amp;E123</f>
        <v>Burnley - Arfield</v>
      </c>
      <c r="B123" t="s">
        <v>1069</v>
      </c>
      <c r="C123" t="str">
        <f ca="1">IFERROR(VLOOKUP(INDEX(OFFSET(_JOUEURS,0,0,,1),MATCH(A123,OFFSET(_JOUEURS,0,1,,1),0)),_MPG,2,FALSE),"")</f>
        <v/>
      </c>
      <c r="D123" s="104" t="s">
        <v>369</v>
      </c>
      <c r="E123" s="29" t="s">
        <v>1059</v>
      </c>
      <c r="F123" s="194">
        <v>4</v>
      </c>
      <c r="G123" s="21">
        <v>2</v>
      </c>
      <c r="H123" s="163"/>
      <c r="I123" s="27">
        <f>AVERAGE(J123,K123,L123,N123)</f>
        <v>4.75</v>
      </c>
      <c r="J123" s="18">
        <v>5</v>
      </c>
      <c r="K123" s="28">
        <v>5</v>
      </c>
      <c r="L123" s="59">
        <v>4</v>
      </c>
      <c r="M123" s="28" t="s">
        <v>364</v>
      </c>
      <c r="N123" s="28">
        <v>5</v>
      </c>
      <c r="O123" s="28" t="s">
        <v>364</v>
      </c>
      <c r="P123" s="18"/>
      <c r="Q123" s="28"/>
      <c r="R123" s="28"/>
      <c r="S123" s="28"/>
      <c r="T123" s="18"/>
      <c r="U123" s="18"/>
      <c r="V123" s="18"/>
      <c r="W123" s="101"/>
      <c r="X123" s="18"/>
      <c r="Y123" s="18"/>
      <c r="Z123" s="28"/>
      <c r="AA123" s="18"/>
      <c r="AB123" s="18"/>
      <c r="AC123" s="28"/>
      <c r="AD123" s="59"/>
      <c r="AE123" s="18"/>
      <c r="AF123" s="21"/>
      <c r="AG123" s="29"/>
      <c r="AH123" s="18"/>
      <c r="AI123" s="18"/>
      <c r="AJ123" s="18"/>
      <c r="AK123" s="21"/>
      <c r="AL123" s="18"/>
      <c r="AM123" s="28"/>
      <c r="AN123" s="18"/>
      <c r="AO123" s="21"/>
      <c r="AP123" s="20"/>
      <c r="AQ123" s="18"/>
      <c r="AR123">
        <f>F123 +G123</f>
        <v>6</v>
      </c>
    </row>
    <row r="124" spans="1:44" x14ac:dyDescent="0.25">
      <c r="A124" t="str">
        <f>B124 &amp; " - " &amp;E124</f>
        <v>Burnley - Gudmundsson</v>
      </c>
      <c r="B124" t="s">
        <v>1069</v>
      </c>
      <c r="C124" t="str">
        <f ca="1">IFERROR(VLOOKUP(INDEX(OFFSET(_JOUEURS,0,0,,1),MATCH(A124,OFFSET(_JOUEURS,0,1,,1),0)),_MPG,2,FALSE),"")</f>
        <v/>
      </c>
      <c r="D124" s="80" t="s">
        <v>369</v>
      </c>
      <c r="E124" s="69" t="s">
        <v>1060</v>
      </c>
      <c r="F124" s="195">
        <v>2</v>
      </c>
      <c r="G124" s="196">
        <v>4</v>
      </c>
      <c r="H124" s="197"/>
      <c r="I124" s="55">
        <f>AVERAGE(M124,O124)</f>
        <v>5.5</v>
      </c>
      <c r="J124" s="28" t="s">
        <v>364</v>
      </c>
      <c r="K124" s="28" t="s">
        <v>364</v>
      </c>
      <c r="L124" s="28" t="s">
        <v>364</v>
      </c>
      <c r="M124" s="28">
        <v>5</v>
      </c>
      <c r="N124" s="28" t="s">
        <v>364</v>
      </c>
      <c r="O124" s="28">
        <v>6</v>
      </c>
      <c r="P124" s="18"/>
      <c r="Q124" s="28"/>
      <c r="R124" s="28"/>
      <c r="S124" s="28"/>
      <c r="T124" s="18"/>
      <c r="U124" s="18"/>
      <c r="V124" s="28"/>
      <c r="W124" s="22"/>
      <c r="X124" s="18"/>
      <c r="Y124" s="18"/>
      <c r="Z124" s="28"/>
      <c r="AA124" s="18"/>
      <c r="AB124" s="18"/>
      <c r="AC124" s="28"/>
      <c r="AD124" s="60"/>
      <c r="AE124" s="28"/>
      <c r="AF124" s="21"/>
      <c r="AG124" s="29"/>
      <c r="AH124" s="18"/>
      <c r="AI124" s="18"/>
      <c r="AJ124" s="18"/>
      <c r="AK124" s="21"/>
      <c r="AL124" s="18"/>
      <c r="AM124" s="28"/>
      <c r="AN124" s="18"/>
      <c r="AO124" s="21"/>
      <c r="AP124" s="20"/>
      <c r="AQ124" s="18"/>
      <c r="AR124">
        <f>F124 +G124</f>
        <v>6</v>
      </c>
    </row>
    <row r="125" spans="1:44" x14ac:dyDescent="0.25">
      <c r="A125" t="str">
        <f>B125 &amp; " - " &amp;E125</f>
        <v>Burnley - O'Neill</v>
      </c>
      <c r="B125" t="s">
        <v>1069</v>
      </c>
      <c r="C125" t="str">
        <f ca="1">IFERROR(VLOOKUP(INDEX(OFFSET(_JOUEURS,0,0,,1),MATCH(A125,OFFSET(_JOUEURS,0,1,,1),0)),_MPG,2,FALSE),"")</f>
        <v/>
      </c>
      <c r="D125" s="104" t="s">
        <v>369</v>
      </c>
      <c r="E125" s="29" t="s">
        <v>1062</v>
      </c>
      <c r="F125" s="194"/>
      <c r="G125" s="21">
        <v>2</v>
      </c>
      <c r="H125" s="163"/>
      <c r="I125" s="27"/>
      <c r="J125" s="18"/>
      <c r="K125" s="28" t="s">
        <v>364</v>
      </c>
      <c r="L125" s="28" t="s">
        <v>364</v>
      </c>
      <c r="M125" s="18"/>
      <c r="N125" s="18"/>
      <c r="O125" s="18"/>
      <c r="P125" s="18"/>
      <c r="Q125" s="18"/>
      <c r="R125" s="18"/>
      <c r="S125" s="18"/>
      <c r="T125" s="18"/>
      <c r="U125" s="18"/>
      <c r="V125" s="20"/>
      <c r="W125" s="21"/>
      <c r="X125" s="18"/>
      <c r="Y125" s="18"/>
      <c r="Z125" s="21"/>
      <c r="AA125" s="18"/>
      <c r="AB125" s="18"/>
      <c r="AC125" s="28"/>
      <c r="AD125" s="18"/>
      <c r="AE125" s="18"/>
      <c r="AF125" s="74"/>
      <c r="AG125" s="20"/>
      <c r="AH125" s="18"/>
      <c r="AI125" s="28"/>
      <c r="AJ125" s="18"/>
      <c r="AK125" s="20"/>
      <c r="AL125" s="28"/>
      <c r="AM125" s="18"/>
      <c r="AN125" s="59"/>
      <c r="AO125" s="21"/>
      <c r="AP125" s="21"/>
      <c r="AQ125" s="18"/>
      <c r="AR125">
        <f>F125 +G125</f>
        <v>2</v>
      </c>
    </row>
    <row r="126" spans="1:44" x14ac:dyDescent="0.25">
      <c r="A126" t="str">
        <f>B126 &amp; " - " &amp;E126</f>
        <v>Burnley - Kightly</v>
      </c>
      <c r="B126" t="s">
        <v>1069</v>
      </c>
      <c r="C126" t="str">
        <f ca="1">IFERROR(VLOOKUP(INDEX(OFFSET(_JOUEURS,0,0,,1),MATCH(A126,OFFSET(_JOUEURS,0,1,,1),0)),_MPG,2,FALSE),"")</f>
        <v/>
      </c>
      <c r="D126" s="104" t="s">
        <v>369</v>
      </c>
      <c r="E126" s="29" t="s">
        <v>1064</v>
      </c>
      <c r="F126" s="194"/>
      <c r="G126" s="21">
        <v>1</v>
      </c>
      <c r="H126" s="163"/>
      <c r="I126" s="27"/>
      <c r="J126" s="28"/>
      <c r="K126" s="20"/>
      <c r="L126" s="18"/>
      <c r="M126" s="28"/>
      <c r="N126" s="18"/>
      <c r="O126" s="28" t="s">
        <v>364</v>
      </c>
      <c r="P126" s="18"/>
      <c r="Q126" s="18"/>
      <c r="R126" s="18"/>
      <c r="S126" s="18"/>
      <c r="T126" s="18"/>
      <c r="U126" s="18"/>
      <c r="V126" s="20"/>
      <c r="W126" s="21"/>
      <c r="X126" s="18"/>
      <c r="Y126" s="18"/>
      <c r="Z126" s="21"/>
      <c r="AA126" s="18"/>
      <c r="AB126" s="18"/>
      <c r="AC126" s="28"/>
      <c r="AD126" s="18"/>
      <c r="AE126" s="18"/>
      <c r="AF126" s="74"/>
      <c r="AG126" s="79"/>
      <c r="AH126" s="18"/>
      <c r="AI126" s="28"/>
      <c r="AJ126" s="18"/>
      <c r="AK126" s="20"/>
      <c r="AL126" s="28"/>
      <c r="AM126" s="18"/>
      <c r="AN126" s="59"/>
      <c r="AO126" s="21"/>
      <c r="AP126" s="21"/>
      <c r="AQ126" s="18"/>
      <c r="AR126">
        <f>F126 +G126</f>
        <v>1</v>
      </c>
    </row>
    <row r="127" spans="1:44" x14ac:dyDescent="0.25">
      <c r="A127" t="str">
        <f>B127 &amp; " - " &amp;E127</f>
        <v>Swansea - Cork</v>
      </c>
      <c r="B127" t="s">
        <v>1095</v>
      </c>
      <c r="C127" t="str">
        <f ca="1">IFERROR(VLOOKUP(INDEX(OFFSET(_JOUEURS,0,0,,1),MATCH(A127,OFFSET(_JOUEURS,0,1,,1),0)),_MPG,2,FALSE),"")</f>
        <v/>
      </c>
      <c r="D127" s="23" t="s">
        <v>369</v>
      </c>
      <c r="E127" s="29" t="s">
        <v>1082</v>
      </c>
      <c r="F127" s="194">
        <v>6</v>
      </c>
      <c r="G127" s="21"/>
      <c r="H127" s="163"/>
      <c r="I127" s="27">
        <f>AVERAGE(J127,K127,L127,M127,N127,O127)</f>
        <v>5</v>
      </c>
      <c r="J127" s="28">
        <v>6</v>
      </c>
      <c r="K127" s="67">
        <v>7</v>
      </c>
      <c r="L127" s="18">
        <v>4</v>
      </c>
      <c r="M127" s="28">
        <v>4</v>
      </c>
      <c r="N127" s="18">
        <v>5</v>
      </c>
      <c r="O127" s="18">
        <v>4</v>
      </c>
      <c r="P127" s="18"/>
      <c r="Q127" s="18"/>
      <c r="R127" s="18"/>
      <c r="S127" s="18"/>
      <c r="T127" s="18"/>
      <c r="U127" s="18"/>
      <c r="V127" s="21"/>
      <c r="W127" s="21"/>
      <c r="X127" s="18"/>
      <c r="Y127" s="18"/>
      <c r="Z127" s="21"/>
      <c r="AA127" s="18"/>
      <c r="AB127" s="18"/>
      <c r="AC127" s="18"/>
      <c r="AD127" s="18"/>
      <c r="AE127" s="18"/>
      <c r="AF127" s="21"/>
      <c r="AG127" s="21"/>
      <c r="AH127" s="18"/>
      <c r="AI127" s="18"/>
      <c r="AJ127" s="18"/>
      <c r="AK127" s="21"/>
      <c r="AL127" s="18"/>
      <c r="AM127" s="18"/>
      <c r="AN127" s="18"/>
      <c r="AO127" s="21"/>
      <c r="AP127" s="21"/>
      <c r="AQ127" s="18"/>
      <c r="AR127">
        <f>F127 +G127</f>
        <v>6</v>
      </c>
    </row>
    <row r="128" spans="1:44" x14ac:dyDescent="0.25">
      <c r="A128" t="str">
        <f>B128 &amp; " - " &amp;E128</f>
        <v>Swansea - Britton</v>
      </c>
      <c r="B128" t="s">
        <v>1095</v>
      </c>
      <c r="C128" t="str">
        <f ca="1">IFERROR(VLOOKUP(INDEX(OFFSET(_JOUEURS,0,0,,1),MATCH(A128,OFFSET(_JOUEURS,0,1,,1),0)),_MPG,2,FALSE),"")</f>
        <v/>
      </c>
      <c r="D128" s="23" t="s">
        <v>369</v>
      </c>
      <c r="E128" s="29" t="s">
        <v>1083</v>
      </c>
      <c r="F128" s="194">
        <v>2</v>
      </c>
      <c r="G128" s="21"/>
      <c r="H128" s="163"/>
      <c r="I128" s="27">
        <f>AVERAGE(J128,O128)</f>
        <v>4.5</v>
      </c>
      <c r="J128" s="28">
        <v>5</v>
      </c>
      <c r="K128" s="28"/>
      <c r="L128" s="28"/>
      <c r="M128" s="28"/>
      <c r="N128" s="18"/>
      <c r="O128" s="18">
        <v>4</v>
      </c>
      <c r="P128" s="18"/>
      <c r="Q128" s="18"/>
      <c r="R128" s="18"/>
      <c r="S128" s="18"/>
      <c r="T128" s="18"/>
      <c r="U128" s="18"/>
      <c r="V128" s="21"/>
      <c r="W128" s="21"/>
      <c r="X128" s="28"/>
      <c r="Y128" s="18"/>
      <c r="Z128" s="20"/>
      <c r="AA128" s="18"/>
      <c r="AB128" s="60"/>
      <c r="AC128" s="18"/>
      <c r="AD128" s="18"/>
      <c r="AE128" s="18"/>
      <c r="AF128" s="20"/>
      <c r="AG128" s="21"/>
      <c r="AH128" s="18"/>
      <c r="AI128" s="18"/>
      <c r="AJ128" s="18"/>
      <c r="AK128" s="21"/>
      <c r="AL128" s="18"/>
      <c r="AM128" s="28"/>
      <c r="AN128" s="18"/>
      <c r="AO128" s="20"/>
      <c r="AP128" s="20"/>
      <c r="AQ128" s="18"/>
      <c r="AR128">
        <f>F128 +G128</f>
        <v>2</v>
      </c>
    </row>
    <row r="129" spans="1:44" x14ac:dyDescent="0.25">
      <c r="A129" t="str">
        <f>B129 &amp; " - " &amp;E129</f>
        <v>Swansea - Montero</v>
      </c>
      <c r="B129" t="s">
        <v>1095</v>
      </c>
      <c r="C129" t="str">
        <f ca="1">IFERROR(VLOOKUP(INDEX(OFFSET(_JOUEURS,0,0,,1),MATCH(A129,OFFSET(_JOUEURS,0,1,,1),0)),_MPG,2,FALSE),"")</f>
        <v/>
      </c>
      <c r="D129" s="23" t="s">
        <v>369</v>
      </c>
      <c r="E129" s="29" t="s">
        <v>1085</v>
      </c>
      <c r="F129" s="194"/>
      <c r="G129" s="21">
        <v>4</v>
      </c>
      <c r="H129" s="163"/>
      <c r="I129" s="27"/>
      <c r="J129" s="28" t="s">
        <v>364</v>
      </c>
      <c r="K129" s="57" t="s">
        <v>364</v>
      </c>
      <c r="L129" s="28" t="s">
        <v>364</v>
      </c>
      <c r="M129" s="28"/>
      <c r="N129" s="28" t="s">
        <v>364</v>
      </c>
      <c r="O129" s="28"/>
      <c r="P129" s="18"/>
      <c r="Q129" s="18"/>
      <c r="R129" s="18"/>
      <c r="S129" s="18"/>
      <c r="T129" s="18"/>
      <c r="U129" s="18"/>
      <c r="V129" s="21"/>
      <c r="W129" s="20"/>
      <c r="X129" s="18"/>
      <c r="Y129" s="28"/>
      <c r="Z129" s="21"/>
      <c r="AA129" s="16"/>
      <c r="AB129" s="59"/>
      <c r="AC129" s="60"/>
      <c r="AD129" s="18"/>
      <c r="AE129" s="18"/>
      <c r="AF129" s="21"/>
      <c r="AG129" s="20"/>
      <c r="AH129" s="28"/>
      <c r="AI129" s="18"/>
      <c r="AJ129" s="18"/>
      <c r="AK129" s="21"/>
      <c r="AL129" s="18"/>
      <c r="AM129" s="18"/>
      <c r="AN129" s="59"/>
      <c r="AO129" s="21"/>
      <c r="AP129" s="21"/>
      <c r="AQ129" s="28"/>
      <c r="AR129">
        <f>F129 +G129</f>
        <v>4</v>
      </c>
    </row>
    <row r="130" spans="1:44" x14ac:dyDescent="0.25">
      <c r="A130" t="str">
        <f>B130 &amp; " - " &amp;E130</f>
        <v>Swansea - Dyer</v>
      </c>
      <c r="B130" t="s">
        <v>1095</v>
      </c>
      <c r="C130" t="str">
        <f ca="1">IFERROR(VLOOKUP(INDEX(OFFSET(_JOUEURS,0,0,,1),MATCH(A130,OFFSET(_JOUEURS,0,1,,1),0)),_MPG,2,FALSE),"")</f>
        <v/>
      </c>
      <c r="D130" s="23" t="s">
        <v>369</v>
      </c>
      <c r="E130" s="29" t="s">
        <v>1087</v>
      </c>
      <c r="F130" s="194"/>
      <c r="G130" s="21">
        <v>1</v>
      </c>
      <c r="H130" s="163"/>
      <c r="I130" s="27"/>
      <c r="J130" s="28"/>
      <c r="K130" s="57" t="s">
        <v>364</v>
      </c>
      <c r="L130" s="18"/>
      <c r="M130" s="28"/>
      <c r="N130" s="17"/>
      <c r="O130" s="18"/>
      <c r="P130" s="16"/>
      <c r="Q130" s="18"/>
      <c r="R130" s="18"/>
      <c r="S130" s="18"/>
      <c r="T130" s="18"/>
      <c r="U130" s="18"/>
      <c r="V130" s="21"/>
      <c r="W130" s="21"/>
      <c r="X130" s="18"/>
      <c r="Y130" s="59"/>
      <c r="Z130" s="20"/>
      <c r="AA130" s="18"/>
      <c r="AB130" s="17"/>
      <c r="AC130" s="18"/>
      <c r="AD130" s="18"/>
      <c r="AE130" s="60"/>
      <c r="AF130" s="21"/>
      <c r="AG130" s="21"/>
      <c r="AH130" s="16"/>
      <c r="AI130" s="16"/>
      <c r="AJ130" s="16"/>
      <c r="AK130" s="22"/>
      <c r="AL130" s="18"/>
      <c r="AM130" s="28"/>
      <c r="AN130" s="18"/>
      <c r="AO130" s="21"/>
      <c r="AP130" s="20"/>
      <c r="AQ130" s="59"/>
      <c r="AR130">
        <f>F130 +G130</f>
        <v>1</v>
      </c>
    </row>
    <row r="131" spans="1:44" x14ac:dyDescent="0.25">
      <c r="A131" t="str">
        <f>B131 &amp; " - " &amp;E131</f>
        <v>Swansea - Ki</v>
      </c>
      <c r="B131" t="s">
        <v>1095</v>
      </c>
      <c r="C131" t="str">
        <f ca="1">IFERROR(VLOOKUP(INDEX(OFFSET(_JOUEURS,0,0,,1),MATCH(A131,OFFSET(_JOUEURS,0,1,,1),0)),_MPG,2,FALSE),"")</f>
        <v/>
      </c>
      <c r="D131" s="23" t="s">
        <v>369</v>
      </c>
      <c r="E131" s="29" t="s">
        <v>1088</v>
      </c>
      <c r="F131" s="194">
        <v>2</v>
      </c>
      <c r="G131" s="21">
        <v>3</v>
      </c>
      <c r="H131" s="163"/>
      <c r="I131" s="27">
        <f>AVERAGE(M131,N131)</f>
        <v>5.5</v>
      </c>
      <c r="J131" s="57"/>
      <c r="K131" s="28" t="s">
        <v>364</v>
      </c>
      <c r="L131" s="28" t="s">
        <v>364</v>
      </c>
      <c r="M131" s="59">
        <v>6</v>
      </c>
      <c r="N131" s="17">
        <v>5</v>
      </c>
      <c r="O131" s="28" t="s">
        <v>364</v>
      </c>
      <c r="P131" s="16"/>
      <c r="Q131" s="18"/>
      <c r="R131" s="18"/>
      <c r="S131" s="16"/>
      <c r="T131" s="18"/>
      <c r="U131" s="16"/>
      <c r="V131" s="22"/>
      <c r="W131" s="21"/>
      <c r="X131" s="18"/>
      <c r="Y131" s="18"/>
      <c r="Z131" s="21"/>
      <c r="AA131" s="17"/>
      <c r="AB131" s="16"/>
      <c r="AC131" s="16"/>
      <c r="AD131" s="18"/>
      <c r="AE131" s="18"/>
      <c r="AF131" s="21"/>
      <c r="AG131" s="21"/>
      <c r="AH131" s="18"/>
      <c r="AI131" s="16"/>
      <c r="AJ131" s="18"/>
      <c r="AK131" s="22"/>
      <c r="AL131" s="18"/>
      <c r="AM131" s="18"/>
      <c r="AN131" s="16"/>
      <c r="AO131" s="21"/>
      <c r="AP131" s="20"/>
      <c r="AQ131" s="59"/>
      <c r="AR131">
        <f>F131 +G131</f>
        <v>5</v>
      </c>
    </row>
    <row r="132" spans="1:44" x14ac:dyDescent="0.25">
      <c r="A132" t="str">
        <f>B132 &amp; " - " &amp;E132</f>
        <v>Swansea - Fulton</v>
      </c>
      <c r="B132" t="s">
        <v>1095</v>
      </c>
      <c r="C132" t="str">
        <f ca="1">IFERROR(VLOOKUP(INDEX(OFFSET(_JOUEURS,0,0,,1),MATCH(A132,OFFSET(_JOUEURS,0,1,,1),0)),_MPG,2,FALSE),"")</f>
        <v/>
      </c>
      <c r="D132" s="52" t="s">
        <v>369</v>
      </c>
      <c r="E132" s="69" t="s">
        <v>1089</v>
      </c>
      <c r="F132" s="195"/>
      <c r="G132" s="196"/>
      <c r="H132" s="197"/>
      <c r="I132" s="55"/>
      <c r="J132" s="62"/>
      <c r="K132" s="28"/>
      <c r="L132" s="18"/>
      <c r="M132" s="28"/>
      <c r="N132" s="17"/>
      <c r="O132" s="18"/>
      <c r="P132" s="16"/>
      <c r="Q132" s="18"/>
      <c r="R132" s="18"/>
      <c r="S132" s="17"/>
      <c r="T132" s="16"/>
      <c r="U132" s="17"/>
      <c r="V132" s="101"/>
      <c r="W132" s="21"/>
      <c r="X132" s="18"/>
      <c r="Y132" s="18"/>
      <c r="Z132" s="21"/>
      <c r="AA132" s="17"/>
      <c r="AB132" s="16"/>
      <c r="AC132" s="16"/>
      <c r="AD132" s="59"/>
      <c r="AE132" s="18"/>
      <c r="AF132" s="21"/>
      <c r="AG132" s="21"/>
      <c r="AH132" s="18"/>
      <c r="AI132" s="17"/>
      <c r="AJ132" s="18"/>
      <c r="AK132" s="22"/>
      <c r="AL132" s="18"/>
      <c r="AM132" s="18"/>
      <c r="AN132" s="16"/>
      <c r="AO132" s="20"/>
      <c r="AP132" s="20"/>
      <c r="AQ132" s="18"/>
      <c r="AR132">
        <f>F132 +G132</f>
        <v>0</v>
      </c>
    </row>
    <row r="133" spans="1:44" x14ac:dyDescent="0.25">
      <c r="A133" t="str">
        <f>B133 &amp; " - " &amp;E133</f>
        <v>Palace - Jedinak</v>
      </c>
      <c r="B133" t="s">
        <v>1119</v>
      </c>
      <c r="C133" t="str">
        <f ca="1">IFERROR(VLOOKUP(INDEX(OFFSET(_JOUEURS,0,0,,1),MATCH(A133,OFFSET(_JOUEURS,0,1,,1),0)),_MPG,2,FALSE),"")</f>
        <v/>
      </c>
      <c r="D133" s="104" t="s">
        <v>369</v>
      </c>
      <c r="E133" s="29" t="s">
        <v>1104</v>
      </c>
      <c r="F133" s="106">
        <v>1</v>
      </c>
      <c r="G133" s="101"/>
      <c r="H133" s="36"/>
      <c r="I133" s="135">
        <f>AVERAGE(J133)</f>
        <v>5</v>
      </c>
      <c r="J133" s="59">
        <v>5</v>
      </c>
      <c r="K133" s="59"/>
      <c r="L133" s="59"/>
      <c r="M133" s="59"/>
      <c r="N133" s="59"/>
      <c r="O133" s="59"/>
      <c r="P133" s="59"/>
      <c r="Q133" s="17"/>
      <c r="R133" s="17"/>
      <c r="S133" s="17"/>
      <c r="T133" s="59"/>
      <c r="U133" s="59"/>
      <c r="V133" s="101"/>
      <c r="W133" s="226"/>
      <c r="X133" s="59"/>
      <c r="Y133" s="17"/>
      <c r="Z133" s="99"/>
      <c r="AA133" s="17"/>
      <c r="AB133" s="17"/>
      <c r="AC133" s="17"/>
      <c r="AD133" s="17"/>
      <c r="AE133" s="17"/>
      <c r="AF133" s="99"/>
      <c r="AG133" s="99"/>
      <c r="AH133" s="17"/>
      <c r="AI133" s="17"/>
      <c r="AJ133" s="17"/>
      <c r="AK133" s="99"/>
      <c r="AL133" s="17"/>
      <c r="AM133" s="17"/>
      <c r="AN133" s="59"/>
      <c r="AO133" s="101"/>
      <c r="AP133" s="99"/>
      <c r="AQ133" s="224"/>
      <c r="AR133">
        <f>F133 +G133</f>
        <v>1</v>
      </c>
    </row>
    <row r="134" spans="1:44" x14ac:dyDescent="0.25">
      <c r="A134" t="str">
        <f>B134 &amp; " - " &amp;E134</f>
        <v>Palace - Lee Chung-Yong</v>
      </c>
      <c r="B134" t="s">
        <v>1119</v>
      </c>
      <c r="C134" t="str">
        <f ca="1">IFERROR(VLOOKUP(INDEX(OFFSET(_JOUEURS,0,0,,1),MATCH(A134,OFFSET(_JOUEURS,0,1,,1),0)),_MPG,2,FALSE),"")</f>
        <v/>
      </c>
      <c r="D134" s="104" t="s">
        <v>369</v>
      </c>
      <c r="E134" s="29" t="s">
        <v>1105</v>
      </c>
      <c r="F134" s="106">
        <v>2</v>
      </c>
      <c r="G134" s="101">
        <v>4</v>
      </c>
      <c r="H134" s="191"/>
      <c r="I134" s="135">
        <f>AVERAGE(J134,K134)</f>
        <v>5</v>
      </c>
      <c r="J134" s="300">
        <v>5</v>
      </c>
      <c r="K134" s="99">
        <v>5</v>
      </c>
      <c r="L134" s="28" t="s">
        <v>364</v>
      </c>
      <c r="M134" s="28" t="s">
        <v>364</v>
      </c>
      <c r="N134" s="28" t="s">
        <v>364</v>
      </c>
      <c r="O134" s="28" t="s">
        <v>364</v>
      </c>
      <c r="P134" s="59"/>
      <c r="Q134" s="17"/>
      <c r="R134" s="17"/>
      <c r="S134" s="17"/>
      <c r="T134" s="17"/>
      <c r="U134" s="59"/>
      <c r="V134" s="17"/>
      <c r="W134" s="17"/>
      <c r="X134" s="17"/>
      <c r="Y134" s="59"/>
      <c r="Z134" s="17"/>
      <c r="AA134" s="59"/>
      <c r="AB134" s="17"/>
      <c r="AC134" s="59"/>
      <c r="AD134" s="59"/>
      <c r="AE134" s="101"/>
      <c r="AF134" s="59"/>
      <c r="AG134" s="101"/>
      <c r="AH134" s="17"/>
      <c r="AI134" s="99"/>
      <c r="AJ134" s="101"/>
      <c r="AK134" s="17"/>
      <c r="AL134" s="17"/>
      <c r="AM134" s="17"/>
      <c r="AN134" s="17"/>
      <c r="AO134" s="226"/>
      <c r="AP134" s="17"/>
      <c r="AQ134" s="17"/>
      <c r="AR134">
        <f>F134 +G134</f>
        <v>6</v>
      </c>
    </row>
    <row r="135" spans="1:44" x14ac:dyDescent="0.25">
      <c r="A135" t="str">
        <f>B135 &amp; " - " &amp;E135</f>
        <v>Palace - Puncheon</v>
      </c>
      <c r="B135" t="s">
        <v>1119</v>
      </c>
      <c r="C135" t="str">
        <f ca="1">IFERROR(VLOOKUP(INDEX(OFFSET(_JOUEURS,0,0,,1),MATCH(A135,OFFSET(_JOUEURS,0,1,,1),0)),_MPG,2,FALSE),"")</f>
        <v/>
      </c>
      <c r="D135" s="104" t="s">
        <v>369</v>
      </c>
      <c r="E135" s="29" t="s">
        <v>1106</v>
      </c>
      <c r="F135" s="106">
        <v>6</v>
      </c>
      <c r="G135" s="101"/>
      <c r="H135" s="36"/>
      <c r="I135" s="135">
        <f>AVERAGE(J135,K135,L135:M135,N135,O135)</f>
        <v>6</v>
      </c>
      <c r="J135" s="59">
        <v>6</v>
      </c>
      <c r="K135" s="59">
        <v>4</v>
      </c>
      <c r="L135" s="97">
        <v>7</v>
      </c>
      <c r="M135" s="59">
        <v>6</v>
      </c>
      <c r="N135" s="97">
        <v>8</v>
      </c>
      <c r="O135" s="17">
        <v>5</v>
      </c>
      <c r="P135" s="17"/>
      <c r="Q135" s="17"/>
      <c r="R135" s="17"/>
      <c r="S135" s="17"/>
      <c r="T135" s="17"/>
      <c r="U135" s="17"/>
      <c r="V135" s="101"/>
      <c r="W135" s="109"/>
      <c r="X135" s="59"/>
      <c r="Y135" s="17"/>
      <c r="Z135" s="99"/>
      <c r="AA135" s="17"/>
      <c r="AB135" s="59"/>
      <c r="AC135" s="224"/>
      <c r="AD135" s="59"/>
      <c r="AE135" s="17"/>
      <c r="AF135" s="101"/>
      <c r="AG135" s="109"/>
      <c r="AH135" s="17"/>
      <c r="AI135" s="59"/>
      <c r="AJ135" s="59"/>
      <c r="AK135" s="101"/>
      <c r="AL135" s="17"/>
      <c r="AM135" s="225"/>
      <c r="AN135" s="59"/>
      <c r="AO135" s="99"/>
      <c r="AP135" s="101"/>
      <c r="AQ135" s="59"/>
      <c r="AR135">
        <f>F135 +G135</f>
        <v>6</v>
      </c>
    </row>
    <row r="136" spans="1:44" x14ac:dyDescent="0.25">
      <c r="A136" t="str">
        <f>B136 &amp; " - " &amp;E136</f>
        <v>Palace - Cabaye</v>
      </c>
      <c r="B136" t="s">
        <v>1119</v>
      </c>
      <c r="C136" t="str">
        <f ca="1">IFERROR(VLOOKUP(INDEX(OFFSET(_JOUEURS,0,0,,1),MATCH(A136,OFFSET(_JOUEURS,0,1,,1),0)),_MPG,2,FALSE),"")</f>
        <v/>
      </c>
      <c r="D136" s="104" t="s">
        <v>369</v>
      </c>
      <c r="E136" s="29" t="s">
        <v>1108</v>
      </c>
      <c r="F136" s="106">
        <v>2</v>
      </c>
      <c r="G136" s="101">
        <v>2</v>
      </c>
      <c r="H136" s="36"/>
      <c r="I136" s="135">
        <f>AVERAGE(L136,O136)</f>
        <v>4</v>
      </c>
      <c r="J136" s="62" t="s">
        <v>364</v>
      </c>
      <c r="K136" s="28" t="s">
        <v>364</v>
      </c>
      <c r="L136" s="145">
        <v>3</v>
      </c>
      <c r="M136" s="59"/>
      <c r="N136" s="17"/>
      <c r="O136" s="59">
        <v>5</v>
      </c>
      <c r="P136" s="17"/>
      <c r="Q136" s="17"/>
      <c r="R136" s="17"/>
      <c r="S136" s="17"/>
      <c r="T136" s="17"/>
      <c r="U136" s="17"/>
      <c r="V136" s="99"/>
      <c r="W136" s="89"/>
      <c r="X136" s="17"/>
      <c r="Y136" s="17"/>
      <c r="Z136" s="101"/>
      <c r="AA136" s="17"/>
      <c r="AB136" s="17"/>
      <c r="AC136" s="17"/>
      <c r="AD136" s="17"/>
      <c r="AE136" s="59"/>
      <c r="AF136" s="101"/>
      <c r="AG136" s="109"/>
      <c r="AH136" s="59"/>
      <c r="AI136" s="17"/>
      <c r="AJ136" s="17"/>
      <c r="AK136" s="99"/>
      <c r="AL136" s="17"/>
      <c r="AM136" s="17"/>
      <c r="AN136" s="59"/>
      <c r="AO136" s="99"/>
      <c r="AP136" s="101"/>
      <c r="AQ136" s="17"/>
      <c r="AR136">
        <f>F136 +G136</f>
        <v>4</v>
      </c>
    </row>
    <row r="137" spans="1:44" ht="15.75" thickBot="1" x14ac:dyDescent="0.3">
      <c r="A137" t="str">
        <f>B137 &amp; " - " &amp;E137</f>
        <v>Palace - Bolasie</v>
      </c>
      <c r="B137" t="s">
        <v>1119</v>
      </c>
      <c r="C137" t="str">
        <f ca="1">IFERROR(VLOOKUP(INDEX(OFFSET(_JOUEURS,0,0,,1),MATCH(A137,OFFSET(_JOUEURS,0,1,,1),0)),_MPG,2,FALSE),"")</f>
        <v/>
      </c>
      <c r="D137" s="104" t="s">
        <v>369</v>
      </c>
      <c r="E137" s="29" t="s">
        <v>1109</v>
      </c>
      <c r="F137" s="106"/>
      <c r="G137" s="101">
        <v>1</v>
      </c>
      <c r="H137" s="36"/>
      <c r="I137" s="135"/>
      <c r="J137" s="57" t="s">
        <v>364</v>
      </c>
      <c r="K137" s="59"/>
      <c r="L137" s="59"/>
      <c r="M137" s="59"/>
      <c r="N137" s="17"/>
      <c r="O137" s="59"/>
      <c r="P137" s="224"/>
      <c r="Q137" s="224"/>
      <c r="R137" s="17"/>
      <c r="S137" s="17"/>
      <c r="T137" s="17"/>
      <c r="U137" s="224"/>
      <c r="V137" s="226"/>
      <c r="W137" s="50"/>
      <c r="X137" s="17"/>
      <c r="Y137" s="17"/>
      <c r="Z137" s="101"/>
      <c r="AA137" s="17"/>
      <c r="AB137" s="224"/>
      <c r="AC137" s="17"/>
      <c r="AD137" s="224"/>
      <c r="AE137" s="225"/>
      <c r="AF137" s="101"/>
      <c r="AG137" s="99"/>
      <c r="AH137" s="224"/>
      <c r="AI137" s="17"/>
      <c r="AJ137" s="17"/>
      <c r="AK137" s="269"/>
      <c r="AL137" s="17"/>
      <c r="AM137" s="17"/>
      <c r="AN137" s="17"/>
      <c r="AO137" s="101"/>
      <c r="AP137" s="226"/>
      <c r="AQ137" s="224"/>
      <c r="AR137">
        <f>F137 +G137</f>
        <v>1</v>
      </c>
    </row>
    <row r="138" spans="1:44" ht="15.75" hidden="1" thickBot="1" x14ac:dyDescent="0.3">
      <c r="A138" t="str">
        <f>B138 &amp; " - " &amp;E138</f>
        <v>Everton - Gueye</v>
      </c>
      <c r="B138" t="s">
        <v>1167</v>
      </c>
      <c r="C138" t="str">
        <f ca="1">IFERROR(VLOOKUP(INDEX(OFFSET(_JOUEURS,0,0,,1),MATCH(A138,OFFSET(_JOUEURS,0,1,,1),0)),_MPG,2,FALSE),"")</f>
        <v>The Bastards</v>
      </c>
      <c r="D138" s="71" t="s">
        <v>369</v>
      </c>
      <c r="E138" s="100" t="s">
        <v>1155</v>
      </c>
      <c r="F138" s="73">
        <v>6</v>
      </c>
      <c r="G138" s="91"/>
      <c r="H138" s="72"/>
      <c r="I138" s="92">
        <f>AVERAGE(J138,K138,L138,M138,N138,O138)</f>
        <v>6.333333333333333</v>
      </c>
      <c r="J138" s="59">
        <v>6</v>
      </c>
      <c r="K138" s="136">
        <v>6</v>
      </c>
      <c r="L138" s="59">
        <v>6</v>
      </c>
      <c r="M138" s="97">
        <v>8</v>
      </c>
      <c r="N138" s="66">
        <v>7</v>
      </c>
      <c r="O138" s="59">
        <v>5</v>
      </c>
      <c r="P138" s="17"/>
      <c r="Q138" s="17"/>
      <c r="R138" s="17"/>
      <c r="S138" s="17"/>
      <c r="T138" s="17"/>
      <c r="U138" s="17"/>
      <c r="V138" s="101"/>
      <c r="W138" s="99"/>
      <c r="X138" s="17"/>
      <c r="Y138" s="17"/>
      <c r="Z138" s="99"/>
      <c r="AA138" s="59"/>
      <c r="AB138" s="59"/>
      <c r="AC138" s="59"/>
      <c r="AD138" s="17"/>
      <c r="AE138" s="59"/>
      <c r="AF138" s="101"/>
      <c r="AG138" s="99"/>
      <c r="AH138" s="17"/>
      <c r="AI138" s="17"/>
      <c r="AJ138" s="59"/>
      <c r="AK138" s="99"/>
      <c r="AL138" s="59"/>
      <c r="AM138" s="59"/>
      <c r="AN138" s="17"/>
      <c r="AO138" s="99"/>
      <c r="AP138" s="101"/>
      <c r="AQ138" s="17"/>
      <c r="AR138">
        <f>F138 +G138</f>
        <v>6</v>
      </c>
    </row>
    <row r="139" spans="1:44" x14ac:dyDescent="0.25">
      <c r="A139" t="str">
        <f>B139 &amp; " - " &amp;E139</f>
        <v>Palace - Mutch</v>
      </c>
      <c r="B139" t="s">
        <v>1119</v>
      </c>
      <c r="C139" t="str">
        <f ca="1">IFERROR(VLOOKUP(INDEX(OFFSET(_JOUEURS,0,0,,1),MATCH(A139,OFFSET(_JOUEURS,0,1,,1),0)),_MPG,2,FALSE),"")</f>
        <v/>
      </c>
      <c r="D139" s="218" t="s">
        <v>369</v>
      </c>
      <c r="E139" s="219" t="s">
        <v>1112</v>
      </c>
      <c r="F139" s="203"/>
      <c r="G139" s="204">
        <v>1</v>
      </c>
      <c r="H139" s="205"/>
      <c r="I139" s="206"/>
      <c r="J139" s="89"/>
      <c r="K139" s="28" t="s">
        <v>364</v>
      </c>
      <c r="L139" s="59"/>
      <c r="M139" s="59"/>
      <c r="N139" s="17"/>
      <c r="O139" s="17"/>
      <c r="P139" s="17"/>
      <c r="Q139" s="17"/>
      <c r="R139" s="17"/>
      <c r="S139" s="17"/>
      <c r="T139" s="17"/>
      <c r="U139" s="59"/>
      <c r="V139" s="59"/>
      <c r="W139" s="99"/>
      <c r="X139" s="225"/>
      <c r="Y139" s="17"/>
      <c r="Z139" s="224"/>
      <c r="AA139" s="17"/>
      <c r="AB139" s="17"/>
      <c r="AC139" s="17"/>
      <c r="AD139" s="17"/>
      <c r="AE139" s="224"/>
      <c r="AF139" s="17"/>
      <c r="AG139" s="17"/>
      <c r="AH139" s="224"/>
      <c r="AI139" s="101"/>
      <c r="AJ139" s="101"/>
      <c r="AK139" s="224"/>
      <c r="AL139" s="17"/>
      <c r="AM139" s="224"/>
      <c r="AN139" s="101"/>
      <c r="AO139" s="59"/>
      <c r="AP139" s="59"/>
      <c r="AQ139" s="101"/>
      <c r="AR139">
        <f>F139 +G139</f>
        <v>1</v>
      </c>
    </row>
    <row r="140" spans="1:44" x14ac:dyDescent="0.25">
      <c r="A140" t="str">
        <f>B140 &amp; " - " &amp;E140</f>
        <v>Palace - Flamini</v>
      </c>
      <c r="B140" t="s">
        <v>1119</v>
      </c>
      <c r="C140" t="str">
        <f ca="1">IFERROR(VLOOKUP(INDEX(OFFSET(_JOUEURS,0,0,,1),MATCH(A140,OFFSET(_JOUEURS,0,1,,1),0)),_MPG,2,FALSE),"")</f>
        <v/>
      </c>
      <c r="D140" s="104" t="s">
        <v>369</v>
      </c>
      <c r="E140" s="29" t="s">
        <v>1114</v>
      </c>
      <c r="F140" s="106"/>
      <c r="G140" s="101">
        <v>2</v>
      </c>
      <c r="H140" s="36"/>
      <c r="I140" s="135"/>
      <c r="J140" s="300"/>
      <c r="K140" s="59"/>
      <c r="L140" s="59"/>
      <c r="M140" s="59" t="s">
        <v>364</v>
      </c>
      <c r="N140" s="28" t="s">
        <v>364</v>
      </c>
      <c r="O140" s="59"/>
      <c r="P140" s="224"/>
      <c r="Q140" s="59"/>
      <c r="R140" s="224"/>
      <c r="S140" s="17"/>
      <c r="T140" s="225"/>
      <c r="U140" s="17"/>
      <c r="V140" s="225"/>
      <c r="W140" s="101"/>
      <c r="X140" s="17"/>
      <c r="Y140" s="17"/>
      <c r="Z140" s="59"/>
      <c r="AA140" s="225"/>
      <c r="AB140" s="17"/>
      <c r="AC140" s="17"/>
      <c r="AD140" s="17"/>
      <c r="AE140" s="224"/>
      <c r="AF140" s="59"/>
      <c r="AG140" s="59"/>
      <c r="AH140" s="17"/>
      <c r="AI140" s="99"/>
      <c r="AJ140" s="101"/>
      <c r="AK140" s="224"/>
      <c r="AL140" s="17"/>
      <c r="AM140" s="59"/>
      <c r="AN140" s="101"/>
      <c r="AO140" s="59"/>
      <c r="AP140" s="224"/>
      <c r="AQ140" s="101"/>
      <c r="AR140">
        <f>F140 +G140</f>
        <v>2</v>
      </c>
    </row>
    <row r="141" spans="1:44" x14ac:dyDescent="0.25">
      <c r="A141" t="str">
        <f>B141 &amp; " - " &amp;E141</f>
        <v>WBA - Phillips</v>
      </c>
      <c r="B141" t="s">
        <v>1144</v>
      </c>
      <c r="C141" t="str">
        <f ca="1">IFERROR(VLOOKUP(INDEX(OFFSET(_JOUEURS,0,0,,1),MATCH(A141,OFFSET(_JOUEURS,0,1,,1),0)),_MPG,2,FALSE),"")</f>
        <v/>
      </c>
      <c r="D141" s="52" t="s">
        <v>369</v>
      </c>
      <c r="E141" s="69" t="s">
        <v>1129</v>
      </c>
      <c r="F141" s="137">
        <v>6</v>
      </c>
      <c r="G141" s="123"/>
      <c r="H141" s="81"/>
      <c r="I141" s="55">
        <f>AVERAGE(J141,K141,L141,M141,N141,O141)</f>
        <v>4.5</v>
      </c>
      <c r="J141" s="35">
        <v>4</v>
      </c>
      <c r="K141" s="18">
        <v>4</v>
      </c>
      <c r="L141" s="18">
        <v>5</v>
      </c>
      <c r="M141" s="18">
        <v>5</v>
      </c>
      <c r="N141" s="18">
        <v>4</v>
      </c>
      <c r="O141" s="28">
        <v>5</v>
      </c>
      <c r="P141" s="28"/>
      <c r="Q141" s="28"/>
      <c r="R141" s="18"/>
      <c r="S141" s="60"/>
      <c r="T141" s="18"/>
      <c r="U141" s="28"/>
      <c r="V141" s="28"/>
      <c r="W141" s="21"/>
      <c r="X141" s="18"/>
      <c r="Y141" s="18"/>
      <c r="Z141" s="18"/>
      <c r="AA141" s="18"/>
      <c r="AB141" s="18"/>
      <c r="AC141" s="18"/>
      <c r="AD141" s="18"/>
      <c r="AE141" s="18"/>
      <c r="AF141" s="18"/>
      <c r="AG141" s="18"/>
      <c r="AH141" s="18"/>
      <c r="AI141" s="21"/>
      <c r="AJ141" s="21"/>
      <c r="AK141" s="28"/>
      <c r="AL141" s="16"/>
      <c r="AM141" s="18"/>
      <c r="AN141" s="21"/>
      <c r="AO141" s="18"/>
      <c r="AP141" s="18"/>
      <c r="AQ141" s="21"/>
      <c r="AR141">
        <f>F141 +G141</f>
        <v>6</v>
      </c>
    </row>
    <row r="142" spans="1:44" hidden="1" x14ac:dyDescent="0.25">
      <c r="A142" t="str">
        <f>B142 &amp; " - " &amp;E142</f>
        <v>WBA - Fletcher</v>
      </c>
      <c r="B142" t="s">
        <v>1144</v>
      </c>
      <c r="C142" t="str">
        <f ca="1">IFERROR(VLOOKUP(INDEX(OFFSET(_JOUEURS,0,0,,1),MATCH(A142,OFFSET(_JOUEURS,0,1,,1),0)),_MPG,2,FALSE),"")</f>
        <v>Saxe-Gambetta FC</v>
      </c>
      <c r="D142" s="104" t="s">
        <v>369</v>
      </c>
      <c r="E142" s="29" t="s">
        <v>1130</v>
      </c>
      <c r="F142" s="106">
        <v>6</v>
      </c>
      <c r="G142" s="101"/>
      <c r="H142" s="36"/>
      <c r="I142" s="27">
        <f>AVERAGE(J142,K142,L142,M142,N142,O142)</f>
        <v>4.5</v>
      </c>
      <c r="J142" s="35">
        <v>4</v>
      </c>
      <c r="K142" s="59">
        <v>4</v>
      </c>
      <c r="L142" s="18">
        <v>5</v>
      </c>
      <c r="M142" s="18">
        <v>4</v>
      </c>
      <c r="N142" s="18">
        <v>6</v>
      </c>
      <c r="O142" s="28">
        <v>4</v>
      </c>
      <c r="P142" s="18"/>
      <c r="Q142" s="18"/>
      <c r="R142" s="18"/>
      <c r="S142" s="18"/>
      <c r="T142" s="18"/>
      <c r="U142" s="18"/>
      <c r="V142" s="18"/>
      <c r="W142" s="21"/>
      <c r="X142" s="18"/>
      <c r="Y142" s="18"/>
      <c r="Z142" s="18"/>
      <c r="AA142" s="18"/>
      <c r="AB142" s="18"/>
      <c r="AC142" s="18"/>
      <c r="AD142" s="18"/>
      <c r="AE142" s="18"/>
      <c r="AF142" s="18"/>
      <c r="AG142" s="18"/>
      <c r="AH142" s="18"/>
      <c r="AI142" s="21"/>
      <c r="AJ142" s="21"/>
      <c r="AK142" s="28"/>
      <c r="AL142" s="18"/>
      <c r="AM142" s="18"/>
      <c r="AN142" s="21"/>
      <c r="AO142" s="18"/>
      <c r="AP142" s="18"/>
      <c r="AQ142" s="21"/>
      <c r="AR142">
        <f>F142 +G142</f>
        <v>6</v>
      </c>
    </row>
    <row r="143" spans="1:44" x14ac:dyDescent="0.25">
      <c r="A143" t="str">
        <f>B143 &amp; " - " &amp;E143</f>
        <v>WBA - Yacob</v>
      </c>
      <c r="B143" t="s">
        <v>1144</v>
      </c>
      <c r="C143" t="str">
        <f ca="1">IFERROR(VLOOKUP(INDEX(OFFSET(_JOUEURS,0,0,,1),MATCH(A143,OFFSET(_JOUEURS,0,1,,1),0)),_MPG,2,FALSE),"")</f>
        <v/>
      </c>
      <c r="D143" s="152" t="s">
        <v>369</v>
      </c>
      <c r="E143" s="29" t="s">
        <v>1131</v>
      </c>
      <c r="F143" s="106">
        <v>6</v>
      </c>
      <c r="G143" s="101"/>
      <c r="H143" s="36"/>
      <c r="I143" s="27">
        <f>AVERAGE(J143,K143,L143,M143,N143,O143)</f>
        <v>5.166666666666667</v>
      </c>
      <c r="J143" s="35">
        <v>6</v>
      </c>
      <c r="K143" s="18">
        <v>5</v>
      </c>
      <c r="L143" s="17">
        <v>5</v>
      </c>
      <c r="M143" s="18">
        <v>4</v>
      </c>
      <c r="N143" s="18">
        <v>6</v>
      </c>
      <c r="O143" s="28">
        <v>5</v>
      </c>
      <c r="P143" s="18"/>
      <c r="Q143" s="16"/>
      <c r="R143" s="18"/>
      <c r="S143" s="18"/>
      <c r="T143" s="18"/>
      <c r="U143" s="28"/>
      <c r="V143" s="18"/>
      <c r="W143" s="22"/>
      <c r="X143" s="18"/>
      <c r="Y143" s="28"/>
      <c r="Z143" s="18"/>
      <c r="AA143" s="18"/>
      <c r="AB143" s="18"/>
      <c r="AC143" s="18"/>
      <c r="AD143" s="18"/>
      <c r="AE143" s="16"/>
      <c r="AF143" s="18"/>
      <c r="AG143" s="28"/>
      <c r="AH143" s="18"/>
      <c r="AI143" s="21"/>
      <c r="AJ143" s="21"/>
      <c r="AK143" s="28"/>
      <c r="AL143" s="28"/>
      <c r="AM143" s="28"/>
      <c r="AN143" s="20"/>
      <c r="AO143" s="18"/>
      <c r="AP143" s="18"/>
      <c r="AQ143" s="21"/>
      <c r="AR143">
        <f>F143 +G143</f>
        <v>6</v>
      </c>
    </row>
    <row r="144" spans="1:44" x14ac:dyDescent="0.25">
      <c r="A144" t="str">
        <f>B144 &amp; " - " &amp;E144</f>
        <v>WBA - Gardner</v>
      </c>
      <c r="B144" t="s">
        <v>1144</v>
      </c>
      <c r="C144" t="str">
        <f ca="1">IFERROR(VLOOKUP(INDEX(OFFSET(_JOUEURS,0,0,,1),MATCH(A144,OFFSET(_JOUEURS,0,1,,1),0)),_MPG,2,FALSE),"")</f>
        <v/>
      </c>
      <c r="D144" s="152" t="s">
        <v>369</v>
      </c>
      <c r="E144" s="29" t="s">
        <v>1132</v>
      </c>
      <c r="F144" s="106">
        <v>2</v>
      </c>
      <c r="G144" s="101">
        <v>2</v>
      </c>
      <c r="H144" s="36"/>
      <c r="I144" s="27">
        <f>AVERAGE(J144,K144)</f>
        <v>5.5</v>
      </c>
      <c r="J144" s="35">
        <v>5</v>
      </c>
      <c r="K144" s="18">
        <v>6</v>
      </c>
      <c r="L144" s="28" t="s">
        <v>364</v>
      </c>
      <c r="M144" s="28" t="s">
        <v>364</v>
      </c>
      <c r="N144" s="18"/>
      <c r="O144" s="28"/>
      <c r="P144" s="18"/>
      <c r="Q144" s="16"/>
      <c r="R144" s="18"/>
      <c r="S144" s="18"/>
      <c r="T144" s="18"/>
      <c r="U144" s="28"/>
      <c r="V144" s="18"/>
      <c r="W144" s="21"/>
      <c r="X144" s="18"/>
      <c r="Y144" s="28"/>
      <c r="Z144" s="18"/>
      <c r="AA144" s="18"/>
      <c r="AB144" s="28"/>
      <c r="AC144" s="18"/>
      <c r="AD144" s="18"/>
      <c r="AE144" s="18"/>
      <c r="AF144" s="18"/>
      <c r="AG144" s="18"/>
      <c r="AH144" s="18"/>
      <c r="AI144" s="21"/>
      <c r="AJ144" s="21"/>
      <c r="AK144" s="28"/>
      <c r="AL144" s="28"/>
      <c r="AM144" s="28"/>
      <c r="AN144" s="22"/>
      <c r="AO144" s="18"/>
      <c r="AP144" s="18"/>
      <c r="AQ144" s="21"/>
      <c r="AR144">
        <f>F144 +G144</f>
        <v>4</v>
      </c>
    </row>
    <row r="145" spans="1:44" x14ac:dyDescent="0.25">
      <c r="A145" t="str">
        <f>B145 &amp; " - " &amp;E145</f>
        <v>WBA - Morrison</v>
      </c>
      <c r="B145" t="s">
        <v>1144</v>
      </c>
      <c r="C145" t="str">
        <f ca="1">IFERROR(VLOOKUP(INDEX(OFFSET(_JOUEURS,0,0,,1),MATCH(A145,OFFSET(_JOUEURS,0,1,,1),0)),_MPG,2,FALSE),"")</f>
        <v/>
      </c>
      <c r="D145" s="152" t="s">
        <v>369</v>
      </c>
      <c r="E145" s="29" t="s">
        <v>1133</v>
      </c>
      <c r="F145" s="106"/>
      <c r="G145" s="101">
        <v>3</v>
      </c>
      <c r="H145" s="36"/>
      <c r="I145" s="27"/>
      <c r="J145" s="79" t="s">
        <v>364</v>
      </c>
      <c r="K145" s="15"/>
      <c r="L145" s="18"/>
      <c r="M145" s="18"/>
      <c r="N145" s="28" t="s">
        <v>364</v>
      </c>
      <c r="O145" s="28" t="s">
        <v>364</v>
      </c>
      <c r="P145" s="18"/>
      <c r="Q145" s="18"/>
      <c r="R145" s="18"/>
      <c r="S145" s="18"/>
      <c r="T145" s="18"/>
      <c r="U145" s="18"/>
      <c r="V145" s="18"/>
      <c r="W145" s="21"/>
      <c r="X145" s="28"/>
      <c r="Y145" s="18"/>
      <c r="Z145" s="18"/>
      <c r="AA145" s="18"/>
      <c r="AB145" s="18"/>
      <c r="AC145" s="18"/>
      <c r="AD145" s="28"/>
      <c r="AE145" s="18"/>
      <c r="AF145" s="18"/>
      <c r="AG145" s="18"/>
      <c r="AH145" s="18"/>
      <c r="AI145" s="21"/>
      <c r="AJ145" s="21"/>
      <c r="AK145" s="28"/>
      <c r="AL145" s="18"/>
      <c r="AM145" s="18"/>
      <c r="AN145" s="21"/>
      <c r="AO145" s="18"/>
      <c r="AP145" s="18"/>
      <c r="AQ145" s="21"/>
      <c r="AR145">
        <f>F145 +G145</f>
        <v>3</v>
      </c>
    </row>
    <row r="146" spans="1:44" hidden="1" x14ac:dyDescent="0.25">
      <c r="A146" t="str">
        <f>B146 &amp; " - " &amp;E146</f>
        <v>WBA - Leko</v>
      </c>
      <c r="B146" t="s">
        <v>1144</v>
      </c>
      <c r="C146" t="str">
        <f ca="1">IFERROR(VLOOKUP(INDEX(OFFSET(_JOUEURS,0,0,,1),MATCH(A146,OFFSET(_JOUEURS,0,1,,1),0)),_MPG,2,FALSE),"")</f>
        <v>Saxe-Gambetta FC</v>
      </c>
      <c r="D146" s="152" t="s">
        <v>369</v>
      </c>
      <c r="E146" s="29" t="s">
        <v>1135</v>
      </c>
      <c r="F146" s="106"/>
      <c r="G146" s="101">
        <v>4</v>
      </c>
      <c r="H146" s="36"/>
      <c r="I146" s="27"/>
      <c r="J146" s="70"/>
      <c r="K146" s="62" t="s">
        <v>364</v>
      </c>
      <c r="L146" s="28" t="s">
        <v>364</v>
      </c>
      <c r="M146" s="28" t="s">
        <v>364</v>
      </c>
      <c r="N146" s="18"/>
      <c r="O146" s="28" t="s">
        <v>364</v>
      </c>
      <c r="P146" s="60"/>
      <c r="Q146" s="18"/>
      <c r="R146" s="18"/>
      <c r="S146" s="18"/>
      <c r="T146" s="28"/>
      <c r="U146" s="28"/>
      <c r="V146" s="18"/>
      <c r="W146" s="20"/>
      <c r="X146" s="18"/>
      <c r="Y146" s="18"/>
      <c r="Z146" s="18"/>
      <c r="AA146" s="28"/>
      <c r="AB146" s="18"/>
      <c r="AC146" s="28"/>
      <c r="AD146" s="18"/>
      <c r="AE146" s="28"/>
      <c r="AF146" s="28"/>
      <c r="AG146" s="28"/>
      <c r="AH146" s="28"/>
      <c r="AI146" s="20"/>
      <c r="AJ146" s="21"/>
      <c r="AK146" s="28"/>
      <c r="AL146" s="18"/>
      <c r="AM146" s="18"/>
      <c r="AN146" s="20"/>
      <c r="AO146" s="18"/>
      <c r="AP146" s="18"/>
      <c r="AQ146" s="20"/>
      <c r="AR146">
        <f>F146 +G146</f>
        <v>4</v>
      </c>
    </row>
    <row r="147" spans="1:44" x14ac:dyDescent="0.25">
      <c r="A147" t="str">
        <f>B147 &amp; " - " &amp;E147</f>
        <v>WBA - Field</v>
      </c>
      <c r="B147" t="s">
        <v>1144</v>
      </c>
      <c r="C147" t="str">
        <f ca="1">IFERROR(VLOOKUP(INDEX(OFFSET(_JOUEURS,0,0,,1),MATCH(A147,OFFSET(_JOUEURS,0,1,,1),0)),_MPG,2,FALSE),"")</f>
        <v/>
      </c>
      <c r="D147" s="152" t="s">
        <v>369</v>
      </c>
      <c r="E147" s="29" t="s">
        <v>1136</v>
      </c>
      <c r="F147" s="106">
        <v>2</v>
      </c>
      <c r="G147" s="101"/>
      <c r="H147" s="36"/>
      <c r="I147" s="27">
        <f>AVERAGE(L147,M147)</f>
        <v>5.5</v>
      </c>
      <c r="J147" s="35"/>
      <c r="K147" s="28"/>
      <c r="L147" s="28">
        <v>6</v>
      </c>
      <c r="M147" s="28">
        <v>5</v>
      </c>
      <c r="N147" s="28"/>
      <c r="O147" s="28"/>
      <c r="P147" s="28"/>
      <c r="Q147" s="18"/>
      <c r="R147" s="18"/>
      <c r="S147" s="18"/>
      <c r="T147" s="18"/>
      <c r="U147" s="28"/>
      <c r="V147" s="18"/>
      <c r="W147" s="20"/>
      <c r="X147" s="18"/>
      <c r="Y147" s="18"/>
      <c r="Z147" s="28"/>
      <c r="AA147" s="18"/>
      <c r="AB147" s="18"/>
      <c r="AC147" s="18"/>
      <c r="AD147" s="18"/>
      <c r="AE147" s="28"/>
      <c r="AF147" s="18"/>
      <c r="AG147" s="18"/>
      <c r="AH147" s="18"/>
      <c r="AI147" s="20"/>
      <c r="AJ147" s="20"/>
      <c r="AK147" s="28"/>
      <c r="AL147" s="28"/>
      <c r="AM147" s="28"/>
      <c r="AN147" s="21"/>
      <c r="AO147" s="18"/>
      <c r="AP147" s="18"/>
      <c r="AQ147" s="20"/>
      <c r="AR147">
        <f>F147 +G147</f>
        <v>2</v>
      </c>
    </row>
    <row r="148" spans="1:44" x14ac:dyDescent="0.25">
      <c r="A148" t="str">
        <f>B148 &amp; " - " &amp;E148</f>
        <v>WBA - Brunt</v>
      </c>
      <c r="B148" t="s">
        <v>1144</v>
      </c>
      <c r="C148" t="str">
        <f ca="1">IFERROR(VLOOKUP(INDEX(OFFSET(_JOUEURS,0,0,,1),MATCH(A148,OFFSET(_JOUEURS,0,1,,1),0)),_MPG,2,FALSE),"")</f>
        <v/>
      </c>
      <c r="D148" s="152" t="s">
        <v>369</v>
      </c>
      <c r="E148" s="109" t="s">
        <v>1138</v>
      </c>
      <c r="F148" s="106"/>
      <c r="G148" s="101"/>
      <c r="H148" s="36"/>
      <c r="I148" s="27"/>
      <c r="J148" s="35"/>
      <c r="K148" s="18"/>
      <c r="L148" s="28"/>
      <c r="M148" s="28"/>
      <c r="N148" s="28"/>
      <c r="O148" s="28"/>
      <c r="P148" s="28"/>
      <c r="Q148" s="18"/>
      <c r="R148" s="18"/>
      <c r="S148" s="18"/>
      <c r="T148" s="18"/>
      <c r="U148" s="28"/>
      <c r="V148" s="18"/>
      <c r="W148" s="20"/>
      <c r="X148" s="18"/>
      <c r="Y148" s="18"/>
      <c r="Z148" s="28"/>
      <c r="AA148" s="18"/>
      <c r="AB148" s="18"/>
      <c r="AC148" s="18"/>
      <c r="AD148" s="18"/>
      <c r="AE148" s="28"/>
      <c r="AF148" s="18"/>
      <c r="AG148" s="18"/>
      <c r="AH148" s="18"/>
      <c r="AI148" s="20"/>
      <c r="AJ148" s="20"/>
      <c r="AK148" s="28"/>
      <c r="AL148" s="28"/>
      <c r="AM148" s="28"/>
      <c r="AN148" s="21"/>
      <c r="AO148" s="18"/>
      <c r="AP148" s="18"/>
      <c r="AQ148" s="20"/>
      <c r="AR148">
        <f>F148 +G148</f>
        <v>0</v>
      </c>
    </row>
    <row r="149" spans="1:44" x14ac:dyDescent="0.25">
      <c r="A149" t="str">
        <f>B149 &amp; " - " &amp;E149</f>
        <v>WBA - McManaman</v>
      </c>
      <c r="B149" t="s">
        <v>1144</v>
      </c>
      <c r="C149" t="str">
        <f ca="1">IFERROR(VLOOKUP(INDEX(OFFSET(_JOUEURS,0,0,,1),MATCH(A149,OFFSET(_JOUEURS,0,1,,1),0)),_MPG,2,FALSE),"")</f>
        <v/>
      </c>
      <c r="D149" s="148" t="s">
        <v>369</v>
      </c>
      <c r="E149" s="111" t="s">
        <v>1139</v>
      </c>
      <c r="F149" s="137"/>
      <c r="G149" s="123"/>
      <c r="H149" s="81"/>
      <c r="I149" s="55"/>
      <c r="J149" s="70"/>
      <c r="K149" s="18"/>
      <c r="L149" s="28"/>
      <c r="M149" s="60"/>
      <c r="N149" s="28"/>
      <c r="O149" s="28"/>
      <c r="P149" s="28"/>
      <c r="Q149" s="18"/>
      <c r="R149" s="18"/>
      <c r="S149" s="18"/>
      <c r="T149" s="18"/>
      <c r="U149" s="28"/>
      <c r="V149" s="18"/>
      <c r="W149" s="20"/>
      <c r="X149" s="18"/>
      <c r="Y149" s="18"/>
      <c r="Z149" s="28"/>
      <c r="AA149" s="18"/>
      <c r="AB149" s="18"/>
      <c r="AC149" s="18"/>
      <c r="AD149" s="18"/>
      <c r="AE149" s="28"/>
      <c r="AF149" s="18"/>
      <c r="AG149" s="18"/>
      <c r="AH149" s="18"/>
      <c r="AI149" s="20"/>
      <c r="AJ149" s="20"/>
      <c r="AK149" s="28"/>
      <c r="AL149" s="28"/>
      <c r="AM149" s="28"/>
      <c r="AN149" s="21"/>
      <c r="AO149" s="18"/>
      <c r="AP149" s="18"/>
      <c r="AQ149" s="20"/>
      <c r="AR149">
        <f>F149 +G149</f>
        <v>0</v>
      </c>
    </row>
    <row r="150" spans="1:44" x14ac:dyDescent="0.25">
      <c r="A150" t="str">
        <f>B150 &amp; " - " &amp;E150</f>
        <v>Everton - McCarthy</v>
      </c>
      <c r="B150" t="s">
        <v>1167</v>
      </c>
      <c r="C150" t="str">
        <f ca="1">IFERROR(VLOOKUP(INDEX(OFFSET(_JOUEURS,0,0,,1),MATCH(A150,OFFSET(_JOUEURS,0,1,,1),0)),_MPG,2,FALSE),"")</f>
        <v/>
      </c>
      <c r="D150" s="23" t="s">
        <v>369</v>
      </c>
      <c r="E150" s="24" t="s">
        <v>1154</v>
      </c>
      <c r="F150" s="25">
        <v>2</v>
      </c>
      <c r="G150" s="77"/>
      <c r="H150" s="56"/>
      <c r="I150" s="27">
        <f>AVERAGE(J150,K150)</f>
        <v>5</v>
      </c>
      <c r="J150" s="109">
        <v>5</v>
      </c>
      <c r="K150" s="183">
        <v>5</v>
      </c>
      <c r="L150" s="17"/>
      <c r="M150" s="17"/>
      <c r="N150" s="17"/>
      <c r="O150" s="59"/>
      <c r="P150" s="17"/>
      <c r="Q150" s="17"/>
      <c r="R150" s="17"/>
      <c r="S150" s="17"/>
      <c r="T150" s="17"/>
      <c r="U150" s="17"/>
      <c r="V150" s="17"/>
      <c r="W150" s="101"/>
      <c r="X150" s="17"/>
      <c r="Y150" s="17"/>
      <c r="Z150" s="17"/>
      <c r="AA150" s="17"/>
      <c r="AB150" s="17"/>
      <c r="AC150" s="59"/>
      <c r="AD150" s="17"/>
      <c r="AE150" s="17"/>
      <c r="AF150" s="59"/>
      <c r="AG150" s="17"/>
      <c r="AH150" s="17"/>
      <c r="AI150" s="101"/>
      <c r="AJ150" s="101"/>
      <c r="AK150" s="17"/>
      <c r="AL150" s="17"/>
      <c r="AM150" s="17"/>
      <c r="AN150" s="101"/>
      <c r="AO150" s="17"/>
      <c r="AP150" s="17"/>
      <c r="AQ150" s="101"/>
      <c r="AR150">
        <f>F150 +G150</f>
        <v>2</v>
      </c>
    </row>
    <row r="151" spans="1:44" x14ac:dyDescent="0.25">
      <c r="A151" t="str">
        <f>B151 &amp; " - " &amp;E151</f>
        <v>Everton - Lennon</v>
      </c>
      <c r="B151" t="s">
        <v>1167</v>
      </c>
      <c r="C151" t="str">
        <f ca="1">IFERROR(VLOOKUP(INDEX(OFFSET(_JOUEURS,0,0,,1),MATCH(A151,OFFSET(_JOUEURS,0,1,,1),0)),_MPG,2,FALSE),"")</f>
        <v/>
      </c>
      <c r="D151" s="23" t="s">
        <v>369</v>
      </c>
      <c r="E151" s="29" t="s">
        <v>1157</v>
      </c>
      <c r="F151" s="25"/>
      <c r="G151" s="77">
        <v>1</v>
      </c>
      <c r="H151" s="56"/>
      <c r="I151" s="27"/>
      <c r="J151" s="79" t="s">
        <v>364</v>
      </c>
      <c r="K151" s="171"/>
      <c r="L151" s="59"/>
      <c r="M151" s="17"/>
      <c r="N151" s="17"/>
      <c r="O151" s="17"/>
      <c r="P151" s="59"/>
      <c r="Q151" s="17"/>
      <c r="R151" s="17"/>
      <c r="S151" s="17"/>
      <c r="T151" s="59"/>
      <c r="U151" s="17"/>
      <c r="V151" s="17"/>
      <c r="W151" s="101"/>
      <c r="X151" s="17"/>
      <c r="Y151" s="59"/>
      <c r="Z151" s="17"/>
      <c r="AA151" s="17"/>
      <c r="AB151" s="59"/>
      <c r="AC151" s="17"/>
      <c r="AD151" s="17"/>
      <c r="AE151" s="17"/>
      <c r="AF151" s="17"/>
      <c r="AG151" s="17"/>
      <c r="AH151" s="17"/>
      <c r="AI151" s="101"/>
      <c r="AJ151" s="101"/>
      <c r="AK151" s="17"/>
      <c r="AL151" s="17"/>
      <c r="AM151" s="17"/>
      <c r="AN151" s="101"/>
      <c r="AO151" s="17"/>
      <c r="AP151" s="17"/>
      <c r="AQ151" s="101"/>
      <c r="AR151">
        <f>F151 +G151</f>
        <v>1</v>
      </c>
    </row>
    <row r="152" spans="1:44" x14ac:dyDescent="0.25">
      <c r="A152" t="str">
        <f>B152 &amp; " - " &amp;E152</f>
        <v>Everton - Cleverley</v>
      </c>
      <c r="B152" t="s">
        <v>1167</v>
      </c>
      <c r="C152" t="str">
        <f ca="1">IFERROR(VLOOKUP(INDEX(OFFSET(_JOUEURS,0,0,,1),MATCH(A152,OFFSET(_JOUEURS,0,1,,1),0)),_MPG,2,FALSE),"")</f>
        <v/>
      </c>
      <c r="D152" s="23" t="s">
        <v>369</v>
      </c>
      <c r="E152" s="29" t="s">
        <v>1158</v>
      </c>
      <c r="F152" s="25"/>
      <c r="G152" s="77">
        <v>3</v>
      </c>
      <c r="H152" s="56"/>
      <c r="I152" s="27"/>
      <c r="J152" s="79" t="s">
        <v>364</v>
      </c>
      <c r="K152" s="171"/>
      <c r="L152" s="59"/>
      <c r="M152" s="17"/>
      <c r="N152" s="28" t="s">
        <v>364</v>
      </c>
      <c r="O152" s="28" t="s">
        <v>364</v>
      </c>
      <c r="P152" s="59"/>
      <c r="Q152" s="17"/>
      <c r="R152" s="17"/>
      <c r="S152" s="17"/>
      <c r="T152" s="59"/>
      <c r="U152" s="17"/>
      <c r="V152" s="17"/>
      <c r="W152" s="101"/>
      <c r="X152" s="17"/>
      <c r="Y152" s="59"/>
      <c r="Z152" s="17"/>
      <c r="AA152" s="17"/>
      <c r="AB152" s="59"/>
      <c r="AC152" s="17"/>
      <c r="AD152" s="17"/>
      <c r="AE152" s="17"/>
      <c r="AF152" s="17"/>
      <c r="AG152" s="17"/>
      <c r="AH152" s="17"/>
      <c r="AI152" s="101"/>
      <c r="AJ152" s="101"/>
      <c r="AK152" s="17"/>
      <c r="AL152" s="59"/>
      <c r="AM152" s="17"/>
      <c r="AN152" s="101"/>
      <c r="AO152" s="17"/>
      <c r="AP152" s="17"/>
      <c r="AQ152" s="101"/>
      <c r="AR152">
        <f>F152 +G152</f>
        <v>3</v>
      </c>
    </row>
    <row r="153" spans="1:44" x14ac:dyDescent="0.25">
      <c r="A153" t="str">
        <f>B153 &amp; " - " &amp;E153</f>
        <v>Everton - Bolasie</v>
      </c>
      <c r="B153" t="s">
        <v>1167</v>
      </c>
      <c r="C153" t="str">
        <f ca="1">IFERROR(VLOOKUP(INDEX(OFFSET(_JOUEURS,0,0,,1),MATCH(A153,OFFSET(_JOUEURS,0,1,,1),0)),_MPG,2,FALSE),"")</f>
        <v/>
      </c>
      <c r="D153" s="23" t="s">
        <v>369</v>
      </c>
      <c r="E153" s="29" t="s">
        <v>1109</v>
      </c>
      <c r="F153" s="25">
        <v>4</v>
      </c>
      <c r="G153" s="77">
        <v>1</v>
      </c>
      <c r="H153" s="56"/>
      <c r="I153" s="27">
        <f>AVERAGE(L153,M153,N153,O153)</f>
        <v>6</v>
      </c>
      <c r="J153" s="109"/>
      <c r="K153" s="62" t="s">
        <v>364</v>
      </c>
      <c r="L153" s="59">
        <v>6</v>
      </c>
      <c r="M153" s="66">
        <v>8</v>
      </c>
      <c r="N153" s="17">
        <v>6</v>
      </c>
      <c r="O153" s="17">
        <v>4</v>
      </c>
      <c r="P153" s="59"/>
      <c r="Q153" s="17"/>
      <c r="R153" s="17"/>
      <c r="S153" s="17"/>
      <c r="T153" s="59"/>
      <c r="U153" s="17"/>
      <c r="V153" s="17"/>
      <c r="W153" s="101"/>
      <c r="X153" s="17"/>
      <c r="Y153" s="59"/>
      <c r="Z153" s="17"/>
      <c r="AA153" s="17"/>
      <c r="AB153" s="59"/>
      <c r="AC153" s="17"/>
      <c r="AD153" s="17"/>
      <c r="AE153" s="17"/>
      <c r="AF153" s="17"/>
      <c r="AG153" s="17"/>
      <c r="AH153" s="17"/>
      <c r="AI153" s="101"/>
      <c r="AJ153" s="101"/>
      <c r="AK153" s="17"/>
      <c r="AL153" s="59"/>
      <c r="AM153" s="17"/>
      <c r="AN153" s="101"/>
      <c r="AO153" s="17"/>
      <c r="AP153" s="17"/>
      <c r="AQ153" s="101"/>
      <c r="AR153">
        <f>F153 +G153</f>
        <v>5</v>
      </c>
    </row>
    <row r="154" spans="1:44" x14ac:dyDescent="0.25">
      <c r="A154" t="str">
        <f>B154 &amp; " - " &amp;E154</f>
        <v>Everton - Gibson</v>
      </c>
      <c r="B154" t="s">
        <v>1167</v>
      </c>
      <c r="C154" t="str">
        <f ca="1">IFERROR(VLOOKUP(INDEX(OFFSET(_JOUEURS,0,0,,1),MATCH(A154,OFFSET(_JOUEURS,0,1,,1),0)),_MPG,2,FALSE),"")</f>
        <v/>
      </c>
      <c r="D154" s="23" t="s">
        <v>369</v>
      </c>
      <c r="E154" s="29" t="s">
        <v>1159</v>
      </c>
      <c r="F154" s="25"/>
      <c r="G154" s="77"/>
      <c r="H154" s="56"/>
      <c r="I154" s="27"/>
      <c r="J154" s="109"/>
      <c r="K154" s="62"/>
      <c r="L154" s="59"/>
      <c r="M154" s="17"/>
      <c r="N154" s="17"/>
      <c r="O154" s="17"/>
      <c r="P154" s="59"/>
      <c r="Q154" s="17"/>
      <c r="R154" s="17"/>
      <c r="S154" s="17"/>
      <c r="T154" s="59"/>
      <c r="U154" s="17"/>
      <c r="V154" s="17"/>
      <c r="W154" s="101"/>
      <c r="X154" s="17"/>
      <c r="Y154" s="59"/>
      <c r="Z154" s="17"/>
      <c r="AA154" s="17"/>
      <c r="AB154" s="59"/>
      <c r="AC154" s="17"/>
      <c r="AD154" s="17"/>
      <c r="AE154" s="17"/>
      <c r="AF154" s="17"/>
      <c r="AG154" s="17"/>
      <c r="AH154" s="17"/>
      <c r="AI154" s="101"/>
      <c r="AJ154" s="101"/>
      <c r="AK154" s="17"/>
      <c r="AL154" s="59"/>
      <c r="AM154" s="17"/>
      <c r="AN154" s="101"/>
      <c r="AO154" s="17"/>
      <c r="AP154" s="17"/>
      <c r="AQ154" s="101"/>
      <c r="AR154">
        <f>F154 +G154</f>
        <v>0</v>
      </c>
    </row>
    <row r="155" spans="1:44" x14ac:dyDescent="0.25">
      <c r="A155" t="str">
        <f>B155 &amp; " - " &amp;E155</f>
        <v>Everton - Davies</v>
      </c>
      <c r="B155" t="s">
        <v>1167</v>
      </c>
      <c r="C155" t="str">
        <f ca="1">IFERROR(VLOOKUP(INDEX(OFFSET(_JOUEURS,0,0,,1),MATCH(A155,OFFSET(_JOUEURS,0,1,,1),0)),_MPG,2,FALSE),"")</f>
        <v/>
      </c>
      <c r="D155" s="23" t="s">
        <v>369</v>
      </c>
      <c r="E155" s="29" t="s">
        <v>1160</v>
      </c>
      <c r="F155" s="25"/>
      <c r="G155" s="77">
        <v>2</v>
      </c>
      <c r="H155" s="56"/>
      <c r="I155" s="27"/>
      <c r="J155" s="109"/>
      <c r="K155" s="171"/>
      <c r="L155" s="28" t="s">
        <v>364</v>
      </c>
      <c r="M155" s="28" t="s">
        <v>364</v>
      </c>
      <c r="N155" s="17"/>
      <c r="O155" s="17"/>
      <c r="P155" s="59"/>
      <c r="Q155" s="17"/>
      <c r="R155" s="17"/>
      <c r="S155" s="17"/>
      <c r="T155" s="59"/>
      <c r="U155" s="17"/>
      <c r="V155" s="17"/>
      <c r="W155" s="101"/>
      <c r="X155" s="17"/>
      <c r="Y155" s="59"/>
      <c r="Z155" s="17"/>
      <c r="AA155" s="17"/>
      <c r="AB155" s="59"/>
      <c r="AC155" s="17"/>
      <c r="AD155" s="17"/>
      <c r="AE155" s="17"/>
      <c r="AF155" s="17"/>
      <c r="AG155" s="17"/>
      <c r="AH155" s="17"/>
      <c r="AI155" s="101"/>
      <c r="AJ155" s="101"/>
      <c r="AK155" s="17"/>
      <c r="AL155" s="59"/>
      <c r="AM155" s="17"/>
      <c r="AN155" s="101"/>
      <c r="AO155" s="17"/>
      <c r="AP155" s="17"/>
      <c r="AQ155" s="101"/>
      <c r="AR155">
        <f>F155 +G155</f>
        <v>2</v>
      </c>
    </row>
    <row r="156" spans="1:44" hidden="1" x14ac:dyDescent="0.25">
      <c r="A156" t="str">
        <f>B156 &amp; " - " &amp;E156</f>
        <v>Tottenham - Dier</v>
      </c>
      <c r="B156" t="s">
        <v>1188</v>
      </c>
      <c r="C156" t="str">
        <f ca="1">IFERROR(VLOOKUP(INDEX(OFFSET(_JOUEURS,0,0,,1),MATCH(A156,OFFSET(_JOUEURS,0,1,,1),0)),_MPG,2,FALSE),"")</f>
        <v>74 c'est la champion's league</v>
      </c>
      <c r="D156" s="104" t="s">
        <v>369</v>
      </c>
      <c r="E156" s="29" t="s">
        <v>1177</v>
      </c>
      <c r="F156" s="106">
        <v>5</v>
      </c>
      <c r="G156" s="101"/>
      <c r="H156" s="36"/>
      <c r="I156" s="27">
        <f>AVERAGE(J156,K156,L156,M156,N156)</f>
        <v>5.2</v>
      </c>
      <c r="J156" s="109">
        <v>5</v>
      </c>
      <c r="K156" s="17">
        <v>5</v>
      </c>
      <c r="L156" s="17">
        <v>5</v>
      </c>
      <c r="M156" s="17">
        <v>6</v>
      </c>
      <c r="N156" s="59">
        <v>5</v>
      </c>
      <c r="O156" s="17"/>
      <c r="P156" s="59"/>
      <c r="Q156" s="17"/>
      <c r="R156" s="17"/>
      <c r="S156" s="17"/>
      <c r="T156" s="17"/>
      <c r="U156" s="17"/>
      <c r="V156" s="17"/>
      <c r="W156" s="99"/>
      <c r="X156" s="17"/>
      <c r="Y156" s="59"/>
      <c r="Z156" s="17"/>
      <c r="AA156" s="17"/>
      <c r="AB156" s="17"/>
      <c r="AC156" s="59"/>
      <c r="AD156" s="17"/>
      <c r="AE156" s="17"/>
      <c r="AF156" s="59"/>
      <c r="AG156" s="17"/>
      <c r="AH156" s="17"/>
      <c r="AI156" s="101"/>
      <c r="AJ156" s="101"/>
      <c r="AK156" s="17"/>
      <c r="AL156" s="17"/>
      <c r="AM156" s="17"/>
      <c r="AN156" s="101"/>
      <c r="AO156" s="17"/>
      <c r="AP156" s="17"/>
      <c r="AQ156" s="101"/>
      <c r="AR156">
        <f>F156 +G156</f>
        <v>5</v>
      </c>
    </row>
    <row r="157" spans="1:44" hidden="1" x14ac:dyDescent="0.25">
      <c r="A157" t="str">
        <f>B157 &amp; " - " &amp;E157</f>
        <v>Tottenham - Eriksen</v>
      </c>
      <c r="B157" t="s">
        <v>1188</v>
      </c>
      <c r="C157" t="str">
        <f ca="1">IFERROR(VLOOKUP(INDEX(OFFSET(_JOUEURS,0,0,,1),MATCH(A157,OFFSET(_JOUEURS,0,1,,1),0)),_MPG,2,FALSE),"")</f>
        <v>nut fc</v>
      </c>
      <c r="D157" s="274" t="s">
        <v>369</v>
      </c>
      <c r="E157" s="29" t="s">
        <v>1180</v>
      </c>
      <c r="F157" s="106">
        <v>5</v>
      </c>
      <c r="G157" s="101"/>
      <c r="H157" s="36"/>
      <c r="I157" s="27">
        <f>AVERAGE(J157,K157,L157,M157,O157)</f>
        <v>5.4</v>
      </c>
      <c r="J157" s="89">
        <v>4</v>
      </c>
      <c r="K157" s="17">
        <v>4</v>
      </c>
      <c r="L157" s="17">
        <v>5</v>
      </c>
      <c r="M157" s="97">
        <v>8</v>
      </c>
      <c r="N157" s="17"/>
      <c r="O157" s="17">
        <v>6</v>
      </c>
      <c r="P157" s="17"/>
      <c r="Q157" s="17"/>
      <c r="R157" s="17"/>
      <c r="S157" s="17"/>
      <c r="T157" s="59"/>
      <c r="U157" s="59"/>
      <c r="V157" s="59"/>
      <c r="W157" s="101"/>
      <c r="X157" s="17"/>
      <c r="Y157" s="17"/>
      <c r="Z157" s="17"/>
      <c r="AA157" s="59"/>
      <c r="AB157" s="59"/>
      <c r="AC157" s="59"/>
      <c r="AD157" s="59"/>
      <c r="AE157" s="59"/>
      <c r="AF157" s="17"/>
      <c r="AG157" s="17"/>
      <c r="AH157" s="17"/>
      <c r="AI157" s="101"/>
      <c r="AJ157" s="99"/>
      <c r="AK157" s="59"/>
      <c r="AL157" s="85"/>
      <c r="AM157" s="59"/>
      <c r="AN157" s="101"/>
      <c r="AO157" s="17"/>
      <c r="AP157" s="17"/>
      <c r="AQ157" s="101"/>
      <c r="AR157">
        <f>F157 +G157</f>
        <v>5</v>
      </c>
    </row>
    <row r="158" spans="1:44" x14ac:dyDescent="0.25">
      <c r="A158" t="str">
        <f>B158 &amp; " - " &amp;E158</f>
        <v>Tottenham - Carroll</v>
      </c>
      <c r="B158" t="s">
        <v>1188</v>
      </c>
      <c r="C158" t="str">
        <f ca="1">IFERROR(VLOOKUP(INDEX(OFFSET(_JOUEURS,0,0,,1),MATCH(A158,OFFSET(_JOUEURS,0,1,,1),0)),_MPG,2,FALSE),"")</f>
        <v/>
      </c>
      <c r="D158" s="274" t="s">
        <v>369</v>
      </c>
      <c r="E158" s="29" t="s">
        <v>1181</v>
      </c>
      <c r="F158" s="106"/>
      <c r="G158" s="101">
        <v>1</v>
      </c>
      <c r="H158" s="36"/>
      <c r="I158" s="27"/>
      <c r="J158" s="89"/>
      <c r="K158" s="28" t="s">
        <v>364</v>
      </c>
      <c r="L158" s="17"/>
      <c r="M158" s="59"/>
      <c r="N158" s="17"/>
      <c r="O158" s="17"/>
      <c r="P158" s="17"/>
      <c r="Q158" s="17"/>
      <c r="R158" s="17"/>
      <c r="S158" s="17"/>
      <c r="T158" s="59"/>
      <c r="U158" s="59"/>
      <c r="V158" s="59"/>
      <c r="W158" s="101"/>
      <c r="X158" s="17"/>
      <c r="Y158" s="17"/>
      <c r="Z158" s="17"/>
      <c r="AA158" s="59"/>
      <c r="AB158" s="59"/>
      <c r="AC158" s="59"/>
      <c r="AD158" s="59"/>
      <c r="AE158" s="59"/>
      <c r="AF158" s="59"/>
      <c r="AG158" s="17"/>
      <c r="AH158" s="17"/>
      <c r="AI158" s="99"/>
      <c r="AJ158" s="101"/>
      <c r="AK158" s="59"/>
      <c r="AL158" s="17"/>
      <c r="AM158" s="59"/>
      <c r="AN158" s="86"/>
      <c r="AO158" s="17"/>
      <c r="AP158" s="85"/>
      <c r="AQ158" s="99"/>
      <c r="AR158">
        <f>F158 +G158</f>
        <v>1</v>
      </c>
    </row>
    <row r="159" spans="1:44" x14ac:dyDescent="0.25">
      <c r="A159" t="str">
        <f>B159 &amp; " - " &amp;E159</f>
        <v>Tottenham - Onomah</v>
      </c>
      <c r="B159" t="s">
        <v>1188</v>
      </c>
      <c r="C159" t="str">
        <f ca="1">IFERROR(VLOOKUP(INDEX(OFFSET(_JOUEURS,0,0,,1),MATCH(A159,OFFSET(_JOUEURS,0,1,,1),0)),_MPG,2,FALSE),"")</f>
        <v/>
      </c>
      <c r="D159" s="104" t="s">
        <v>369</v>
      </c>
      <c r="E159" s="29" t="s">
        <v>1182</v>
      </c>
      <c r="F159" s="106"/>
      <c r="G159" s="101">
        <v>2</v>
      </c>
      <c r="H159" s="36"/>
      <c r="I159" s="27"/>
      <c r="J159" s="109"/>
      <c r="K159" s="28" t="s">
        <v>364</v>
      </c>
      <c r="L159" s="28" t="s">
        <v>364</v>
      </c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01"/>
      <c r="X159" s="17"/>
      <c r="Y159" s="17"/>
      <c r="Z159" s="17"/>
      <c r="AA159" s="59"/>
      <c r="AB159" s="17"/>
      <c r="AC159" s="17"/>
      <c r="AD159" s="17"/>
      <c r="AE159" s="17"/>
      <c r="AF159" s="17"/>
      <c r="AG159" s="17"/>
      <c r="AH159" s="17"/>
      <c r="AI159" s="101"/>
      <c r="AJ159" s="101"/>
      <c r="AK159" s="17"/>
      <c r="AL159" s="17"/>
      <c r="AM159" s="17"/>
      <c r="AN159" s="101"/>
      <c r="AO159" s="17"/>
      <c r="AP159" s="17"/>
      <c r="AQ159" s="101"/>
      <c r="AR159">
        <f>F159 +G159</f>
        <v>2</v>
      </c>
    </row>
    <row r="160" spans="1:44" x14ac:dyDescent="0.25">
      <c r="A160" t="str">
        <f>B160 &amp; " - " &amp;E160</f>
        <v>Tottenham - Winks</v>
      </c>
      <c r="B160" t="s">
        <v>1188</v>
      </c>
      <c r="C160" t="str">
        <f ca="1">IFERROR(VLOOKUP(INDEX(OFFSET(_JOUEURS,0,0,,1),MATCH(A160,OFFSET(_JOUEURS,0,1,,1),0)),_MPG,2,FALSE),"")</f>
        <v/>
      </c>
      <c r="D160" s="104" t="s">
        <v>369</v>
      </c>
      <c r="E160" s="29" t="s">
        <v>1183</v>
      </c>
      <c r="F160" s="106"/>
      <c r="G160" s="101">
        <v>2</v>
      </c>
      <c r="H160" s="36"/>
      <c r="I160" s="27"/>
      <c r="J160" s="79"/>
      <c r="K160" s="16"/>
      <c r="L160" s="28" t="s">
        <v>364</v>
      </c>
      <c r="M160" s="17"/>
      <c r="N160" s="17"/>
      <c r="O160" s="28" t="s">
        <v>364</v>
      </c>
      <c r="P160" s="17"/>
      <c r="Q160" s="59"/>
      <c r="R160" s="17"/>
      <c r="S160" s="59"/>
      <c r="T160" s="17"/>
      <c r="U160" s="17"/>
      <c r="V160" s="17"/>
      <c r="W160" s="99"/>
      <c r="X160" s="17"/>
      <c r="Y160" s="17"/>
      <c r="Z160" s="17"/>
      <c r="AA160" s="17"/>
      <c r="AB160" s="59"/>
      <c r="AC160" s="59"/>
      <c r="AD160" s="17"/>
      <c r="AE160" s="17"/>
      <c r="AF160" s="17"/>
      <c r="AG160" s="17"/>
      <c r="AH160" s="17"/>
      <c r="AI160" s="99"/>
      <c r="AJ160" s="101"/>
      <c r="AK160" s="59"/>
      <c r="AL160" s="59"/>
      <c r="AM160" s="17"/>
      <c r="AN160" s="101"/>
      <c r="AO160" s="17"/>
      <c r="AP160" s="59"/>
      <c r="AQ160" s="99"/>
      <c r="AR160">
        <f>F160 +G160</f>
        <v>2</v>
      </c>
    </row>
    <row r="161" spans="1:44" hidden="1" x14ac:dyDescent="0.25">
      <c r="A161" t="str">
        <f>B161 &amp; " - " &amp;E161</f>
        <v>Tottenham - Sissoko</v>
      </c>
      <c r="B161" t="s">
        <v>1188</v>
      </c>
      <c r="C161" t="str">
        <f ca="1">IFERROR(VLOOKUP(INDEX(OFFSET(_JOUEURS,0,0,,1),MATCH(A161,OFFSET(_JOUEURS,0,1,,1),0)),_MPG,2,FALSE),"")</f>
        <v>I speak pas english</v>
      </c>
      <c r="D161" s="148" t="s">
        <v>369</v>
      </c>
      <c r="E161" s="69" t="s">
        <v>324</v>
      </c>
      <c r="F161" s="137">
        <v>2</v>
      </c>
      <c r="G161" s="123">
        <v>1</v>
      </c>
      <c r="H161" s="81"/>
      <c r="I161" s="55">
        <f>AVERAGE(N161,O161)</f>
        <v>4.5</v>
      </c>
      <c r="J161" s="79"/>
      <c r="K161" s="16"/>
      <c r="L161" s="28"/>
      <c r="M161" s="28" t="s">
        <v>364</v>
      </c>
      <c r="N161" s="17">
        <v>5</v>
      </c>
      <c r="O161" s="17">
        <v>4</v>
      </c>
      <c r="P161" s="17"/>
      <c r="Q161" s="59"/>
      <c r="R161" s="17"/>
      <c r="S161" s="59"/>
      <c r="T161" s="17"/>
      <c r="U161" s="17"/>
      <c r="V161" s="17"/>
      <c r="W161" s="99"/>
      <c r="X161" s="17"/>
      <c r="Y161" s="17"/>
      <c r="Z161" s="17"/>
      <c r="AA161" s="17"/>
      <c r="AB161" s="59"/>
      <c r="AC161" s="59"/>
      <c r="AD161" s="17"/>
      <c r="AE161" s="17"/>
      <c r="AF161" s="17"/>
      <c r="AG161" s="17"/>
      <c r="AH161" s="17"/>
      <c r="AI161" s="99"/>
      <c r="AJ161" s="101"/>
      <c r="AK161" s="59"/>
      <c r="AL161" s="59"/>
      <c r="AM161" s="17"/>
      <c r="AN161" s="101"/>
      <c r="AO161" s="17"/>
      <c r="AP161" s="59"/>
      <c r="AQ161" s="99"/>
      <c r="AR161">
        <f>F161 +G161</f>
        <v>3</v>
      </c>
    </row>
    <row r="162" spans="1:44" x14ac:dyDescent="0.25">
      <c r="A162" t="str">
        <f>B162 &amp; " - " &amp;E162</f>
        <v>Tottenham - Dembélé</v>
      </c>
      <c r="B162" t="s">
        <v>1188</v>
      </c>
      <c r="C162" t="str">
        <f ca="1">IFERROR(VLOOKUP(INDEX(OFFSET(_JOUEURS,0,0,,1),MATCH(A162,OFFSET(_JOUEURS,0,1,,1),0)),_MPG,2,FALSE),"")</f>
        <v/>
      </c>
      <c r="D162" s="152" t="s">
        <v>369</v>
      </c>
      <c r="E162" s="29" t="s">
        <v>1184</v>
      </c>
      <c r="F162" s="106">
        <v>1</v>
      </c>
      <c r="G162" s="101"/>
      <c r="H162" s="36"/>
      <c r="I162" s="27">
        <f>AVERAGE(N162)</f>
        <v>6</v>
      </c>
      <c r="J162" s="79"/>
      <c r="K162" s="16"/>
      <c r="L162" s="28"/>
      <c r="M162" s="28"/>
      <c r="N162" s="17">
        <v>6</v>
      </c>
      <c r="O162" s="17"/>
      <c r="P162" s="17"/>
      <c r="Q162" s="59"/>
      <c r="R162" s="17"/>
      <c r="S162" s="59"/>
      <c r="T162" s="17"/>
      <c r="U162" s="17"/>
      <c r="V162" s="17"/>
      <c r="W162" s="99"/>
      <c r="X162" s="17"/>
      <c r="Y162" s="17"/>
      <c r="Z162" s="17"/>
      <c r="AA162" s="17"/>
      <c r="AB162" s="59"/>
      <c r="AC162" s="59"/>
      <c r="AD162" s="17"/>
      <c r="AE162" s="17"/>
      <c r="AF162" s="17"/>
      <c r="AG162" s="17"/>
      <c r="AH162" s="17"/>
      <c r="AI162" s="99"/>
      <c r="AJ162" s="101"/>
      <c r="AK162" s="59"/>
      <c r="AL162" s="59"/>
      <c r="AM162" s="17"/>
      <c r="AN162" s="101"/>
      <c r="AO162" s="17"/>
      <c r="AP162" s="59"/>
      <c r="AQ162" s="99"/>
      <c r="AR162">
        <f>F162 +G162</f>
        <v>1</v>
      </c>
    </row>
    <row r="163" spans="1:44" ht="15.75" hidden="1" thickBot="1" x14ac:dyDescent="0.3">
      <c r="A163" t="str">
        <f>B163 &amp; " - " &amp;E163</f>
        <v>Tottenham - Nkoudou</v>
      </c>
      <c r="B163" t="s">
        <v>1188</v>
      </c>
      <c r="C163" t="str">
        <f ca="1">IFERROR(VLOOKUP(INDEX(OFFSET(_JOUEURS,0,0,,1),MATCH(A163,OFFSET(_JOUEURS,0,1,,1),0)),_MPG,2,FALSE),"")</f>
        <v>I speak pas english</v>
      </c>
      <c r="D163" s="186" t="s">
        <v>369</v>
      </c>
      <c r="E163" s="174" t="s">
        <v>1570</v>
      </c>
      <c r="F163" s="118"/>
      <c r="G163" s="119">
        <v>1</v>
      </c>
      <c r="H163" s="120"/>
      <c r="I163" s="92"/>
      <c r="J163" s="79"/>
      <c r="K163" s="16"/>
      <c r="L163" s="28"/>
      <c r="M163" s="28"/>
      <c r="N163" s="17"/>
      <c r="O163" s="28" t="s">
        <v>364</v>
      </c>
      <c r="P163" s="17"/>
      <c r="Q163" s="59"/>
      <c r="R163" s="17"/>
      <c r="S163" s="59"/>
      <c r="T163" s="17"/>
      <c r="U163" s="17"/>
      <c r="V163" s="17"/>
      <c r="W163" s="99"/>
      <c r="X163" s="17"/>
      <c r="Y163" s="17"/>
      <c r="Z163" s="17"/>
      <c r="AA163" s="17"/>
      <c r="AB163" s="59"/>
      <c r="AC163" s="59"/>
      <c r="AD163" s="17"/>
      <c r="AE163" s="17"/>
      <c r="AF163" s="17"/>
      <c r="AG163" s="17"/>
      <c r="AH163" s="17"/>
      <c r="AI163" s="99"/>
      <c r="AJ163" s="101"/>
      <c r="AK163" s="59"/>
      <c r="AL163" s="59"/>
      <c r="AM163" s="17"/>
      <c r="AN163" s="101"/>
      <c r="AO163" s="17"/>
      <c r="AP163" s="59"/>
      <c r="AQ163" s="99"/>
      <c r="AR163">
        <f>F163 +G163</f>
        <v>1</v>
      </c>
    </row>
    <row r="164" spans="1:44" x14ac:dyDescent="0.25">
      <c r="A164" t="str">
        <f>B164 &amp; " - " &amp;E164</f>
        <v>West Ham - Kouyaté</v>
      </c>
      <c r="B164" t="s">
        <v>1212</v>
      </c>
      <c r="C164" t="str">
        <f ca="1">IFERROR(VLOOKUP(INDEX(OFFSET(_JOUEURS,0,0,,1),MATCH(A164,OFFSET(_JOUEURS,0,1,,1),0)),_MPG,2,FALSE),"")</f>
        <v/>
      </c>
      <c r="D164" s="104" t="s">
        <v>369</v>
      </c>
      <c r="E164" s="29" t="s">
        <v>1200</v>
      </c>
      <c r="F164" s="106">
        <v>6</v>
      </c>
      <c r="G164" s="101"/>
      <c r="H164" s="36"/>
      <c r="I164" s="27">
        <f>AVERAGE(J164,K164,L164,M164,N164,O164)</f>
        <v>5</v>
      </c>
      <c r="J164" s="17">
        <v>4</v>
      </c>
      <c r="K164" s="66">
        <v>7</v>
      </c>
      <c r="L164" s="59">
        <v>5</v>
      </c>
      <c r="M164" s="17">
        <v>5</v>
      </c>
      <c r="N164" s="17">
        <v>6</v>
      </c>
      <c r="O164" s="114">
        <v>3</v>
      </c>
      <c r="P164" s="17"/>
      <c r="Q164" s="17"/>
      <c r="R164" s="17"/>
      <c r="S164" s="17"/>
      <c r="T164" s="17"/>
      <c r="U164" s="17"/>
      <c r="V164" s="17"/>
      <c r="W164" s="17"/>
      <c r="X164" s="59"/>
      <c r="Y164" s="17"/>
      <c r="Z164" s="59"/>
      <c r="AA164" s="17"/>
      <c r="AB164" s="17"/>
      <c r="AC164" s="17"/>
      <c r="AD164" s="17"/>
      <c r="AE164" s="17"/>
      <c r="AF164" s="17"/>
      <c r="AG164" s="17"/>
      <c r="AH164" s="17"/>
      <c r="AI164" s="99"/>
      <c r="AJ164" s="59"/>
      <c r="AK164" s="101"/>
      <c r="AL164" s="17"/>
      <c r="AM164" s="17"/>
      <c r="AN164" s="101"/>
      <c r="AO164" s="17"/>
      <c r="AP164" s="101"/>
      <c r="AQ164" s="101"/>
      <c r="AR164">
        <f>F164 +G164</f>
        <v>6</v>
      </c>
    </row>
    <row r="165" spans="1:44" x14ac:dyDescent="0.25">
      <c r="A165" t="str">
        <f>B165 &amp; " - " &amp;E165</f>
        <v>West Ham - Nordveit</v>
      </c>
      <c r="B165" t="s">
        <v>1212</v>
      </c>
      <c r="C165" t="str">
        <f ca="1">IFERROR(VLOOKUP(INDEX(OFFSET(_JOUEURS,0,0,,1),MATCH(A165,OFFSET(_JOUEURS,0,1,,1),0)),_MPG,2,FALSE),"")</f>
        <v/>
      </c>
      <c r="D165" s="104" t="s">
        <v>369</v>
      </c>
      <c r="E165" s="29" t="s">
        <v>1201</v>
      </c>
      <c r="F165" s="106">
        <v>4</v>
      </c>
      <c r="G165" s="101"/>
      <c r="H165" s="36"/>
      <c r="I165" s="27">
        <f>AVERAGE(J165,K165,N165,O165)</f>
        <v>5</v>
      </c>
      <c r="J165" s="17">
        <v>4</v>
      </c>
      <c r="K165" s="17">
        <v>6</v>
      </c>
      <c r="L165" s="59"/>
      <c r="M165" s="17"/>
      <c r="N165" s="17">
        <v>6</v>
      </c>
      <c r="O165" s="17">
        <v>4</v>
      </c>
      <c r="P165" s="84"/>
      <c r="Q165" s="85"/>
      <c r="R165" s="17"/>
      <c r="S165" s="17"/>
      <c r="T165" s="17"/>
      <c r="U165" s="17"/>
      <c r="V165" s="85"/>
      <c r="W165" s="59"/>
      <c r="X165" s="59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01"/>
      <c r="AJ165" s="17"/>
      <c r="AK165" s="101"/>
      <c r="AL165" s="17"/>
      <c r="AM165" s="17"/>
      <c r="AN165" s="101"/>
      <c r="AO165" s="17"/>
      <c r="AP165" s="101"/>
      <c r="AQ165" s="101"/>
      <c r="AR165">
        <f>F165 +G165</f>
        <v>4</v>
      </c>
    </row>
    <row r="166" spans="1:44" x14ac:dyDescent="0.25">
      <c r="A166" t="str">
        <f>B166 &amp; " - " &amp;E166</f>
        <v>West Ham - Noble</v>
      </c>
      <c r="B166" t="s">
        <v>1212</v>
      </c>
      <c r="C166" t="str">
        <f ca="1">IFERROR(VLOOKUP(INDEX(OFFSET(_JOUEURS,0,0,,1),MATCH(A166,OFFSET(_JOUEURS,0,1,,1),0)),_MPG,2,FALSE),"")</f>
        <v/>
      </c>
      <c r="D166" s="80" t="s">
        <v>369</v>
      </c>
      <c r="E166" s="69" t="s">
        <v>1202</v>
      </c>
      <c r="F166" s="137">
        <v>6</v>
      </c>
      <c r="G166" s="123"/>
      <c r="H166" s="81"/>
      <c r="I166" s="55">
        <f>AVERAGE(J166,K166,L166,M166,N166,O166)</f>
        <v>5</v>
      </c>
      <c r="J166" s="59">
        <v>5</v>
      </c>
      <c r="K166" s="66">
        <v>7</v>
      </c>
      <c r="L166" s="59">
        <v>4</v>
      </c>
      <c r="M166" s="28">
        <v>5</v>
      </c>
      <c r="N166" s="59">
        <v>5</v>
      </c>
      <c r="O166" s="17">
        <v>4</v>
      </c>
      <c r="P166" s="17"/>
      <c r="Q166" s="17"/>
      <c r="R166" s="17"/>
      <c r="S166" s="17"/>
      <c r="T166" s="17"/>
      <c r="U166" s="17"/>
      <c r="V166" s="59"/>
      <c r="W166" s="59"/>
      <c r="X166" s="17"/>
      <c r="Y166" s="17"/>
      <c r="Z166" s="59"/>
      <c r="AA166" s="17"/>
      <c r="AB166" s="17"/>
      <c r="AC166" s="59"/>
      <c r="AD166" s="59"/>
      <c r="AE166" s="17"/>
      <c r="AF166" s="59"/>
      <c r="AG166" s="59"/>
      <c r="AH166" s="59"/>
      <c r="AI166" s="101"/>
      <c r="AJ166" s="59"/>
      <c r="AK166" s="101"/>
      <c r="AL166" s="59"/>
      <c r="AM166" s="59"/>
      <c r="AN166" s="99"/>
      <c r="AO166" s="17"/>
      <c r="AP166" s="101"/>
      <c r="AQ166" s="101"/>
      <c r="AR166">
        <f>F166 +G166</f>
        <v>6</v>
      </c>
    </row>
    <row r="167" spans="1:44" hidden="1" x14ac:dyDescent="0.25">
      <c r="A167" t="str">
        <f>B167 &amp; " - " &amp;E167</f>
        <v>West Ham - Payet</v>
      </c>
      <c r="B167" t="s">
        <v>1212</v>
      </c>
      <c r="C167" t="str">
        <f ca="1">IFERROR(VLOOKUP(INDEX(OFFSET(_JOUEURS,0,0,,1),MATCH(A167,OFFSET(_JOUEURS,0,1,,1),0)),_MPG,2,FALSE),"")</f>
        <v>74 c'est la champion's league</v>
      </c>
      <c r="D167" s="104" t="s">
        <v>369</v>
      </c>
      <c r="E167" s="29" t="s">
        <v>1203</v>
      </c>
      <c r="F167" s="106">
        <v>3</v>
      </c>
      <c r="G167" s="101">
        <v>1</v>
      </c>
      <c r="H167" s="36"/>
      <c r="I167" s="27">
        <f>AVERAGE(M167,N167,O167)</f>
        <v>6</v>
      </c>
      <c r="J167" s="28" t="s">
        <v>364</v>
      </c>
      <c r="K167" s="17"/>
      <c r="L167" s="59"/>
      <c r="M167" s="66">
        <v>7</v>
      </c>
      <c r="N167" s="97">
        <v>8</v>
      </c>
      <c r="O167" s="114">
        <v>3</v>
      </c>
      <c r="P167" s="17"/>
      <c r="Q167" s="17"/>
      <c r="R167" s="17"/>
      <c r="S167" s="17"/>
      <c r="T167" s="17"/>
      <c r="U167" s="17"/>
      <c r="V167" s="59"/>
      <c r="W167" s="59"/>
      <c r="X167" s="17"/>
      <c r="Y167" s="17"/>
      <c r="Z167" s="59"/>
      <c r="AA167" s="17"/>
      <c r="AB167" s="17"/>
      <c r="AC167" s="17"/>
      <c r="AD167" s="17"/>
      <c r="AE167" s="17"/>
      <c r="AF167" s="17"/>
      <c r="AG167" s="59"/>
      <c r="AH167" s="59"/>
      <c r="AI167" s="101"/>
      <c r="AJ167" s="17"/>
      <c r="AK167" s="101"/>
      <c r="AL167" s="59"/>
      <c r="AM167" s="59"/>
      <c r="AN167" s="101"/>
      <c r="AO167" s="17"/>
      <c r="AP167" s="101"/>
      <c r="AQ167" s="101"/>
      <c r="AR167">
        <f>F167 +G167</f>
        <v>4</v>
      </c>
    </row>
    <row r="168" spans="1:44" x14ac:dyDescent="0.25">
      <c r="A168" t="str">
        <f>B168 &amp; " - " &amp;E168</f>
        <v>West Ham - Töre</v>
      </c>
      <c r="B168" t="s">
        <v>1212</v>
      </c>
      <c r="C168" t="str">
        <f ca="1">IFERROR(VLOOKUP(INDEX(OFFSET(_JOUEURS,0,0,,1),MATCH(A168,OFFSET(_JOUEURS,0,1,,1),0)),_MPG,2,FALSE),"")</f>
        <v/>
      </c>
      <c r="D168" s="104" t="s">
        <v>369</v>
      </c>
      <c r="E168" s="29" t="s">
        <v>1204</v>
      </c>
      <c r="F168" s="106">
        <v>2</v>
      </c>
      <c r="G168" s="101">
        <v>2</v>
      </c>
      <c r="H168" s="36"/>
      <c r="I168" s="27">
        <f>AVERAGE(K168,L168)</f>
        <v>5.5</v>
      </c>
      <c r="J168" s="28" t="s">
        <v>364</v>
      </c>
      <c r="K168" s="66">
        <v>7</v>
      </c>
      <c r="L168" s="59">
        <v>4</v>
      </c>
      <c r="M168" s="28" t="s">
        <v>364</v>
      </c>
      <c r="N168" s="59"/>
      <c r="O168" s="17"/>
      <c r="P168" s="17"/>
      <c r="Q168" s="17"/>
      <c r="R168" s="84"/>
      <c r="S168" s="17"/>
      <c r="T168" s="84"/>
      <c r="U168" s="17"/>
      <c r="V168" s="59"/>
      <c r="W168" s="59"/>
      <c r="X168" s="17"/>
      <c r="Y168" s="59"/>
      <c r="Z168" s="59"/>
      <c r="AA168" s="17"/>
      <c r="AB168" s="17"/>
      <c r="AC168" s="17"/>
      <c r="AD168" s="59"/>
      <c r="AE168" s="17"/>
      <c r="AF168" s="17"/>
      <c r="AG168" s="17"/>
      <c r="AH168" s="17"/>
      <c r="AI168" s="86"/>
      <c r="AJ168" s="17"/>
      <c r="AK168" s="86"/>
      <c r="AL168" s="59"/>
      <c r="AM168" s="17"/>
      <c r="AN168" s="101"/>
      <c r="AO168" s="85"/>
      <c r="AP168" s="101"/>
      <c r="AQ168" s="101"/>
      <c r="AR168">
        <f>F168 +G168</f>
        <v>4</v>
      </c>
    </row>
    <row r="169" spans="1:44" x14ac:dyDescent="0.25">
      <c r="A169" t="str">
        <f>B169 &amp; " - " &amp;E169</f>
        <v>West Ham - Obiang</v>
      </c>
      <c r="B169" t="s">
        <v>1212</v>
      </c>
      <c r="C169" t="str">
        <f ca="1">IFERROR(VLOOKUP(INDEX(OFFSET(_JOUEURS,0,0,,1),MATCH(A169,OFFSET(_JOUEURS,0,1,,1),0)),_MPG,2,FALSE),"")</f>
        <v/>
      </c>
      <c r="D169" s="104" t="s">
        <v>369</v>
      </c>
      <c r="E169" s="29" t="s">
        <v>1205</v>
      </c>
      <c r="F169" s="106"/>
      <c r="G169" s="101">
        <v>1</v>
      </c>
      <c r="H169" s="36"/>
      <c r="I169" s="27"/>
      <c r="J169" s="17"/>
      <c r="K169" s="28" t="s">
        <v>364</v>
      </c>
      <c r="L169" s="59"/>
      <c r="M169" s="17"/>
      <c r="N169" s="59"/>
      <c r="O169" s="17"/>
      <c r="P169" s="17"/>
      <c r="Q169" s="17"/>
      <c r="R169" s="84"/>
      <c r="S169" s="17"/>
      <c r="T169" s="84"/>
      <c r="U169" s="17"/>
      <c r="V169" s="59"/>
      <c r="W169" s="59"/>
      <c r="X169" s="17"/>
      <c r="Y169" s="59"/>
      <c r="Z169" s="59"/>
      <c r="AA169" s="59"/>
      <c r="AB169" s="59"/>
      <c r="AC169" s="17"/>
      <c r="AD169" s="59"/>
      <c r="AE169" s="17"/>
      <c r="AF169" s="17"/>
      <c r="AG169" s="17"/>
      <c r="AH169" s="59"/>
      <c r="AI169" s="99"/>
      <c r="AJ169" s="17"/>
      <c r="AK169" s="101"/>
      <c r="AL169" s="17"/>
      <c r="AM169" s="17"/>
      <c r="AN169" s="101"/>
      <c r="AO169" s="17"/>
      <c r="AP169" s="101"/>
      <c r="AQ169" s="99"/>
    </row>
    <row r="170" spans="1:44" x14ac:dyDescent="0.25">
      <c r="A170" t="str">
        <f>B170 &amp; " - " &amp;E170</f>
        <v>West Ham - Fernandes</v>
      </c>
      <c r="B170" t="s">
        <v>1212</v>
      </c>
      <c r="C170" t="str">
        <f ca="1">IFERROR(VLOOKUP(INDEX(OFFSET(_JOUEURS,0,0,,1),MATCH(A170,OFFSET(_JOUEURS,0,1,,1),0)),_MPG,2,FALSE),"")</f>
        <v/>
      </c>
      <c r="D170" s="104" t="s">
        <v>369</v>
      </c>
      <c r="E170" s="29" t="s">
        <v>911</v>
      </c>
      <c r="F170" s="106"/>
      <c r="G170" s="101">
        <v>1</v>
      </c>
      <c r="H170" s="36"/>
      <c r="I170" s="27"/>
      <c r="J170" s="17"/>
      <c r="K170" s="17"/>
      <c r="L170" s="59"/>
      <c r="M170" s="17"/>
      <c r="N170" s="59"/>
      <c r="O170" s="28" t="s">
        <v>364</v>
      </c>
      <c r="P170" s="17"/>
      <c r="Q170" s="17"/>
      <c r="R170" s="17"/>
      <c r="S170" s="17"/>
      <c r="T170" s="17"/>
      <c r="U170" s="17"/>
      <c r="V170" s="59"/>
      <c r="W170" s="59"/>
      <c r="X170" s="17"/>
      <c r="Y170" s="59"/>
      <c r="Z170" s="59"/>
      <c r="AA170" s="17"/>
      <c r="AB170" s="17"/>
      <c r="AC170" s="17"/>
      <c r="AD170" s="17"/>
      <c r="AE170" s="17"/>
      <c r="AF170" s="17"/>
      <c r="AG170" s="17"/>
      <c r="AH170" s="17"/>
      <c r="AI170" s="101"/>
      <c r="AJ170" s="17"/>
      <c r="AK170" s="101"/>
      <c r="AL170" s="17"/>
      <c r="AM170" s="17"/>
      <c r="AN170" s="101"/>
      <c r="AO170" s="17"/>
      <c r="AP170" s="101"/>
      <c r="AQ170" s="101"/>
      <c r="AR170">
        <f>F170 +G170</f>
        <v>1</v>
      </c>
    </row>
    <row r="171" spans="1:44" x14ac:dyDescent="0.25">
      <c r="A171" t="str">
        <f>B171 &amp; " - " &amp;E171</f>
        <v>West Ham - Feghouli</v>
      </c>
      <c r="B171" t="s">
        <v>1212</v>
      </c>
      <c r="C171" t="str">
        <f ca="1">IFERROR(VLOOKUP(INDEX(OFFSET(_JOUEURS,0,0,,1),MATCH(A171,OFFSET(_JOUEURS,0,1,,1),0)),_MPG,2,FALSE),"")</f>
        <v/>
      </c>
      <c r="D171" s="104" t="s">
        <v>369</v>
      </c>
      <c r="E171" s="29" t="s">
        <v>1206</v>
      </c>
      <c r="F171" s="106"/>
      <c r="G171" s="101">
        <v>2</v>
      </c>
      <c r="H171" s="36"/>
      <c r="I171" s="27"/>
      <c r="J171" s="109"/>
      <c r="K171" s="17"/>
      <c r="L171" s="28"/>
      <c r="M171" s="17"/>
      <c r="N171" s="28" t="s">
        <v>364</v>
      </c>
      <c r="O171" s="28" t="s">
        <v>364</v>
      </c>
      <c r="P171" s="17"/>
      <c r="Q171" s="17"/>
      <c r="R171" s="17"/>
      <c r="S171" s="17"/>
      <c r="T171" s="17"/>
      <c r="U171" s="17"/>
      <c r="V171" s="59"/>
      <c r="W171" s="59"/>
      <c r="X171" s="17"/>
      <c r="Y171" s="59"/>
      <c r="Z171" s="59"/>
      <c r="AA171" s="17"/>
      <c r="AB171" s="17"/>
      <c r="AC171" s="17"/>
      <c r="AD171" s="17"/>
      <c r="AE171" s="17"/>
      <c r="AF171" s="17"/>
      <c r="AG171" s="59"/>
      <c r="AH171" s="17"/>
      <c r="AI171" s="101"/>
      <c r="AJ171" s="17"/>
      <c r="AK171" s="59"/>
      <c r="AL171" s="59"/>
      <c r="AM171" s="17"/>
      <c r="AN171" s="17"/>
      <c r="AO171" s="17"/>
      <c r="AP171" s="17"/>
      <c r="AQ171" s="17"/>
      <c r="AR171">
        <f>F171 +G171</f>
        <v>2</v>
      </c>
    </row>
    <row r="172" spans="1:44" x14ac:dyDescent="0.25">
      <c r="A172" t="str">
        <f>B172 &amp; " - " &amp;E172</f>
        <v>Hull - Huddlestone</v>
      </c>
      <c r="B172" t="s">
        <v>1237</v>
      </c>
      <c r="C172" t="str">
        <f ca="1">IFERROR(VLOOKUP(INDEX(OFFSET(_JOUEURS,0,0,,1),MATCH(A172,OFFSET(_JOUEURS,0,1,,1),0)),_MPG,2,FALSE),"")</f>
        <v/>
      </c>
      <c r="D172" s="104" t="s">
        <v>369</v>
      </c>
      <c r="E172" s="29" t="s">
        <v>1222</v>
      </c>
      <c r="F172" s="106">
        <v>6</v>
      </c>
      <c r="G172" s="101"/>
      <c r="H172" s="36"/>
      <c r="I172" s="27">
        <f>AVERAGE(J172,K172,L172,M172,N172,O172)</f>
        <v>4.833333333333333</v>
      </c>
      <c r="J172" s="70">
        <v>4</v>
      </c>
      <c r="K172" s="97">
        <v>7</v>
      </c>
      <c r="L172" s="59">
        <v>5</v>
      </c>
      <c r="M172" s="59">
        <v>4</v>
      </c>
      <c r="N172" s="17">
        <v>5</v>
      </c>
      <c r="O172" s="17">
        <v>4</v>
      </c>
      <c r="P172" s="17"/>
      <c r="Q172" s="59"/>
      <c r="R172" s="59"/>
      <c r="S172" s="59"/>
      <c r="T172" s="59"/>
      <c r="U172" s="17"/>
      <c r="V172" s="59"/>
      <c r="W172" s="17"/>
      <c r="X172" s="17"/>
      <c r="Y172" s="59"/>
      <c r="Z172" s="85"/>
      <c r="AA172" s="59"/>
      <c r="AB172" s="17"/>
      <c r="AC172" s="17"/>
      <c r="AD172" s="17"/>
      <c r="AE172" s="17"/>
      <c r="AF172" s="59"/>
      <c r="AG172" s="17"/>
      <c r="AH172" s="17"/>
      <c r="AI172" s="101"/>
      <c r="AJ172" s="17"/>
      <c r="AK172" s="17"/>
      <c r="AL172" s="59"/>
      <c r="AM172" s="17"/>
      <c r="AN172" s="17"/>
      <c r="AO172" s="17"/>
      <c r="AP172" s="17"/>
      <c r="AQ172" s="17"/>
      <c r="AR172">
        <f>F172 +G172</f>
        <v>6</v>
      </c>
    </row>
    <row r="173" spans="1:44" x14ac:dyDescent="0.25">
      <c r="A173" t="str">
        <f>B173 &amp; " - " &amp;E173</f>
        <v>Hull - Clucas</v>
      </c>
      <c r="B173" t="s">
        <v>1237</v>
      </c>
      <c r="C173" t="str">
        <f ca="1">IFERROR(VLOOKUP(INDEX(OFFSET(_JOUEURS,0,0,,1),MATCH(A173,OFFSET(_JOUEURS,0,1,,1),0)),_MPG,2,FALSE),"")</f>
        <v/>
      </c>
      <c r="D173" s="104" t="s">
        <v>369</v>
      </c>
      <c r="E173" s="29" t="s">
        <v>1223</v>
      </c>
      <c r="F173" s="106">
        <v>6</v>
      </c>
      <c r="G173" s="101"/>
      <c r="H173" s="36"/>
      <c r="I173" s="27">
        <f>AVERAGE(J173,K173,L173,M173,N173,O173)</f>
        <v>5</v>
      </c>
      <c r="J173" s="300">
        <v>6</v>
      </c>
      <c r="K173" s="59">
        <v>6</v>
      </c>
      <c r="L173" s="59">
        <v>5</v>
      </c>
      <c r="M173" s="59">
        <v>6</v>
      </c>
      <c r="N173" s="59">
        <v>4</v>
      </c>
      <c r="O173" s="114">
        <v>3</v>
      </c>
      <c r="P173" s="85"/>
      <c r="Q173" s="84"/>
      <c r="R173" s="85"/>
      <c r="S173" s="84"/>
      <c r="T173" s="85"/>
      <c r="U173" s="85"/>
      <c r="V173" s="85"/>
      <c r="W173" s="85"/>
      <c r="X173" s="85"/>
      <c r="Y173" s="84"/>
      <c r="Z173" s="85"/>
      <c r="AA173" s="85"/>
      <c r="AB173" s="85"/>
      <c r="AC173" s="85"/>
      <c r="AD173" s="85"/>
      <c r="AE173" s="84"/>
      <c r="AF173" s="85"/>
      <c r="AG173" s="84"/>
      <c r="AH173" s="85"/>
      <c r="AI173" s="125"/>
      <c r="AJ173" s="84"/>
      <c r="AK173" s="85"/>
      <c r="AL173" s="84"/>
      <c r="AM173" s="85"/>
      <c r="AN173" s="85"/>
      <c r="AO173" s="85"/>
      <c r="AP173" s="85"/>
      <c r="AQ173" s="85"/>
      <c r="AR173">
        <f>F173 +G173</f>
        <v>6</v>
      </c>
    </row>
    <row r="174" spans="1:44" x14ac:dyDescent="0.25">
      <c r="A174" t="str">
        <f>B174 &amp; " - " &amp;E174</f>
        <v>Hull - Mason</v>
      </c>
      <c r="B174" t="s">
        <v>1237</v>
      </c>
      <c r="C174" t="str">
        <f ca="1">IFERROR(VLOOKUP(INDEX(OFFSET(_JOUEURS,0,0,,1),MATCH(A174,OFFSET(_JOUEURS,0,1,,1),0)),_MPG,2,FALSE),"")</f>
        <v/>
      </c>
      <c r="D174" s="80" t="s">
        <v>369</v>
      </c>
      <c r="E174" s="69" t="s">
        <v>1225</v>
      </c>
      <c r="F174" s="137">
        <v>1</v>
      </c>
      <c r="G174" s="123">
        <v>2</v>
      </c>
      <c r="H174" s="81"/>
      <c r="I174" s="55">
        <f>AVERAGE(O174)</f>
        <v>3</v>
      </c>
      <c r="J174" s="83"/>
      <c r="K174" s="99"/>
      <c r="L174" s="28"/>
      <c r="M174" s="28" t="s">
        <v>364</v>
      </c>
      <c r="N174" s="59" t="s">
        <v>364</v>
      </c>
      <c r="O174" s="145">
        <v>3</v>
      </c>
      <c r="P174" s="59"/>
      <c r="Q174" s="59"/>
      <c r="R174" s="17"/>
      <c r="S174" s="59"/>
      <c r="T174" s="59"/>
      <c r="U174" s="17"/>
      <c r="V174" s="17"/>
      <c r="W174" s="17"/>
      <c r="X174" s="17"/>
      <c r="Y174" s="59"/>
      <c r="Z174" s="17"/>
      <c r="AA174" s="17"/>
      <c r="AB174" s="17"/>
      <c r="AC174" s="17"/>
      <c r="AD174" s="59"/>
      <c r="AE174" s="99"/>
      <c r="AF174" s="59"/>
      <c r="AG174" s="99"/>
      <c r="AH174" s="84"/>
      <c r="AI174" s="101"/>
      <c r="AJ174" s="101"/>
      <c r="AK174" s="17"/>
      <c r="AL174" s="59"/>
      <c r="AM174" s="17"/>
      <c r="AN174" s="59"/>
      <c r="AO174" s="99"/>
      <c r="AP174" s="17"/>
      <c r="AQ174" s="59"/>
      <c r="AR174">
        <f>F174 +G174</f>
        <v>3</v>
      </c>
    </row>
    <row r="175" spans="1:44" x14ac:dyDescent="0.25">
      <c r="A175" t="str">
        <f>B175 &amp; " - " &amp;E175</f>
        <v>Hull - Olley</v>
      </c>
      <c r="B175" t="s">
        <v>1237</v>
      </c>
      <c r="C175" t="str">
        <f ca="1">IFERROR(VLOOKUP(INDEX(OFFSET(_JOUEURS,0,0,,1),MATCH(A175,OFFSET(_JOUEURS,0,1,,1),0)),_MPG,2,FALSE),"")</f>
        <v/>
      </c>
      <c r="D175" s="104" t="s">
        <v>369</v>
      </c>
      <c r="E175" s="29" t="s">
        <v>1226</v>
      </c>
      <c r="F175" s="106"/>
      <c r="G175" s="101"/>
      <c r="H175" s="36"/>
      <c r="I175" s="27"/>
      <c r="J175" s="84"/>
      <c r="K175" s="28"/>
      <c r="L175" s="59"/>
      <c r="M175" s="59"/>
      <c r="N175" s="59"/>
      <c r="O175" s="59"/>
      <c r="P175" s="59"/>
      <c r="Q175" s="59"/>
      <c r="R175" s="17"/>
      <c r="S175" s="59"/>
      <c r="T175" s="59"/>
      <c r="U175" s="17"/>
      <c r="V175" s="17"/>
      <c r="W175" s="17"/>
      <c r="X175" s="17"/>
      <c r="Y175" s="59"/>
      <c r="Z175" s="17"/>
      <c r="AA175" s="17"/>
      <c r="AB175" s="17"/>
      <c r="AC175" s="17"/>
      <c r="AD175" s="59"/>
      <c r="AE175" s="59"/>
      <c r="AF175" s="59"/>
      <c r="AG175" s="17"/>
      <c r="AH175" s="59"/>
      <c r="AI175" s="99"/>
      <c r="AJ175" s="17"/>
      <c r="AK175" s="101"/>
      <c r="AL175" s="59"/>
      <c r="AM175" s="17"/>
      <c r="AN175" s="101"/>
      <c r="AO175" s="17"/>
      <c r="AP175" s="101"/>
      <c r="AQ175" s="101"/>
      <c r="AR175">
        <f>F175 +G175</f>
        <v>0</v>
      </c>
    </row>
    <row r="176" spans="1:44" x14ac:dyDescent="0.25">
      <c r="A176" t="str">
        <f>B176 &amp; " - " &amp;E176</f>
        <v>Hull - Weir</v>
      </c>
      <c r="B176" t="s">
        <v>1237</v>
      </c>
      <c r="C176" t="str">
        <f ca="1">IFERROR(VLOOKUP(INDEX(OFFSET(_JOUEURS,0,0,,1),MATCH(A176,OFFSET(_JOUEURS,0,1,,1),0)),_MPG,2,FALSE),"")</f>
        <v/>
      </c>
      <c r="D176" s="104" t="s">
        <v>369</v>
      </c>
      <c r="E176" s="29" t="s">
        <v>1227</v>
      </c>
      <c r="F176" s="106"/>
      <c r="G176" s="101"/>
      <c r="H176" s="36"/>
      <c r="I176" s="27"/>
      <c r="J176" s="59"/>
      <c r="K176" s="59"/>
      <c r="L176" s="59"/>
      <c r="M176" s="59"/>
      <c r="N176" s="17"/>
      <c r="O176" s="59"/>
      <c r="P176" s="17"/>
      <c r="Q176" s="59"/>
      <c r="R176" s="17"/>
      <c r="S176" s="59"/>
      <c r="T176" s="59"/>
      <c r="U176" s="17"/>
      <c r="V176" s="17"/>
      <c r="W176" s="17"/>
      <c r="X176" s="59"/>
      <c r="Y176" s="59"/>
      <c r="Z176" s="17"/>
      <c r="AA176" s="59"/>
      <c r="AB176" s="17"/>
      <c r="AC176" s="59"/>
      <c r="AD176" s="59"/>
      <c r="AE176" s="17"/>
      <c r="AF176" s="17"/>
      <c r="AG176" s="17"/>
      <c r="AH176" s="17"/>
      <c r="AI176" s="101"/>
      <c r="AJ176" s="17"/>
      <c r="AK176" s="101"/>
      <c r="AL176" s="59"/>
      <c r="AM176" s="17"/>
      <c r="AN176" s="101"/>
      <c r="AO176" s="17"/>
      <c r="AP176" s="101"/>
      <c r="AQ176" s="101"/>
      <c r="AR176">
        <f>F176 +G176</f>
        <v>0</v>
      </c>
    </row>
    <row r="177" spans="1:44" x14ac:dyDescent="0.25">
      <c r="A177" t="str">
        <f>B177 &amp; " - " &amp;E177</f>
        <v>Hull - Clackstone</v>
      </c>
      <c r="B177" t="s">
        <v>1237</v>
      </c>
      <c r="C177" t="str">
        <f ca="1">IFERROR(VLOOKUP(INDEX(OFFSET(_JOUEURS,0,0,,1),MATCH(A177,OFFSET(_JOUEURS,0,1,,1),0)),_MPG,2,FALSE),"")</f>
        <v/>
      </c>
      <c r="D177" s="104" t="s">
        <v>369</v>
      </c>
      <c r="E177" s="29" t="s">
        <v>1228</v>
      </c>
      <c r="F177" s="106"/>
      <c r="G177" s="101"/>
      <c r="H177" s="36"/>
      <c r="I177" s="27"/>
      <c r="J177" s="59"/>
      <c r="K177" s="59"/>
      <c r="L177" s="59"/>
      <c r="M177" s="59"/>
      <c r="N177" s="17"/>
      <c r="O177" s="59"/>
      <c r="P177" s="17"/>
      <c r="Q177" s="59"/>
      <c r="R177" s="17"/>
      <c r="S177" s="59"/>
      <c r="T177" s="59"/>
      <c r="U177" s="17"/>
      <c r="V177" s="17"/>
      <c r="W177" s="17"/>
      <c r="X177" s="59"/>
      <c r="Y177" s="59"/>
      <c r="Z177" s="17"/>
      <c r="AA177" s="59"/>
      <c r="AB177" s="17"/>
      <c r="AC177" s="59"/>
      <c r="AD177" s="59"/>
      <c r="AE177" s="17"/>
      <c r="AF177" s="17"/>
      <c r="AG177" s="17"/>
      <c r="AH177" s="17"/>
      <c r="AI177" s="101"/>
      <c r="AJ177" s="17"/>
      <c r="AK177" s="101"/>
      <c r="AL177" s="59"/>
      <c r="AM177" s="17"/>
      <c r="AN177" s="101"/>
      <c r="AO177" s="17"/>
      <c r="AP177" s="101"/>
      <c r="AQ177" s="101"/>
      <c r="AR177">
        <f>F177 +G177</f>
        <v>0</v>
      </c>
    </row>
    <row r="178" spans="1:44" x14ac:dyDescent="0.25">
      <c r="A178" t="str">
        <f>B178 &amp; " - " &amp;E178</f>
        <v>Hull - Henriksen</v>
      </c>
      <c r="B178" t="s">
        <v>1237</v>
      </c>
      <c r="C178" t="str">
        <f ca="1">IFERROR(VLOOKUP(INDEX(OFFSET(_JOUEURS,0,0,,1),MATCH(A178,OFFSET(_JOUEURS,0,1,,1),0)),_MPG,2,FALSE),"")</f>
        <v/>
      </c>
      <c r="D178" s="104" t="s">
        <v>369</v>
      </c>
      <c r="E178" s="29" t="s">
        <v>1229</v>
      </c>
      <c r="F178" s="106"/>
      <c r="G178" s="101">
        <v>1</v>
      </c>
      <c r="H178" s="36"/>
      <c r="I178" s="27"/>
      <c r="J178" s="59"/>
      <c r="K178" s="59"/>
      <c r="L178" s="59"/>
      <c r="M178" s="59"/>
      <c r="N178" s="17"/>
      <c r="O178" s="28" t="s">
        <v>364</v>
      </c>
      <c r="P178" s="17"/>
      <c r="Q178" s="59"/>
      <c r="R178" s="17"/>
      <c r="S178" s="59"/>
      <c r="T178" s="59"/>
      <c r="U178" s="17"/>
      <c r="V178" s="17"/>
      <c r="W178" s="17"/>
      <c r="X178" s="59"/>
      <c r="Y178" s="59"/>
      <c r="Z178" s="17"/>
      <c r="AA178" s="59"/>
      <c r="AB178" s="17"/>
      <c r="AC178" s="59"/>
      <c r="AD178" s="59"/>
      <c r="AE178" s="17"/>
      <c r="AF178" s="17"/>
      <c r="AG178" s="17"/>
      <c r="AH178" s="17"/>
      <c r="AI178" s="101"/>
      <c r="AJ178" s="17"/>
      <c r="AK178" s="101"/>
      <c r="AL178" s="59"/>
      <c r="AM178" s="17"/>
      <c r="AN178" s="101"/>
      <c r="AO178" s="17"/>
      <c r="AP178" s="101"/>
      <c r="AQ178" s="101"/>
      <c r="AR178">
        <f>F178 +G178</f>
        <v>1</v>
      </c>
    </row>
    <row r="179" spans="1:44" x14ac:dyDescent="0.25">
      <c r="A179" t="str">
        <f>B179 &amp; " - " &amp;E179</f>
        <v>Hull - Odubajo</v>
      </c>
      <c r="B179" t="s">
        <v>1237</v>
      </c>
      <c r="C179" t="str">
        <f ca="1">IFERROR(VLOOKUP(INDEX(OFFSET(_JOUEURS,0,0,,1),MATCH(A179,OFFSET(_JOUEURS,0,1,,1),0)),_MPG,2,FALSE),"")</f>
        <v/>
      </c>
      <c r="D179" s="104" t="s">
        <v>369</v>
      </c>
      <c r="E179" s="29" t="s">
        <v>1230</v>
      </c>
      <c r="F179" s="106"/>
      <c r="G179" s="101"/>
      <c r="H179" s="36"/>
      <c r="I179" s="27"/>
      <c r="J179" s="124"/>
      <c r="K179" s="59"/>
      <c r="L179" s="59"/>
      <c r="M179" s="28"/>
      <c r="N179" s="17"/>
      <c r="O179" s="59"/>
      <c r="P179" s="17"/>
      <c r="Q179" s="59"/>
      <c r="R179" s="17"/>
      <c r="S179" s="59"/>
      <c r="T179" s="59"/>
      <c r="U179" s="17"/>
      <c r="V179" s="17"/>
      <c r="W179" s="17"/>
      <c r="X179" s="59"/>
      <c r="Y179" s="59"/>
      <c r="Z179" s="17"/>
      <c r="AA179" s="59"/>
      <c r="AB179" s="17"/>
      <c r="AC179" s="59"/>
      <c r="AD179" s="59"/>
      <c r="AE179" s="17"/>
      <c r="AF179" s="17"/>
      <c r="AG179" s="17"/>
      <c r="AH179" s="17"/>
      <c r="AI179" s="101"/>
      <c r="AJ179" s="17"/>
      <c r="AK179" s="17"/>
      <c r="AL179" s="59"/>
      <c r="AM179" s="17"/>
      <c r="AN179" s="17"/>
      <c r="AO179" s="17"/>
      <c r="AP179" s="17"/>
      <c r="AQ179" s="17"/>
      <c r="AR179">
        <f>F179 +G179</f>
        <v>0</v>
      </c>
    </row>
    <row r="180" spans="1:44" x14ac:dyDescent="0.25">
      <c r="A180" t="str">
        <f>B180 &amp; " - " &amp;E180</f>
        <v>Leicester - King</v>
      </c>
      <c r="B180" t="s">
        <v>1258</v>
      </c>
      <c r="C180" t="str">
        <f ca="1">IFERROR(VLOOKUP(INDEX(OFFSET(_JOUEURS,0,0,,1),MATCH(A180,OFFSET(_JOUEURS,0,1,,1),0)),_MPG,2,FALSE),"")</f>
        <v/>
      </c>
      <c r="D180" s="23" t="s">
        <v>369</v>
      </c>
      <c r="E180" s="29" t="s">
        <v>1246</v>
      </c>
      <c r="F180" s="194">
        <v>1</v>
      </c>
      <c r="G180" s="21">
        <v>3</v>
      </c>
      <c r="H180" s="163"/>
      <c r="I180" s="27">
        <f>AVERAGE(J180)</f>
        <v>5</v>
      </c>
      <c r="J180" s="70">
        <v>5</v>
      </c>
      <c r="K180" s="28" t="s">
        <v>364</v>
      </c>
      <c r="L180" s="28"/>
      <c r="M180" s="28"/>
      <c r="N180" s="59" t="s">
        <v>364</v>
      </c>
      <c r="O180" s="28" t="s">
        <v>364</v>
      </c>
      <c r="P180" s="28"/>
      <c r="Q180" s="28"/>
      <c r="R180" s="28"/>
      <c r="S180" s="18"/>
      <c r="T180" s="18"/>
      <c r="U180" s="28"/>
      <c r="V180" s="18"/>
      <c r="W180" s="18"/>
      <c r="X180" s="18"/>
      <c r="Y180" s="18"/>
      <c r="Z180" s="18"/>
      <c r="AA180" s="18"/>
      <c r="AB180" s="18"/>
      <c r="AC180" s="18"/>
      <c r="AD180" s="18"/>
      <c r="AE180" s="28"/>
      <c r="AF180" s="18"/>
      <c r="AG180" s="18"/>
      <c r="AH180" s="28"/>
      <c r="AI180" s="21"/>
      <c r="AJ180" s="18"/>
      <c r="AK180" s="18"/>
      <c r="AL180" s="28"/>
      <c r="AM180" s="18"/>
      <c r="AN180" s="18"/>
      <c r="AO180" s="18"/>
      <c r="AP180" s="28"/>
      <c r="AQ180" s="18"/>
      <c r="AR180">
        <f>F180 +G180</f>
        <v>4</v>
      </c>
    </row>
    <row r="181" spans="1:44" x14ac:dyDescent="0.25">
      <c r="A181" t="str">
        <f>B181 &amp; " - " &amp;E181</f>
        <v>Leicester - Drinkwater</v>
      </c>
      <c r="B181" t="s">
        <v>1258</v>
      </c>
      <c r="C181" t="str">
        <f ca="1">IFERROR(VLOOKUP(INDEX(OFFSET(_JOUEURS,0,0,,1),MATCH(A181,OFFSET(_JOUEURS,0,1,,1),0)),_MPG,2,FALSE),"")</f>
        <v/>
      </c>
      <c r="D181" s="104" t="s">
        <v>369</v>
      </c>
      <c r="E181" s="109" t="s">
        <v>1247</v>
      </c>
      <c r="F181" s="106">
        <v>6</v>
      </c>
      <c r="G181" s="86"/>
      <c r="H181" s="201"/>
      <c r="I181" s="27">
        <f>AVERAGE(J181,K181,L181,M181,N181,O181)</f>
        <v>5.166666666666667</v>
      </c>
      <c r="J181" s="124">
        <v>5</v>
      </c>
      <c r="K181" s="59">
        <v>6</v>
      </c>
      <c r="L181" s="97">
        <v>7</v>
      </c>
      <c r="M181" s="59">
        <v>4</v>
      </c>
      <c r="N181" s="17">
        <v>5</v>
      </c>
      <c r="O181" s="17">
        <v>4</v>
      </c>
      <c r="P181" s="85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4"/>
      <c r="AB181" s="85"/>
      <c r="AC181" s="84"/>
      <c r="AD181" s="85"/>
      <c r="AE181" s="85"/>
      <c r="AF181" s="85"/>
      <c r="AG181" s="84"/>
      <c r="AH181" s="85"/>
      <c r="AI181" s="86"/>
      <c r="AJ181" s="85"/>
      <c r="AK181" s="85"/>
      <c r="AL181" s="84"/>
      <c r="AM181" s="85"/>
      <c r="AN181" s="85"/>
      <c r="AO181" s="84"/>
      <c r="AP181" s="85"/>
      <c r="AQ181" s="85"/>
      <c r="AR181">
        <f>F181 +G181</f>
        <v>6</v>
      </c>
    </row>
    <row r="182" spans="1:44" x14ac:dyDescent="0.25">
      <c r="A182" t="str">
        <f>B182 &amp; " - " &amp;E182</f>
        <v>Leicester - Amartey</v>
      </c>
      <c r="B182" t="s">
        <v>1258</v>
      </c>
      <c r="C182" t="str">
        <f ca="1">IFERROR(VLOOKUP(INDEX(OFFSET(_JOUEURS,0,0,,1),MATCH(A182,OFFSET(_JOUEURS,0,1,,1),0)),_MPG,2,FALSE),"")</f>
        <v/>
      </c>
      <c r="D182" s="52" t="s">
        <v>369</v>
      </c>
      <c r="E182" s="111" t="s">
        <v>1248</v>
      </c>
      <c r="F182" s="195">
        <v>4</v>
      </c>
      <c r="G182" s="196">
        <v>1</v>
      </c>
      <c r="H182" s="197"/>
      <c r="I182" s="55">
        <f>AVERAGE(L182,M182,N182,O182)</f>
        <v>4.5</v>
      </c>
      <c r="J182" s="70" t="s">
        <v>364</v>
      </c>
      <c r="K182" s="28"/>
      <c r="L182" s="28">
        <v>5</v>
      </c>
      <c r="M182" s="121">
        <v>3</v>
      </c>
      <c r="N182" s="18">
        <v>6</v>
      </c>
      <c r="O182" s="18">
        <v>4</v>
      </c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  <c r="AG182" s="18"/>
      <c r="AH182" s="18"/>
      <c r="AI182" s="21"/>
      <c r="AJ182" s="18"/>
      <c r="AK182" s="18"/>
      <c r="AL182" s="18"/>
      <c r="AM182" s="28"/>
      <c r="AN182" s="18"/>
      <c r="AO182" s="18"/>
      <c r="AP182" s="18"/>
      <c r="AQ182" s="18"/>
      <c r="AR182">
        <f>F182 +G182</f>
        <v>5</v>
      </c>
    </row>
    <row r="183" spans="1:44" x14ac:dyDescent="0.25">
      <c r="A183" t="str">
        <f>B183 &amp; " - " &amp;E183</f>
        <v>Leicester - Mendy</v>
      </c>
      <c r="B183" t="s">
        <v>1258</v>
      </c>
      <c r="C183" t="str">
        <f ca="1">IFERROR(VLOOKUP(INDEX(OFFSET(_JOUEURS,0,0,,1),MATCH(A183,OFFSET(_JOUEURS,0,1,,1),0)),_MPG,2,FALSE),"")</f>
        <v/>
      </c>
      <c r="D183" s="23" t="s">
        <v>369</v>
      </c>
      <c r="E183" s="109" t="s">
        <v>317</v>
      </c>
      <c r="F183" s="194">
        <v>1</v>
      </c>
      <c r="G183" s="21"/>
      <c r="H183" s="163"/>
      <c r="I183" s="27">
        <f>AVERAGE(K183)</f>
        <v>5</v>
      </c>
      <c r="J183" s="60"/>
      <c r="K183" s="28">
        <v>5</v>
      </c>
      <c r="L183" s="28"/>
      <c r="M183" s="28"/>
      <c r="N183" s="18"/>
      <c r="O183" s="18"/>
      <c r="P183" s="18"/>
      <c r="Q183" s="18"/>
      <c r="R183" s="18"/>
      <c r="S183" s="18"/>
      <c r="T183" s="16"/>
      <c r="U183" s="18"/>
      <c r="V183" s="18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  <c r="AG183" s="18"/>
      <c r="AH183" s="18"/>
      <c r="AI183" s="21"/>
      <c r="AJ183" s="18"/>
      <c r="AK183" s="21"/>
      <c r="AL183" s="18"/>
      <c r="AM183" s="28"/>
      <c r="AN183" s="21"/>
      <c r="AO183" s="18"/>
      <c r="AP183" s="21"/>
      <c r="AQ183" s="21"/>
      <c r="AR183">
        <f>F183 +G183</f>
        <v>1</v>
      </c>
    </row>
    <row r="184" spans="1:44" x14ac:dyDescent="0.25">
      <c r="A184" t="str">
        <f>B184 &amp; " - " &amp;E184</f>
        <v>Leicester - Albrighton</v>
      </c>
      <c r="B184" t="s">
        <v>1258</v>
      </c>
      <c r="C184" t="str">
        <f ca="1">IFERROR(VLOOKUP(INDEX(OFFSET(_JOUEURS,0,0,,1),MATCH(A184,OFFSET(_JOUEURS,0,1,,1),0)),_MPG,2,FALSE),"")</f>
        <v/>
      </c>
      <c r="D184" s="23" t="s">
        <v>369</v>
      </c>
      <c r="E184" s="109" t="s">
        <v>1249</v>
      </c>
      <c r="F184" s="194">
        <v>5</v>
      </c>
      <c r="G184" s="21"/>
      <c r="H184" s="163"/>
      <c r="I184" s="27">
        <f>AVERAGE(K184,L184,M184,N184,O184)</f>
        <v>4.8</v>
      </c>
      <c r="J184" s="28"/>
      <c r="K184" s="28">
        <v>4</v>
      </c>
      <c r="L184" s="28">
        <v>6</v>
      </c>
      <c r="M184" s="28">
        <v>4</v>
      </c>
      <c r="N184" s="18">
        <v>6</v>
      </c>
      <c r="O184" s="18">
        <v>4</v>
      </c>
      <c r="P184" s="18"/>
      <c r="Q184" s="18"/>
      <c r="R184" s="18"/>
      <c r="S184" s="18"/>
      <c r="T184" s="16"/>
      <c r="U184" s="18"/>
      <c r="V184" s="18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  <c r="AG184" s="18"/>
      <c r="AH184" s="18"/>
      <c r="AI184" s="21"/>
      <c r="AJ184" s="18"/>
      <c r="AK184" s="21"/>
      <c r="AL184" s="18"/>
      <c r="AM184" s="28"/>
      <c r="AN184" s="21"/>
      <c r="AO184" s="18"/>
      <c r="AP184" s="21"/>
      <c r="AQ184" s="21"/>
      <c r="AR184">
        <f>F184 +G184</f>
        <v>5</v>
      </c>
    </row>
    <row r="185" spans="1:44" x14ac:dyDescent="0.25">
      <c r="A185" t="str">
        <f>B185 &amp; " - " &amp;E185</f>
        <v>Leicester - James</v>
      </c>
      <c r="B185" t="s">
        <v>1258</v>
      </c>
      <c r="C185" t="str">
        <f ca="1">IFERROR(VLOOKUP(INDEX(OFFSET(_JOUEURS,0,0,,1),MATCH(A185,OFFSET(_JOUEURS,0,1,,1),0)),_MPG,2,FALSE),"")</f>
        <v/>
      </c>
      <c r="D185" s="23" t="s">
        <v>369</v>
      </c>
      <c r="E185" s="109" t="s">
        <v>1250</v>
      </c>
      <c r="F185" s="194"/>
      <c r="G185" s="21"/>
      <c r="H185" s="163"/>
      <c r="I185" s="27"/>
      <c r="J185" s="28"/>
      <c r="K185" s="28"/>
      <c r="L185" s="28"/>
      <c r="M185" s="28"/>
      <c r="N185" s="18"/>
      <c r="O185" s="18"/>
      <c r="P185" s="18"/>
      <c r="Q185" s="18"/>
      <c r="R185" s="18"/>
      <c r="S185" s="18"/>
      <c r="T185" s="16"/>
      <c r="U185" s="18"/>
      <c r="V185" s="18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  <c r="AG185" s="18"/>
      <c r="AH185" s="18"/>
      <c r="AI185" s="21"/>
      <c r="AJ185" s="18"/>
      <c r="AK185" s="21"/>
      <c r="AL185" s="18"/>
      <c r="AM185" s="28"/>
      <c r="AN185" s="21"/>
      <c r="AO185" s="18"/>
      <c r="AP185" s="21"/>
      <c r="AQ185" s="21"/>
      <c r="AR185">
        <f>F185 +G185</f>
        <v>0</v>
      </c>
    </row>
    <row r="186" spans="1:44" x14ac:dyDescent="0.25">
      <c r="A186" t="str">
        <f>B186 &amp; " - " &amp;E186</f>
        <v>Leicester - Schlupp</v>
      </c>
      <c r="B186" t="s">
        <v>1258</v>
      </c>
      <c r="C186" t="str">
        <f ca="1">IFERROR(VLOOKUP(INDEX(OFFSET(_JOUEURS,0,0,,1),MATCH(A186,OFFSET(_JOUEURS,0,1,,1),0)),_MPG,2,FALSE),"")</f>
        <v/>
      </c>
      <c r="D186" s="23" t="s">
        <v>369</v>
      </c>
      <c r="E186" s="109" t="s">
        <v>1251</v>
      </c>
      <c r="F186" s="194"/>
      <c r="G186" s="21">
        <v>1</v>
      </c>
      <c r="H186" s="163"/>
      <c r="I186" s="27"/>
      <c r="J186" s="28"/>
      <c r="K186" s="28"/>
      <c r="L186" s="28"/>
      <c r="M186" s="28"/>
      <c r="N186" s="18"/>
      <c r="O186" s="28" t="s">
        <v>364</v>
      </c>
      <c r="P186" s="18"/>
      <c r="Q186" s="18"/>
      <c r="R186" s="18"/>
      <c r="S186" s="18"/>
      <c r="T186" s="16"/>
      <c r="U186" s="18"/>
      <c r="V186" s="18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  <c r="AG186" s="18"/>
      <c r="AH186" s="18"/>
      <c r="AI186" s="21"/>
      <c r="AJ186" s="18"/>
      <c r="AK186" s="21"/>
      <c r="AL186" s="18"/>
      <c r="AM186" s="28"/>
      <c r="AN186" s="21"/>
      <c r="AO186" s="18"/>
      <c r="AP186" s="21"/>
      <c r="AQ186" s="21"/>
      <c r="AR186">
        <f>F186 +G186</f>
        <v>1</v>
      </c>
    </row>
    <row r="187" spans="1:44" x14ac:dyDescent="0.25">
      <c r="A187" t="str">
        <f>B187 &amp; " - " &amp;E187</f>
        <v>Leicester - Kapustka</v>
      </c>
      <c r="B187" t="s">
        <v>1258</v>
      </c>
      <c r="C187" t="str">
        <f ca="1">IFERROR(VLOOKUP(INDEX(OFFSET(_JOUEURS,0,0,,1),MATCH(A187,OFFSET(_JOUEURS,0,1,,1),0)),_MPG,2,FALSE),"")</f>
        <v/>
      </c>
      <c r="D187" s="23" t="s">
        <v>369</v>
      </c>
      <c r="E187" s="29" t="s">
        <v>1252</v>
      </c>
      <c r="F187" s="194"/>
      <c r="G187" s="21"/>
      <c r="H187" s="163"/>
      <c r="I187" s="27"/>
      <c r="J187" s="57"/>
      <c r="K187" s="59"/>
      <c r="L187" s="28"/>
      <c r="M187" s="60"/>
      <c r="N187" s="18"/>
      <c r="O187" s="18"/>
      <c r="P187" s="18"/>
      <c r="Q187" s="18"/>
      <c r="R187" s="18"/>
      <c r="S187" s="18"/>
      <c r="T187" s="18"/>
      <c r="U187" s="18"/>
      <c r="V187" s="18"/>
      <c r="W187" s="28"/>
      <c r="X187" s="28"/>
      <c r="Y187" s="18"/>
      <c r="Z187" s="59"/>
      <c r="AA187" s="17"/>
      <c r="AB187" s="18"/>
      <c r="AC187" s="18"/>
      <c r="AD187" s="18"/>
      <c r="AE187" s="18"/>
      <c r="AF187" s="18"/>
      <c r="AG187" s="18"/>
      <c r="AH187" s="18"/>
      <c r="AI187" s="22"/>
      <c r="AJ187" s="18"/>
      <c r="AK187" s="21"/>
      <c r="AL187" s="16"/>
      <c r="AM187" s="28"/>
      <c r="AN187" s="99"/>
      <c r="AO187" s="16"/>
      <c r="AP187" s="21"/>
      <c r="AQ187" s="21"/>
      <c r="AR187">
        <f>F187 +G187</f>
        <v>0</v>
      </c>
    </row>
    <row r="188" spans="1:44" hidden="1" x14ac:dyDescent="0.25">
      <c r="A188" t="str">
        <f>B188 &amp; " - " &amp;E188</f>
        <v>Man. City - Silva</v>
      </c>
      <c r="B188" t="s">
        <v>1279</v>
      </c>
      <c r="C188" t="str">
        <f ca="1">IFERROR(VLOOKUP(INDEX(OFFSET(_JOUEURS,0,0,,1),MATCH(A188,OFFSET(_JOUEURS,0,1,,1),0)),_MPG,2,FALSE),"")</f>
        <v>74 c'est la champion's league</v>
      </c>
      <c r="D188" s="104" t="s">
        <v>369</v>
      </c>
      <c r="E188" s="29" t="s">
        <v>119</v>
      </c>
      <c r="F188" s="194">
        <v>5</v>
      </c>
      <c r="G188" s="21"/>
      <c r="H188" s="163"/>
      <c r="I188" s="27">
        <f>AVERAGE(J188,K188,L188,M188,O188)</f>
        <v>6.2</v>
      </c>
      <c r="J188" s="59">
        <v>5</v>
      </c>
      <c r="K188" s="59">
        <v>6</v>
      </c>
      <c r="L188" s="193">
        <v>7</v>
      </c>
      <c r="M188" s="136">
        <v>6</v>
      </c>
      <c r="N188" s="59"/>
      <c r="O188" s="97">
        <v>7</v>
      </c>
      <c r="P188" s="59"/>
      <c r="Q188" s="59"/>
      <c r="R188" s="17"/>
      <c r="S188" s="84"/>
      <c r="T188" s="17"/>
      <c r="U188" s="59"/>
      <c r="V188" s="59"/>
      <c r="W188" s="17"/>
      <c r="X188" s="17"/>
      <c r="Y188" s="17"/>
      <c r="Z188" s="17"/>
      <c r="AA188" s="17"/>
      <c r="AB188" s="17"/>
      <c r="AC188" s="17"/>
      <c r="AD188" s="17"/>
      <c r="AE188" s="17"/>
      <c r="AF188" s="59"/>
      <c r="AG188" s="17"/>
      <c r="AH188" s="17"/>
      <c r="AI188" s="101"/>
      <c r="AJ188" s="17"/>
      <c r="AK188" s="101"/>
      <c r="AL188" s="59"/>
      <c r="AM188" s="84"/>
      <c r="AN188" s="101"/>
      <c r="AO188" s="59"/>
      <c r="AP188" s="125"/>
      <c r="AQ188" s="99"/>
      <c r="AR188">
        <f>F188 +G188</f>
        <v>5</v>
      </c>
    </row>
    <row r="189" spans="1:44" x14ac:dyDescent="0.25">
      <c r="A189" t="str">
        <f>B189 &amp; " - " &amp;E189</f>
        <v>Man. City - Navas</v>
      </c>
      <c r="B189" t="s">
        <v>1279</v>
      </c>
      <c r="C189" t="str">
        <f ca="1">IFERROR(VLOOKUP(INDEX(OFFSET(_JOUEURS,0,0,,1),MATCH(A189,OFFSET(_JOUEURS,0,1,,1),0)),_MPG,2,FALSE),"")</f>
        <v/>
      </c>
      <c r="D189" s="274" t="s">
        <v>369</v>
      </c>
      <c r="E189" s="109" t="s">
        <v>1270</v>
      </c>
      <c r="F189" s="106">
        <v>1</v>
      </c>
      <c r="G189" s="101">
        <v>2</v>
      </c>
      <c r="H189" s="201"/>
      <c r="I189" s="27">
        <f>AVERAGE(K189)</f>
        <v>5</v>
      </c>
      <c r="J189" s="28" t="s">
        <v>364</v>
      </c>
      <c r="K189" s="59">
        <v>5</v>
      </c>
      <c r="L189" s="184"/>
      <c r="M189" s="184"/>
      <c r="N189" s="59"/>
      <c r="O189" s="28" t="s">
        <v>364</v>
      </c>
      <c r="P189" s="59"/>
      <c r="Q189" s="59"/>
      <c r="R189" s="17"/>
      <c r="S189" s="59"/>
      <c r="T189" s="17"/>
      <c r="U189" s="84"/>
      <c r="V189" s="59"/>
      <c r="W189" s="17"/>
      <c r="X189" s="17"/>
      <c r="Y189" s="17"/>
      <c r="Z189" s="17"/>
      <c r="AA189" s="17"/>
      <c r="AB189" s="17"/>
      <c r="AC189" s="17"/>
      <c r="AD189" s="17"/>
      <c r="AE189" s="59"/>
      <c r="AF189" s="17"/>
      <c r="AG189" s="59"/>
      <c r="AH189" s="59"/>
      <c r="AI189" s="99"/>
      <c r="AJ189" s="17"/>
      <c r="AK189" s="99"/>
      <c r="AL189" s="17"/>
      <c r="AM189" s="17"/>
      <c r="AN189" s="101"/>
      <c r="AO189" s="17"/>
      <c r="AP189" s="101"/>
      <c r="AQ189" s="99"/>
      <c r="AR189">
        <f>F189 +G189</f>
        <v>3</v>
      </c>
    </row>
    <row r="190" spans="1:44" ht="15.75" thickBot="1" x14ac:dyDescent="0.3">
      <c r="A190" t="str">
        <f>B190 &amp; " - " &amp;E190</f>
        <v>Man. City - Delph</v>
      </c>
      <c r="B190" t="s">
        <v>1279</v>
      </c>
      <c r="C190" t="str">
        <f ca="1">IFERROR(VLOOKUP(INDEX(OFFSET(_JOUEURS,0,0,,1),MATCH(A190,OFFSET(_JOUEURS,0,1,,1),0)),_MPG,2,FALSE),"")</f>
        <v/>
      </c>
      <c r="D190" s="284" t="s">
        <v>369</v>
      </c>
      <c r="E190" s="116" t="s">
        <v>1271</v>
      </c>
      <c r="F190" s="198"/>
      <c r="G190" s="199">
        <v>2</v>
      </c>
      <c r="H190" s="315"/>
      <c r="I190" s="92"/>
      <c r="J190" s="28" t="s">
        <v>364</v>
      </c>
      <c r="K190" s="28" t="s">
        <v>364</v>
      </c>
      <c r="L190" s="172"/>
      <c r="M190" s="136"/>
      <c r="N190" s="59"/>
      <c r="O190" s="59"/>
      <c r="P190" s="59"/>
      <c r="Q190" s="59"/>
      <c r="R190" s="17"/>
      <c r="S190" s="17"/>
      <c r="T190" s="17"/>
      <c r="U190" s="59"/>
      <c r="V190" s="59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59"/>
      <c r="AI190" s="99"/>
      <c r="AJ190" s="17"/>
      <c r="AK190" s="101"/>
      <c r="AL190" s="17"/>
      <c r="AM190" s="59"/>
      <c r="AN190" s="101"/>
      <c r="AO190" s="17"/>
      <c r="AP190" s="101"/>
      <c r="AQ190" s="99"/>
      <c r="AR190">
        <f>F190 +G190</f>
        <v>2</v>
      </c>
    </row>
    <row r="191" spans="1:44" x14ac:dyDescent="0.25">
      <c r="A191" t="str">
        <f>B191 &amp; " - " &amp;E191</f>
        <v>Man. City - Nasri</v>
      </c>
      <c r="B191" t="s">
        <v>1279</v>
      </c>
      <c r="C191" t="str">
        <f ca="1">IFERROR(VLOOKUP(INDEX(OFFSET(_JOUEURS,0,0,,1),MATCH(A191,OFFSET(_JOUEURS,0,1,,1),0)),_MPG,2,FALSE),"")</f>
        <v/>
      </c>
      <c r="D191" s="306" t="s">
        <v>369</v>
      </c>
      <c r="E191" s="217" t="s">
        <v>1272</v>
      </c>
      <c r="F191" s="214"/>
      <c r="G191" s="215">
        <v>1</v>
      </c>
      <c r="H191" s="319"/>
      <c r="I191" s="14"/>
      <c r="J191" s="70"/>
      <c r="K191" s="28"/>
      <c r="L191" s="62" t="s">
        <v>364</v>
      </c>
      <c r="M191" s="136"/>
      <c r="N191" s="59"/>
      <c r="O191" s="59"/>
      <c r="P191" s="99"/>
      <c r="Q191" s="59"/>
      <c r="R191" s="17"/>
      <c r="S191" s="17"/>
      <c r="T191" s="17"/>
      <c r="U191" s="59"/>
      <c r="V191" s="59"/>
      <c r="W191" s="17"/>
      <c r="X191" s="17"/>
      <c r="Y191" s="17"/>
      <c r="Z191" s="17"/>
      <c r="AA191" s="17"/>
      <c r="AB191" s="17"/>
      <c r="AC191" s="17"/>
      <c r="AD191" s="17"/>
      <c r="AE191" s="17"/>
      <c r="AF191" s="101"/>
      <c r="AG191" s="109"/>
      <c r="AH191" s="59"/>
      <c r="AI191" s="59"/>
      <c r="AJ191" s="17"/>
      <c r="AK191" s="17"/>
      <c r="AL191" s="17"/>
      <c r="AM191" s="99"/>
      <c r="AN191" s="17"/>
      <c r="AO191" s="101"/>
      <c r="AP191" s="17"/>
      <c r="AQ191" s="99"/>
      <c r="AR191">
        <f>F191 +G191</f>
        <v>1</v>
      </c>
    </row>
    <row r="192" spans="1:44" x14ac:dyDescent="0.25">
      <c r="A192" t="str">
        <f>B192 &amp; " - " &amp;E192</f>
        <v>Man. City - Fernando</v>
      </c>
      <c r="B192" t="s">
        <v>1279</v>
      </c>
      <c r="C192" t="str">
        <f ca="1">IFERROR(VLOOKUP(INDEX(OFFSET(_JOUEURS,0,0,,1),MATCH(A192,OFFSET(_JOUEURS,0,1,,1),0)),_MPG,2,FALSE),"")</f>
        <v/>
      </c>
      <c r="D192" s="276" t="s">
        <v>369</v>
      </c>
      <c r="E192" s="69" t="s">
        <v>617</v>
      </c>
      <c r="F192" s="195"/>
      <c r="G192" s="196">
        <v>3</v>
      </c>
      <c r="H192" s="316"/>
      <c r="I192" s="55"/>
      <c r="J192" s="297"/>
      <c r="K192" s="28"/>
      <c r="L192" s="62" t="s">
        <v>364</v>
      </c>
      <c r="M192" s="57" t="s">
        <v>364</v>
      </c>
      <c r="N192" s="59"/>
      <c r="O192" s="28" t="s">
        <v>364</v>
      </c>
      <c r="P192" s="99"/>
      <c r="Q192" s="59"/>
      <c r="R192" s="17"/>
      <c r="S192" s="17"/>
      <c r="T192" s="17"/>
      <c r="U192" s="59"/>
      <c r="V192" s="59"/>
      <c r="W192" s="17"/>
      <c r="X192" s="17"/>
      <c r="Y192" s="17"/>
      <c r="Z192" s="17"/>
      <c r="AA192" s="17"/>
      <c r="AB192" s="17"/>
      <c r="AC192" s="17"/>
      <c r="AD192" s="17"/>
      <c r="AE192" s="17"/>
      <c r="AF192" s="101"/>
      <c r="AG192" s="17"/>
      <c r="AH192" s="59"/>
      <c r="AI192" s="59"/>
      <c r="AJ192" s="17"/>
      <c r="AK192" s="17"/>
      <c r="AL192" s="17"/>
      <c r="AM192" s="99"/>
      <c r="AN192" s="17"/>
      <c r="AO192" s="101"/>
      <c r="AP192" s="17"/>
      <c r="AQ192" s="99"/>
      <c r="AR192">
        <f>F192 +G192</f>
        <v>3</v>
      </c>
    </row>
    <row r="193" spans="1:44" x14ac:dyDescent="0.25">
      <c r="A193" t="str">
        <f>B193 &amp; " - " &amp;E193</f>
        <v>Man. City - Sané</v>
      </c>
      <c r="B193" t="s">
        <v>1279</v>
      </c>
      <c r="C193" t="str">
        <f ca="1">IFERROR(VLOOKUP(INDEX(OFFSET(_JOUEURS,0,0,,1),MATCH(A193,OFFSET(_JOUEURS,0,1,,1),0)),_MPG,2,FALSE),"")</f>
        <v/>
      </c>
      <c r="D193" s="274" t="s">
        <v>369</v>
      </c>
      <c r="E193" s="109" t="s">
        <v>1042</v>
      </c>
      <c r="F193" s="194"/>
      <c r="G193" s="21">
        <v>2</v>
      </c>
      <c r="H193" s="79"/>
      <c r="I193" s="27"/>
      <c r="J193" s="70"/>
      <c r="K193" s="28"/>
      <c r="L193" s="62"/>
      <c r="M193" s="57" t="s">
        <v>364</v>
      </c>
      <c r="N193" s="28" t="s">
        <v>364</v>
      </c>
      <c r="O193" s="59"/>
      <c r="P193" s="99"/>
      <c r="Q193" s="59"/>
      <c r="R193" s="17"/>
      <c r="S193" s="17"/>
      <c r="T193" s="17"/>
      <c r="U193" s="59"/>
      <c r="V193" s="59"/>
      <c r="W193" s="17"/>
      <c r="X193" s="17"/>
      <c r="Y193" s="17"/>
      <c r="Z193" s="17"/>
      <c r="AA193" s="17"/>
      <c r="AB193" s="17"/>
      <c r="AC193" s="17"/>
      <c r="AD193" s="17"/>
      <c r="AE193" s="17"/>
      <c r="AF193" s="101"/>
      <c r="AG193" s="109"/>
      <c r="AH193" s="59"/>
      <c r="AI193" s="59"/>
      <c r="AJ193" s="17"/>
      <c r="AK193" s="17"/>
      <c r="AL193" s="17"/>
      <c r="AM193" s="99"/>
      <c r="AN193" s="17"/>
      <c r="AO193" s="101"/>
      <c r="AP193" s="17"/>
      <c r="AQ193" s="99"/>
      <c r="AR193">
        <f>F193 +G193</f>
        <v>2</v>
      </c>
    </row>
    <row r="194" spans="1:44" x14ac:dyDescent="0.25">
      <c r="A194" t="str">
        <f>B194 &amp; " - " &amp;E194</f>
        <v>Man. City - Garcia</v>
      </c>
      <c r="B194" t="s">
        <v>1279</v>
      </c>
      <c r="C194" t="str">
        <f ca="1">IFERROR(VLOOKUP(INDEX(OFFSET(_JOUEURS,0,0,,1),MATCH(A194,OFFSET(_JOUEURS,0,1,,1),0)),_MPG,2,FALSE),"")</f>
        <v/>
      </c>
      <c r="D194" s="275" t="s">
        <v>369</v>
      </c>
      <c r="E194" s="109" t="s">
        <v>1273</v>
      </c>
      <c r="F194" s="194"/>
      <c r="G194" s="21">
        <v>1</v>
      </c>
      <c r="H194" s="79"/>
      <c r="I194" s="27"/>
      <c r="J194" s="70"/>
      <c r="K194" s="28"/>
      <c r="L194" s="62"/>
      <c r="M194" s="57"/>
      <c r="N194" s="28" t="s">
        <v>364</v>
      </c>
      <c r="O194" s="59"/>
      <c r="P194" s="99"/>
      <c r="Q194" s="59"/>
      <c r="R194" s="17"/>
      <c r="S194" s="17"/>
      <c r="T194" s="17"/>
      <c r="U194" s="59"/>
      <c r="V194" s="59"/>
      <c r="W194" s="17"/>
      <c r="X194" s="17"/>
      <c r="Y194" s="17"/>
      <c r="Z194" s="17"/>
      <c r="AA194" s="17"/>
      <c r="AB194" s="17"/>
      <c r="AC194" s="17"/>
      <c r="AD194" s="17"/>
      <c r="AE194" s="17"/>
      <c r="AF194" s="101"/>
      <c r="AG194" s="101"/>
      <c r="AH194" s="59"/>
      <c r="AI194" s="59"/>
      <c r="AJ194" s="17"/>
      <c r="AK194" s="17"/>
      <c r="AL194" s="17"/>
      <c r="AM194" s="99"/>
      <c r="AN194" s="17"/>
      <c r="AO194" s="101"/>
      <c r="AP194" s="17"/>
      <c r="AQ194" s="99"/>
      <c r="AR194">
        <f>F194 +G194</f>
        <v>1</v>
      </c>
    </row>
    <row r="195" spans="1:44" x14ac:dyDescent="0.25">
      <c r="A195" t="str">
        <f>B195 &amp; " - " &amp;E195</f>
        <v>Sunderland - Watmore</v>
      </c>
      <c r="B195" t="s">
        <v>1301</v>
      </c>
      <c r="C195" t="str">
        <f ca="1">IFERROR(VLOOKUP(INDEX(OFFSET(_JOUEURS,0,0,,1),MATCH(A195,OFFSET(_JOUEURS,0,1,,1),0)),_MPG,2,FALSE),"")</f>
        <v/>
      </c>
      <c r="D195" s="76" t="s">
        <v>369</v>
      </c>
      <c r="E195" s="109" t="s">
        <v>1288</v>
      </c>
      <c r="F195" s="194">
        <v>3</v>
      </c>
      <c r="G195" s="21">
        <v>3</v>
      </c>
      <c r="H195" s="29"/>
      <c r="I195" s="27">
        <f>AVERAGE(J195,K195,M195)</f>
        <v>3.6666666666666665</v>
      </c>
      <c r="J195" s="89">
        <v>4</v>
      </c>
      <c r="K195" s="59">
        <v>4</v>
      </c>
      <c r="L195" s="28" t="s">
        <v>364</v>
      </c>
      <c r="M195" s="145">
        <v>3</v>
      </c>
      <c r="N195" s="28" t="s">
        <v>364</v>
      </c>
      <c r="O195" s="28" t="s">
        <v>364</v>
      </c>
      <c r="P195" s="101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85"/>
      <c r="AB195" s="17"/>
      <c r="AC195" s="17"/>
      <c r="AD195" s="17"/>
      <c r="AE195" s="17"/>
      <c r="AF195" s="101"/>
      <c r="AG195" s="101"/>
      <c r="AH195" s="17"/>
      <c r="AI195" s="17"/>
      <c r="AJ195" s="17"/>
      <c r="AK195" s="17"/>
      <c r="AL195" s="17"/>
      <c r="AM195" s="101"/>
      <c r="AN195" s="17"/>
      <c r="AO195" s="101"/>
      <c r="AP195" s="17"/>
      <c r="AQ195" s="101"/>
      <c r="AR195">
        <f>F195 +G195</f>
        <v>6</v>
      </c>
    </row>
    <row r="196" spans="1:44" x14ac:dyDescent="0.25">
      <c r="A196" t="str">
        <f>B196 &amp; " - " &amp;E196</f>
        <v>Sunderland - Rodwell</v>
      </c>
      <c r="B196" t="s">
        <v>1301</v>
      </c>
      <c r="C196" t="str">
        <f ca="1">IFERROR(VLOOKUP(INDEX(OFFSET(_JOUEURS,0,0,,1),MATCH(A196,OFFSET(_JOUEURS,0,1,,1),0)),_MPG,2,FALSE),"")</f>
        <v/>
      </c>
      <c r="D196" s="76" t="s">
        <v>369</v>
      </c>
      <c r="E196" s="109" t="s">
        <v>1289</v>
      </c>
      <c r="F196" s="194">
        <v>4</v>
      </c>
      <c r="G196" s="21"/>
      <c r="H196" s="29"/>
      <c r="I196" s="78">
        <f>AVERAGE(J196,K196,L196,M196)</f>
        <v>5.25</v>
      </c>
      <c r="J196" s="303">
        <v>7</v>
      </c>
      <c r="K196" s="59">
        <v>5</v>
      </c>
      <c r="L196" s="59">
        <v>6</v>
      </c>
      <c r="M196" s="145">
        <v>3</v>
      </c>
      <c r="N196" s="17"/>
      <c r="O196" s="17"/>
      <c r="P196" s="99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59"/>
      <c r="AC196" s="59"/>
      <c r="AD196" s="17"/>
      <c r="AE196" s="17"/>
      <c r="AF196" s="99"/>
      <c r="AG196" s="59"/>
      <c r="AH196" s="17"/>
      <c r="AI196" s="59"/>
      <c r="AJ196" s="17"/>
      <c r="AK196" s="59"/>
      <c r="AL196" s="59"/>
      <c r="AM196" s="101"/>
      <c r="AN196" s="17"/>
      <c r="AO196" s="101"/>
      <c r="AP196" s="17"/>
      <c r="AQ196" s="101"/>
      <c r="AR196">
        <f>F196 +G196</f>
        <v>4</v>
      </c>
    </row>
    <row r="197" spans="1:44" x14ac:dyDescent="0.25">
      <c r="A197" t="str">
        <f>B197 &amp; " - " &amp;E197</f>
        <v>Sunderland - O'Shea</v>
      </c>
      <c r="B197" t="s">
        <v>1301</v>
      </c>
      <c r="C197" t="str">
        <f ca="1">IFERROR(VLOOKUP(INDEX(OFFSET(_JOUEURS,0,0,,1),MATCH(A197,OFFSET(_JOUEURS,0,1,,1),0)),_MPG,2,FALSE),"")</f>
        <v/>
      </c>
      <c r="D197" s="104" t="s">
        <v>369</v>
      </c>
      <c r="E197" s="109" t="s">
        <v>1290</v>
      </c>
      <c r="F197" s="106">
        <v>2</v>
      </c>
      <c r="G197" s="86"/>
      <c r="H197" s="293"/>
      <c r="I197" s="78">
        <f>AVERAGE(J197,K197)</f>
        <v>4.5</v>
      </c>
      <c r="J197" s="89">
        <v>4</v>
      </c>
      <c r="K197" s="59">
        <v>5</v>
      </c>
      <c r="L197" s="59"/>
      <c r="M197" s="59"/>
      <c r="N197" s="17"/>
      <c r="O197" s="17"/>
      <c r="P197" s="99"/>
      <c r="Q197" s="17"/>
      <c r="R197" s="17"/>
      <c r="S197" s="17"/>
      <c r="T197" s="17"/>
      <c r="U197" s="17"/>
      <c r="V197" s="17"/>
      <c r="W197" s="17"/>
      <c r="X197" s="17"/>
      <c r="Y197" s="59"/>
      <c r="Z197" s="84"/>
      <c r="AA197" s="59"/>
      <c r="AB197" s="84"/>
      <c r="AC197" s="17"/>
      <c r="AD197" s="17"/>
      <c r="AE197" s="17"/>
      <c r="AF197" s="101"/>
      <c r="AG197" s="109"/>
      <c r="AH197" s="17"/>
      <c r="AI197" s="17"/>
      <c r="AJ197" s="17"/>
      <c r="AK197" s="17"/>
      <c r="AL197" s="17"/>
      <c r="AM197" s="101"/>
      <c r="AN197" s="17"/>
      <c r="AO197" s="101"/>
      <c r="AP197" s="17"/>
      <c r="AQ197" s="101"/>
      <c r="AR197">
        <f>F197 +G197</f>
        <v>2</v>
      </c>
    </row>
    <row r="198" spans="1:44" x14ac:dyDescent="0.25">
      <c r="A198" t="str">
        <f>B198 &amp; " - " &amp;E198</f>
        <v>Sunderland - Gooch</v>
      </c>
      <c r="B198" t="s">
        <v>1301</v>
      </c>
      <c r="C198" t="str">
        <f ca="1">IFERROR(VLOOKUP(INDEX(OFFSET(_JOUEURS,0,0,,1),MATCH(A198,OFFSET(_JOUEURS,0,1,,1),0)),_MPG,2,FALSE),"")</f>
        <v/>
      </c>
      <c r="D198" s="76" t="s">
        <v>369</v>
      </c>
      <c r="E198" s="109" t="s">
        <v>1291</v>
      </c>
      <c r="F198" s="194">
        <v>4</v>
      </c>
      <c r="G198" s="21"/>
      <c r="H198" s="79"/>
      <c r="I198" s="27">
        <f>AVERAGE(J198,K198,L198,M198)</f>
        <v>4.5</v>
      </c>
      <c r="J198" s="89">
        <v>4</v>
      </c>
      <c r="K198" s="59">
        <v>5</v>
      </c>
      <c r="L198" s="59">
        <v>5</v>
      </c>
      <c r="M198" s="59">
        <v>4</v>
      </c>
      <c r="N198" s="17"/>
      <c r="O198" s="17"/>
      <c r="P198" s="101"/>
      <c r="Q198" s="17"/>
      <c r="R198" s="17"/>
      <c r="S198" s="17"/>
      <c r="T198" s="17"/>
      <c r="U198" s="59"/>
      <c r="V198" s="17"/>
      <c r="W198" s="59"/>
      <c r="X198" s="17"/>
      <c r="Y198" s="17"/>
      <c r="Z198" s="17"/>
      <c r="AA198" s="59"/>
      <c r="AB198" s="17"/>
      <c r="AC198" s="17"/>
      <c r="AD198" s="59"/>
      <c r="AE198" s="17"/>
      <c r="AF198" s="99"/>
      <c r="AG198" s="89"/>
      <c r="AH198" s="59"/>
      <c r="AI198" s="17"/>
      <c r="AJ198" s="17"/>
      <c r="AK198" s="85"/>
      <c r="AL198" s="59"/>
      <c r="AM198" s="99"/>
      <c r="AN198" s="17"/>
      <c r="AO198" s="101"/>
      <c r="AP198" s="17"/>
      <c r="AQ198" s="99"/>
      <c r="AR198">
        <f>F198 +G198</f>
        <v>4</v>
      </c>
    </row>
    <row r="199" spans="1:44" x14ac:dyDescent="0.25">
      <c r="A199" t="str">
        <f>B199 &amp; " - " &amp;E199</f>
        <v>Sunderland - Khazri</v>
      </c>
      <c r="B199" t="s">
        <v>1301</v>
      </c>
      <c r="C199" t="str">
        <f ca="1">IFERROR(VLOOKUP(INDEX(OFFSET(_JOUEURS,0,0,,1),MATCH(A199,OFFSET(_JOUEURS,0,1,,1),0)),_MPG,2,FALSE),"")</f>
        <v/>
      </c>
      <c r="D199" s="76" t="s">
        <v>369</v>
      </c>
      <c r="E199" s="109" t="s">
        <v>115</v>
      </c>
      <c r="F199" s="194"/>
      <c r="G199" s="21">
        <v>3</v>
      </c>
      <c r="H199" s="79"/>
      <c r="I199" s="27"/>
      <c r="J199" s="79" t="s">
        <v>364</v>
      </c>
      <c r="K199" s="59"/>
      <c r="L199" s="59"/>
      <c r="M199" s="28" t="s">
        <v>364</v>
      </c>
      <c r="N199" s="28" t="s">
        <v>364</v>
      </c>
      <c r="O199" s="85"/>
      <c r="P199" s="101"/>
      <c r="Q199" s="17"/>
      <c r="R199" s="17"/>
      <c r="S199" s="59"/>
      <c r="T199" s="59"/>
      <c r="U199" s="17"/>
      <c r="V199" s="85"/>
      <c r="W199" s="59"/>
      <c r="X199" s="17"/>
      <c r="Y199" s="17"/>
      <c r="Z199" s="17"/>
      <c r="AA199" s="59"/>
      <c r="AB199" s="17"/>
      <c r="AC199" s="17"/>
      <c r="AD199" s="59"/>
      <c r="AE199" s="17"/>
      <c r="AF199" s="99"/>
      <c r="AG199" s="109"/>
      <c r="AH199" s="17"/>
      <c r="AI199" s="59"/>
      <c r="AJ199" s="17"/>
      <c r="AK199" s="59"/>
      <c r="AL199" s="17"/>
      <c r="AM199" s="86"/>
      <c r="AN199" s="59"/>
      <c r="AO199" s="86"/>
      <c r="AP199" s="17"/>
      <c r="AQ199" s="101"/>
      <c r="AR199">
        <f>F199 +G199</f>
        <v>3</v>
      </c>
    </row>
    <row r="200" spans="1:44" hidden="1" x14ac:dyDescent="0.25">
      <c r="A200" t="str">
        <f>B200 &amp; " - " &amp;E200</f>
        <v>Sunderland - Januzaj</v>
      </c>
      <c r="B200" t="s">
        <v>1301</v>
      </c>
      <c r="C200" t="str">
        <f ca="1">IFERROR(VLOOKUP(INDEX(OFFSET(_JOUEURS,0,0,,1),MATCH(A200,OFFSET(_JOUEURS,0,1,,1),0)),_MPG,2,FALSE),"")</f>
        <v>I speak pas english</v>
      </c>
      <c r="D200" s="76" t="s">
        <v>369</v>
      </c>
      <c r="E200" s="109" t="s">
        <v>1292</v>
      </c>
      <c r="F200" s="194">
        <v>5</v>
      </c>
      <c r="G200" s="21">
        <v>1</v>
      </c>
      <c r="H200" s="79"/>
      <c r="I200" s="27">
        <f>AVERAGE(K200,L200,M200,N200,O200)</f>
        <v>4.2</v>
      </c>
      <c r="J200" s="79" t="s">
        <v>364</v>
      </c>
      <c r="K200" s="59">
        <v>5</v>
      </c>
      <c r="L200" s="28">
        <v>5</v>
      </c>
      <c r="M200" s="145">
        <v>3</v>
      </c>
      <c r="N200" s="59">
        <v>4</v>
      </c>
      <c r="O200" s="17">
        <v>4</v>
      </c>
      <c r="P200" s="101"/>
      <c r="Q200" s="17"/>
      <c r="R200" s="17"/>
      <c r="S200" s="59"/>
      <c r="T200" s="59"/>
      <c r="U200" s="17"/>
      <c r="V200" s="17"/>
      <c r="W200" s="59"/>
      <c r="X200" s="17"/>
      <c r="Y200" s="59"/>
      <c r="Z200" s="17"/>
      <c r="AA200" s="59"/>
      <c r="AB200" s="17"/>
      <c r="AC200" s="17"/>
      <c r="AD200" s="59"/>
      <c r="AE200" s="17"/>
      <c r="AF200" s="99"/>
      <c r="AG200" s="109"/>
      <c r="AH200" s="17"/>
      <c r="AI200" s="17"/>
      <c r="AJ200" s="17"/>
      <c r="AK200" s="17"/>
      <c r="AL200" s="17"/>
      <c r="AM200" s="101"/>
      <c r="AN200" s="84"/>
      <c r="AO200" s="101"/>
      <c r="AP200" s="59"/>
      <c r="AQ200" s="99"/>
      <c r="AR200">
        <f>F200 +G200</f>
        <v>6</v>
      </c>
    </row>
    <row r="201" spans="1:44" x14ac:dyDescent="0.25">
      <c r="A201" t="str">
        <f>B201 &amp; " - " &amp;E201</f>
        <v>Sunderland - Pienaar</v>
      </c>
      <c r="B201" t="s">
        <v>1301</v>
      </c>
      <c r="C201" t="str">
        <f ca="1">IFERROR(VLOOKUP(INDEX(OFFSET(_JOUEURS,0,0,,1),MATCH(A201,OFFSET(_JOUEURS,0,1,,1),0)),_MPG,2,FALSE),"")</f>
        <v/>
      </c>
      <c r="D201" s="189" t="s">
        <v>369</v>
      </c>
      <c r="E201" s="69" t="s">
        <v>1294</v>
      </c>
      <c r="F201" s="195">
        <v>3</v>
      </c>
      <c r="G201" s="196">
        <v>1</v>
      </c>
      <c r="H201" s="316"/>
      <c r="I201" s="55">
        <f>AVERAGE(L201,N201,O201)</f>
        <v>4.666666666666667</v>
      </c>
      <c r="J201" s="89"/>
      <c r="K201" s="28" t="s">
        <v>364</v>
      </c>
      <c r="L201" s="59">
        <v>5</v>
      </c>
      <c r="M201" s="28"/>
      <c r="N201" s="17">
        <v>4</v>
      </c>
      <c r="O201" s="59">
        <v>5</v>
      </c>
      <c r="P201" s="101"/>
      <c r="Q201" s="17"/>
      <c r="R201" s="17"/>
      <c r="S201" s="59"/>
      <c r="T201" s="59"/>
      <c r="U201" s="59"/>
      <c r="V201" s="17"/>
      <c r="W201" s="59"/>
      <c r="X201" s="17"/>
      <c r="Y201" s="17"/>
      <c r="Z201" s="17"/>
      <c r="AA201" s="59"/>
      <c r="AB201" s="59"/>
      <c r="AC201" s="59"/>
      <c r="AD201" s="59"/>
      <c r="AE201" s="59"/>
      <c r="AF201" s="99"/>
      <c r="AG201" s="109"/>
      <c r="AH201" s="17"/>
      <c r="AI201" s="17"/>
      <c r="AJ201" s="17"/>
      <c r="AK201" s="17"/>
      <c r="AL201" s="17"/>
      <c r="AM201" s="101"/>
      <c r="AN201" s="59"/>
      <c r="AO201" s="101"/>
      <c r="AP201" s="17"/>
      <c r="AQ201" s="101"/>
      <c r="AR201">
        <f>F201 +G201</f>
        <v>4</v>
      </c>
    </row>
    <row r="202" spans="1:44" x14ac:dyDescent="0.25">
      <c r="A202" t="str">
        <f>B202 &amp; " - " &amp;E202</f>
        <v>Sunderland - Asoro</v>
      </c>
      <c r="B202" t="s">
        <v>1301</v>
      </c>
      <c r="C202" t="str">
        <f ca="1">IFERROR(VLOOKUP(INDEX(OFFSET(_JOUEURS,0,0,,1),MATCH(A202,OFFSET(_JOUEURS,0,1,,1),0)),_MPG,2,FALSE),"")</f>
        <v/>
      </c>
      <c r="D202" s="76" t="s">
        <v>369</v>
      </c>
      <c r="E202" s="109" t="s">
        <v>1295</v>
      </c>
      <c r="F202" s="194"/>
      <c r="G202" s="21">
        <v>1</v>
      </c>
      <c r="H202" s="79"/>
      <c r="I202" s="27"/>
      <c r="J202" s="89"/>
      <c r="K202" s="28" t="s">
        <v>364</v>
      </c>
      <c r="L202" s="28"/>
      <c r="M202" s="84"/>
      <c r="N202" s="17"/>
      <c r="O202" s="59"/>
      <c r="P202" s="101"/>
      <c r="Q202" s="17"/>
      <c r="R202" s="17"/>
      <c r="S202" s="59"/>
      <c r="T202" s="59"/>
      <c r="U202" s="59"/>
      <c r="V202" s="17"/>
      <c r="W202" s="59"/>
      <c r="X202" s="17"/>
      <c r="Y202" s="17"/>
      <c r="Z202" s="17"/>
      <c r="AA202" s="59"/>
      <c r="AB202" s="59"/>
      <c r="AC202" s="59"/>
      <c r="AD202" s="59"/>
      <c r="AE202" s="59"/>
      <c r="AF202" s="99"/>
      <c r="AG202" s="109"/>
      <c r="AH202" s="17"/>
      <c r="AI202" s="17"/>
      <c r="AJ202" s="17"/>
      <c r="AK202" s="17"/>
      <c r="AL202" s="17"/>
      <c r="AM202" s="101"/>
      <c r="AN202" s="59"/>
      <c r="AO202" s="101"/>
      <c r="AP202" s="17"/>
      <c r="AQ202" s="101"/>
      <c r="AR202">
        <f>F202 +G202</f>
        <v>1</v>
      </c>
    </row>
    <row r="203" spans="1:44" x14ac:dyDescent="0.25">
      <c r="A203" t="str">
        <f>B203 &amp; " - " &amp;E203</f>
        <v>Sunderland - Ndong</v>
      </c>
      <c r="B203" t="s">
        <v>1301</v>
      </c>
      <c r="C203" t="str">
        <f ca="1">IFERROR(VLOOKUP(INDEX(OFFSET(_JOUEURS,0,0,,1),MATCH(A203,OFFSET(_JOUEURS,0,1,,1),0)),_MPG,2,FALSE),"")</f>
        <v/>
      </c>
      <c r="D203" s="23" t="s">
        <v>369</v>
      </c>
      <c r="E203" s="109" t="s">
        <v>255</v>
      </c>
      <c r="F203" s="194">
        <v>2</v>
      </c>
      <c r="G203" s="21">
        <v>1</v>
      </c>
      <c r="H203" s="79"/>
      <c r="I203" s="27">
        <f>AVERAGE(N203,O203)</f>
        <v>5</v>
      </c>
      <c r="J203" s="89"/>
      <c r="K203" s="28"/>
      <c r="L203" s="28"/>
      <c r="M203" s="59" t="s">
        <v>364</v>
      </c>
      <c r="N203" s="17">
        <v>6</v>
      </c>
      <c r="O203" s="59">
        <v>4</v>
      </c>
      <c r="P203" s="101"/>
      <c r="Q203" s="17"/>
      <c r="R203" s="17"/>
      <c r="S203" s="59"/>
      <c r="T203" s="59"/>
      <c r="U203" s="59"/>
      <c r="V203" s="17"/>
      <c r="W203" s="59"/>
      <c r="X203" s="17"/>
      <c r="Y203" s="17"/>
      <c r="Z203" s="17"/>
      <c r="AA203" s="59"/>
      <c r="AB203" s="59"/>
      <c r="AC203" s="59"/>
      <c r="AD203" s="59"/>
      <c r="AE203" s="59"/>
      <c r="AF203" s="99"/>
      <c r="AG203" s="17"/>
      <c r="AH203" s="17"/>
      <c r="AI203" s="17"/>
      <c r="AJ203" s="17"/>
      <c r="AK203" s="17"/>
      <c r="AL203" s="17"/>
      <c r="AM203" s="101"/>
      <c r="AN203" s="59"/>
      <c r="AO203" s="101"/>
      <c r="AP203" s="17"/>
      <c r="AQ203" s="101"/>
      <c r="AR203">
        <f>F203 +G203</f>
        <v>3</v>
      </c>
    </row>
    <row r="204" spans="1:44" x14ac:dyDescent="0.25">
      <c r="A204" t="str">
        <f>B204 &amp; " - " &amp;E204</f>
        <v>Sunderland - Cattermole</v>
      </c>
      <c r="B204" t="s">
        <v>1301</v>
      </c>
      <c r="C204" t="str">
        <f ca="1">IFERROR(VLOOKUP(INDEX(OFFSET(_JOUEURS,0,0,,1),MATCH(A204,OFFSET(_JOUEURS,0,1,,1),0)),_MPG,2,FALSE),"")</f>
        <v/>
      </c>
      <c r="D204" s="23" t="s">
        <v>369</v>
      </c>
      <c r="E204" s="109" t="s">
        <v>1296</v>
      </c>
      <c r="F204" s="194">
        <v>2</v>
      </c>
      <c r="G204" s="21"/>
      <c r="H204" s="79"/>
      <c r="I204" s="27">
        <f>AVERAGE(N204,O204)</f>
        <v>4</v>
      </c>
      <c r="J204" s="89"/>
      <c r="K204" s="28"/>
      <c r="L204" s="28"/>
      <c r="M204" s="59"/>
      <c r="N204" s="17">
        <v>4</v>
      </c>
      <c r="O204" s="59">
        <v>4</v>
      </c>
      <c r="P204" s="101"/>
      <c r="Q204" s="17"/>
      <c r="R204" s="17"/>
      <c r="S204" s="59"/>
      <c r="T204" s="59"/>
      <c r="U204" s="59"/>
      <c r="V204" s="17"/>
      <c r="W204" s="59"/>
      <c r="X204" s="17"/>
      <c r="Y204" s="17"/>
      <c r="Z204" s="17"/>
      <c r="AA204" s="59"/>
      <c r="AB204" s="59"/>
      <c r="AC204" s="59"/>
      <c r="AD204" s="59"/>
      <c r="AE204" s="59"/>
      <c r="AF204" s="99"/>
      <c r="AG204" s="109"/>
      <c r="AH204" s="17"/>
      <c r="AI204" s="17"/>
      <c r="AJ204" s="17"/>
      <c r="AK204" s="17"/>
      <c r="AL204" s="17"/>
      <c r="AM204" s="101"/>
      <c r="AN204" s="59"/>
      <c r="AO204" s="101"/>
      <c r="AP204" s="17"/>
      <c r="AQ204" s="101"/>
      <c r="AR204">
        <f>F204 +G204</f>
        <v>2</v>
      </c>
    </row>
    <row r="205" spans="1:44" x14ac:dyDescent="0.25">
      <c r="A205" t="str">
        <f>B205 &amp; " - " &amp;E205</f>
        <v>Sunderland - Kirchhof</v>
      </c>
      <c r="B205" t="s">
        <v>1301</v>
      </c>
      <c r="C205" t="str">
        <f ca="1">IFERROR(VLOOKUP(INDEX(OFFSET(_JOUEURS,0,0,,1),MATCH(A205,OFFSET(_JOUEURS,0,1,,1),0)),_MPG,2,FALSE),"")</f>
        <v/>
      </c>
      <c r="D205" s="104" t="s">
        <v>369</v>
      </c>
      <c r="E205" s="29" t="s">
        <v>1297</v>
      </c>
      <c r="F205" s="106">
        <v>3</v>
      </c>
      <c r="G205" s="101"/>
      <c r="H205" s="89"/>
      <c r="I205" s="27">
        <f>AVERAGE(M205,N205,O205)</f>
        <v>4</v>
      </c>
      <c r="J205" s="83"/>
      <c r="K205" s="84"/>
      <c r="L205" s="84"/>
      <c r="M205" s="145">
        <v>3</v>
      </c>
      <c r="N205" s="17">
        <v>5</v>
      </c>
      <c r="O205" s="17">
        <v>4</v>
      </c>
      <c r="P205" s="86"/>
      <c r="Q205" s="85"/>
      <c r="R205" s="85"/>
      <c r="S205" s="84"/>
      <c r="T205" s="84"/>
      <c r="U205" s="85"/>
      <c r="V205" s="85"/>
      <c r="W205" s="84"/>
      <c r="X205" s="85"/>
      <c r="Y205" s="85"/>
      <c r="Z205" s="85"/>
      <c r="AA205" s="84"/>
      <c r="AB205" s="85"/>
      <c r="AC205" s="85"/>
      <c r="AD205" s="84"/>
      <c r="AE205" s="85"/>
      <c r="AF205" s="125"/>
      <c r="AG205" s="86"/>
      <c r="AH205" s="84"/>
      <c r="AI205" s="85"/>
      <c r="AJ205" s="84"/>
      <c r="AK205" s="85"/>
      <c r="AL205" s="85"/>
      <c r="AM205" s="86"/>
      <c r="AN205" s="85"/>
      <c r="AO205" s="86"/>
      <c r="AP205" s="85"/>
      <c r="AQ205" s="86"/>
      <c r="AR205">
        <f>F205 +G205</f>
        <v>3</v>
      </c>
    </row>
    <row r="206" spans="1:44" x14ac:dyDescent="0.25">
      <c r="A206" t="str">
        <f>B206 &amp; " - " &amp;E206</f>
        <v>Middlesbrough - Adomah</v>
      </c>
      <c r="B206" t="s">
        <v>1324</v>
      </c>
      <c r="C206" t="str">
        <f ca="1">IFERROR(VLOOKUP(INDEX(OFFSET(_JOUEURS,0,0,,1),MATCH(A206,OFFSET(_JOUEURS,0,1,,1),0)),_MPG,2,FALSE),"")</f>
        <v/>
      </c>
      <c r="D206" s="104" t="s">
        <v>369</v>
      </c>
      <c r="E206" s="29" t="s">
        <v>1311</v>
      </c>
      <c r="F206" s="106">
        <v>1</v>
      </c>
      <c r="G206" s="101">
        <v>1</v>
      </c>
      <c r="H206" s="109"/>
      <c r="I206" s="27">
        <f>AVERAGE(J206)</f>
        <v>5</v>
      </c>
      <c r="J206" s="89">
        <v>5</v>
      </c>
      <c r="K206" s="28" t="s">
        <v>364</v>
      </c>
      <c r="L206" s="59"/>
      <c r="M206" s="59"/>
      <c r="N206" s="17"/>
      <c r="O206" s="17"/>
      <c r="P206" s="101"/>
      <c r="Q206" s="17"/>
      <c r="R206" s="17"/>
      <c r="S206" s="17"/>
      <c r="T206" s="17"/>
      <c r="U206" s="17"/>
      <c r="V206" s="17"/>
      <c r="W206" s="17"/>
      <c r="X206" s="17"/>
      <c r="Y206" s="17"/>
      <c r="Z206" s="17"/>
      <c r="AA206" s="17"/>
      <c r="AB206" s="17"/>
      <c r="AC206" s="17"/>
      <c r="AD206" s="17"/>
      <c r="AE206" s="17"/>
      <c r="AF206" s="101"/>
      <c r="AG206" s="109"/>
      <c r="AH206" s="17"/>
      <c r="AI206" s="17"/>
      <c r="AJ206" s="17"/>
      <c r="AK206" s="17"/>
      <c r="AL206" s="17"/>
      <c r="AM206" s="101"/>
      <c r="AN206" s="17"/>
      <c r="AO206" s="101"/>
      <c r="AP206" s="17"/>
      <c r="AQ206" s="101"/>
      <c r="AR206">
        <f>F206 +G206</f>
        <v>2</v>
      </c>
    </row>
    <row r="207" spans="1:44" x14ac:dyDescent="0.25">
      <c r="A207" t="str">
        <f>B207 &amp; " - " &amp;E207</f>
        <v>Middlesbrough - Clayton</v>
      </c>
      <c r="B207" t="s">
        <v>1324</v>
      </c>
      <c r="C207" t="str">
        <f ca="1">IFERROR(VLOOKUP(INDEX(OFFSET(_JOUEURS,0,0,,1),MATCH(A207,OFFSET(_JOUEURS,0,1,,1),0)),_MPG,2,FALSE),"")</f>
        <v/>
      </c>
      <c r="D207" s="104" t="s">
        <v>369</v>
      </c>
      <c r="E207" s="29" t="s">
        <v>1312</v>
      </c>
      <c r="F207" s="106">
        <v>5</v>
      </c>
      <c r="G207" s="101">
        <v>1</v>
      </c>
      <c r="H207" s="109"/>
      <c r="I207" s="27">
        <f>AVERAGE(J207,K207,L207,M207,O207)</f>
        <v>5</v>
      </c>
      <c r="J207" s="300">
        <v>4</v>
      </c>
      <c r="K207" s="59">
        <v>5</v>
      </c>
      <c r="L207" s="59">
        <v>6</v>
      </c>
      <c r="M207" s="59">
        <v>5</v>
      </c>
      <c r="N207" s="28" t="s">
        <v>364</v>
      </c>
      <c r="O207" s="17">
        <v>5</v>
      </c>
      <c r="P207" s="101"/>
      <c r="Q207" s="17"/>
      <c r="R207" s="17"/>
      <c r="S207" s="59"/>
      <c r="T207" s="59"/>
      <c r="U207" s="17"/>
      <c r="V207" s="17"/>
      <c r="W207" s="17"/>
      <c r="X207" s="17"/>
      <c r="Y207" s="59"/>
      <c r="Z207" s="59"/>
      <c r="AA207" s="17"/>
      <c r="AB207" s="17"/>
      <c r="AC207" s="17"/>
      <c r="AD207" s="17"/>
      <c r="AE207" s="17"/>
      <c r="AF207" s="101"/>
      <c r="AG207" s="89"/>
      <c r="AH207" s="59"/>
      <c r="AI207" s="17"/>
      <c r="AJ207" s="17"/>
      <c r="AK207" s="17"/>
      <c r="AL207" s="17"/>
      <c r="AM207" s="101"/>
      <c r="AN207" s="17"/>
      <c r="AO207" s="101"/>
      <c r="AP207" s="17"/>
      <c r="AQ207" s="101"/>
      <c r="AR207">
        <f>F207 +G207</f>
        <v>6</v>
      </c>
    </row>
    <row r="208" spans="1:44" x14ac:dyDescent="0.25">
      <c r="A208" t="str">
        <f>B208 &amp; " - " &amp;E208</f>
        <v>Middlesbrough - Ramirez</v>
      </c>
      <c r="B208" t="s">
        <v>1324</v>
      </c>
      <c r="C208" t="str">
        <f ca="1">IFERROR(VLOOKUP(INDEX(OFFSET(_JOUEURS,0,0,,1),MATCH(A208,OFFSET(_JOUEURS,0,1,,1),0)),_MPG,2,FALSE),"")</f>
        <v/>
      </c>
      <c r="D208" s="104" t="s">
        <v>369</v>
      </c>
      <c r="E208" s="29" t="s">
        <v>1313</v>
      </c>
      <c r="F208" s="101">
        <v>5</v>
      </c>
      <c r="G208" s="101">
        <v>1</v>
      </c>
      <c r="H208" s="109"/>
      <c r="I208" s="27">
        <f>AVERAGE(J208,K208,L208,N208,O208)</f>
        <v>4.5999999999999996</v>
      </c>
      <c r="J208" s="303">
        <v>7</v>
      </c>
      <c r="K208" s="59">
        <v>5</v>
      </c>
      <c r="L208" s="59">
        <v>4</v>
      </c>
      <c r="M208" s="59" t="s">
        <v>364</v>
      </c>
      <c r="N208" s="114">
        <v>3</v>
      </c>
      <c r="O208" s="17">
        <v>4</v>
      </c>
      <c r="P208" s="101"/>
      <c r="Q208" s="17"/>
      <c r="R208" s="59"/>
      <c r="S208" s="17"/>
      <c r="T208" s="59"/>
      <c r="U208" s="17"/>
      <c r="V208" s="59"/>
      <c r="W208" s="17"/>
      <c r="X208" s="17"/>
      <c r="Y208" s="17"/>
      <c r="Z208" s="17"/>
      <c r="AA208" s="17"/>
      <c r="AB208" s="59"/>
      <c r="AC208" s="17"/>
      <c r="AD208" s="59"/>
      <c r="AE208" s="17"/>
      <c r="AF208" s="101"/>
      <c r="AG208" s="109"/>
      <c r="AH208" s="17"/>
      <c r="AI208" s="17"/>
      <c r="AJ208" s="17"/>
      <c r="AK208" s="59"/>
      <c r="AL208" s="59"/>
      <c r="AM208" s="101"/>
      <c r="AN208" s="17"/>
      <c r="AO208" s="101"/>
      <c r="AP208" s="59"/>
      <c r="AQ208" s="86"/>
      <c r="AR208">
        <f>F208 +G208</f>
        <v>6</v>
      </c>
    </row>
    <row r="209" spans="1:44" x14ac:dyDescent="0.25">
      <c r="A209" t="str">
        <f>B209 &amp; " - " &amp;E209</f>
        <v>Middlesbrough - de Roon</v>
      </c>
      <c r="B209" t="s">
        <v>1324</v>
      </c>
      <c r="C209" t="str">
        <f ca="1">IFERROR(VLOOKUP(INDEX(OFFSET(_JOUEURS,0,0,,1),MATCH(A209,OFFSET(_JOUEURS,0,1,,1),0)),_MPG,2,FALSE),"")</f>
        <v/>
      </c>
      <c r="D209" s="104" t="s">
        <v>369</v>
      </c>
      <c r="E209" s="29" t="s">
        <v>1314</v>
      </c>
      <c r="F209" s="101">
        <v>3</v>
      </c>
      <c r="G209" s="101">
        <v>1</v>
      </c>
      <c r="H209" s="109"/>
      <c r="I209" s="27">
        <f>AVERAGE(J209,N209,O209)</f>
        <v>4.333333333333333</v>
      </c>
      <c r="J209" s="89">
        <v>5</v>
      </c>
      <c r="K209" s="59"/>
      <c r="L209" s="59"/>
      <c r="M209" s="28" t="s">
        <v>364</v>
      </c>
      <c r="N209" s="17">
        <v>4</v>
      </c>
      <c r="O209" s="17">
        <v>4</v>
      </c>
      <c r="P209" s="101"/>
      <c r="Q209" s="17"/>
      <c r="R209" s="17"/>
      <c r="S209" s="17"/>
      <c r="T209" s="17"/>
      <c r="U209" s="17"/>
      <c r="V209" s="17"/>
      <c r="W209" s="17"/>
      <c r="X209" s="59"/>
      <c r="Y209" s="17"/>
      <c r="Z209" s="17"/>
      <c r="AA209" s="17"/>
      <c r="AB209" s="17"/>
      <c r="AC209" s="17"/>
      <c r="AD209" s="17"/>
      <c r="AE209" s="17"/>
      <c r="AF209" s="99"/>
      <c r="AG209" s="109"/>
      <c r="AH209" s="17"/>
      <c r="AI209" s="17"/>
      <c r="AJ209" s="17"/>
      <c r="AK209" s="17"/>
      <c r="AL209" s="17"/>
      <c r="AM209" s="101"/>
      <c r="AN209" s="17"/>
      <c r="AO209" s="101"/>
      <c r="AP209" s="17"/>
      <c r="AQ209" s="101"/>
      <c r="AR209">
        <f>F209 +G209</f>
        <v>4</v>
      </c>
    </row>
    <row r="210" spans="1:44" x14ac:dyDescent="0.25">
      <c r="A210" t="str">
        <f>B210 &amp; " - " &amp;E210</f>
        <v>Middlesbrough - Downing</v>
      </c>
      <c r="B210" t="s">
        <v>1324</v>
      </c>
      <c r="C210" t="str">
        <f ca="1">IFERROR(VLOOKUP(INDEX(OFFSET(_JOUEURS,0,0,,1),MATCH(A210,OFFSET(_JOUEURS,0,1,,1),0)),_MPG,2,FALSE),"")</f>
        <v/>
      </c>
      <c r="D210" s="104" t="s">
        <v>369</v>
      </c>
      <c r="E210" s="29" t="s">
        <v>1315</v>
      </c>
      <c r="F210" s="101">
        <v>6</v>
      </c>
      <c r="G210" s="101"/>
      <c r="H210" s="109"/>
      <c r="I210" s="27">
        <f>AVERAGE(J210,K210,L210,M210,N210,O210)</f>
        <v>5.166666666666667</v>
      </c>
      <c r="J210" s="89">
        <v>5</v>
      </c>
      <c r="K210" s="136">
        <v>5</v>
      </c>
      <c r="L210" s="28">
        <v>5</v>
      </c>
      <c r="M210" s="59">
        <v>6</v>
      </c>
      <c r="N210" s="17">
        <v>4</v>
      </c>
      <c r="O210" s="17">
        <v>6</v>
      </c>
      <c r="P210" s="101"/>
      <c r="Q210" s="17"/>
      <c r="R210" s="17"/>
      <c r="S210" s="17"/>
      <c r="T210" s="17"/>
      <c r="U210" s="17"/>
      <c r="V210" s="85"/>
      <c r="W210" s="17"/>
      <c r="X210" s="17"/>
      <c r="Y210" s="17"/>
      <c r="Z210" s="17"/>
      <c r="AA210" s="17"/>
      <c r="AB210" s="17"/>
      <c r="AC210" s="17"/>
      <c r="AD210" s="17"/>
      <c r="AE210" s="17"/>
      <c r="AF210" s="101"/>
      <c r="AG210" s="109"/>
      <c r="AH210" s="17"/>
      <c r="AI210" s="17"/>
      <c r="AJ210" s="17"/>
      <c r="AK210" s="17"/>
      <c r="AL210" s="17"/>
      <c r="AM210" s="101"/>
      <c r="AN210" s="17"/>
      <c r="AO210" s="101"/>
      <c r="AP210" s="17"/>
      <c r="AQ210" s="101"/>
      <c r="AR210">
        <f>F210 +G210</f>
        <v>6</v>
      </c>
    </row>
    <row r="211" spans="1:44" x14ac:dyDescent="0.25">
      <c r="A211" t="str">
        <f>B211 &amp; " - " &amp;E211</f>
        <v>Middlesbrough - Forshaw</v>
      </c>
      <c r="B211" t="s">
        <v>1324</v>
      </c>
      <c r="C211" t="str">
        <f ca="1">IFERROR(VLOOKUP(INDEX(OFFSET(_JOUEURS,0,0,,1),MATCH(A211,OFFSET(_JOUEURS,0,1,,1),0)),_MPG,2,FALSE),"")</f>
        <v/>
      </c>
      <c r="D211" s="80" t="s">
        <v>369</v>
      </c>
      <c r="E211" s="69" t="s">
        <v>1316</v>
      </c>
      <c r="F211" s="123">
        <v>4</v>
      </c>
      <c r="G211" s="123">
        <v>2</v>
      </c>
      <c r="H211" s="111"/>
      <c r="I211" s="55">
        <f>AVERAGE(K211,L211,M211,N211)</f>
        <v>5.25</v>
      </c>
      <c r="J211" s="79" t="s">
        <v>364</v>
      </c>
      <c r="K211" s="136">
        <v>6</v>
      </c>
      <c r="L211" s="136">
        <v>5</v>
      </c>
      <c r="M211" s="28">
        <v>5</v>
      </c>
      <c r="N211" s="17">
        <v>5</v>
      </c>
      <c r="O211" s="28" t="s">
        <v>364</v>
      </c>
      <c r="P211" s="99"/>
      <c r="Q211" s="59"/>
      <c r="R211" s="59"/>
      <c r="S211" s="17"/>
      <c r="T211" s="17"/>
      <c r="U211" s="59"/>
      <c r="V211" s="59"/>
      <c r="W211" s="17"/>
      <c r="X211" s="17"/>
      <c r="Y211" s="59"/>
      <c r="Z211" s="84"/>
      <c r="AA211" s="59"/>
      <c r="AB211" s="59"/>
      <c r="AC211" s="59"/>
      <c r="AD211" s="17"/>
      <c r="AE211" s="17"/>
      <c r="AF211" s="101"/>
      <c r="AG211" s="109"/>
      <c r="AH211" s="17"/>
      <c r="AI211" s="17"/>
      <c r="AJ211" s="17"/>
      <c r="AK211" s="17"/>
      <c r="AL211" s="17"/>
      <c r="AM211" s="101"/>
      <c r="AN211" s="17"/>
      <c r="AO211" s="101"/>
      <c r="AP211" s="59"/>
      <c r="AQ211" s="99"/>
      <c r="AR211">
        <f>F211 +G211</f>
        <v>6</v>
      </c>
    </row>
    <row r="212" spans="1:44" x14ac:dyDescent="0.25">
      <c r="A212" t="str">
        <f>B212 &amp; " - " &amp;E212</f>
        <v>Middlesbrough - Nsue</v>
      </c>
      <c r="B212" t="s">
        <v>1324</v>
      </c>
      <c r="C212" t="str">
        <f ca="1">IFERROR(VLOOKUP(INDEX(OFFSET(_JOUEURS,0,0,,1),MATCH(A212,OFFSET(_JOUEURS,0,1,,1),0)),_MPG,2,FALSE),"")</f>
        <v/>
      </c>
      <c r="D212" s="152" t="s">
        <v>369</v>
      </c>
      <c r="E212" s="29" t="s">
        <v>1317</v>
      </c>
      <c r="F212" s="106">
        <v>4</v>
      </c>
      <c r="G212" s="101"/>
      <c r="H212" s="89"/>
      <c r="I212" s="27">
        <f>AVERAGE(J212,K212,L212,N212)</f>
        <v>4.75</v>
      </c>
      <c r="J212" s="124">
        <v>5</v>
      </c>
      <c r="K212" s="17">
        <v>5</v>
      </c>
      <c r="L212" s="183">
        <v>5</v>
      </c>
      <c r="M212" s="85"/>
      <c r="N212" s="17">
        <v>4</v>
      </c>
      <c r="O212" s="59"/>
      <c r="P212" s="99"/>
      <c r="Q212" s="59"/>
      <c r="R212" s="59"/>
      <c r="S212" s="17"/>
      <c r="T212" s="17"/>
      <c r="U212" s="59"/>
      <c r="V212" s="59"/>
      <c r="W212" s="17"/>
      <c r="X212" s="17"/>
      <c r="Y212" s="59"/>
      <c r="Z212" s="17"/>
      <c r="AA212" s="59"/>
      <c r="AB212" s="59"/>
      <c r="AC212" s="59"/>
      <c r="AD212" s="17"/>
      <c r="AE212" s="17"/>
      <c r="AF212" s="101"/>
      <c r="AG212" s="101"/>
      <c r="AH212" s="17"/>
      <c r="AI212" s="17"/>
      <c r="AJ212" s="17"/>
      <c r="AK212" s="17"/>
      <c r="AL212" s="17"/>
      <c r="AM212" s="101"/>
      <c r="AN212" s="17"/>
      <c r="AO212" s="101"/>
      <c r="AP212" s="59"/>
      <c r="AQ212" s="99"/>
      <c r="AR212">
        <f>F212 +G212</f>
        <v>4</v>
      </c>
    </row>
    <row r="213" spans="1:44" x14ac:dyDescent="0.25">
      <c r="A213" t="str">
        <f>B213 &amp; " - " &amp;E213</f>
        <v>Middlesbrough - Traoré</v>
      </c>
      <c r="B213" t="s">
        <v>1324</v>
      </c>
      <c r="C213" t="str">
        <f ca="1">IFERROR(VLOOKUP(INDEX(OFFSET(_JOUEURS,0,0,,1),MATCH(A213,OFFSET(_JOUEURS,0,1,,1),0)),_MPG,2,FALSE),"")</f>
        <v/>
      </c>
      <c r="D213" s="104" t="s">
        <v>369</v>
      </c>
      <c r="E213" s="29" t="s">
        <v>434</v>
      </c>
      <c r="F213" s="106"/>
      <c r="G213" s="101">
        <v>2</v>
      </c>
      <c r="H213" s="109"/>
      <c r="I213" s="27"/>
      <c r="J213" s="89"/>
      <c r="K213" s="130"/>
      <c r="L213" s="136"/>
      <c r="M213" s="28" t="s">
        <v>364</v>
      </c>
      <c r="N213" s="17"/>
      <c r="O213" s="28" t="s">
        <v>364</v>
      </c>
      <c r="P213" s="99"/>
      <c r="Q213" s="59"/>
      <c r="R213" s="59"/>
      <c r="S213" s="17"/>
      <c r="T213" s="17"/>
      <c r="U213" s="59"/>
      <c r="V213" s="59"/>
      <c r="W213" s="17"/>
      <c r="X213" s="17"/>
      <c r="Y213" s="59"/>
      <c r="Z213" s="17"/>
      <c r="AA213" s="59"/>
      <c r="AB213" s="59"/>
      <c r="AC213" s="59"/>
      <c r="AD213" s="17"/>
      <c r="AE213" s="17"/>
      <c r="AF213" s="101"/>
      <c r="AG213" s="109"/>
      <c r="AH213" s="17"/>
      <c r="AI213" s="59"/>
      <c r="AJ213" s="17"/>
      <c r="AK213" s="59"/>
      <c r="AL213" s="17"/>
      <c r="AM213" s="101"/>
      <c r="AN213" s="85"/>
      <c r="AO213" s="101"/>
      <c r="AP213" s="17"/>
      <c r="AQ213" s="99"/>
      <c r="AR213">
        <f>F213 +G213</f>
        <v>2</v>
      </c>
    </row>
    <row r="214" spans="1:44" x14ac:dyDescent="0.25">
      <c r="A214" t="str">
        <f>B214 &amp; " - " &amp;E214</f>
        <v>Middlesbrough - de Sart</v>
      </c>
      <c r="B214" t="s">
        <v>1324</v>
      </c>
      <c r="C214" t="str">
        <f ca="1">IFERROR(VLOOKUP(INDEX(OFFSET(_JOUEURS,0,0,,1),MATCH(A214,OFFSET(_JOUEURS,0,1,,1),0)),_MPG,2,FALSE),"")</f>
        <v/>
      </c>
      <c r="D214" s="104" t="s">
        <v>369</v>
      </c>
      <c r="E214" s="29" t="s">
        <v>1318</v>
      </c>
      <c r="F214" s="106"/>
      <c r="G214" s="101"/>
      <c r="H214" s="109"/>
      <c r="I214" s="27"/>
      <c r="J214" s="89"/>
      <c r="K214" s="59"/>
      <c r="L214" s="59"/>
      <c r="M214" s="84"/>
      <c r="N214" s="85"/>
      <c r="O214" s="59"/>
      <c r="P214" s="99"/>
      <c r="Q214" s="59"/>
      <c r="R214" s="17"/>
      <c r="S214" s="17"/>
      <c r="T214" s="59"/>
      <c r="U214" s="59"/>
      <c r="V214" s="59"/>
      <c r="W214" s="59"/>
      <c r="X214" s="59"/>
      <c r="Y214" s="59"/>
      <c r="Z214" s="17"/>
      <c r="AA214" s="17"/>
      <c r="AB214" s="59"/>
      <c r="AC214" s="59"/>
      <c r="AD214" s="59"/>
      <c r="AE214" s="59"/>
      <c r="AF214" s="99"/>
      <c r="AG214" s="109"/>
      <c r="AH214" s="59"/>
      <c r="AI214" s="17"/>
      <c r="AJ214" s="59"/>
      <c r="AK214" s="17"/>
      <c r="AL214" s="59"/>
      <c r="AM214" s="99"/>
      <c r="AN214" s="59"/>
      <c r="AO214" s="99"/>
      <c r="AP214" s="59"/>
      <c r="AQ214" s="101"/>
      <c r="AR214">
        <f>F214 +G214</f>
        <v>0</v>
      </c>
    </row>
    <row r="215" spans="1:44" x14ac:dyDescent="0.25">
      <c r="A215" t="str">
        <f>B215 &amp; " - " &amp;E215</f>
        <v>Stoke City - Imbula</v>
      </c>
      <c r="B215" t="s">
        <v>1347</v>
      </c>
      <c r="C215" t="str">
        <f ca="1">IFERROR(VLOOKUP(INDEX(OFFSET(_JOUEURS,0,0,,1),MATCH(A215,OFFSET(_JOUEURS,0,1,,1),0)),_MPG,2,FALSE),"")</f>
        <v/>
      </c>
      <c r="D215" s="23" t="s">
        <v>369</v>
      </c>
      <c r="E215" s="24" t="s">
        <v>1335</v>
      </c>
      <c r="F215" s="25">
        <v>4</v>
      </c>
      <c r="G215" s="77"/>
      <c r="H215" s="24"/>
      <c r="I215" s="27">
        <f>AVERAGE(J215,K215,L215,M215)</f>
        <v>3.75</v>
      </c>
      <c r="J215" s="89">
        <v>5</v>
      </c>
      <c r="K215" s="114">
        <v>3</v>
      </c>
      <c r="L215" s="59">
        <v>4</v>
      </c>
      <c r="M215" s="114">
        <v>3</v>
      </c>
      <c r="N215" s="17"/>
      <c r="O215" s="17"/>
      <c r="P215" s="99"/>
      <c r="Q215" s="17"/>
      <c r="R215" s="17"/>
      <c r="S215" s="59"/>
      <c r="T215" s="17"/>
      <c r="U215" s="17"/>
      <c r="V215" s="17"/>
      <c r="W215" s="17"/>
      <c r="X215" s="17"/>
      <c r="Y215" s="17"/>
      <c r="Z215" s="17"/>
      <c r="AA215" s="17"/>
      <c r="AB215" s="17"/>
      <c r="AC215" s="17"/>
      <c r="AD215" s="17"/>
      <c r="AE215" s="17"/>
      <c r="AF215" s="99"/>
      <c r="AG215" s="109"/>
      <c r="AH215" s="59"/>
      <c r="AI215" s="59"/>
      <c r="AJ215" s="17"/>
      <c r="AK215" s="59"/>
      <c r="AL215" s="17"/>
      <c r="AM215" s="101"/>
      <c r="AN215" s="17"/>
      <c r="AO215" s="101"/>
      <c r="AP215" s="17"/>
      <c r="AQ215" s="99"/>
      <c r="AR215">
        <f>F215 +G215</f>
        <v>4</v>
      </c>
    </row>
    <row r="216" spans="1:44" x14ac:dyDescent="0.25">
      <c r="A216" t="str">
        <f>B216 &amp; " - " &amp;E216</f>
        <v>Stoke City - Whelan</v>
      </c>
      <c r="B216" t="s">
        <v>1347</v>
      </c>
      <c r="C216" t="str">
        <f ca="1">IFERROR(VLOOKUP(INDEX(OFFSET(_JOUEURS,0,0,,1),MATCH(A216,OFFSET(_JOUEURS,0,1,,1),0)),_MPG,2,FALSE),"")</f>
        <v/>
      </c>
      <c r="D216" s="23" t="s">
        <v>369</v>
      </c>
      <c r="E216" s="29" t="s">
        <v>1336</v>
      </c>
      <c r="F216" s="25">
        <v>6</v>
      </c>
      <c r="G216" s="77"/>
      <c r="H216" s="24"/>
      <c r="I216" s="27">
        <f>AVERAGE(J216,K216,L216,M216,N216,O216)</f>
        <v>4.166666666666667</v>
      </c>
      <c r="J216" s="124">
        <v>5</v>
      </c>
      <c r="K216" s="17">
        <v>4</v>
      </c>
      <c r="L216" s="59">
        <v>5</v>
      </c>
      <c r="M216" s="114">
        <v>3</v>
      </c>
      <c r="N216" s="145">
        <v>3</v>
      </c>
      <c r="O216" s="59">
        <v>5</v>
      </c>
      <c r="P216" s="99"/>
      <c r="Q216" s="59"/>
      <c r="R216" s="59"/>
      <c r="S216" s="17"/>
      <c r="T216" s="59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99"/>
      <c r="AG216" s="109"/>
      <c r="AH216" s="59"/>
      <c r="AI216" s="59"/>
      <c r="AJ216" s="17"/>
      <c r="AK216" s="59"/>
      <c r="AL216" s="17"/>
      <c r="AM216" s="99"/>
      <c r="AN216" s="17"/>
      <c r="AO216" s="101"/>
      <c r="AP216" s="17"/>
      <c r="AQ216" s="99"/>
      <c r="AR216">
        <f>F216 +G216</f>
        <v>6</v>
      </c>
    </row>
    <row r="217" spans="1:44" x14ac:dyDescent="0.25">
      <c r="A217" t="str">
        <f>B217 &amp; " - " &amp;E217</f>
        <v>Stoke City - Sobhi</v>
      </c>
      <c r="B217" t="s">
        <v>1347</v>
      </c>
      <c r="C217" t="str">
        <f ca="1">IFERROR(VLOOKUP(INDEX(OFFSET(_JOUEURS,0,0,,1),MATCH(A217,OFFSET(_JOUEURS,0,1,,1),0)),_MPG,2,FALSE),"")</f>
        <v/>
      </c>
      <c r="D217" s="23" t="s">
        <v>369</v>
      </c>
      <c r="E217" s="29" t="s">
        <v>1339</v>
      </c>
      <c r="F217" s="25"/>
      <c r="G217" s="77">
        <v>2</v>
      </c>
      <c r="H217" s="24"/>
      <c r="I217" s="27"/>
      <c r="J217" s="124"/>
      <c r="K217" s="28" t="s">
        <v>364</v>
      </c>
      <c r="L217" s="28" t="s">
        <v>364</v>
      </c>
      <c r="M217" s="17"/>
      <c r="N217" s="59"/>
      <c r="O217" s="59"/>
      <c r="P217" s="99"/>
      <c r="Q217" s="17"/>
      <c r="R217" s="59"/>
      <c r="S217" s="17"/>
      <c r="T217" s="59"/>
      <c r="U217" s="59"/>
      <c r="V217" s="17"/>
      <c r="W217" s="17"/>
      <c r="X217" s="17"/>
      <c r="Y217" s="17"/>
      <c r="Z217" s="59"/>
      <c r="AA217" s="59"/>
      <c r="AB217" s="17"/>
      <c r="AC217" s="59"/>
      <c r="AD217" s="59"/>
      <c r="AE217" s="17"/>
      <c r="AF217" s="99"/>
      <c r="AG217" s="89"/>
      <c r="AH217" s="59"/>
      <c r="AI217" s="59"/>
      <c r="AJ217" s="17"/>
      <c r="AK217" s="59"/>
      <c r="AL217" s="17"/>
      <c r="AM217" s="101"/>
      <c r="AN217" s="17"/>
      <c r="AO217" s="99"/>
      <c r="AP217" s="17"/>
      <c r="AQ217" s="99"/>
      <c r="AR217">
        <f>F217 +G217</f>
        <v>2</v>
      </c>
    </row>
    <row r="218" spans="1:44" x14ac:dyDescent="0.25">
      <c r="A218" t="str">
        <f>B218 &amp; " - " &amp;E218</f>
        <v>Stoke City - Adam</v>
      </c>
      <c r="B218" t="s">
        <v>1347</v>
      </c>
      <c r="C218" t="str">
        <f ca="1">IFERROR(VLOOKUP(INDEX(OFFSET(_JOUEURS,0,0,,1),MATCH(A218,OFFSET(_JOUEURS,0,1,,1),0)),_MPG,2,FALSE),"")</f>
        <v/>
      </c>
      <c r="D218" s="23" t="s">
        <v>369</v>
      </c>
      <c r="E218" s="29" t="s">
        <v>319</v>
      </c>
      <c r="F218" s="25"/>
      <c r="G218" s="77">
        <v>1</v>
      </c>
      <c r="H218" s="24"/>
      <c r="I218" s="27"/>
      <c r="J218" s="124"/>
      <c r="K218" s="17"/>
      <c r="L218" s="59"/>
      <c r="M218" s="28" t="s">
        <v>364</v>
      </c>
      <c r="N218" s="59"/>
      <c r="O218" s="28" t="s">
        <v>364</v>
      </c>
      <c r="P218" s="99"/>
      <c r="Q218" s="17"/>
      <c r="R218" s="59"/>
      <c r="S218" s="59"/>
      <c r="T218" s="59"/>
      <c r="U218" s="59"/>
      <c r="V218" s="17"/>
      <c r="W218" s="17"/>
      <c r="X218" s="59"/>
      <c r="Y218" s="59"/>
      <c r="Z218" s="17"/>
      <c r="AA218" s="17"/>
      <c r="AB218" s="17"/>
      <c r="AC218" s="17"/>
      <c r="AD218" s="17"/>
      <c r="AE218" s="17"/>
      <c r="AF218" s="99"/>
      <c r="AG218" s="109"/>
      <c r="AH218" s="59"/>
      <c r="AI218" s="59"/>
      <c r="AJ218" s="17"/>
      <c r="AK218" s="59"/>
      <c r="AL218" s="17"/>
      <c r="AM218" s="101"/>
      <c r="AN218" s="17"/>
      <c r="AO218" s="101"/>
      <c r="AP218" s="17"/>
      <c r="AQ218" s="99"/>
      <c r="AR218">
        <f>F218 +G218</f>
        <v>1</v>
      </c>
    </row>
    <row r="219" spans="1:44" ht="15.75" thickBot="1" x14ac:dyDescent="0.3">
      <c r="A219" t="str">
        <f>B219 &amp; " - " &amp;E219</f>
        <v>Stoke City - Afellay</v>
      </c>
      <c r="B219" t="s">
        <v>1347</v>
      </c>
      <c r="C219" t="str">
        <f ca="1">IFERROR(VLOOKUP(INDEX(OFFSET(_JOUEURS,0,0,,1),MATCH(A219,OFFSET(_JOUEURS,0,1,,1),0)),_MPG,2,FALSE),"")</f>
        <v/>
      </c>
      <c r="D219" s="71" t="s">
        <v>369</v>
      </c>
      <c r="E219" s="116" t="s">
        <v>1340</v>
      </c>
      <c r="F219" s="73"/>
      <c r="G219" s="91"/>
      <c r="H219" s="100"/>
      <c r="I219" s="92"/>
      <c r="J219" s="229"/>
      <c r="K219" s="17"/>
      <c r="L219" s="59"/>
      <c r="M219" s="17"/>
      <c r="N219" s="59"/>
      <c r="O219" s="17"/>
      <c r="P219" s="99"/>
      <c r="Q219" s="17"/>
      <c r="R219" s="59"/>
      <c r="S219" s="59"/>
      <c r="T219" s="59"/>
      <c r="U219" s="59"/>
      <c r="V219" s="17"/>
      <c r="W219" s="17"/>
      <c r="X219" s="59"/>
      <c r="Y219" s="59"/>
      <c r="Z219" s="17"/>
      <c r="AA219" s="17"/>
      <c r="AB219" s="17"/>
      <c r="AC219" s="17"/>
      <c r="AD219" s="17"/>
      <c r="AE219" s="17"/>
      <c r="AF219" s="99"/>
      <c r="AG219" s="109"/>
      <c r="AH219" s="59"/>
      <c r="AI219" s="59"/>
      <c r="AJ219" s="17"/>
      <c r="AK219" s="59"/>
      <c r="AL219" s="17"/>
      <c r="AM219" s="101"/>
      <c r="AN219" s="17"/>
      <c r="AO219" s="101"/>
      <c r="AP219" s="17"/>
      <c r="AQ219" s="99"/>
      <c r="AR219">
        <f>F219 +G219</f>
        <v>0</v>
      </c>
    </row>
    <row r="220" spans="1:44" x14ac:dyDescent="0.25">
      <c r="A220" t="str">
        <f>B220 &amp; " - " &amp;E220</f>
        <v>Stoke City - Ireland</v>
      </c>
      <c r="B220" t="s">
        <v>1347</v>
      </c>
      <c r="C220" t="str">
        <f ca="1">IFERROR(VLOOKUP(INDEX(OFFSET(_JOUEURS,0,0,,1),MATCH(A220,OFFSET(_JOUEURS,0,1,,1),0)),_MPG,2,FALSE),"")</f>
        <v/>
      </c>
      <c r="D220" s="12" t="s">
        <v>369</v>
      </c>
      <c r="E220" s="217" t="s">
        <v>1341</v>
      </c>
      <c r="F220" s="13"/>
      <c r="G220" s="75"/>
      <c r="H220" s="112"/>
      <c r="I220" s="14"/>
      <c r="J220" s="109"/>
      <c r="K220" s="101"/>
      <c r="L220" s="99"/>
      <c r="M220" s="17"/>
      <c r="N220" s="59"/>
      <c r="O220" s="17"/>
      <c r="P220" s="59"/>
      <c r="Q220" s="17"/>
      <c r="R220" s="59"/>
      <c r="S220" s="59"/>
      <c r="T220" s="59"/>
      <c r="U220" s="59"/>
      <c r="V220" s="17"/>
      <c r="W220" s="17"/>
      <c r="X220" s="59"/>
      <c r="Y220" s="59"/>
      <c r="Z220" s="17"/>
      <c r="AA220" s="17"/>
      <c r="AB220" s="17"/>
      <c r="AC220" s="17"/>
      <c r="AD220" s="17"/>
      <c r="AE220" s="17"/>
      <c r="AF220" s="59"/>
      <c r="AG220" s="17"/>
      <c r="AH220" s="59"/>
      <c r="AI220" s="99"/>
      <c r="AJ220" s="17"/>
      <c r="AK220" s="59"/>
      <c r="AL220" s="17"/>
      <c r="AM220" s="101"/>
      <c r="AN220" s="101"/>
      <c r="AO220" s="17"/>
      <c r="AP220" s="101"/>
      <c r="AQ220" s="59"/>
      <c r="AR220">
        <f>F220 +G220</f>
        <v>0</v>
      </c>
    </row>
    <row r="221" spans="1:44" x14ac:dyDescent="0.25">
      <c r="A221" t="str">
        <f>B221 &amp; " - " &amp;E221</f>
        <v>Southampton - Davis</v>
      </c>
      <c r="B221" t="s">
        <v>1367</v>
      </c>
      <c r="C221" t="str">
        <f ca="1">IFERROR(VLOOKUP(INDEX(OFFSET(_JOUEURS,0,0,,1),MATCH(A221,OFFSET(_JOUEURS,0,1,,1),0)),_MPG,2,FALSE),"")</f>
        <v/>
      </c>
      <c r="D221" s="80" t="s">
        <v>369</v>
      </c>
      <c r="E221" s="69" t="s">
        <v>1357</v>
      </c>
      <c r="F221" s="195">
        <v>6</v>
      </c>
      <c r="G221" s="196"/>
      <c r="H221" s="197"/>
      <c r="I221" s="55">
        <f>AVERAGE(J221,K221,L221,M221,N221,O221)</f>
        <v>5.333333333333333</v>
      </c>
      <c r="J221" s="109">
        <v>5</v>
      </c>
      <c r="K221" s="28">
        <v>5</v>
      </c>
      <c r="L221" s="28">
        <v>5</v>
      </c>
      <c r="M221" s="18">
        <v>5</v>
      </c>
      <c r="N221" s="18">
        <v>6</v>
      </c>
      <c r="O221" s="18">
        <v>6</v>
      </c>
      <c r="P221" s="18"/>
      <c r="Q221" s="60"/>
      <c r="R221" s="28"/>
      <c r="S221" s="28"/>
      <c r="T221" s="60"/>
      <c r="U221" s="18"/>
      <c r="V221" s="28"/>
      <c r="W221" s="18"/>
      <c r="X221" s="28"/>
      <c r="Y221" s="28"/>
      <c r="Z221" s="28"/>
      <c r="AA221" s="59"/>
      <c r="AB221" s="28"/>
      <c r="AC221" s="28"/>
      <c r="AD221" s="59"/>
      <c r="AE221" s="16"/>
      <c r="AF221" s="28"/>
      <c r="AG221" s="60"/>
      <c r="AH221" s="28"/>
      <c r="AI221" s="74"/>
      <c r="AJ221" s="18"/>
      <c r="AK221" s="28"/>
      <c r="AL221" s="18"/>
      <c r="AM221" s="20"/>
      <c r="AN221" s="20"/>
      <c r="AO221" s="17"/>
      <c r="AP221" s="99"/>
      <c r="AQ221" s="16"/>
      <c r="AR221">
        <f>F221 +G221</f>
        <v>6</v>
      </c>
    </row>
    <row r="222" spans="1:44" x14ac:dyDescent="0.25">
      <c r="A222" t="str">
        <f>B222 &amp; " - " &amp;E222</f>
        <v>Southampton - Romeu</v>
      </c>
      <c r="B222" t="s">
        <v>1367</v>
      </c>
      <c r="C222" t="str">
        <f ca="1">IFERROR(VLOOKUP(INDEX(OFFSET(_JOUEURS,0,0,,1),MATCH(A222,OFFSET(_JOUEURS,0,1,,1),0)),_MPG,2,FALSE),"")</f>
        <v/>
      </c>
      <c r="D222" s="104" t="s">
        <v>369</v>
      </c>
      <c r="E222" s="29" t="s">
        <v>1358</v>
      </c>
      <c r="F222" s="194">
        <v>6</v>
      </c>
      <c r="G222" s="21"/>
      <c r="H222" s="163"/>
      <c r="I222" s="27">
        <f>AVERAGE(J222,K222,L222,M222,N222,O222)</f>
        <v>5.666666666666667</v>
      </c>
      <c r="J222" s="70">
        <v>6</v>
      </c>
      <c r="K222" s="28">
        <v>5</v>
      </c>
      <c r="L222" s="28">
        <v>6</v>
      </c>
      <c r="M222" s="17">
        <v>6</v>
      </c>
      <c r="N222" s="18">
        <v>6</v>
      </c>
      <c r="O222" s="18">
        <v>5</v>
      </c>
      <c r="P222" s="18"/>
      <c r="Q222" s="28"/>
      <c r="R222" s="18"/>
      <c r="S222" s="28"/>
      <c r="T222" s="28"/>
      <c r="U222" s="18"/>
      <c r="V222" s="28"/>
      <c r="W222" s="18"/>
      <c r="X222" s="28"/>
      <c r="Y222" s="28"/>
      <c r="Z222" s="18"/>
      <c r="AA222" s="28"/>
      <c r="AB222" s="18"/>
      <c r="AC222" s="18"/>
      <c r="AD222" s="18"/>
      <c r="AE222" s="18"/>
      <c r="AF222" s="28"/>
      <c r="AG222" s="28"/>
      <c r="AH222" s="60"/>
      <c r="AI222" s="20"/>
      <c r="AJ222" s="18"/>
      <c r="AK222" s="28"/>
      <c r="AL222" s="18"/>
      <c r="AM222" s="20"/>
      <c r="AN222" s="20"/>
      <c r="AO222" s="18"/>
      <c r="AP222" s="20"/>
      <c r="AQ222" s="18"/>
      <c r="AR222">
        <f>F222 +G222</f>
        <v>6</v>
      </c>
    </row>
    <row r="223" spans="1:44" x14ac:dyDescent="0.25">
      <c r="A223" t="str">
        <f>B223 &amp; " - " &amp;E223</f>
        <v>Southampton - Hojbjerg</v>
      </c>
      <c r="B223" t="s">
        <v>1367</v>
      </c>
      <c r="C223" t="str">
        <f ca="1">IFERROR(VLOOKUP(INDEX(OFFSET(_JOUEURS,0,0,,1),MATCH(A223,OFFSET(_JOUEURS,0,1,,1),0)),_MPG,2,FALSE),"")</f>
        <v/>
      </c>
      <c r="D223" s="104" t="s">
        <v>369</v>
      </c>
      <c r="E223" s="29" t="s">
        <v>1361</v>
      </c>
      <c r="F223" s="194">
        <v>3</v>
      </c>
      <c r="G223" s="21">
        <v>3</v>
      </c>
      <c r="H223" s="163"/>
      <c r="I223" s="27">
        <f>AVERAGE(K223,L223,O223)</f>
        <v>6.333333333333333</v>
      </c>
      <c r="J223" s="70" t="s">
        <v>364</v>
      </c>
      <c r="K223" s="15">
        <v>6</v>
      </c>
      <c r="L223" s="28">
        <v>6</v>
      </c>
      <c r="M223" s="59" t="s">
        <v>364</v>
      </c>
      <c r="N223" s="28" t="s">
        <v>364</v>
      </c>
      <c r="O223" s="67">
        <v>7</v>
      </c>
      <c r="P223" s="28"/>
      <c r="Q223" s="28"/>
      <c r="R223" s="18"/>
      <c r="S223" s="28"/>
      <c r="T223" s="28"/>
      <c r="U223" s="18"/>
      <c r="V223" s="28"/>
      <c r="W223" s="18"/>
      <c r="X223" s="28"/>
      <c r="Y223" s="28"/>
      <c r="Z223" s="28"/>
      <c r="AA223" s="28"/>
      <c r="AB223" s="18"/>
      <c r="AC223" s="18"/>
      <c r="AD223" s="18"/>
      <c r="AE223" s="28"/>
      <c r="AF223" s="28"/>
      <c r="AG223" s="18"/>
      <c r="AH223" s="28"/>
      <c r="AI223" s="21"/>
      <c r="AJ223" s="18"/>
      <c r="AK223" s="28"/>
      <c r="AL223" s="18"/>
      <c r="AM223" s="20"/>
      <c r="AN223" s="20"/>
      <c r="AO223" s="18"/>
      <c r="AP223" s="20"/>
      <c r="AQ223" s="18"/>
      <c r="AR223">
        <f>F223 +G223</f>
        <v>6</v>
      </c>
    </row>
    <row r="224" spans="1:44" hidden="1" x14ac:dyDescent="0.25">
      <c r="A224" t="str">
        <f>B224 &amp; " - " &amp;E224</f>
        <v>Southampton - Boufal</v>
      </c>
      <c r="B224" t="s">
        <v>1367</v>
      </c>
      <c r="C224" t="str">
        <f ca="1">IFERROR(VLOOKUP(INDEX(OFFSET(_JOUEURS,0,0,,1),MATCH(A224,OFFSET(_JOUEURS,0,1,,1),0)),_MPG,2,FALSE),"")</f>
        <v>Fuck-Tonio FC</v>
      </c>
      <c r="D224" s="104" t="s">
        <v>369</v>
      </c>
      <c r="E224" s="29" t="s">
        <v>188</v>
      </c>
      <c r="F224" s="194"/>
      <c r="G224" s="21"/>
      <c r="H224" s="163"/>
      <c r="I224" s="27"/>
      <c r="K224" s="15"/>
      <c r="L224" s="28"/>
      <c r="M224" s="59"/>
      <c r="N224" s="59"/>
      <c r="O224" s="60"/>
      <c r="P224" s="60"/>
      <c r="Q224" s="28"/>
      <c r="R224" s="18"/>
      <c r="S224" s="28"/>
      <c r="T224" s="28"/>
      <c r="U224" s="18"/>
      <c r="V224" s="28"/>
      <c r="W224" s="18"/>
      <c r="X224" s="28"/>
      <c r="Y224" s="28"/>
      <c r="Z224" s="28"/>
      <c r="AA224" s="28"/>
      <c r="AB224" s="18"/>
      <c r="AC224" s="18"/>
      <c r="AD224" s="16"/>
      <c r="AE224" s="28"/>
      <c r="AF224" s="28"/>
      <c r="AG224" s="18"/>
      <c r="AH224" s="28"/>
      <c r="AI224" s="21"/>
      <c r="AJ224" s="18"/>
      <c r="AK224" s="28"/>
      <c r="AL224" s="16"/>
      <c r="AM224" s="20"/>
      <c r="AN224" s="20"/>
      <c r="AO224" s="18"/>
      <c r="AP224" s="20"/>
      <c r="AQ224" s="28"/>
      <c r="AR224">
        <f>F224 +G224</f>
        <v>0</v>
      </c>
    </row>
    <row r="225" spans="1:44" x14ac:dyDescent="0.25">
      <c r="A225" t="str">
        <f>B225 &amp; " - " &amp;E225</f>
        <v>Southampton - Reed</v>
      </c>
      <c r="B225" t="s">
        <v>1367</v>
      </c>
      <c r="C225" t="str">
        <f ca="1">IFERROR(VLOOKUP(INDEX(OFFSET(_JOUEURS,0,0,,1),MATCH(A225,OFFSET(_JOUEURS,0,1,,1),0)),_MPG,2,FALSE),"")</f>
        <v/>
      </c>
      <c r="D225" s="104" t="s">
        <v>369</v>
      </c>
      <c r="E225" s="109" t="s">
        <v>1362</v>
      </c>
      <c r="F225" s="286"/>
      <c r="G225" s="86"/>
      <c r="H225" s="201"/>
      <c r="I225" s="63"/>
      <c r="J225" s="129"/>
      <c r="K225" s="278"/>
      <c r="L225" s="84"/>
      <c r="M225" s="84"/>
      <c r="N225" s="84"/>
      <c r="O225" s="84"/>
      <c r="P225" s="84"/>
      <c r="Q225" s="84"/>
      <c r="R225" s="84"/>
      <c r="S225" s="84"/>
      <c r="T225" s="84"/>
      <c r="U225" s="84"/>
      <c r="V225" s="84"/>
      <c r="W225" s="84"/>
      <c r="X225" s="84"/>
      <c r="Y225" s="84"/>
      <c r="Z225" s="84"/>
      <c r="AA225" s="84"/>
      <c r="AB225" s="84"/>
      <c r="AC225" s="84"/>
      <c r="AD225" s="84"/>
      <c r="AE225" s="84"/>
      <c r="AF225" s="84"/>
      <c r="AG225" s="84"/>
      <c r="AH225" s="84"/>
      <c r="AI225" s="125"/>
      <c r="AJ225" s="84"/>
      <c r="AK225" s="84"/>
      <c r="AL225" s="84"/>
      <c r="AM225" s="125"/>
      <c r="AN225" s="125"/>
      <c r="AO225" s="84"/>
      <c r="AP225" s="125"/>
      <c r="AQ225" s="84"/>
      <c r="AR225">
        <f>F225 +G225</f>
        <v>0</v>
      </c>
    </row>
    <row r="226" spans="1:44" x14ac:dyDescent="0.25">
      <c r="A226" t="str">
        <f>B226 &amp; " - " &amp;E226</f>
        <v>Watford - Amrabat</v>
      </c>
      <c r="B226" t="s">
        <v>1393</v>
      </c>
      <c r="C226" t="str">
        <f ca="1">IFERROR(VLOOKUP(INDEX(OFFSET(_JOUEURS,0,0,,1),MATCH(A226,OFFSET(_JOUEURS,0,1,,1),0)),_MPG,2,FALSE),"")</f>
        <v/>
      </c>
      <c r="D226" s="104" t="s">
        <v>369</v>
      </c>
      <c r="E226" s="29" t="s">
        <v>1379</v>
      </c>
      <c r="F226" s="106">
        <v>4</v>
      </c>
      <c r="G226" s="101">
        <v>1</v>
      </c>
      <c r="H226" s="36"/>
      <c r="I226" s="27">
        <f>AVERAGE(J226,K226,L226,O226)</f>
        <v>4.25</v>
      </c>
      <c r="J226" s="124">
        <v>5</v>
      </c>
      <c r="K226" s="17">
        <v>5</v>
      </c>
      <c r="L226" s="200">
        <v>3</v>
      </c>
      <c r="M226" s="59"/>
      <c r="N226" s="28" t="s">
        <v>364</v>
      </c>
      <c r="O226" s="59">
        <v>4</v>
      </c>
      <c r="P226" s="59"/>
      <c r="Q226" s="59"/>
      <c r="R226" s="59"/>
      <c r="S226" s="17"/>
      <c r="T226" s="17"/>
      <c r="U226" s="17"/>
      <c r="V226" s="17"/>
      <c r="W226" s="59"/>
      <c r="X226" s="59"/>
      <c r="Y226" s="17"/>
      <c r="Z226" s="59"/>
      <c r="AA226" s="59"/>
      <c r="AB226" s="17"/>
      <c r="AC226" s="59"/>
      <c r="AD226" s="59"/>
      <c r="AE226" s="17"/>
      <c r="AF226" s="17"/>
      <c r="AG226" s="17"/>
      <c r="AH226" s="17"/>
      <c r="AI226" s="101"/>
      <c r="AJ226" s="17"/>
      <c r="AK226" s="17"/>
      <c r="AL226" s="59"/>
      <c r="AM226" s="99"/>
      <c r="AN226" s="99"/>
      <c r="AO226" s="17"/>
      <c r="AP226" s="99"/>
      <c r="AQ226" s="59"/>
      <c r="AR226">
        <f>F226 +G226</f>
        <v>5</v>
      </c>
    </row>
    <row r="227" spans="1:44" x14ac:dyDescent="0.25">
      <c r="A227" t="str">
        <f>B227 &amp; " - " &amp;E227</f>
        <v>Watford - Guédloura</v>
      </c>
      <c r="B227" t="s">
        <v>1393</v>
      </c>
      <c r="C227" t="str">
        <f ca="1">IFERROR(VLOOKUP(INDEX(OFFSET(_JOUEURS,0,0,,1),MATCH(A227,OFFSET(_JOUEURS,0,1,,1),0)),_MPG,2,FALSE),"")</f>
        <v/>
      </c>
      <c r="D227" s="104" t="s">
        <v>369</v>
      </c>
      <c r="E227" s="29" t="s">
        <v>1380</v>
      </c>
      <c r="F227" s="106">
        <v>3</v>
      </c>
      <c r="G227" s="101"/>
      <c r="H227" s="36"/>
      <c r="I227" s="27">
        <f>AVERAGE(J227,K227,L227)</f>
        <v>4.666666666666667</v>
      </c>
      <c r="J227" s="70">
        <v>5</v>
      </c>
      <c r="K227" s="59">
        <v>5</v>
      </c>
      <c r="L227" s="59">
        <v>4</v>
      </c>
      <c r="M227" s="17"/>
      <c r="N227" s="59"/>
      <c r="O227" s="59"/>
      <c r="P227" s="17"/>
      <c r="Q227" s="59"/>
      <c r="R227" s="59"/>
      <c r="S227" s="59"/>
      <c r="T227" s="59"/>
      <c r="U227" s="17"/>
      <c r="V227" s="17"/>
      <c r="W227" s="59"/>
      <c r="X227" s="17"/>
      <c r="Y227" s="17"/>
      <c r="Z227" s="59"/>
      <c r="AA227" s="17"/>
      <c r="AB227" s="17"/>
      <c r="AC227" s="17"/>
      <c r="AD227" s="59"/>
      <c r="AE227" s="59"/>
      <c r="AF227" s="17"/>
      <c r="AG227" s="17"/>
      <c r="AH227" s="17"/>
      <c r="AI227" s="101"/>
      <c r="AJ227" s="17"/>
      <c r="AK227" s="17"/>
      <c r="AL227" s="17"/>
      <c r="AM227" s="99"/>
      <c r="AN227" s="101"/>
      <c r="AO227" s="17"/>
      <c r="AP227" s="99"/>
      <c r="AQ227" s="59"/>
      <c r="AR227">
        <f>F227 +G227</f>
        <v>3</v>
      </c>
    </row>
    <row r="228" spans="1:44" x14ac:dyDescent="0.25">
      <c r="A228" t="str">
        <f>B228 &amp; " - " &amp;E228</f>
        <v>Watford - Behrami</v>
      </c>
      <c r="B228" t="s">
        <v>1393</v>
      </c>
      <c r="C228" t="str">
        <f ca="1">IFERROR(VLOOKUP(INDEX(OFFSET(_JOUEURS,0,0,,1),MATCH(A228,OFFSET(_JOUEURS,0,1,,1),0)),_MPG,2,FALSE),"")</f>
        <v/>
      </c>
      <c r="D228" s="80" t="s">
        <v>369</v>
      </c>
      <c r="E228" s="69" t="s">
        <v>1381</v>
      </c>
      <c r="F228" s="137">
        <v>6</v>
      </c>
      <c r="G228" s="123"/>
      <c r="H228" s="81"/>
      <c r="I228" s="55">
        <f>AVERAGE(J228,K228,L228,M228,N228,O228)</f>
        <v>4.833333333333333</v>
      </c>
      <c r="J228" s="124">
        <v>5</v>
      </c>
      <c r="K228" s="17">
        <v>5</v>
      </c>
      <c r="L228" s="59">
        <v>4</v>
      </c>
      <c r="M228" s="59">
        <v>5</v>
      </c>
      <c r="N228" s="59">
        <v>5</v>
      </c>
      <c r="O228" s="59">
        <v>5</v>
      </c>
      <c r="P228" s="17"/>
      <c r="Q228" s="59"/>
      <c r="R228" s="17"/>
      <c r="S228" s="59"/>
      <c r="T228" s="17"/>
      <c r="U228" s="17"/>
      <c r="V228" s="17"/>
      <c r="W228" s="59"/>
      <c r="X228" s="17"/>
      <c r="Y228" s="17"/>
      <c r="Z228" s="59"/>
      <c r="AA228" s="59"/>
      <c r="AB228" s="59"/>
      <c r="AC228" s="59"/>
      <c r="AD228" s="59"/>
      <c r="AE228" s="59"/>
      <c r="AF228" s="17"/>
      <c r="AG228" s="17"/>
      <c r="AH228" s="59"/>
      <c r="AI228" s="101"/>
      <c r="AJ228" s="17"/>
      <c r="AK228" s="17"/>
      <c r="AL228" s="17"/>
      <c r="AM228" s="99"/>
      <c r="AN228" s="101"/>
      <c r="AO228" s="17"/>
      <c r="AP228" s="99"/>
      <c r="AQ228" s="17"/>
      <c r="AR228">
        <f>F228 +G228</f>
        <v>6</v>
      </c>
    </row>
    <row r="229" spans="1:44" x14ac:dyDescent="0.25">
      <c r="A229" t="str">
        <f>B229 &amp; " - " &amp;E229</f>
        <v>Watford - Watson</v>
      </c>
      <c r="B229" t="s">
        <v>1393</v>
      </c>
      <c r="C229" t="str">
        <f ca="1">IFERROR(VLOOKUP(INDEX(OFFSET(_JOUEURS,0,0,,1),MATCH(A229,OFFSET(_JOUEURS,0,1,,1),0)),_MPG,2,FALSE),"")</f>
        <v/>
      </c>
      <c r="D229" s="104" t="s">
        <v>369</v>
      </c>
      <c r="E229" s="29" t="s">
        <v>1384</v>
      </c>
      <c r="F229" s="106"/>
      <c r="G229" s="101">
        <v>1</v>
      </c>
      <c r="H229" s="36"/>
      <c r="I229" s="27"/>
      <c r="J229" s="70" t="s">
        <v>364</v>
      </c>
      <c r="K229" s="28"/>
      <c r="L229" s="28"/>
      <c r="M229" s="28"/>
      <c r="N229" s="59"/>
      <c r="O229" s="59"/>
      <c r="P229" s="17"/>
      <c r="Q229" s="59"/>
      <c r="R229" s="17"/>
      <c r="S229" s="17"/>
      <c r="T229" s="59"/>
      <c r="U229" s="17"/>
      <c r="V229" s="17"/>
      <c r="W229" s="59"/>
      <c r="X229" s="17"/>
      <c r="Y229" s="59"/>
      <c r="Z229" s="59"/>
      <c r="AA229" s="17"/>
      <c r="AB229" s="17"/>
      <c r="AC229" s="17"/>
      <c r="AD229" s="59"/>
      <c r="AE229" s="17"/>
      <c r="AF229" s="17"/>
      <c r="AG229" s="59"/>
      <c r="AH229" s="17"/>
      <c r="AI229" s="99"/>
      <c r="AJ229" s="17"/>
      <c r="AK229" s="17"/>
      <c r="AL229" s="59"/>
      <c r="AM229" s="99"/>
      <c r="AN229" s="101"/>
      <c r="AO229" s="59"/>
      <c r="AP229" s="99"/>
      <c r="AQ229" s="17"/>
      <c r="AR229">
        <f>F229 +G229</f>
        <v>1</v>
      </c>
    </row>
    <row r="230" spans="1:44" x14ac:dyDescent="0.25">
      <c r="A230" t="str">
        <f>B230 &amp; " - " &amp;E230</f>
        <v>Watford - Anya</v>
      </c>
      <c r="B230" t="s">
        <v>1393</v>
      </c>
      <c r="C230" t="str">
        <f ca="1">IFERROR(VLOOKUP(INDEX(OFFSET(_JOUEURS,0,0,,1),MATCH(A230,OFFSET(_JOUEURS,0,1,,1),0)),_MPG,2,FALSE),"")</f>
        <v/>
      </c>
      <c r="D230" s="104" t="s">
        <v>369</v>
      </c>
      <c r="E230" s="29" t="s">
        <v>1385</v>
      </c>
      <c r="F230" s="106"/>
      <c r="G230" s="101">
        <v>1</v>
      </c>
      <c r="H230" s="36"/>
      <c r="I230" s="27"/>
      <c r="J230" s="70" t="s">
        <v>364</v>
      </c>
      <c r="K230" s="17"/>
      <c r="L230" s="59"/>
      <c r="M230" s="59"/>
      <c r="N230" s="59"/>
      <c r="O230" s="59"/>
      <c r="P230" s="17"/>
      <c r="Q230" s="59"/>
      <c r="R230" s="17"/>
      <c r="S230" s="17"/>
      <c r="T230" s="59"/>
      <c r="U230" s="17"/>
      <c r="V230" s="17"/>
      <c r="W230" s="59"/>
      <c r="X230" s="17"/>
      <c r="Y230" s="59"/>
      <c r="Z230" s="59"/>
      <c r="AA230" s="17"/>
      <c r="AB230" s="17"/>
      <c r="AC230" s="17"/>
      <c r="AD230" s="59"/>
      <c r="AE230" s="17"/>
      <c r="AF230" s="17"/>
      <c r="AG230" s="17"/>
      <c r="AH230" s="17"/>
      <c r="AI230" s="101"/>
      <c r="AJ230" s="17"/>
      <c r="AK230" s="17"/>
      <c r="AL230" s="17"/>
      <c r="AM230" s="99"/>
      <c r="AN230" s="101"/>
      <c r="AO230" s="17"/>
      <c r="AP230" s="99"/>
      <c r="AQ230" s="17"/>
      <c r="AR230">
        <f>F230 +G230</f>
        <v>1</v>
      </c>
    </row>
    <row r="231" spans="1:44" x14ac:dyDescent="0.25">
      <c r="A231" t="str">
        <f>B231 &amp; " - " &amp;E231</f>
        <v>Watford - Doucouré</v>
      </c>
      <c r="B231" t="s">
        <v>1393</v>
      </c>
      <c r="C231" t="str">
        <f ca="1">IFERROR(VLOOKUP(INDEX(OFFSET(_JOUEURS,0,0,,1),MATCH(A231,OFFSET(_JOUEURS,0,1,,1),0)),_MPG,2,FALSE),"")</f>
        <v/>
      </c>
      <c r="D231" s="104" t="s">
        <v>369</v>
      </c>
      <c r="E231" s="29" t="s">
        <v>1386</v>
      </c>
      <c r="F231" s="106"/>
      <c r="G231" s="101">
        <v>1</v>
      </c>
      <c r="H231" s="36"/>
      <c r="I231" s="27"/>
      <c r="J231" s="124"/>
      <c r="K231" s="28" t="s">
        <v>364</v>
      </c>
      <c r="L231" s="28"/>
      <c r="M231" s="28"/>
      <c r="N231" s="59"/>
      <c r="O231" s="59"/>
      <c r="P231" s="17"/>
      <c r="Q231" s="59"/>
      <c r="R231" s="17"/>
      <c r="S231" s="17"/>
      <c r="T231" s="17"/>
      <c r="U231" s="59"/>
      <c r="V231" s="17"/>
      <c r="W231" s="59"/>
      <c r="X231" s="59"/>
      <c r="Y231" s="17"/>
      <c r="Z231" s="59"/>
      <c r="AA231" s="59"/>
      <c r="AB231" s="17"/>
      <c r="AC231" s="17"/>
      <c r="AD231" s="59"/>
      <c r="AE231" s="17"/>
      <c r="AF231" s="17"/>
      <c r="AG231" s="17"/>
      <c r="AH231" s="17"/>
      <c r="AI231" s="101"/>
      <c r="AJ231" s="17"/>
      <c r="AK231" s="17"/>
      <c r="AL231" s="17"/>
      <c r="AM231" s="99"/>
      <c r="AN231" s="101"/>
      <c r="AO231" s="17"/>
      <c r="AP231" s="99"/>
      <c r="AQ231" s="59"/>
      <c r="AR231">
        <f>F231 +G231</f>
        <v>1</v>
      </c>
    </row>
    <row r="232" spans="1:44" hidden="1" x14ac:dyDescent="0.25">
      <c r="A232" t="str">
        <f>B232 &amp; " - " &amp;E232</f>
        <v>Arsenal - Coquelin</v>
      </c>
      <c r="B232" t="s">
        <v>1423</v>
      </c>
      <c r="C232" t="str">
        <f ca="1">IFERROR(VLOOKUP(INDEX(OFFSET(_JOUEURS,0,0,,1),MATCH(A232,OFFSET(_JOUEURS,0,1,,1),0)),_MPG,2,FALSE),"")</f>
        <v>myteam</v>
      </c>
      <c r="D232" s="104" t="s">
        <v>369</v>
      </c>
      <c r="E232" s="29" t="s">
        <v>1406</v>
      </c>
      <c r="F232" s="106">
        <v>5</v>
      </c>
      <c r="G232" s="101"/>
      <c r="H232" s="36"/>
      <c r="I232" s="27">
        <f>AVERAGE(J232,K232,M232,N232,O232)</f>
        <v>5.2</v>
      </c>
      <c r="J232" s="124">
        <v>4</v>
      </c>
      <c r="K232" s="18">
        <v>5</v>
      </c>
      <c r="L232" s="60"/>
      <c r="M232" s="18">
        <v>5</v>
      </c>
      <c r="N232" s="97">
        <v>7</v>
      </c>
      <c r="O232" s="28">
        <v>5</v>
      </c>
      <c r="P232" s="18"/>
      <c r="Q232" s="28"/>
      <c r="R232" s="18"/>
      <c r="S232" s="16"/>
      <c r="T232" s="18"/>
      <c r="U232" s="18"/>
      <c r="V232" s="16"/>
      <c r="W232" s="28"/>
      <c r="X232" s="18"/>
      <c r="Y232" s="18"/>
      <c r="Z232" s="28"/>
      <c r="AA232" s="18"/>
      <c r="AB232" s="59"/>
      <c r="AC232" s="18"/>
      <c r="AD232" s="28"/>
      <c r="AE232" s="17"/>
      <c r="AF232" s="17"/>
      <c r="AG232" s="17"/>
      <c r="AH232" s="18"/>
      <c r="AI232" s="101"/>
      <c r="AJ232" s="18"/>
      <c r="AK232" s="18"/>
      <c r="AL232" s="16"/>
      <c r="AM232" s="20"/>
      <c r="AN232" s="21"/>
      <c r="AO232" s="18"/>
      <c r="AP232" s="20"/>
      <c r="AQ232" s="28"/>
      <c r="AR232">
        <f>F232 +G232</f>
        <v>5</v>
      </c>
    </row>
    <row r="233" spans="1:44" hidden="1" x14ac:dyDescent="0.25">
      <c r="A233" t="str">
        <f>B233 &amp; " - " &amp;E233</f>
        <v>Arsenal - Ramsey</v>
      </c>
      <c r="B233" t="s">
        <v>1423</v>
      </c>
      <c r="C233" t="str">
        <f ca="1">IFERROR(VLOOKUP(INDEX(OFFSET(_JOUEURS,0,0,,1),MATCH(A233,OFFSET(_JOUEURS,0,1,,1),0)),_MPG,2,FALSE),"")</f>
        <v>I speak pas english</v>
      </c>
      <c r="D233" s="104" t="s">
        <v>369</v>
      </c>
      <c r="E233" s="29" t="s">
        <v>1407</v>
      </c>
      <c r="F233" s="106">
        <v>1</v>
      </c>
      <c r="G233" s="101"/>
      <c r="H233" s="36"/>
      <c r="I233" s="27">
        <f>AVERAGE(J233)</f>
        <v>4</v>
      </c>
      <c r="J233" s="124">
        <v>4</v>
      </c>
      <c r="K233" s="18"/>
      <c r="L233" s="28"/>
      <c r="M233" s="18"/>
      <c r="N233" s="28"/>
      <c r="O233" s="28"/>
      <c r="P233" s="18"/>
      <c r="Q233" s="28"/>
      <c r="R233" s="18"/>
      <c r="S233" s="17"/>
      <c r="T233" s="18"/>
      <c r="U233" s="28"/>
      <c r="V233" s="18"/>
      <c r="W233" s="28"/>
      <c r="X233" s="18"/>
      <c r="Y233" s="18"/>
      <c r="Z233" s="28"/>
      <c r="AA233" s="28"/>
      <c r="AB233" s="18"/>
      <c r="AC233" s="18"/>
      <c r="AD233" s="28"/>
      <c r="AE233" s="18"/>
      <c r="AF233" s="18"/>
      <c r="AG233" s="18"/>
      <c r="AH233" s="18"/>
      <c r="AI233" s="21"/>
      <c r="AJ233" s="18"/>
      <c r="AK233" s="18"/>
      <c r="AL233" s="18"/>
      <c r="AM233" s="20"/>
      <c r="AN233" s="21"/>
      <c r="AO233" s="18"/>
      <c r="AP233" s="20"/>
      <c r="AQ233" s="18"/>
      <c r="AR233">
        <f>F233 +G233</f>
        <v>1</v>
      </c>
    </row>
    <row r="234" spans="1:44" x14ac:dyDescent="0.25">
      <c r="A234" t="str">
        <f>B234 &amp; " - " &amp;E234</f>
        <v>Arsenal - Elneny</v>
      </c>
      <c r="B234" t="s">
        <v>1423</v>
      </c>
      <c r="C234" t="str">
        <f ca="1">IFERROR(VLOOKUP(INDEX(OFFSET(_JOUEURS,0,0,,1),MATCH(A234,OFFSET(_JOUEURS,0,1,,1),0)),_MPG,2,FALSE),"")</f>
        <v/>
      </c>
      <c r="D234" s="104" t="s">
        <v>369</v>
      </c>
      <c r="E234" s="29" t="s">
        <v>1408</v>
      </c>
      <c r="F234" s="106">
        <v>1</v>
      </c>
      <c r="G234" s="101">
        <v>2</v>
      </c>
      <c r="H234" s="36"/>
      <c r="I234" s="27">
        <f>AVERAGE(J234)</f>
        <v>5</v>
      </c>
      <c r="J234" s="70">
        <v>5</v>
      </c>
      <c r="K234" s="28"/>
      <c r="L234" s="28" t="s">
        <v>364</v>
      </c>
      <c r="M234" s="18"/>
      <c r="N234" s="59" t="s">
        <v>364</v>
      </c>
      <c r="O234" s="28"/>
      <c r="P234" s="18"/>
      <c r="Q234" s="28"/>
      <c r="R234" s="18"/>
      <c r="S234" s="17"/>
      <c r="T234" s="18"/>
      <c r="U234" s="18"/>
      <c r="V234" s="18"/>
      <c r="W234" s="28"/>
      <c r="X234" s="18"/>
      <c r="Y234" s="18"/>
      <c r="Z234" s="28"/>
      <c r="AA234" s="18"/>
      <c r="AB234" s="18"/>
      <c r="AC234" s="18"/>
      <c r="AD234" s="28"/>
      <c r="AE234" s="18"/>
      <c r="AF234" s="18"/>
      <c r="AG234" s="18"/>
      <c r="AH234" s="28"/>
      <c r="AI234" s="21"/>
      <c r="AJ234" s="18"/>
      <c r="AK234" s="18"/>
      <c r="AL234" s="18"/>
      <c r="AM234" s="20"/>
      <c r="AN234" s="21"/>
      <c r="AO234" s="18"/>
      <c r="AP234" s="20"/>
      <c r="AQ234" s="18"/>
      <c r="AR234">
        <f>F234 +G234</f>
        <v>3</v>
      </c>
    </row>
    <row r="235" spans="1:44" x14ac:dyDescent="0.25">
      <c r="A235" t="str">
        <f>B235 &amp; " - " &amp;E235</f>
        <v>Arsenal - Iwobi</v>
      </c>
      <c r="B235" t="s">
        <v>1423</v>
      </c>
      <c r="C235" t="str">
        <f ca="1">IFERROR(VLOOKUP(INDEX(OFFSET(_JOUEURS,0,0,,1),MATCH(A235,OFFSET(_JOUEURS,0,1,,1),0)),_MPG,2,FALSE),"")</f>
        <v/>
      </c>
      <c r="D235" s="104" t="s">
        <v>369</v>
      </c>
      <c r="E235" s="29" t="s">
        <v>1409</v>
      </c>
      <c r="F235" s="106">
        <v>3</v>
      </c>
      <c r="G235" s="101"/>
      <c r="H235" s="36"/>
      <c r="I235" s="27">
        <f>AVERAGE(J235,N235,O235)</f>
        <v>6</v>
      </c>
      <c r="J235" s="89">
        <v>4</v>
      </c>
      <c r="K235" s="18"/>
      <c r="L235" s="28"/>
      <c r="M235" s="18"/>
      <c r="N235" s="97">
        <v>8</v>
      </c>
      <c r="O235" s="28">
        <v>6</v>
      </c>
      <c r="P235" s="28"/>
      <c r="Q235" s="28"/>
      <c r="R235" s="18"/>
      <c r="S235" s="17"/>
      <c r="T235" s="28"/>
      <c r="U235" s="18"/>
      <c r="V235" s="18"/>
      <c r="W235" s="28"/>
      <c r="X235" s="18"/>
      <c r="Y235" s="18"/>
      <c r="Z235" s="28"/>
      <c r="AA235" s="18"/>
      <c r="AB235" s="18"/>
      <c r="AC235" s="18"/>
      <c r="AD235" s="28"/>
      <c r="AE235" s="18"/>
      <c r="AF235" s="28"/>
      <c r="AG235" s="18"/>
      <c r="AH235" s="18"/>
      <c r="AI235" s="20"/>
      <c r="AJ235" s="28"/>
      <c r="AK235" s="18"/>
      <c r="AL235" s="18"/>
      <c r="AM235" s="20"/>
      <c r="AN235" s="20"/>
      <c r="AO235" s="28"/>
      <c r="AP235" s="20"/>
      <c r="AQ235" s="18"/>
      <c r="AR235">
        <f>F235 +G235</f>
        <v>3</v>
      </c>
    </row>
    <row r="236" spans="1:44" x14ac:dyDescent="0.25">
      <c r="A236" t="str">
        <f>B236 &amp; " - " &amp;E236</f>
        <v>Arsenal - Wilshere</v>
      </c>
      <c r="B236" t="s">
        <v>1423</v>
      </c>
      <c r="C236" t="str">
        <f ca="1">IFERROR(VLOOKUP(INDEX(OFFSET(_JOUEURS,0,0,,1),MATCH(A236,OFFSET(_JOUEURS,0,1,,1),0)),_MPG,2,FALSE),"")</f>
        <v/>
      </c>
      <c r="D236" s="37" t="s">
        <v>369</v>
      </c>
      <c r="E236" s="43" t="s">
        <v>1414</v>
      </c>
      <c r="F236" s="39"/>
      <c r="G236" s="48">
        <v>2</v>
      </c>
      <c r="H236" s="103"/>
      <c r="I236" s="27"/>
      <c r="J236" s="301"/>
      <c r="K236" s="46" t="s">
        <v>364</v>
      </c>
      <c r="L236" s="46" t="s">
        <v>364</v>
      </c>
      <c r="M236" s="40"/>
      <c r="N236" s="46"/>
      <c r="O236" s="46"/>
      <c r="P236" s="46"/>
      <c r="Q236" s="46"/>
      <c r="R236" s="46"/>
      <c r="S236" s="40"/>
      <c r="T236" s="46"/>
      <c r="U236" s="40"/>
      <c r="V236" s="40"/>
      <c r="W236" s="46"/>
      <c r="X236" s="46"/>
      <c r="Y236" s="40"/>
      <c r="Z236" s="46"/>
      <c r="AA236" s="46"/>
      <c r="AB236" s="46"/>
      <c r="AC236" s="46"/>
      <c r="AD236" s="46"/>
      <c r="AE236" s="40"/>
      <c r="AF236" s="40"/>
      <c r="AG236" s="40"/>
      <c r="AH236" s="40"/>
      <c r="AI236" s="48"/>
      <c r="AJ236" s="40"/>
      <c r="AK236" s="40"/>
      <c r="AL236" s="40"/>
      <c r="AM236" s="47"/>
      <c r="AN236" s="48"/>
      <c r="AO236" s="40"/>
      <c r="AP236" s="47"/>
      <c r="AQ236" s="40"/>
      <c r="AR236">
        <f>F236 +G236</f>
        <v>2</v>
      </c>
    </row>
    <row r="237" spans="1:44" x14ac:dyDescent="0.25">
      <c r="A237" t="str">
        <f>B237 &amp; " - " &amp;E237</f>
        <v>Arsenal - Welbeck</v>
      </c>
      <c r="B237" t="s">
        <v>1423</v>
      </c>
      <c r="C237" t="str">
        <f ca="1">IFERROR(VLOOKUP(INDEX(OFFSET(_JOUEURS,0,0,,1),MATCH(A237,OFFSET(_JOUEURS,0,1,,1),0)),_MPG,2,FALSE),"")</f>
        <v/>
      </c>
      <c r="D237" s="152" t="s">
        <v>369</v>
      </c>
      <c r="E237" s="29" t="s">
        <v>1415</v>
      </c>
      <c r="F237" s="106"/>
      <c r="G237" s="101"/>
      <c r="H237" s="36"/>
      <c r="I237" s="27"/>
      <c r="J237" s="79"/>
      <c r="K237" s="28"/>
      <c r="L237" s="28"/>
      <c r="M237" s="18"/>
      <c r="N237" s="28"/>
      <c r="O237" s="28"/>
      <c r="P237" s="28"/>
      <c r="Q237" s="28"/>
      <c r="R237" s="28"/>
      <c r="S237" s="17"/>
      <c r="T237" s="28"/>
      <c r="U237" s="18"/>
      <c r="V237" s="18"/>
      <c r="W237" s="28"/>
      <c r="X237" s="28"/>
      <c r="Y237" s="18"/>
      <c r="Z237" s="28"/>
      <c r="AA237" s="28"/>
      <c r="AB237" s="28"/>
      <c r="AC237" s="28"/>
      <c r="AD237" s="28"/>
      <c r="AE237" s="18"/>
      <c r="AF237" s="18"/>
      <c r="AG237" s="18"/>
      <c r="AH237" s="18"/>
      <c r="AI237" s="21"/>
      <c r="AJ237" s="18"/>
      <c r="AK237" s="18"/>
      <c r="AL237" s="18"/>
      <c r="AM237" s="20"/>
      <c r="AN237" s="21"/>
      <c r="AO237" s="18"/>
      <c r="AP237" s="20"/>
      <c r="AQ237" s="18"/>
      <c r="AR237">
        <f>F237 +G237</f>
        <v>0</v>
      </c>
    </row>
    <row r="238" spans="1:44" x14ac:dyDescent="0.25">
      <c r="A238" t="str">
        <f>B238 &amp; " - " &amp;E238</f>
        <v>Arsenal - Reine-Adelaïde</v>
      </c>
      <c r="B238" t="s">
        <v>1423</v>
      </c>
      <c r="C238" t="str">
        <f ca="1">IFERROR(VLOOKUP(INDEX(OFFSET(_JOUEURS,0,0,,1),MATCH(A238,OFFSET(_JOUEURS,0,1,,1),0)),_MPG,2,FALSE),"")</f>
        <v/>
      </c>
      <c r="D238" s="80" t="s">
        <v>369</v>
      </c>
      <c r="E238" s="69" t="s">
        <v>1416</v>
      </c>
      <c r="F238" s="137"/>
      <c r="G238" s="123"/>
      <c r="H238" s="81"/>
      <c r="I238" s="55"/>
      <c r="J238" s="124"/>
      <c r="K238" s="28"/>
      <c r="L238" s="28"/>
      <c r="M238" s="28"/>
      <c r="N238" s="28"/>
      <c r="O238" s="28"/>
      <c r="P238" s="18"/>
      <c r="Q238" s="28"/>
      <c r="R238" s="18"/>
      <c r="S238" s="17"/>
      <c r="T238" s="18"/>
      <c r="U238" s="18"/>
      <c r="V238" s="18"/>
      <c r="W238" s="28"/>
      <c r="X238" s="18"/>
      <c r="Y238" s="18"/>
      <c r="Z238" s="28"/>
      <c r="AA238" s="18"/>
      <c r="AB238" s="18"/>
      <c r="AC238" s="18"/>
      <c r="AD238" s="28"/>
      <c r="AE238" s="28"/>
      <c r="AF238" s="28"/>
      <c r="AG238" s="18"/>
      <c r="AH238" s="28"/>
      <c r="AI238" s="21"/>
      <c r="AJ238" s="17"/>
      <c r="AK238" s="18"/>
      <c r="AL238" s="18"/>
      <c r="AM238" s="20"/>
      <c r="AN238" s="21"/>
      <c r="AO238" s="28"/>
      <c r="AP238" s="20"/>
      <c r="AQ238" s="18"/>
      <c r="AR238">
        <f>F238 +G238</f>
        <v>0</v>
      </c>
    </row>
    <row r="239" spans="1:44" x14ac:dyDescent="0.25">
      <c r="A239" t="str">
        <f>B239 &amp; " - " &amp;E239</f>
        <v>Liverpool - Wijnaldum</v>
      </c>
      <c r="B239" t="s">
        <v>1446</v>
      </c>
      <c r="C239" t="str">
        <f ca="1">IFERROR(VLOOKUP(INDEX(OFFSET(_JOUEURS,0,0,,1),MATCH(A239,OFFSET(_JOUEURS,0,1,,1),0)),_MPG,2,FALSE),"")</f>
        <v/>
      </c>
      <c r="D239" s="23" t="s">
        <v>369</v>
      </c>
      <c r="E239" s="29" t="s">
        <v>1436</v>
      </c>
      <c r="F239" s="25">
        <v>6</v>
      </c>
      <c r="G239" s="77"/>
      <c r="H239" s="56"/>
      <c r="I239" s="135">
        <f>AVERAGE(J239,K239,L239,M239,N239,O239)</f>
        <v>5.833333333333333</v>
      </c>
      <c r="J239" s="124">
        <v>6</v>
      </c>
      <c r="K239" s="28">
        <v>5</v>
      </c>
      <c r="L239" s="59">
        <v>4</v>
      </c>
      <c r="M239" s="67">
        <v>7</v>
      </c>
      <c r="N239" s="59">
        <v>6</v>
      </c>
      <c r="O239" s="97">
        <v>7</v>
      </c>
      <c r="P239" s="17"/>
      <c r="Q239" s="59"/>
      <c r="R239" s="59"/>
      <c r="S239" s="17"/>
      <c r="T239" s="59"/>
      <c r="U239" s="59"/>
      <c r="V239" s="17"/>
      <c r="W239" s="59"/>
      <c r="X239" s="59"/>
      <c r="Y239" s="17"/>
      <c r="Z239" s="59"/>
      <c r="AA239" s="59"/>
      <c r="AB239" s="59"/>
      <c r="AC239" s="17"/>
      <c r="AD239" s="59"/>
      <c r="AE239" s="17"/>
      <c r="AF239" s="17"/>
      <c r="AG239" s="17"/>
      <c r="AH239" s="17"/>
      <c r="AI239" s="101"/>
      <c r="AJ239" s="17"/>
      <c r="AK239" s="17"/>
      <c r="AL239" s="17"/>
      <c r="AM239" s="99"/>
      <c r="AN239" s="101"/>
      <c r="AO239" s="17"/>
      <c r="AP239" s="99"/>
      <c r="AQ239" s="17"/>
      <c r="AR239">
        <f>F239 +G239</f>
        <v>6</v>
      </c>
    </row>
    <row r="240" spans="1:44" x14ac:dyDescent="0.25">
      <c r="A240" t="str">
        <f>B240 &amp; " - " &amp;E240</f>
        <v>Liverpool - Can</v>
      </c>
      <c r="B240" t="s">
        <v>1446</v>
      </c>
      <c r="C240" t="str">
        <f ca="1">IFERROR(VLOOKUP(INDEX(OFFSET(_JOUEURS,0,0,,1),MATCH(A240,OFFSET(_JOUEURS,0,1,,1),0)),_MPG,2,FALSE),"")</f>
        <v/>
      </c>
      <c r="D240" s="23" t="s">
        <v>369</v>
      </c>
      <c r="E240" s="29" t="s">
        <v>1437</v>
      </c>
      <c r="F240" s="25"/>
      <c r="G240" s="77">
        <v>2</v>
      </c>
      <c r="H240" s="56"/>
      <c r="I240" s="27"/>
      <c r="J240" s="70" t="s">
        <v>364</v>
      </c>
      <c r="K240" s="17"/>
      <c r="L240" s="59"/>
      <c r="M240" s="60"/>
      <c r="N240" s="59"/>
      <c r="O240" s="28" t="s">
        <v>364</v>
      </c>
      <c r="P240" s="17"/>
      <c r="Q240" s="59"/>
      <c r="R240" s="17"/>
      <c r="S240" s="17"/>
      <c r="T240" s="17"/>
      <c r="U240" s="17"/>
      <c r="V240" s="17"/>
      <c r="W240" s="59"/>
      <c r="X240" s="17"/>
      <c r="Y240" s="17"/>
      <c r="Z240" s="59"/>
      <c r="AA240" s="17"/>
      <c r="AB240" s="17"/>
      <c r="AC240" s="17"/>
      <c r="AD240" s="59"/>
      <c r="AE240" s="17"/>
      <c r="AF240" s="17"/>
      <c r="AG240" s="17"/>
      <c r="AH240" s="17"/>
      <c r="AI240" s="101"/>
      <c r="AJ240" s="17"/>
      <c r="AK240" s="17"/>
      <c r="AL240" s="17"/>
      <c r="AM240" s="99"/>
      <c r="AN240" s="101"/>
      <c r="AO240" s="17"/>
      <c r="AP240" s="99"/>
      <c r="AQ240" s="17"/>
      <c r="AR240">
        <f>F240 +G240</f>
        <v>2</v>
      </c>
    </row>
    <row r="241" spans="1:44" x14ac:dyDescent="0.25">
      <c r="A241" t="str">
        <f>B241 &amp; " - " &amp;E241</f>
        <v>Liverpool - Grujic</v>
      </c>
      <c r="B241" t="s">
        <v>1446</v>
      </c>
      <c r="C241" t="str">
        <f ca="1">IFERROR(VLOOKUP(INDEX(OFFSET(_JOUEURS,0,0,,1),MATCH(A241,OFFSET(_JOUEURS,0,1,,1),0)),_MPG,2,FALSE),"")</f>
        <v/>
      </c>
      <c r="D241" s="23" t="s">
        <v>369</v>
      </c>
      <c r="E241" s="29" t="s">
        <v>1439</v>
      </c>
      <c r="F241" s="25"/>
      <c r="G241" s="77">
        <v>2</v>
      </c>
      <c r="H241" s="56"/>
      <c r="I241" s="27"/>
      <c r="J241" s="89"/>
      <c r="K241" s="28" t="s">
        <v>364</v>
      </c>
      <c r="L241" s="59"/>
      <c r="M241" s="17"/>
      <c r="N241" s="59"/>
      <c r="O241" s="28" t="s">
        <v>364</v>
      </c>
      <c r="P241" s="17"/>
      <c r="Q241" s="59"/>
      <c r="R241" s="17"/>
      <c r="S241" s="17"/>
      <c r="T241" s="17"/>
      <c r="U241" s="17"/>
      <c r="V241" s="59"/>
      <c r="W241" s="59"/>
      <c r="X241" s="17"/>
      <c r="Y241" s="17"/>
      <c r="Z241" s="59"/>
      <c r="AA241" s="17"/>
      <c r="AB241" s="59"/>
      <c r="AC241" s="59"/>
      <c r="AD241" s="59"/>
      <c r="AE241" s="17"/>
      <c r="AF241" s="59"/>
      <c r="AG241" s="59"/>
      <c r="AH241" s="59"/>
      <c r="AI241" s="101"/>
      <c r="AJ241" s="59"/>
      <c r="AK241" s="17"/>
      <c r="AL241" s="59"/>
      <c r="AM241" s="99"/>
      <c r="AN241" s="99"/>
      <c r="AO241" s="17"/>
      <c r="AP241" s="99"/>
      <c r="AQ241" s="17"/>
      <c r="AR241">
        <f>F241 +G241</f>
        <v>2</v>
      </c>
    </row>
    <row r="242" spans="1:44" x14ac:dyDescent="0.25">
      <c r="A242" t="str">
        <f>B242 &amp; " - " &amp;E242</f>
        <v>Liverpool - Lucas Leiva</v>
      </c>
      <c r="B242" t="s">
        <v>1446</v>
      </c>
      <c r="C242" t="str">
        <f ca="1">IFERROR(VLOOKUP(INDEX(OFFSET(_JOUEURS,0,0,,1),MATCH(A242,OFFSET(_JOUEURS,0,1,,1),0)),_MPG,2,FALSE),"")</f>
        <v/>
      </c>
      <c r="D242" s="23" t="s">
        <v>369</v>
      </c>
      <c r="E242" s="109" t="s">
        <v>1440</v>
      </c>
      <c r="F242" s="25">
        <v>1</v>
      </c>
      <c r="G242" s="77">
        <v>1</v>
      </c>
      <c r="H242" s="56"/>
      <c r="I242" s="27">
        <f>AVERAGE(M242)</f>
        <v>4</v>
      </c>
      <c r="J242" s="89"/>
      <c r="K242" s="28"/>
      <c r="L242" s="59"/>
      <c r="M242" s="17">
        <v>4</v>
      </c>
      <c r="N242" s="28" t="s">
        <v>364</v>
      </c>
      <c r="O242" s="59"/>
      <c r="P242" s="17"/>
      <c r="Q242" s="59"/>
      <c r="R242" s="17"/>
      <c r="S242" s="17"/>
      <c r="T242" s="17"/>
      <c r="U242" s="17"/>
      <c r="V242" s="59"/>
      <c r="W242" s="59"/>
      <c r="X242" s="17"/>
      <c r="Y242" s="17"/>
      <c r="Z242" s="59"/>
      <c r="AA242" s="17"/>
      <c r="AB242" s="59"/>
      <c r="AC242" s="59"/>
      <c r="AD242" s="59"/>
      <c r="AE242" s="17"/>
      <c r="AF242" s="59"/>
      <c r="AG242" s="59"/>
      <c r="AH242" s="59"/>
      <c r="AI242" s="101"/>
      <c r="AJ242" s="59"/>
      <c r="AK242" s="17"/>
      <c r="AL242" s="59"/>
      <c r="AM242" s="99"/>
      <c r="AN242" s="99"/>
      <c r="AO242" s="17"/>
      <c r="AP242" s="99"/>
      <c r="AQ242" s="17"/>
      <c r="AR242">
        <f>F242 +G242</f>
        <v>2</v>
      </c>
    </row>
    <row r="243" spans="1:44" ht="15.75" thickBot="1" x14ac:dyDescent="0.3">
      <c r="A243" t="str">
        <f>B243 &amp; " - " &amp;E243</f>
        <v>Bournemouth - L. Cook</v>
      </c>
      <c r="B243" t="s">
        <v>1474</v>
      </c>
      <c r="C243" t="str">
        <f ca="1">IFERROR(VLOOKUP(INDEX(OFFSET(_JOUEURS,0,0,,1),MATCH(A243,OFFSET(_JOUEURS,0,1,,1),0)),_MPG,2,FALSE),"")</f>
        <v/>
      </c>
      <c r="D243" s="71" t="s">
        <v>369</v>
      </c>
      <c r="E243" s="100" t="s">
        <v>1459</v>
      </c>
      <c r="F243" s="118">
        <v>1</v>
      </c>
      <c r="G243" s="119"/>
      <c r="H243" s="120"/>
      <c r="I243" s="92">
        <f>AVERAGE(J243)</f>
        <v>4</v>
      </c>
      <c r="J243" s="109">
        <v>4</v>
      </c>
      <c r="K243" s="59"/>
      <c r="L243" s="59"/>
      <c r="M243" s="28"/>
      <c r="N243" s="17"/>
      <c r="O243" s="59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  <c r="AA243" s="17"/>
      <c r="AB243" s="17"/>
      <c r="AC243" s="17"/>
      <c r="AD243" s="17"/>
      <c r="AE243" s="17"/>
      <c r="AF243" s="17"/>
      <c r="AG243" s="17"/>
      <c r="AH243" s="17"/>
      <c r="AI243" s="101"/>
      <c r="AJ243" s="17"/>
      <c r="AK243" s="17"/>
      <c r="AL243" s="59"/>
      <c r="AM243" s="101"/>
      <c r="AN243" s="101"/>
      <c r="AO243" s="17"/>
      <c r="AP243" s="101"/>
      <c r="AQ243" s="17"/>
      <c r="AR243">
        <f>F243 +G243</f>
        <v>1</v>
      </c>
    </row>
    <row r="244" spans="1:44" x14ac:dyDescent="0.25">
      <c r="A244" t="str">
        <f>B244 &amp; " - " &amp;E244</f>
        <v>Bournemouth - Surman</v>
      </c>
      <c r="B244" t="s">
        <v>1474</v>
      </c>
      <c r="C244" t="str">
        <f ca="1">IFERROR(VLOOKUP(INDEX(OFFSET(_JOUEURS,0,0,,1),MATCH(A244,OFFSET(_JOUEURS,0,1,,1),0)),_MPG,2,FALSE),"")</f>
        <v/>
      </c>
      <c r="D244" s="12" t="s">
        <v>369</v>
      </c>
      <c r="E244" s="307" t="s">
        <v>1460</v>
      </c>
      <c r="F244" s="203">
        <v>6</v>
      </c>
      <c r="G244" s="204"/>
      <c r="H244" s="205"/>
      <c r="I244" s="14">
        <f>AVERAGE(J244,K244,L244,M244,N244,O244)</f>
        <v>5</v>
      </c>
      <c r="J244" s="105">
        <v>6</v>
      </c>
      <c r="K244" s="59">
        <v>5</v>
      </c>
      <c r="L244" s="59">
        <v>5</v>
      </c>
      <c r="M244" s="59">
        <v>5</v>
      </c>
      <c r="N244" s="114">
        <v>3</v>
      </c>
      <c r="O244" s="17">
        <v>6</v>
      </c>
      <c r="P244" s="17"/>
      <c r="Q244" s="59"/>
      <c r="R244" s="17"/>
      <c r="S244" s="17"/>
      <c r="T244" s="59"/>
      <c r="U244" s="59"/>
      <c r="V244" s="17"/>
      <c r="W244" s="59"/>
      <c r="X244" s="59"/>
      <c r="Y244" s="17"/>
      <c r="Z244" s="17"/>
      <c r="AA244" s="59"/>
      <c r="AB244" s="59"/>
      <c r="AC244" s="59"/>
      <c r="AD244" s="59"/>
      <c r="AE244" s="99"/>
      <c r="AF244" s="188"/>
      <c r="AG244" s="161"/>
      <c r="AH244" s="17"/>
      <c r="AI244" s="17"/>
      <c r="AJ244" s="59"/>
      <c r="AK244" s="59"/>
      <c r="AL244" s="59"/>
      <c r="AM244" s="99"/>
      <c r="AN244" s="101"/>
      <c r="AO244" s="99"/>
      <c r="AP244" s="101"/>
      <c r="AQ244" s="17"/>
      <c r="AR244">
        <f>F244 +G244</f>
        <v>6</v>
      </c>
    </row>
    <row r="245" spans="1:44" x14ac:dyDescent="0.25">
      <c r="A245" t="str">
        <f>B245 &amp; " - " &amp;E245</f>
        <v>Bournemouth - Arter</v>
      </c>
      <c r="B245" t="s">
        <v>1474</v>
      </c>
      <c r="C245" t="str">
        <f ca="1">IFERROR(VLOOKUP(INDEX(OFFSET(_JOUEURS,0,0,,1),MATCH(A245,OFFSET(_JOUEURS,0,1,,1),0)),_MPG,2,FALSE),"")</f>
        <v/>
      </c>
      <c r="D245" s="52" t="s">
        <v>369</v>
      </c>
      <c r="E245" s="68" t="s">
        <v>1461</v>
      </c>
      <c r="F245" s="137">
        <v>6</v>
      </c>
      <c r="G245" s="123"/>
      <c r="H245" s="190"/>
      <c r="I245" s="55">
        <f>AVERAGE(J245,K245,L245,M245,N245,O245)</f>
        <v>5</v>
      </c>
      <c r="J245" s="105">
        <v>4</v>
      </c>
      <c r="K245" s="59">
        <v>4</v>
      </c>
      <c r="L245" s="97">
        <v>7</v>
      </c>
      <c r="M245" s="136">
        <v>5</v>
      </c>
      <c r="N245" s="114">
        <v>3</v>
      </c>
      <c r="O245" s="66">
        <v>7</v>
      </c>
      <c r="P245" s="17"/>
      <c r="Q245" s="17"/>
      <c r="R245" s="17"/>
      <c r="S245" s="17"/>
      <c r="T245" s="17"/>
      <c r="U245" s="17"/>
      <c r="V245" s="17"/>
      <c r="W245" s="17"/>
      <c r="X245" s="59"/>
      <c r="Y245" s="17"/>
      <c r="Z245" s="17"/>
      <c r="AA245" s="17"/>
      <c r="AB245" s="17"/>
      <c r="AC245" s="17"/>
      <c r="AD245" s="17"/>
      <c r="AE245" s="101"/>
      <c r="AF245" s="188"/>
      <c r="AG245" s="89"/>
      <c r="AH245" s="59"/>
      <c r="AI245" s="17"/>
      <c r="AJ245" s="17"/>
      <c r="AK245" s="17"/>
      <c r="AL245" s="59"/>
      <c r="AM245" s="101"/>
      <c r="AN245" s="101"/>
      <c r="AO245" s="101"/>
      <c r="AP245" s="101"/>
      <c r="AQ245" s="17"/>
      <c r="AR245">
        <f>F245 +G245</f>
        <v>6</v>
      </c>
    </row>
    <row r="246" spans="1:44" x14ac:dyDescent="0.25">
      <c r="A246" t="str">
        <f>B246 &amp; " - " &amp;E246</f>
        <v>Bournemouth - Fraser</v>
      </c>
      <c r="B246" t="s">
        <v>1474</v>
      </c>
      <c r="C246" t="str">
        <f ca="1">IFERROR(VLOOKUP(INDEX(OFFSET(_JOUEURS,0,0,,1),MATCH(A246,OFFSET(_JOUEURS,0,1,,1),0)),_MPG,2,FALSE),"")</f>
        <v/>
      </c>
      <c r="D246" s="23" t="s">
        <v>369</v>
      </c>
      <c r="E246" s="109" t="s">
        <v>1462</v>
      </c>
      <c r="F246" s="106">
        <v>2</v>
      </c>
      <c r="G246" s="101"/>
      <c r="H246" s="36"/>
      <c r="I246" s="27">
        <f>AVERAGE(K246,L246)</f>
        <v>5</v>
      </c>
      <c r="J246" s="105"/>
      <c r="K246" s="99">
        <v>5</v>
      </c>
      <c r="L246" s="136">
        <v>5</v>
      </c>
      <c r="M246" s="184"/>
      <c r="N246" s="17"/>
      <c r="O246" s="184"/>
      <c r="P246" s="171"/>
      <c r="Q246" s="59"/>
      <c r="R246" s="17"/>
      <c r="S246" s="59"/>
      <c r="T246" s="59"/>
      <c r="U246" s="184"/>
      <c r="V246" s="171"/>
      <c r="W246" s="59"/>
      <c r="X246" s="17"/>
      <c r="Y246" s="59"/>
      <c r="Z246" s="17"/>
      <c r="AA246" s="17"/>
      <c r="AB246" s="17"/>
      <c r="AC246" s="17"/>
      <c r="AD246" s="59"/>
      <c r="AE246" s="99"/>
      <c r="AF246" s="161"/>
      <c r="AG246" s="109"/>
      <c r="AH246" s="17"/>
      <c r="AI246" s="17"/>
      <c r="AJ246" s="17"/>
      <c r="AK246" s="17"/>
      <c r="AL246" s="59"/>
      <c r="AM246" s="99"/>
      <c r="AN246" s="101"/>
      <c r="AO246" s="99"/>
      <c r="AP246" s="101"/>
      <c r="AQ246" s="17"/>
      <c r="AR246">
        <f>F246 +G246</f>
        <v>2</v>
      </c>
    </row>
    <row r="247" spans="1:44" x14ac:dyDescent="0.25">
      <c r="A247" t="str">
        <f>B247 &amp; " - " &amp;E247</f>
        <v>Bournemouth - Gosling</v>
      </c>
      <c r="B247" t="s">
        <v>1474</v>
      </c>
      <c r="C247" t="str">
        <f ca="1">IFERROR(VLOOKUP(INDEX(OFFSET(_JOUEURS,0,0,,1),MATCH(A247,OFFSET(_JOUEURS,0,1,,1),0)),_MPG,2,FALSE),"")</f>
        <v/>
      </c>
      <c r="D247" s="104" t="s">
        <v>369</v>
      </c>
      <c r="E247" s="109" t="s">
        <v>1463</v>
      </c>
      <c r="F247" s="106"/>
      <c r="G247" s="101">
        <v>5</v>
      </c>
      <c r="H247" s="36"/>
      <c r="I247" s="27"/>
      <c r="J247" s="109"/>
      <c r="K247" s="28" t="s">
        <v>364</v>
      </c>
      <c r="L247" s="57" t="s">
        <v>364</v>
      </c>
      <c r="M247" s="28" t="s">
        <v>364</v>
      </c>
      <c r="N247" s="28" t="s">
        <v>364</v>
      </c>
      <c r="O247" s="28" t="s">
        <v>364</v>
      </c>
      <c r="P247" s="17"/>
      <c r="Q247" s="17"/>
      <c r="R247" s="17"/>
      <c r="S247" s="17"/>
      <c r="T247" s="17"/>
      <c r="U247" s="17"/>
      <c r="V247" s="59"/>
      <c r="W247" s="17"/>
      <c r="X247" s="17"/>
      <c r="Y247" s="59"/>
      <c r="Z247" s="17"/>
      <c r="AA247" s="17"/>
      <c r="AB247" s="17"/>
      <c r="AC247" s="17"/>
      <c r="AD247" s="59"/>
      <c r="AE247" s="101"/>
      <c r="AF247" s="188"/>
      <c r="AG247" s="109"/>
      <c r="AH247" s="17"/>
      <c r="AI247" s="59"/>
      <c r="AJ247" s="17"/>
      <c r="AK247" s="17"/>
      <c r="AL247" s="59"/>
      <c r="AM247" s="101"/>
      <c r="AN247" s="101"/>
      <c r="AO247" s="101"/>
      <c r="AP247" s="101"/>
      <c r="AQ247" s="17"/>
      <c r="AR247">
        <f>F247 +G247</f>
        <v>5</v>
      </c>
    </row>
    <row r="248" spans="1:44" x14ac:dyDescent="0.25">
      <c r="A248" t="str">
        <f>B248 &amp; " - " &amp;E248</f>
        <v>Bournemouth - Wilshere</v>
      </c>
      <c r="B248" t="s">
        <v>1474</v>
      </c>
      <c r="C248" t="str">
        <f ca="1">IFERROR(VLOOKUP(INDEX(OFFSET(_JOUEURS,0,0,,1),MATCH(A248,OFFSET(_JOUEURS,0,1,,1),0)),_MPG,2,FALSE),"")</f>
        <v/>
      </c>
      <c r="D248" s="23" t="s">
        <v>369</v>
      </c>
      <c r="E248" s="109" t="s">
        <v>1414</v>
      </c>
      <c r="F248" s="106">
        <v>2</v>
      </c>
      <c r="G248" s="101">
        <v>1</v>
      </c>
      <c r="H248" s="36"/>
      <c r="I248" s="27">
        <f>AVERAGE(N248,O248)</f>
        <v>4.5</v>
      </c>
      <c r="J248" s="109"/>
      <c r="K248" s="59"/>
      <c r="L248" s="136"/>
      <c r="M248" s="28" t="s">
        <v>364</v>
      </c>
      <c r="N248" s="114">
        <v>3</v>
      </c>
      <c r="O248" s="17">
        <v>6</v>
      </c>
      <c r="P248" s="17"/>
      <c r="Q248" s="17"/>
      <c r="R248" s="17"/>
      <c r="S248" s="17"/>
      <c r="T248" s="17"/>
      <c r="U248" s="17"/>
      <c r="V248" s="59"/>
      <c r="W248" s="17"/>
      <c r="X248" s="17"/>
      <c r="Y248" s="59"/>
      <c r="Z248" s="17"/>
      <c r="AA248" s="17"/>
      <c r="AB248" s="17"/>
      <c r="AC248" s="17"/>
      <c r="AD248" s="59"/>
      <c r="AE248" s="101"/>
      <c r="AF248" s="188"/>
      <c r="AG248" s="109"/>
      <c r="AH248" s="17"/>
      <c r="AI248" s="59"/>
      <c r="AJ248" s="17"/>
      <c r="AK248" s="17"/>
      <c r="AL248" s="59"/>
      <c r="AM248" s="101"/>
      <c r="AN248" s="101"/>
      <c r="AO248" s="101"/>
      <c r="AP248" s="101"/>
      <c r="AQ248" s="17"/>
      <c r="AR248">
        <f>F248 +G248</f>
        <v>3</v>
      </c>
    </row>
    <row r="249" spans="1:44" x14ac:dyDescent="0.25">
      <c r="A249" t="str">
        <f>B249 &amp; " - " &amp;E249</f>
        <v>Bournemouth - Hyndman</v>
      </c>
      <c r="B249" t="s">
        <v>1474</v>
      </c>
      <c r="C249" t="str">
        <f ca="1">IFERROR(VLOOKUP(INDEX(OFFSET(_JOUEURS,0,0,,1),MATCH(A249,OFFSET(_JOUEURS,0,1,,1),0)),_MPG,2,FALSE),"")</f>
        <v/>
      </c>
      <c r="D249" s="23" t="s">
        <v>369</v>
      </c>
      <c r="E249" s="109" t="s">
        <v>1465</v>
      </c>
      <c r="F249" s="106"/>
      <c r="G249" s="101"/>
      <c r="H249" s="36"/>
      <c r="I249" s="27"/>
      <c r="J249" s="109"/>
      <c r="K249" s="28"/>
      <c r="L249" s="62"/>
      <c r="M249" s="59"/>
      <c r="N249" s="17"/>
      <c r="O249" s="17"/>
      <c r="P249" s="17"/>
      <c r="Q249" s="17"/>
      <c r="R249" s="17"/>
      <c r="S249" s="17"/>
      <c r="T249" s="17"/>
      <c r="U249" s="17"/>
      <c r="V249" s="59"/>
      <c r="W249" s="59"/>
      <c r="X249" s="17"/>
      <c r="Y249" s="59"/>
      <c r="Z249" s="17"/>
      <c r="AA249" s="17"/>
      <c r="AB249" s="17"/>
      <c r="AC249" s="17"/>
      <c r="AD249" s="59"/>
      <c r="AE249" s="101"/>
      <c r="AF249" s="188"/>
      <c r="AG249" s="109"/>
      <c r="AH249" s="17"/>
      <c r="AI249" s="59"/>
      <c r="AJ249" s="17"/>
      <c r="AK249" s="17"/>
      <c r="AL249" s="59"/>
      <c r="AM249" s="101"/>
      <c r="AN249" s="101"/>
      <c r="AO249" s="101"/>
      <c r="AP249" s="101"/>
      <c r="AQ249" s="17"/>
      <c r="AR249">
        <f>F249 +G249</f>
        <v>0</v>
      </c>
    </row>
    <row r="250" spans="1:44" x14ac:dyDescent="0.25">
      <c r="A250" t="str">
        <f>B250 &amp; " - " &amp;E250</f>
        <v>Bournemouth - Pugh</v>
      </c>
      <c r="B250" t="s">
        <v>1474</v>
      </c>
      <c r="C250" t="str">
        <f ca="1">IFERROR(VLOOKUP(INDEX(OFFSET(_JOUEURS,0,0,,1),MATCH(A250,OFFSET(_JOUEURS,0,1,,1),0)),_MPG,2,FALSE),"")</f>
        <v/>
      </c>
      <c r="D250" s="23" t="s">
        <v>369</v>
      </c>
      <c r="E250" s="109" t="s">
        <v>1467</v>
      </c>
      <c r="F250" s="106"/>
      <c r="G250" s="101"/>
      <c r="H250" s="36"/>
      <c r="I250" s="27"/>
      <c r="J250" s="79"/>
      <c r="K250" s="28"/>
      <c r="L250" s="136"/>
      <c r="M250" s="59"/>
      <c r="N250" s="17"/>
      <c r="O250" s="17"/>
      <c r="P250" s="17"/>
      <c r="Q250" s="17"/>
      <c r="R250" s="17"/>
      <c r="S250" s="17"/>
      <c r="T250" s="17"/>
      <c r="U250" s="17"/>
      <c r="V250" s="59"/>
      <c r="W250" s="59"/>
      <c r="X250" s="17"/>
      <c r="Y250" s="59"/>
      <c r="Z250" s="17"/>
      <c r="AA250" s="17"/>
      <c r="AB250" s="59"/>
      <c r="AC250" s="17"/>
      <c r="AD250" s="59"/>
      <c r="AE250" s="101"/>
      <c r="AF250" s="188"/>
      <c r="AG250" s="188"/>
      <c r="AH250" s="17"/>
      <c r="AI250" s="59"/>
      <c r="AJ250" s="17"/>
      <c r="AK250" s="17"/>
      <c r="AL250" s="59"/>
      <c r="AM250" s="101"/>
      <c r="AN250" s="101"/>
      <c r="AO250" s="101"/>
      <c r="AP250" s="101"/>
      <c r="AQ250" s="17"/>
      <c r="AR250">
        <f>F250 +G250</f>
        <v>0</v>
      </c>
    </row>
    <row r="251" spans="1:44" x14ac:dyDescent="0.25">
      <c r="A251" t="str">
        <f>B251 &amp; " - " &amp;E251</f>
        <v>Man. United - Herrera</v>
      </c>
      <c r="B251" t="s">
        <v>1497</v>
      </c>
      <c r="C251" t="str">
        <f ca="1">IFERROR(VLOOKUP(INDEX(OFFSET(_JOUEURS,0,0,,1),MATCH(A251,OFFSET(_JOUEURS,0,1,,1),0)),_MPG,2,FALSE),"")</f>
        <v/>
      </c>
      <c r="D251" s="104" t="s">
        <v>369</v>
      </c>
      <c r="E251" s="29" t="s">
        <v>1484</v>
      </c>
      <c r="F251" s="106">
        <v>2</v>
      </c>
      <c r="G251" s="101">
        <v>2</v>
      </c>
      <c r="H251" s="36"/>
      <c r="I251" s="27">
        <f>AVERAGE(J251,O251)</f>
        <v>6</v>
      </c>
      <c r="J251" s="89">
        <v>6</v>
      </c>
      <c r="K251" s="28" t="s">
        <v>364</v>
      </c>
      <c r="L251" s="60"/>
      <c r="M251" s="59" t="s">
        <v>364</v>
      </c>
      <c r="N251" s="59"/>
      <c r="O251" s="59">
        <v>6</v>
      </c>
      <c r="P251" s="17"/>
      <c r="Q251" s="59"/>
      <c r="R251" s="59"/>
      <c r="S251" s="17"/>
      <c r="T251" s="59"/>
      <c r="U251" s="17"/>
      <c r="V251" s="17"/>
      <c r="W251" s="59"/>
      <c r="X251" s="17"/>
      <c r="Y251" s="17"/>
      <c r="Z251" s="59"/>
      <c r="AA251" s="59"/>
      <c r="AB251" s="59"/>
      <c r="AC251" s="59"/>
      <c r="AD251" s="59"/>
      <c r="AE251" s="101"/>
      <c r="AF251" s="188"/>
      <c r="AG251" s="109"/>
      <c r="AH251" s="17"/>
      <c r="AI251" s="17"/>
      <c r="AJ251" s="17"/>
      <c r="AK251" s="17"/>
      <c r="AL251" s="17"/>
      <c r="AM251" s="99"/>
      <c r="AN251" s="101"/>
      <c r="AO251" s="99"/>
      <c r="AP251" s="99"/>
      <c r="AQ251" s="17"/>
      <c r="AR251">
        <f>F251 +G251</f>
        <v>4</v>
      </c>
    </row>
    <row r="252" spans="1:44" hidden="1" x14ac:dyDescent="0.25">
      <c r="A252" t="str">
        <f>B252 &amp; " - " &amp;E252</f>
        <v>Man. United - Fellaini</v>
      </c>
      <c r="B252" t="s">
        <v>1497</v>
      </c>
      <c r="C252" t="str">
        <f ca="1">IFERROR(VLOOKUP(INDEX(OFFSET(_JOUEURS,0,0,,1),MATCH(A252,OFFSET(_JOUEURS,0,1,,1),0)),_MPG,2,FALSE),"")</f>
        <v>Fuck-Tonio FC</v>
      </c>
      <c r="D252" s="80" t="s">
        <v>369</v>
      </c>
      <c r="E252" s="111" t="s">
        <v>1485</v>
      </c>
      <c r="F252" s="137">
        <v>5</v>
      </c>
      <c r="G252" s="123"/>
      <c r="H252" s="190"/>
      <c r="I252" s="138">
        <f>AVERAGE(J252,K252,L252,M252,N252)</f>
        <v>6.2</v>
      </c>
      <c r="J252" s="303">
        <v>7</v>
      </c>
      <c r="K252" s="17">
        <v>6</v>
      </c>
      <c r="L252" s="59">
        <v>6</v>
      </c>
      <c r="M252" s="17">
        <v>6</v>
      </c>
      <c r="N252" s="59">
        <v>6</v>
      </c>
      <c r="O252" s="59"/>
      <c r="P252" s="17"/>
      <c r="Q252" s="59"/>
      <c r="R252" s="17"/>
      <c r="S252" s="17"/>
      <c r="T252" s="17"/>
      <c r="U252" s="17"/>
      <c r="V252" s="17"/>
      <c r="W252" s="59"/>
      <c r="X252" s="17"/>
      <c r="Y252" s="17"/>
      <c r="Z252" s="59"/>
      <c r="AA252" s="17"/>
      <c r="AB252" s="17"/>
      <c r="AC252" s="17"/>
      <c r="AD252" s="59"/>
      <c r="AE252" s="101"/>
      <c r="AF252" s="188"/>
      <c r="AG252" s="109"/>
      <c r="AH252" s="17"/>
      <c r="AI252" s="17"/>
      <c r="AJ252" s="17"/>
      <c r="AK252" s="59"/>
      <c r="AL252" s="17"/>
      <c r="AM252" s="99"/>
      <c r="AN252" s="101"/>
      <c r="AO252" s="99"/>
      <c r="AP252" s="99"/>
      <c r="AQ252" s="17"/>
      <c r="AR252">
        <f>F252 +G252</f>
        <v>5</v>
      </c>
    </row>
    <row r="253" spans="1:44" x14ac:dyDescent="0.25">
      <c r="A253" t="str">
        <f>B253 &amp; " - " &amp;E253</f>
        <v>Man. United - Schnelderlin</v>
      </c>
      <c r="B253" t="s">
        <v>1497</v>
      </c>
      <c r="C253" t="str">
        <f ca="1">IFERROR(VLOOKUP(INDEX(OFFSET(_JOUEURS,0,0,,1),MATCH(A253,OFFSET(_JOUEURS,0,1,,1),0)),_MPG,2,FALSE),"")</f>
        <v/>
      </c>
      <c r="D253" s="104" t="s">
        <v>369</v>
      </c>
      <c r="E253" s="29" t="s">
        <v>1486</v>
      </c>
      <c r="F253" s="106"/>
      <c r="G253" s="101">
        <v>1</v>
      </c>
      <c r="H253" s="36"/>
      <c r="I253" s="27"/>
      <c r="J253" s="70" t="s">
        <v>364</v>
      </c>
      <c r="K253" s="17"/>
      <c r="L253" s="59"/>
      <c r="M253" s="17"/>
      <c r="N253" s="59"/>
      <c r="O253" s="59"/>
      <c r="P253" s="17"/>
      <c r="Q253" s="59"/>
      <c r="R253" s="17"/>
      <c r="S253" s="17"/>
      <c r="T253" s="17"/>
      <c r="U253" s="59"/>
      <c r="V253" s="17"/>
      <c r="W253" s="59"/>
      <c r="X253" s="59"/>
      <c r="Y253" s="17"/>
      <c r="Z253" s="59"/>
      <c r="AA253" s="59"/>
      <c r="AB253" s="59"/>
      <c r="AC253" s="59"/>
      <c r="AD253" s="59"/>
      <c r="AE253" s="101"/>
      <c r="AF253" s="188"/>
      <c r="AG253" s="89"/>
      <c r="AH253" s="59"/>
      <c r="AI253" s="17"/>
      <c r="AJ253" s="59"/>
      <c r="AK253" s="59"/>
      <c r="AL253" s="17"/>
      <c r="AM253" s="99"/>
      <c r="AN253" s="101"/>
      <c r="AO253" s="101"/>
      <c r="AP253" s="99"/>
      <c r="AQ253" s="17"/>
      <c r="AR253">
        <f>F253 +G253</f>
        <v>1</v>
      </c>
    </row>
    <row r="254" spans="1:44" x14ac:dyDescent="0.25">
      <c r="A254" t="str">
        <f>B254 &amp; " - " &amp;E254</f>
        <v>Man. United - Mkhitaryan</v>
      </c>
      <c r="B254" t="s">
        <v>1497</v>
      </c>
      <c r="C254" t="str">
        <f ca="1">IFERROR(VLOOKUP(INDEX(OFFSET(_JOUEURS,0,0,,1),MATCH(A254,OFFSET(_JOUEURS,0,1,,1),0)),_MPG,2,FALSE),"")</f>
        <v/>
      </c>
      <c r="D254" s="104" t="s">
        <v>369</v>
      </c>
      <c r="E254" s="109" t="s">
        <v>1487</v>
      </c>
      <c r="F254" s="106">
        <v>1</v>
      </c>
      <c r="G254" s="101">
        <v>3</v>
      </c>
      <c r="H254" s="36"/>
      <c r="I254" s="27">
        <f>AVERAGE(M254)</f>
        <v>4</v>
      </c>
      <c r="J254" s="79" t="s">
        <v>364</v>
      </c>
      <c r="K254" s="28" t="s">
        <v>364</v>
      </c>
      <c r="L254" s="28" t="s">
        <v>364</v>
      </c>
      <c r="M254" s="28">
        <v>4</v>
      </c>
      <c r="N254" s="59"/>
      <c r="O254" s="59"/>
      <c r="P254" s="17"/>
      <c r="Q254" s="59"/>
      <c r="R254" s="17"/>
      <c r="S254" s="17"/>
      <c r="T254" s="17"/>
      <c r="U254" s="17"/>
      <c r="V254" s="59"/>
      <c r="W254" s="59"/>
      <c r="X254" s="17"/>
      <c r="Y254" s="59"/>
      <c r="Z254" s="59"/>
      <c r="AA254" s="17"/>
      <c r="AB254" s="17"/>
      <c r="AC254" s="17"/>
      <c r="AD254" s="59"/>
      <c r="AE254" s="99"/>
      <c r="AF254" s="188"/>
      <c r="AG254" s="161"/>
      <c r="AH254" s="17"/>
      <c r="AI254" s="17"/>
      <c r="AJ254" s="59"/>
      <c r="AK254" s="17"/>
      <c r="AL254" s="59"/>
      <c r="AM254" s="99"/>
      <c r="AN254" s="101"/>
      <c r="AO254" s="99"/>
      <c r="AP254" s="99"/>
      <c r="AQ254" s="17"/>
      <c r="AR254">
        <f>F254 +G254</f>
        <v>4</v>
      </c>
    </row>
    <row r="255" spans="1:44" x14ac:dyDescent="0.25">
      <c r="A255" t="str">
        <f>B255 &amp; " - " &amp;E255</f>
        <v>Man. United - Lingard</v>
      </c>
      <c r="B255" t="s">
        <v>1497</v>
      </c>
      <c r="C255" t="str">
        <f ca="1">IFERROR(VLOOKUP(INDEX(OFFSET(_JOUEURS,0,0,,1),MATCH(A255,OFFSET(_JOUEURS,0,1,,1),0)),_MPG,2,FALSE),"")</f>
        <v/>
      </c>
      <c r="D255" s="104" t="s">
        <v>369</v>
      </c>
      <c r="E255" s="109" t="s">
        <v>1488</v>
      </c>
      <c r="F255" s="106">
        <v>2</v>
      </c>
      <c r="G255" s="101"/>
      <c r="H255" s="36"/>
      <c r="I255" s="27">
        <f>AVERAGE(M255,O255)</f>
        <v>5.5</v>
      </c>
      <c r="J255" s="124"/>
      <c r="K255" s="17"/>
      <c r="L255" s="28"/>
      <c r="M255" s="59">
        <v>4</v>
      </c>
      <c r="N255" s="59"/>
      <c r="O255" s="97">
        <v>7</v>
      </c>
      <c r="P255" s="59"/>
      <c r="Q255" s="59"/>
      <c r="R255" s="59"/>
      <c r="S255" s="59"/>
      <c r="T255" s="17"/>
      <c r="U255" s="17"/>
      <c r="V255" s="17"/>
      <c r="W255" s="59"/>
      <c r="X255" s="59"/>
      <c r="Y255" s="59"/>
      <c r="Z255" s="59"/>
      <c r="AA255" s="17"/>
      <c r="AB255" s="17"/>
      <c r="AC255" s="17"/>
      <c r="AD255" s="59"/>
      <c r="AE255" s="99"/>
      <c r="AF255" s="161"/>
      <c r="AG255" s="161"/>
      <c r="AH255" s="17"/>
      <c r="AI255" s="59"/>
      <c r="AJ255" s="17"/>
      <c r="AK255" s="59"/>
      <c r="AL255" s="17"/>
      <c r="AM255" s="99"/>
      <c r="AN255" s="99"/>
      <c r="AO255" s="99"/>
      <c r="AP255" s="99"/>
      <c r="AQ255" s="17"/>
      <c r="AR255">
        <f>F255 +G255</f>
        <v>2</v>
      </c>
    </row>
    <row r="256" spans="1:44" hidden="1" x14ac:dyDescent="0.25">
      <c r="A256" t="str">
        <f>B256 &amp; " - " &amp;E256</f>
        <v>Man. United - Schweinsteiger</v>
      </c>
      <c r="B256" t="s">
        <v>1497</v>
      </c>
      <c r="C256" t="str">
        <f ca="1">IFERROR(VLOOKUP(INDEX(OFFSET(_JOUEURS,0,0,,1),MATCH(A256,OFFSET(_JOUEURS,0,1,,1),0)),_MPG,2,FALSE),"")</f>
        <v>74 c'est la champion's league</v>
      </c>
      <c r="D256" s="104" t="s">
        <v>369</v>
      </c>
      <c r="E256" s="109" t="s">
        <v>1489</v>
      </c>
      <c r="F256" s="106"/>
      <c r="G256" s="101"/>
      <c r="H256" s="36"/>
      <c r="I256" s="27"/>
      <c r="J256" s="124"/>
      <c r="K256" s="59"/>
      <c r="L256" s="60"/>
      <c r="M256" s="28"/>
      <c r="N256" s="59"/>
      <c r="O256" s="59"/>
      <c r="P256" s="17"/>
      <c r="Q256" s="59"/>
      <c r="R256" s="17"/>
      <c r="S256" s="17"/>
      <c r="T256" s="17"/>
      <c r="U256" s="17"/>
      <c r="V256" s="17"/>
      <c r="W256" s="59"/>
      <c r="X256" s="17"/>
      <c r="Y256" s="17"/>
      <c r="Z256" s="59"/>
      <c r="AA256" s="17"/>
      <c r="AB256" s="17"/>
      <c r="AC256" s="17"/>
      <c r="AD256" s="59"/>
      <c r="AE256" s="101"/>
      <c r="AF256" s="161"/>
      <c r="AG256" s="109"/>
      <c r="AH256" s="17"/>
      <c r="AI256" s="17"/>
      <c r="AJ256" s="17"/>
      <c r="AK256" s="17"/>
      <c r="AL256" s="17"/>
      <c r="AM256" s="99"/>
      <c r="AN256" s="101"/>
      <c r="AO256" s="101"/>
      <c r="AP256" s="99"/>
      <c r="AQ256" s="17"/>
      <c r="AR256">
        <f>F256 +G256</f>
        <v>0</v>
      </c>
    </row>
    <row r="257" spans="1:44" x14ac:dyDescent="0.25">
      <c r="A257" t="str">
        <f>B257 &amp; " - " &amp;E257</f>
        <v>Man. United - Ashley Young</v>
      </c>
      <c r="B257" t="s">
        <v>1497</v>
      </c>
      <c r="C257" t="str">
        <f ca="1">IFERROR(VLOOKUP(INDEX(OFFSET(_JOUEURS,0,0,,1),MATCH(A257,OFFSET(_JOUEURS,0,1,,1),0)),_MPG,2,FALSE),"")</f>
        <v/>
      </c>
      <c r="D257" s="104" t="s">
        <v>369</v>
      </c>
      <c r="E257" s="109" t="s">
        <v>1490</v>
      </c>
      <c r="F257" s="106"/>
      <c r="G257" s="101">
        <v>2</v>
      </c>
      <c r="H257" s="36"/>
      <c r="I257" s="27"/>
      <c r="J257" s="124"/>
      <c r="K257" s="59"/>
      <c r="L257" s="59"/>
      <c r="M257" s="17"/>
      <c r="N257" s="28" t="s">
        <v>364</v>
      </c>
      <c r="O257" s="28" t="s">
        <v>364</v>
      </c>
      <c r="P257" s="59"/>
      <c r="Q257" s="59"/>
      <c r="R257" s="17"/>
      <c r="S257" s="59"/>
      <c r="T257" s="17"/>
      <c r="U257" s="17"/>
      <c r="V257" s="17"/>
      <c r="W257" s="59"/>
      <c r="X257" s="17"/>
      <c r="Y257" s="17"/>
      <c r="Z257" s="59"/>
      <c r="AA257" s="59"/>
      <c r="AB257" s="17"/>
      <c r="AC257" s="17"/>
      <c r="AD257" s="59"/>
      <c r="AE257" s="101"/>
      <c r="AF257" s="161"/>
      <c r="AG257" s="188"/>
      <c r="AH257" s="59"/>
      <c r="AI257" s="17"/>
      <c r="AJ257" s="17"/>
      <c r="AK257" s="17"/>
      <c r="AL257" s="59"/>
      <c r="AM257" s="99"/>
      <c r="AN257" s="101"/>
      <c r="AO257" s="101"/>
      <c r="AP257" s="99"/>
      <c r="AQ257" s="59"/>
      <c r="AR257">
        <f>F257 +G257</f>
        <v>2</v>
      </c>
    </row>
    <row r="258" spans="1:44" x14ac:dyDescent="0.25">
      <c r="A258" t="str">
        <f>B258 &amp; " - " &amp;E258</f>
        <v>Man. United - Carrick</v>
      </c>
      <c r="B258" t="s">
        <v>1497</v>
      </c>
      <c r="C258" t="str">
        <f ca="1">IFERROR(VLOOKUP(INDEX(OFFSET(_JOUEURS,0,0,,1),MATCH(A258,OFFSET(_JOUEURS,0,1,,1),0)),_MPG,2,FALSE),"")</f>
        <v/>
      </c>
      <c r="D258" s="104" t="s">
        <v>369</v>
      </c>
      <c r="E258" s="109" t="s">
        <v>1491</v>
      </c>
      <c r="F258" s="106"/>
      <c r="G258" s="101">
        <v>1</v>
      </c>
      <c r="H258" s="36"/>
      <c r="I258" s="27"/>
      <c r="J258" s="124"/>
      <c r="K258" s="17"/>
      <c r="L258" s="59"/>
      <c r="M258" s="17"/>
      <c r="N258" s="59"/>
      <c r="O258" s="28" t="s">
        <v>364</v>
      </c>
      <c r="P258" s="17"/>
      <c r="Q258" s="59"/>
      <c r="R258" s="17"/>
      <c r="S258" s="17"/>
      <c r="T258" s="17"/>
      <c r="U258" s="17"/>
      <c r="V258" s="17"/>
      <c r="W258" s="59"/>
      <c r="X258" s="17"/>
      <c r="Y258" s="17"/>
      <c r="Z258" s="59"/>
      <c r="AA258" s="17"/>
      <c r="AB258" s="17"/>
      <c r="AC258" s="17"/>
      <c r="AD258" s="59"/>
      <c r="AE258" s="101"/>
      <c r="AF258" s="188"/>
      <c r="AG258" s="109"/>
      <c r="AH258" s="17"/>
      <c r="AI258" s="59"/>
      <c r="AJ258" s="17"/>
      <c r="AK258" s="17"/>
      <c r="AL258" s="17"/>
      <c r="AM258" s="99"/>
      <c r="AN258" s="99"/>
      <c r="AO258" s="101"/>
      <c r="AP258" s="99"/>
      <c r="AQ258" s="17"/>
      <c r="AR258">
        <f>F258 +G258</f>
        <v>1</v>
      </c>
    </row>
    <row r="259" spans="1:44" hidden="1" x14ac:dyDescent="0.25">
      <c r="A259" t="str">
        <f>B259 &amp; " - " &amp;E259</f>
        <v>Chelsea - Oscar</v>
      </c>
      <c r="B259" t="s">
        <v>1519</v>
      </c>
      <c r="C259" t="str">
        <f ca="1">IFERROR(VLOOKUP(INDEX(OFFSET(_JOUEURS,0,0,,1),MATCH(A259,OFFSET(_JOUEURS,0,1,,1),0)),_MPG,2,FALSE),"")</f>
        <v>nut fc</v>
      </c>
      <c r="D259" s="23" t="s">
        <v>369</v>
      </c>
      <c r="E259" s="29" t="s">
        <v>1509</v>
      </c>
      <c r="F259" s="149">
        <v>5</v>
      </c>
      <c r="G259" s="150"/>
      <c r="H259" s="61"/>
      <c r="I259" s="135">
        <f>AVERAGE(J259,K259,L259,M259,N259)</f>
        <v>5.6</v>
      </c>
      <c r="J259" s="124">
        <v>6</v>
      </c>
      <c r="K259" s="59">
        <v>5</v>
      </c>
      <c r="L259" s="59">
        <v>6</v>
      </c>
      <c r="M259" s="97">
        <v>7</v>
      </c>
      <c r="N259" s="59">
        <v>4</v>
      </c>
      <c r="O259" s="59"/>
      <c r="P259" s="17"/>
      <c r="Q259" s="59"/>
      <c r="R259" s="17"/>
      <c r="S259" s="17"/>
      <c r="T259" s="17"/>
      <c r="U259" s="17"/>
      <c r="V259" s="17"/>
      <c r="W259" s="59"/>
      <c r="X259" s="17"/>
      <c r="Y259" s="17"/>
      <c r="Z259" s="59"/>
      <c r="AA259" s="17"/>
      <c r="AB259" s="59"/>
      <c r="AC259" s="17"/>
      <c r="AD259" s="59"/>
      <c r="AE259" s="101"/>
      <c r="AF259" s="188"/>
      <c r="AG259" s="109"/>
      <c r="AH259" s="17"/>
      <c r="AI259" s="17"/>
      <c r="AJ259" s="17"/>
      <c r="AK259" s="17"/>
      <c r="AL259" s="17"/>
      <c r="AM259" s="99"/>
      <c r="AN259" s="101"/>
      <c r="AO259" s="99"/>
      <c r="AP259" s="99"/>
      <c r="AQ259" s="17"/>
      <c r="AR259">
        <f>F259 +G259</f>
        <v>5</v>
      </c>
    </row>
    <row r="260" spans="1:44" hidden="1" x14ac:dyDescent="0.25">
      <c r="A260" t="str">
        <f>B260 &amp; " - " &amp;E260</f>
        <v>Chelsea - Kanté</v>
      </c>
      <c r="B260" t="s">
        <v>1519</v>
      </c>
      <c r="C260" t="str">
        <f ca="1">IFERROR(VLOOKUP(INDEX(OFFSET(_JOUEURS,0,0,,1),MATCH(A260,OFFSET(_JOUEURS,0,1,,1),0)),_MPG,2,FALSE),"")</f>
        <v>myteam</v>
      </c>
      <c r="D260" s="23" t="s">
        <v>369</v>
      </c>
      <c r="E260" s="29" t="s">
        <v>1510</v>
      </c>
      <c r="F260" s="149">
        <v>6</v>
      </c>
      <c r="G260" s="150"/>
      <c r="H260" s="61"/>
      <c r="I260" s="135">
        <f>AVERAGE(J260,K260,L260,M260,N260,O260)</f>
        <v>5.5</v>
      </c>
      <c r="J260" s="124">
        <v>6</v>
      </c>
      <c r="K260" s="28">
        <v>6</v>
      </c>
      <c r="L260" s="59">
        <v>6</v>
      </c>
      <c r="M260" s="59">
        <v>6</v>
      </c>
      <c r="N260" s="59">
        <v>5</v>
      </c>
      <c r="O260" s="59">
        <v>4</v>
      </c>
      <c r="P260" s="17"/>
      <c r="Q260" s="59"/>
      <c r="R260" s="17"/>
      <c r="S260" s="17"/>
      <c r="T260" s="59"/>
      <c r="U260" s="17"/>
      <c r="V260" s="17"/>
      <c r="W260" s="59"/>
      <c r="X260" s="17"/>
      <c r="Y260" s="59"/>
      <c r="Z260" s="59"/>
      <c r="AA260" s="17"/>
      <c r="AB260" s="17"/>
      <c r="AC260" s="17"/>
      <c r="AD260" s="59"/>
      <c r="AE260" s="101"/>
      <c r="AF260" s="188"/>
      <c r="AG260" s="109"/>
      <c r="AH260" s="17"/>
      <c r="AI260" s="17"/>
      <c r="AJ260" s="59"/>
      <c r="AK260" s="17"/>
      <c r="AL260" s="59"/>
      <c r="AM260" s="99"/>
      <c r="AN260" s="101"/>
      <c r="AO260" s="101"/>
      <c r="AP260" s="99"/>
      <c r="AQ260" s="59"/>
      <c r="AR260">
        <f>F260 +G260</f>
        <v>6</v>
      </c>
    </row>
    <row r="261" spans="1:44" x14ac:dyDescent="0.25">
      <c r="A261" t="str">
        <f>B261 &amp; " - " &amp;E261</f>
        <v>Chelsea - Matic</v>
      </c>
      <c r="B261" t="s">
        <v>1519</v>
      </c>
      <c r="C261" t="str">
        <f ca="1">IFERROR(VLOOKUP(INDEX(OFFSET(_JOUEURS,0,0,,1),MATCH(A261,OFFSET(_JOUEURS,0,1,,1),0)),_MPG,2,FALSE),"")</f>
        <v/>
      </c>
      <c r="D261" s="23" t="s">
        <v>369</v>
      </c>
      <c r="E261" s="29" t="s">
        <v>1511</v>
      </c>
      <c r="F261" s="149">
        <v>6</v>
      </c>
      <c r="G261" s="150"/>
      <c r="H261" s="61"/>
      <c r="I261" s="135">
        <f>AVERAGE(J261,K261,L261,M261,N261,O261)</f>
        <v>5.166666666666667</v>
      </c>
      <c r="J261" s="124">
        <v>5</v>
      </c>
      <c r="K261" s="59">
        <v>5</v>
      </c>
      <c r="L261" s="59">
        <v>6</v>
      </c>
      <c r="M261" s="59">
        <v>5</v>
      </c>
      <c r="N261" s="59">
        <v>6</v>
      </c>
      <c r="O261" s="59">
        <v>4</v>
      </c>
      <c r="P261" s="59"/>
      <c r="Q261" s="59"/>
      <c r="R261" s="59"/>
      <c r="S261" s="59"/>
      <c r="T261" s="17"/>
      <c r="U261" s="17"/>
      <c r="V261" s="17"/>
      <c r="W261" s="59"/>
      <c r="X261" s="59"/>
      <c r="Y261" s="59"/>
      <c r="Z261" s="59"/>
      <c r="AA261" s="59"/>
      <c r="AB261" s="59"/>
      <c r="AC261" s="17"/>
      <c r="AD261" s="59"/>
      <c r="AE261" s="101"/>
      <c r="AF261" s="161"/>
      <c r="AG261" s="89"/>
      <c r="AH261" s="17"/>
      <c r="AI261" s="59"/>
      <c r="AJ261" s="17"/>
      <c r="AK261" s="17"/>
      <c r="AL261" s="59"/>
      <c r="AM261" s="99"/>
      <c r="AN261" s="99"/>
      <c r="AO261" s="99"/>
      <c r="AP261" s="99"/>
      <c r="AQ261" s="17"/>
      <c r="AR261">
        <f>F261 +G261</f>
        <v>6</v>
      </c>
    </row>
    <row r="262" spans="1:44" x14ac:dyDescent="0.25">
      <c r="A262" t="str">
        <f>B262 &amp; " - " &amp;E262</f>
        <v>Chelsea - Pedro</v>
      </c>
      <c r="B262" t="s">
        <v>1519</v>
      </c>
      <c r="C262" t="str">
        <f ca="1">IFERROR(VLOOKUP(INDEX(OFFSET(_JOUEURS,0,0,,1),MATCH(A262,OFFSET(_JOUEURS,0,1,,1),0)),_MPG,2,FALSE),"")</f>
        <v/>
      </c>
      <c r="D262" s="52" t="s">
        <v>369</v>
      </c>
      <c r="E262" s="69" t="s">
        <v>159</v>
      </c>
      <c r="F262" s="180">
        <v>1</v>
      </c>
      <c r="G262" s="181">
        <v>4</v>
      </c>
      <c r="H262" s="110"/>
      <c r="I262" s="138">
        <f>AVERAGE(K262)</f>
        <v>5</v>
      </c>
      <c r="J262" s="70" t="s">
        <v>364</v>
      </c>
      <c r="K262" s="59">
        <v>5</v>
      </c>
      <c r="L262" s="28" t="s">
        <v>364</v>
      </c>
      <c r="M262" s="59"/>
      <c r="N262" s="28" t="s">
        <v>364</v>
      </c>
      <c r="O262" s="28" t="s">
        <v>364</v>
      </c>
      <c r="P262" s="59"/>
      <c r="Q262" s="59"/>
      <c r="R262" s="59"/>
      <c r="S262" s="59"/>
      <c r="T262" s="17"/>
      <c r="U262" s="17"/>
      <c r="V262" s="17"/>
      <c r="W262" s="59"/>
      <c r="X262" s="59"/>
      <c r="Y262" s="59"/>
      <c r="Z262" s="59"/>
      <c r="AA262" s="59"/>
      <c r="AB262" s="59"/>
      <c r="AC262" s="17"/>
      <c r="AD262" s="59"/>
      <c r="AE262" s="101"/>
      <c r="AF262" s="161"/>
      <c r="AG262" s="89"/>
      <c r="AH262" s="17"/>
      <c r="AI262" s="59"/>
      <c r="AJ262" s="17"/>
      <c r="AK262" s="17"/>
      <c r="AL262" s="59"/>
      <c r="AM262" s="99"/>
      <c r="AN262" s="99"/>
      <c r="AO262" s="99"/>
      <c r="AP262" s="99"/>
      <c r="AQ262" s="17"/>
      <c r="AR262">
        <f>F262 +G262</f>
        <v>5</v>
      </c>
    </row>
    <row r="263" spans="1:44" x14ac:dyDescent="0.25">
      <c r="A263" t="str">
        <f>B263 &amp; " - " &amp;E263</f>
        <v>Chelsea - Loftus-Cheek</v>
      </c>
      <c r="B263" t="s">
        <v>1519</v>
      </c>
      <c r="C263" t="str">
        <f ca="1">IFERROR(VLOOKUP(INDEX(OFFSET(_JOUEURS,0,0,,1),MATCH(A263,OFFSET(_JOUEURS,0,1,,1),0)),_MPG,2,FALSE),"")</f>
        <v/>
      </c>
      <c r="D263" s="23" t="s">
        <v>369</v>
      </c>
      <c r="E263" s="29" t="s">
        <v>1514</v>
      </c>
      <c r="F263" s="149"/>
      <c r="G263" s="150"/>
      <c r="H263" s="61"/>
      <c r="I263" s="135"/>
      <c r="J263" s="70"/>
      <c r="K263" s="28"/>
      <c r="L263" s="60"/>
      <c r="M263" s="28"/>
      <c r="N263" s="59"/>
      <c r="O263" s="59"/>
      <c r="P263" s="59"/>
      <c r="Q263" s="59"/>
      <c r="R263" s="59"/>
      <c r="S263" s="59"/>
      <c r="T263" s="17"/>
      <c r="U263" s="17"/>
      <c r="V263" s="17"/>
      <c r="W263" s="59"/>
      <c r="X263" s="59"/>
      <c r="Y263" s="59"/>
      <c r="Z263" s="59"/>
      <c r="AA263" s="59"/>
      <c r="AB263" s="59"/>
      <c r="AC263" s="17"/>
      <c r="AD263" s="59"/>
      <c r="AE263" s="101"/>
      <c r="AF263" s="161"/>
      <c r="AG263" s="89"/>
      <c r="AH263" s="17"/>
      <c r="AI263" s="59"/>
      <c r="AJ263" s="17"/>
      <c r="AK263" s="17"/>
      <c r="AL263" s="59"/>
      <c r="AM263" s="99"/>
      <c r="AN263" s="99"/>
      <c r="AO263" s="99"/>
      <c r="AP263" s="99"/>
      <c r="AQ263" s="17"/>
      <c r="AR263">
        <f>F263 +G263</f>
        <v>0</v>
      </c>
    </row>
    <row r="264" spans="1:44" x14ac:dyDescent="0.25">
      <c r="A264" t="str">
        <f>B264 &amp; " - " &amp;E264</f>
        <v>Chelsea - Mikel</v>
      </c>
      <c r="B264" t="s">
        <v>1519</v>
      </c>
      <c r="C264" t="str">
        <f ca="1">IFERROR(VLOOKUP(INDEX(OFFSET(_JOUEURS,0,0,,1),MATCH(A264,OFFSET(_JOUEURS,0,1,,1),0)),_MPG,2,FALSE),"")</f>
        <v/>
      </c>
      <c r="D264" s="23" t="s">
        <v>369</v>
      </c>
      <c r="E264" s="29" t="s">
        <v>1515</v>
      </c>
      <c r="F264" s="149"/>
      <c r="G264" s="150"/>
      <c r="H264" s="61"/>
      <c r="I264" s="135"/>
      <c r="J264" s="70"/>
      <c r="K264" s="28"/>
      <c r="L264" s="60"/>
      <c r="M264" s="28"/>
      <c r="N264" s="59"/>
      <c r="O264" s="59"/>
      <c r="P264" s="59"/>
      <c r="Q264" s="59"/>
      <c r="R264" s="59"/>
      <c r="S264" s="59"/>
      <c r="T264" s="17"/>
      <c r="U264" s="17"/>
      <c r="V264" s="17"/>
      <c r="W264" s="59"/>
      <c r="X264" s="59"/>
      <c r="Y264" s="59"/>
      <c r="Z264" s="59"/>
      <c r="AA264" s="59"/>
      <c r="AB264" s="59"/>
      <c r="AC264" s="17"/>
      <c r="AD264" s="59"/>
      <c r="AE264" s="101"/>
      <c r="AF264" s="161"/>
      <c r="AG264" s="89"/>
      <c r="AH264" s="17"/>
      <c r="AI264" s="59"/>
      <c r="AJ264" s="17"/>
      <c r="AK264" s="17"/>
      <c r="AL264" s="59"/>
      <c r="AM264" s="99"/>
      <c r="AN264" s="99"/>
      <c r="AO264" s="99"/>
      <c r="AP264" s="99"/>
      <c r="AQ264" s="17"/>
      <c r="AR264">
        <f>F264 +G264</f>
        <v>0</v>
      </c>
    </row>
    <row r="265" spans="1:44" x14ac:dyDescent="0.25">
      <c r="A265" t="str">
        <f>B265 &amp; " - " &amp;E265</f>
        <v>Chelsea - Chalobah</v>
      </c>
      <c r="B265" t="s">
        <v>1519</v>
      </c>
      <c r="C265" t="str">
        <f ca="1">IFERROR(VLOOKUP(INDEX(OFFSET(_JOUEURS,0,0,,1),MATCH(A265,OFFSET(_JOUEURS,0,1,,1),0)),_MPG,2,FALSE),"")</f>
        <v/>
      </c>
      <c r="D265" s="23" t="s">
        <v>369</v>
      </c>
      <c r="E265" s="29" t="s">
        <v>1516</v>
      </c>
      <c r="F265" s="149"/>
      <c r="G265" s="150"/>
      <c r="H265" s="61"/>
      <c r="I265" s="135"/>
      <c r="J265" s="70"/>
      <c r="K265" s="28"/>
      <c r="L265" s="60"/>
      <c r="M265" s="28"/>
      <c r="N265" s="59"/>
      <c r="O265" s="59"/>
      <c r="P265" s="59"/>
      <c r="Q265" s="59"/>
      <c r="R265" s="59"/>
      <c r="S265" s="59"/>
      <c r="T265" s="17"/>
      <c r="U265" s="17"/>
      <c r="V265" s="17"/>
      <c r="W265" s="59"/>
      <c r="X265" s="59"/>
      <c r="Y265" s="59"/>
      <c r="Z265" s="59"/>
      <c r="AA265" s="59"/>
      <c r="AB265" s="59"/>
      <c r="AC265" s="17"/>
      <c r="AD265" s="59"/>
      <c r="AE265" s="101"/>
      <c r="AF265" s="161"/>
      <c r="AG265" s="89"/>
      <c r="AH265" s="17"/>
      <c r="AI265" s="59"/>
      <c r="AJ265" s="17"/>
      <c r="AK265" s="17"/>
      <c r="AL265" s="59"/>
      <c r="AM265" s="99"/>
      <c r="AN265" s="99"/>
      <c r="AO265" s="99"/>
      <c r="AP265" s="99"/>
      <c r="AQ265" s="17"/>
      <c r="AR265">
        <f>F265 +G265</f>
        <v>0</v>
      </c>
    </row>
    <row r="266" spans="1:44" ht="15.75" thickBot="1" x14ac:dyDescent="0.3">
      <c r="A266" t="str">
        <f>B266 &amp; " - " &amp;E266</f>
        <v>Chelsea - Fabregas</v>
      </c>
      <c r="B266" t="s">
        <v>1519</v>
      </c>
      <c r="C266" t="str">
        <f ca="1">IFERROR(VLOOKUP(INDEX(OFFSET(_JOUEURS,0,0,,1),MATCH(A266,OFFSET(_JOUEURS,0,1,,1),0)),_MPG,2,FALSE),"")</f>
        <v/>
      </c>
      <c r="D266" s="71" t="s">
        <v>369</v>
      </c>
      <c r="E266" s="174" t="s">
        <v>1517</v>
      </c>
      <c r="F266" s="287">
        <v>1</v>
      </c>
      <c r="G266" s="288">
        <v>3</v>
      </c>
      <c r="H266" s="294"/>
      <c r="I266" s="210">
        <f>AVERAGE(O266)</f>
        <v>4</v>
      </c>
      <c r="J266" s="126"/>
      <c r="K266" s="28" t="s">
        <v>364</v>
      </c>
      <c r="L266" s="59"/>
      <c r="M266" s="28" t="s">
        <v>364</v>
      </c>
      <c r="N266" s="28" t="s">
        <v>364</v>
      </c>
      <c r="O266" s="59">
        <v>4</v>
      </c>
      <c r="P266" s="17"/>
      <c r="Q266" s="59"/>
      <c r="R266" s="17"/>
      <c r="S266" s="17"/>
      <c r="T266" s="17"/>
      <c r="U266" s="17"/>
      <c r="V266" s="17"/>
      <c r="W266" s="59"/>
      <c r="X266" s="59"/>
      <c r="Y266" s="17"/>
      <c r="Z266" s="59"/>
      <c r="AA266" s="17"/>
      <c r="AB266" s="17"/>
      <c r="AC266" s="59"/>
      <c r="AD266" s="59"/>
      <c r="AE266" s="99"/>
      <c r="AF266" s="161"/>
      <c r="AG266" s="188"/>
      <c r="AH266" s="17"/>
      <c r="AI266" s="17"/>
      <c r="AJ266" s="17"/>
      <c r="AK266" s="17"/>
      <c r="AL266" s="17"/>
      <c r="AM266" s="99"/>
      <c r="AN266" s="101"/>
      <c r="AO266" s="101"/>
      <c r="AP266" s="99"/>
      <c r="AQ266" s="17"/>
      <c r="AR266">
        <f>F266 +G266</f>
        <v>4</v>
      </c>
    </row>
    <row r="267" spans="1:44" hidden="1" x14ac:dyDescent="0.25">
      <c r="A267" t="str">
        <f>B267 &amp; " - " &amp;E267</f>
        <v>Burnley - Heaton</v>
      </c>
      <c r="B267" t="s">
        <v>1069</v>
      </c>
      <c r="C267" t="str">
        <f ca="1">IFERROR(VLOOKUP(INDEX(OFFSET(_JOUEURS,0,0,,1),MATCH(A267,OFFSET(_JOUEURS,0,1,,1),0)),_MPG,2,FALSE),"")</f>
        <v>Shame On You</v>
      </c>
      <c r="D267" s="218" t="s">
        <v>360</v>
      </c>
      <c r="E267" s="219" t="s">
        <v>1045</v>
      </c>
      <c r="F267" s="214">
        <v>6</v>
      </c>
      <c r="G267" s="215"/>
      <c r="H267" s="216"/>
      <c r="I267" s="14">
        <f>AVERAGE(J267,K267,L267,M267,N267,O267)</f>
        <v>5.5</v>
      </c>
      <c r="J267" s="220">
        <v>6</v>
      </c>
      <c r="K267" s="139">
        <v>7</v>
      </c>
      <c r="L267" s="17">
        <v>5</v>
      </c>
      <c r="M267" s="17">
        <v>5</v>
      </c>
      <c r="N267" s="18">
        <v>4</v>
      </c>
      <c r="O267" s="16">
        <v>6</v>
      </c>
      <c r="P267" s="16"/>
      <c r="Q267" s="18"/>
      <c r="R267" s="18"/>
      <c r="S267" s="16"/>
      <c r="T267" s="18"/>
      <c r="U267" s="18"/>
      <c r="V267" s="18"/>
      <c r="W267" s="18"/>
      <c r="X267" s="16"/>
      <c r="Y267" s="18"/>
      <c r="Z267" s="18"/>
      <c r="AA267" s="18"/>
      <c r="AB267" s="18"/>
      <c r="AC267" s="28"/>
      <c r="AD267" s="18"/>
      <c r="AE267" s="21"/>
      <c r="AF267" s="17"/>
      <c r="AG267" s="21"/>
      <c r="AH267" s="18"/>
      <c r="AI267" s="21"/>
      <c r="AJ267" s="21"/>
      <c r="AK267" s="18"/>
      <c r="AL267" s="16"/>
      <c r="AM267" s="16"/>
      <c r="AN267" s="18"/>
      <c r="AO267" s="21"/>
      <c r="AP267" s="18"/>
      <c r="AQ267" s="18"/>
      <c r="AR267">
        <f>F267 +G267</f>
        <v>6</v>
      </c>
    </row>
    <row r="268" spans="1:44" x14ac:dyDescent="0.25">
      <c r="A268" t="str">
        <f>B268 &amp; " - " &amp;E268</f>
        <v>Burnley - Pope</v>
      </c>
      <c r="B268" t="s">
        <v>1069</v>
      </c>
      <c r="C268" t="str">
        <f ca="1">IFERROR(VLOOKUP(INDEX(OFFSET(_JOUEURS,0,0,,1),MATCH(A268,OFFSET(_JOUEURS,0,1,,1),0)),_MPG,2,FALSE),"")</f>
        <v/>
      </c>
      <c r="D268" s="148" t="s">
        <v>360</v>
      </c>
      <c r="E268" s="69" t="s">
        <v>1046</v>
      </c>
      <c r="F268" s="195"/>
      <c r="G268" s="196"/>
      <c r="H268" s="197"/>
      <c r="I268" s="55"/>
      <c r="J268" s="220"/>
      <c r="K268" s="17"/>
      <c r="L268" s="17"/>
      <c r="M268" s="17"/>
      <c r="N268" s="18"/>
      <c r="O268" s="16"/>
      <c r="P268" s="16"/>
      <c r="Q268" s="18"/>
      <c r="R268" s="18"/>
      <c r="S268" s="16"/>
      <c r="T268" s="18"/>
      <c r="U268" s="18"/>
      <c r="V268" s="18"/>
      <c r="W268" s="18"/>
      <c r="X268" s="16"/>
      <c r="Y268" s="18"/>
      <c r="Z268" s="18"/>
      <c r="AA268" s="18"/>
      <c r="AB268" s="18"/>
      <c r="AC268" s="28"/>
      <c r="AD268" s="18"/>
      <c r="AE268" s="21"/>
      <c r="AF268" s="17"/>
      <c r="AG268" s="21"/>
      <c r="AH268" s="18"/>
      <c r="AI268" s="21"/>
      <c r="AJ268" s="21"/>
      <c r="AK268" s="18"/>
      <c r="AL268" s="16"/>
      <c r="AM268" s="16"/>
      <c r="AN268" s="18"/>
      <c r="AO268" s="21"/>
      <c r="AP268" s="18"/>
      <c r="AQ268" s="18"/>
      <c r="AR268">
        <f>F268 +G268</f>
        <v>0</v>
      </c>
    </row>
    <row r="269" spans="1:44" x14ac:dyDescent="0.25">
      <c r="A269" t="str">
        <f>B269 &amp; " - " &amp;E269</f>
        <v>Burnley - Robinson</v>
      </c>
      <c r="B269" t="s">
        <v>1069</v>
      </c>
      <c r="C269" t="str">
        <f ca="1">IFERROR(VLOOKUP(INDEX(OFFSET(_JOUEURS,0,0,,1),MATCH(A269,OFFSET(_JOUEURS,0,1,,1),0)),_MPG,2,FALSE),"")</f>
        <v/>
      </c>
      <c r="D269" s="104" t="s">
        <v>360</v>
      </c>
      <c r="E269" s="29" t="s">
        <v>1047</v>
      </c>
      <c r="F269" s="106"/>
      <c r="G269" s="101"/>
      <c r="H269" s="36"/>
      <c r="I269" s="78"/>
      <c r="J269" s="35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  <c r="AA269" s="18"/>
      <c r="AB269" s="18"/>
      <c r="AC269" s="18"/>
      <c r="AD269" s="18"/>
      <c r="AE269" s="21"/>
      <c r="AF269" s="18"/>
      <c r="AG269" s="21"/>
      <c r="AH269" s="18"/>
      <c r="AI269" s="21"/>
      <c r="AJ269" s="21"/>
      <c r="AK269" s="18"/>
      <c r="AL269" s="18"/>
      <c r="AM269" s="18"/>
      <c r="AN269" s="18"/>
      <c r="AO269" s="21"/>
      <c r="AP269" s="18"/>
      <c r="AQ269" s="18"/>
      <c r="AR269">
        <f>F269 +G269</f>
        <v>0</v>
      </c>
    </row>
    <row r="270" spans="1:44" hidden="1" x14ac:dyDescent="0.25">
      <c r="A270" t="str">
        <f>B270 &amp; " - " &amp;E270</f>
        <v>Swansea - Fabianski</v>
      </c>
      <c r="B270" t="s">
        <v>1095</v>
      </c>
      <c r="C270" t="str">
        <f ca="1">IFERROR(VLOOKUP(INDEX(OFFSET(_JOUEURS,0,0,,1),MATCH(A270,OFFSET(_JOUEURS,0,1,,1),0)),_MPG,2,FALSE),"")</f>
        <v>I speak pas english</v>
      </c>
      <c r="D270" s="23" t="s">
        <v>360</v>
      </c>
      <c r="E270" s="29" t="s">
        <v>1070</v>
      </c>
      <c r="F270" s="194">
        <v>6</v>
      </c>
      <c r="G270" s="21"/>
      <c r="H270" s="175"/>
      <c r="I270" s="27">
        <f>AVERAGE(J270,K270,L270,M270,N270,O270)</f>
        <v>5.833333333333333</v>
      </c>
      <c r="J270" s="223">
        <v>6</v>
      </c>
      <c r="K270" s="59">
        <v>5</v>
      </c>
      <c r="L270" s="51">
        <v>7</v>
      </c>
      <c r="M270" s="59">
        <v>6</v>
      </c>
      <c r="N270" s="17">
        <v>6</v>
      </c>
      <c r="O270" s="18">
        <v>5</v>
      </c>
      <c r="P270" s="16"/>
      <c r="Q270" s="18"/>
      <c r="R270" s="16"/>
      <c r="S270" s="18"/>
      <c r="T270" s="16"/>
      <c r="U270" s="16"/>
      <c r="V270" s="16"/>
      <c r="W270" s="17"/>
      <c r="X270" s="18"/>
      <c r="Y270" s="18"/>
      <c r="Z270" s="18"/>
      <c r="AA270" s="17"/>
      <c r="AB270" s="17"/>
      <c r="AC270" s="17"/>
      <c r="AD270" s="17"/>
      <c r="AE270" s="101"/>
      <c r="AF270" s="17"/>
      <c r="AG270" s="22"/>
      <c r="AH270" s="16"/>
      <c r="AI270" s="101"/>
      <c r="AJ270" s="21"/>
      <c r="AK270" s="18"/>
      <c r="AL270" s="17"/>
      <c r="AM270" s="18"/>
      <c r="AN270" s="16"/>
      <c r="AO270" s="101"/>
      <c r="AP270" s="16"/>
      <c r="AQ270" s="18"/>
      <c r="AR270">
        <f>F270 +G270</f>
        <v>6</v>
      </c>
    </row>
    <row r="271" spans="1:44" x14ac:dyDescent="0.25">
      <c r="A271" t="str">
        <f>B271 &amp; " - " &amp;E271</f>
        <v>Swansea - Birighitti</v>
      </c>
      <c r="B271" t="s">
        <v>1095</v>
      </c>
      <c r="C271" t="str">
        <f ca="1">IFERROR(VLOOKUP(INDEX(OFFSET(_JOUEURS,0,0,,1),MATCH(A271,OFFSET(_JOUEURS,0,1,,1),0)),_MPG,2,FALSE),"")</f>
        <v/>
      </c>
      <c r="D271" s="76" t="s">
        <v>360</v>
      </c>
      <c r="E271" s="29" t="s">
        <v>1071</v>
      </c>
      <c r="F271" s="194"/>
      <c r="G271" s="21"/>
      <c r="H271" s="163"/>
      <c r="I271" s="78"/>
      <c r="J271" s="79"/>
      <c r="K271" s="20"/>
      <c r="L271" s="18"/>
      <c r="M271" s="2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6"/>
      <c r="Z271" s="18"/>
      <c r="AA271" s="18"/>
      <c r="AB271" s="18"/>
      <c r="AC271" s="18"/>
      <c r="AD271" s="18"/>
      <c r="AE271" s="21"/>
      <c r="AF271" s="18"/>
      <c r="AG271" s="21"/>
      <c r="AH271" s="18"/>
      <c r="AI271" s="21"/>
      <c r="AJ271" s="21"/>
      <c r="AK271" s="18"/>
      <c r="AL271" s="18"/>
      <c r="AM271" s="18"/>
      <c r="AN271" s="18"/>
      <c r="AO271" s="21"/>
      <c r="AP271" s="18"/>
      <c r="AQ271" s="18"/>
      <c r="AR271">
        <f>F271 +G271</f>
        <v>0</v>
      </c>
    </row>
    <row r="272" spans="1:44" x14ac:dyDescent="0.25">
      <c r="A272" t="str">
        <f>B272 &amp; " - " &amp;E272</f>
        <v>Swansea - Nordfeldt</v>
      </c>
      <c r="B272" t="s">
        <v>1095</v>
      </c>
      <c r="C272" t="str">
        <f ca="1">IFERROR(VLOOKUP(INDEX(OFFSET(_JOUEURS,0,0,,1),MATCH(A272,OFFSET(_JOUEURS,0,1,,1),0)),_MPG,2,FALSE),"")</f>
        <v/>
      </c>
      <c r="D272" s="104" t="s">
        <v>360</v>
      </c>
      <c r="E272" s="29" t="s">
        <v>1072</v>
      </c>
      <c r="F272" s="286"/>
      <c r="G272" s="86"/>
      <c r="H272" s="201"/>
      <c r="I272" s="78"/>
      <c r="J272" s="83"/>
      <c r="K272" s="125"/>
      <c r="L272" s="85"/>
      <c r="M272" s="84"/>
      <c r="N272" s="85"/>
      <c r="O272" s="85"/>
      <c r="P272" s="85"/>
      <c r="Q272" s="85"/>
      <c r="R272" s="85"/>
      <c r="S272" s="85"/>
      <c r="T272" s="85"/>
      <c r="U272" s="85"/>
      <c r="V272" s="85"/>
      <c r="W272" s="85"/>
      <c r="X272" s="85"/>
      <c r="Y272" s="85"/>
      <c r="Z272" s="85"/>
      <c r="AA272" s="85"/>
      <c r="AB272" s="85"/>
      <c r="AC272" s="85"/>
      <c r="AD272" s="85"/>
      <c r="AE272" s="86"/>
      <c r="AF272" s="85"/>
      <c r="AG272" s="86"/>
      <c r="AH272" s="85"/>
      <c r="AI272" s="86"/>
      <c r="AJ272" s="86"/>
      <c r="AK272" s="85"/>
      <c r="AL272" s="85"/>
      <c r="AM272" s="85"/>
      <c r="AN272" s="85"/>
      <c r="AO272" s="86"/>
      <c r="AP272" s="85"/>
      <c r="AQ272" s="85"/>
      <c r="AR272">
        <f>F272 +G272</f>
        <v>0</v>
      </c>
    </row>
    <row r="273" spans="1:44" x14ac:dyDescent="0.25">
      <c r="A273" t="str">
        <f>B273 &amp; " - " &amp;E273</f>
        <v>Palace - Hennessey</v>
      </c>
      <c r="B273" t="s">
        <v>1119</v>
      </c>
      <c r="C273" t="str">
        <f ca="1">IFERROR(VLOOKUP(INDEX(OFFSET(_JOUEURS,0,0,,1),MATCH(A273,OFFSET(_JOUEURS,0,1,,1),0)),_MPG,2,FALSE),"")</f>
        <v/>
      </c>
      <c r="D273" s="104" t="s">
        <v>360</v>
      </c>
      <c r="E273" s="29" t="s">
        <v>1096</v>
      </c>
      <c r="F273" s="106">
        <v>2</v>
      </c>
      <c r="G273" s="101"/>
      <c r="H273" s="191"/>
      <c r="I273" s="135">
        <f>AVERAGE(J273,K273)</f>
        <v>5.5</v>
      </c>
      <c r="J273" s="89">
        <v>5</v>
      </c>
      <c r="K273" s="101">
        <v>6</v>
      </c>
      <c r="L273" s="224"/>
      <c r="M273" s="224"/>
      <c r="N273" s="17"/>
      <c r="O273" s="17"/>
      <c r="P273" s="224"/>
      <c r="Q273" s="17"/>
      <c r="R273" s="17"/>
      <c r="S273" s="224"/>
      <c r="T273" s="224"/>
      <c r="U273" s="17"/>
      <c r="V273" s="224"/>
      <c r="W273" s="17"/>
      <c r="X273" s="224"/>
      <c r="Y273" s="17"/>
      <c r="Z273" s="17"/>
      <c r="AA273" s="17"/>
      <c r="AB273" s="224"/>
      <c r="AC273" s="17"/>
      <c r="AD273" s="17"/>
      <c r="AE273" s="226"/>
      <c r="AF273" s="224"/>
      <c r="AG273" s="101"/>
      <c r="AH273" s="17"/>
      <c r="AI273" s="101"/>
      <c r="AJ273" s="226"/>
      <c r="AK273" s="17"/>
      <c r="AL273" s="17"/>
      <c r="AM273" s="17"/>
      <c r="AN273" s="17"/>
      <c r="AO273" s="101"/>
      <c r="AP273" s="224"/>
      <c r="AQ273" s="224"/>
      <c r="AR273">
        <f>F273 +G273</f>
        <v>2</v>
      </c>
    </row>
    <row r="274" spans="1:44" x14ac:dyDescent="0.25">
      <c r="A274" t="str">
        <f>B274 &amp; " - " &amp;E274</f>
        <v>Palace - Mandanda</v>
      </c>
      <c r="B274" t="s">
        <v>1119</v>
      </c>
      <c r="C274" t="str">
        <f ca="1">IFERROR(VLOOKUP(INDEX(OFFSET(_JOUEURS,0,0,,1),MATCH(A274,OFFSET(_JOUEURS,0,1,,1),0)),_MPG,2,FALSE),"")</f>
        <v/>
      </c>
      <c r="D274" s="104" t="s">
        <v>360</v>
      </c>
      <c r="E274" s="29" t="s">
        <v>234</v>
      </c>
      <c r="F274" s="106">
        <v>4</v>
      </c>
      <c r="G274" s="101"/>
      <c r="H274" s="36"/>
      <c r="I274" s="135">
        <f>AVERAGE(L274,M274,N274,O274)</f>
        <v>5.25</v>
      </c>
      <c r="J274" s="89"/>
      <c r="K274" s="101"/>
      <c r="L274" s="17">
        <v>5</v>
      </c>
      <c r="M274" s="17">
        <v>6</v>
      </c>
      <c r="N274" s="17">
        <v>5</v>
      </c>
      <c r="O274" s="17">
        <v>5</v>
      </c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  <c r="AA274" s="17"/>
      <c r="AB274" s="17"/>
      <c r="AC274" s="17"/>
      <c r="AD274" s="17"/>
      <c r="AE274" s="101"/>
      <c r="AF274" s="17"/>
      <c r="AG274" s="101"/>
      <c r="AH274" s="17"/>
      <c r="AI274" s="101"/>
      <c r="AJ274" s="101"/>
      <c r="AK274" s="17"/>
      <c r="AL274" s="17"/>
      <c r="AM274" s="17"/>
      <c r="AN274" s="17"/>
      <c r="AO274" s="101"/>
      <c r="AP274" s="17"/>
      <c r="AQ274" s="17"/>
      <c r="AR274">
        <f>F274 +G274</f>
        <v>4</v>
      </c>
    </row>
    <row r="275" spans="1:44" x14ac:dyDescent="0.25">
      <c r="A275" t="str">
        <f>B275 &amp; " - " &amp;E275</f>
        <v>Palace - Speroni</v>
      </c>
      <c r="B275" t="s">
        <v>1119</v>
      </c>
      <c r="C275" t="str">
        <f ca="1">IFERROR(VLOOKUP(INDEX(OFFSET(_JOUEURS,0,0,,1),MATCH(A275,OFFSET(_JOUEURS,0,1,,1),0)),_MPG,2,FALSE),"")</f>
        <v/>
      </c>
      <c r="D275" s="80" t="s">
        <v>360</v>
      </c>
      <c r="E275" s="197" t="s">
        <v>1097</v>
      </c>
      <c r="F275" s="137"/>
      <c r="G275" s="123"/>
      <c r="H275" s="190"/>
      <c r="I275" s="138"/>
      <c r="J275" s="298"/>
      <c r="K275" s="226"/>
      <c r="L275" s="17"/>
      <c r="M275" s="17"/>
      <c r="N275" s="17"/>
      <c r="O275" s="17"/>
      <c r="P275" s="224"/>
      <c r="Q275" s="17"/>
      <c r="R275" s="17"/>
      <c r="S275" s="17"/>
      <c r="T275" s="17"/>
      <c r="U275" s="224"/>
      <c r="V275" s="224"/>
      <c r="W275" s="17"/>
      <c r="X275" s="17"/>
      <c r="Y275" s="224"/>
      <c r="Z275" s="224"/>
      <c r="AA275" s="17"/>
      <c r="AB275" s="224"/>
      <c r="AC275" s="224"/>
      <c r="AD275" s="224"/>
      <c r="AE275" s="101"/>
      <c r="AF275" s="224"/>
      <c r="AG275" s="101"/>
      <c r="AH275" s="17"/>
      <c r="AI275" s="226"/>
      <c r="AJ275" s="101"/>
      <c r="AK275" s="17"/>
      <c r="AL275" s="224"/>
      <c r="AM275" s="224"/>
      <c r="AN275" s="17"/>
      <c r="AO275" s="101"/>
      <c r="AP275" s="224"/>
      <c r="AQ275" s="17"/>
      <c r="AR275">
        <f>F275 +G275</f>
        <v>0</v>
      </c>
    </row>
    <row r="276" spans="1:44" x14ac:dyDescent="0.25">
      <c r="A276" t="str">
        <f>B276 &amp; " - " &amp;E276</f>
        <v>WBA - Rose</v>
      </c>
      <c r="B276" t="s">
        <v>1144</v>
      </c>
      <c r="C276" t="str">
        <f ca="1">IFERROR(VLOOKUP(INDEX(OFFSET(_JOUEURS,0,0,,1),MATCH(A276,OFFSET(_JOUEURS,0,1,,1),0)),_MPG,2,FALSE),"")</f>
        <v/>
      </c>
      <c r="D276" s="23" t="s">
        <v>360</v>
      </c>
      <c r="E276" s="36" t="s">
        <v>377</v>
      </c>
      <c r="F276" s="106"/>
      <c r="G276" s="101"/>
      <c r="H276" s="36"/>
      <c r="I276" s="27"/>
      <c r="J276" s="35"/>
      <c r="K276" s="21"/>
      <c r="L276" s="18"/>
      <c r="M276" s="18"/>
      <c r="N276" s="18"/>
      <c r="O276" s="2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6"/>
      <c r="AB276" s="18"/>
      <c r="AC276" s="18"/>
      <c r="AD276" s="18"/>
      <c r="AE276" s="21"/>
      <c r="AF276" s="18"/>
      <c r="AG276" s="21"/>
      <c r="AH276" s="18"/>
      <c r="AI276" s="21"/>
      <c r="AJ276" s="21"/>
      <c r="AK276" s="28"/>
      <c r="AL276" s="18"/>
      <c r="AM276" s="18"/>
      <c r="AN276" s="18"/>
      <c r="AO276" s="22"/>
      <c r="AP276" s="18"/>
      <c r="AQ276" s="18"/>
      <c r="AR276">
        <f>F276 +G276</f>
        <v>0</v>
      </c>
    </row>
    <row r="277" spans="1:44" x14ac:dyDescent="0.25">
      <c r="A277" t="str">
        <f>B277 &amp; " - " &amp;E277</f>
        <v>WBA - Palmer</v>
      </c>
      <c r="B277" t="s">
        <v>1144</v>
      </c>
      <c r="C277" t="str">
        <f ca="1">IFERROR(VLOOKUP(INDEX(OFFSET(_JOUEURS,0,0,,1),MATCH(A277,OFFSET(_JOUEURS,0,1,,1),0)),_MPG,2,FALSE),"")</f>
        <v/>
      </c>
      <c r="D277" s="23" t="s">
        <v>360</v>
      </c>
      <c r="E277" s="163" t="s">
        <v>1122</v>
      </c>
      <c r="F277" s="106"/>
      <c r="G277" s="101"/>
      <c r="H277" s="36"/>
      <c r="I277" s="27"/>
      <c r="J277" s="271"/>
      <c r="K277" s="101"/>
      <c r="L277" s="18"/>
      <c r="M277" s="18"/>
      <c r="N277" s="17"/>
      <c r="O277" s="28"/>
      <c r="P277" s="17"/>
      <c r="Q277" s="18"/>
      <c r="R277" s="18"/>
      <c r="S277" s="18"/>
      <c r="T277" s="18"/>
      <c r="U277" s="16"/>
      <c r="V277" s="16"/>
      <c r="W277" s="16"/>
      <c r="X277" s="18"/>
      <c r="Y277" s="18"/>
      <c r="Z277" s="18"/>
      <c r="AA277" s="28"/>
      <c r="AB277" s="18"/>
      <c r="AC277" s="18"/>
      <c r="AD277" s="18"/>
      <c r="AE277" s="21"/>
      <c r="AF277" s="16"/>
      <c r="AG277" s="22"/>
      <c r="AH277" s="16"/>
      <c r="AI277" s="21"/>
      <c r="AJ277" s="21"/>
      <c r="AK277" s="28"/>
      <c r="AL277" s="18"/>
      <c r="AM277" s="18"/>
      <c r="AN277" s="18"/>
      <c r="AO277" s="21"/>
      <c r="AP277" s="18"/>
      <c r="AQ277" s="18"/>
      <c r="AR277">
        <f>F277 +G277</f>
        <v>0</v>
      </c>
    </row>
    <row r="278" spans="1:44" hidden="1" x14ac:dyDescent="0.25">
      <c r="A278" t="str">
        <f>B278 &amp; " - " &amp;E278</f>
        <v>WBA - Foster</v>
      </c>
      <c r="B278" t="s">
        <v>1144</v>
      </c>
      <c r="C278" t="str">
        <f ca="1">IFERROR(VLOOKUP(INDEX(OFFSET(_JOUEURS,0,0,,1),MATCH(A278,OFFSET(_JOUEURS,0,1,,1),0)),_MPG,2,FALSE),"")</f>
        <v>The Bastards</v>
      </c>
      <c r="D278" s="23" t="s">
        <v>360</v>
      </c>
      <c r="E278" s="163" t="s">
        <v>1120</v>
      </c>
      <c r="F278" s="106">
        <v>6</v>
      </c>
      <c r="G278" s="101"/>
      <c r="H278" s="191"/>
      <c r="I278" s="27">
        <f>AVERAGE(J278,K278,L278,M278,N278,O278)</f>
        <v>5.833333333333333</v>
      </c>
      <c r="J278" s="177">
        <v>6</v>
      </c>
      <c r="K278" s="101">
        <v>6</v>
      </c>
      <c r="L278" s="16">
        <v>6</v>
      </c>
      <c r="M278" s="18">
        <v>6</v>
      </c>
      <c r="N278" s="18">
        <v>6</v>
      </c>
      <c r="O278" s="28">
        <v>5</v>
      </c>
      <c r="P278" s="18"/>
      <c r="Q278" s="18"/>
      <c r="R278" s="18"/>
      <c r="S278" s="18"/>
      <c r="T278" s="18"/>
      <c r="U278" s="18"/>
      <c r="V278" s="18"/>
      <c r="W278" s="18"/>
      <c r="X278" s="18"/>
      <c r="Y278" s="16"/>
      <c r="Z278" s="18"/>
      <c r="AA278" s="18"/>
      <c r="AB278" s="16"/>
      <c r="AC278" s="18"/>
      <c r="AD278" s="18"/>
      <c r="AE278" s="21"/>
      <c r="AF278" s="18"/>
      <c r="AG278" s="22"/>
      <c r="AH278" s="18"/>
      <c r="AI278" s="21"/>
      <c r="AJ278" s="22"/>
      <c r="AK278" s="28"/>
      <c r="AL278" s="18"/>
      <c r="AM278" s="16"/>
      <c r="AN278" s="16"/>
      <c r="AO278" s="21"/>
      <c r="AP278" s="16"/>
      <c r="AQ278" s="18"/>
      <c r="AR278">
        <f>F278 +G278</f>
        <v>6</v>
      </c>
    </row>
    <row r="279" spans="1:44" hidden="1" x14ac:dyDescent="0.25">
      <c r="A279" t="str">
        <f>B279 &amp; " - " &amp;E279</f>
        <v>Everton - Robles</v>
      </c>
      <c r="B279" t="s">
        <v>1167</v>
      </c>
      <c r="C279" t="str">
        <f ca="1">IFERROR(VLOOKUP(INDEX(OFFSET(_JOUEURS,0,0,,1),MATCH(A279,OFFSET(_JOUEURS,0,1,,1),0)),_MPG,2,FALSE),"")</f>
        <v>74 c'est la champion's league</v>
      </c>
      <c r="D279" s="23" t="s">
        <v>360</v>
      </c>
      <c r="E279" s="56" t="s">
        <v>1146</v>
      </c>
      <c r="F279" s="25"/>
      <c r="G279" s="77"/>
      <c r="H279" s="56"/>
      <c r="I279" s="78"/>
      <c r="J279" s="109"/>
      <c r="K279" s="101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01"/>
      <c r="AF279" s="17"/>
      <c r="AG279" s="101"/>
      <c r="AH279" s="17"/>
      <c r="AI279" s="101"/>
      <c r="AJ279" s="101"/>
      <c r="AK279" s="17"/>
      <c r="AL279" s="17"/>
      <c r="AM279" s="17"/>
      <c r="AN279" s="17"/>
      <c r="AO279" s="101"/>
      <c r="AP279" s="17"/>
      <c r="AQ279" s="17"/>
      <c r="AR279">
        <f>F279 +G279</f>
        <v>0</v>
      </c>
    </row>
    <row r="280" spans="1:44" hidden="1" x14ac:dyDescent="0.25">
      <c r="A280" t="str">
        <f>B280 &amp; " - " &amp;E280</f>
        <v>WBA - Myhill</v>
      </c>
      <c r="B280" t="s">
        <v>1144</v>
      </c>
      <c r="C280" t="str">
        <f ca="1">IFERROR(VLOOKUP(INDEX(OFFSET(_JOUEURS,0,0,,1),MATCH(A280,OFFSET(_JOUEURS,0,1,,1),0)),_MPG,2,FALSE),"")</f>
        <v>The Bastards</v>
      </c>
      <c r="D280" s="23" t="s">
        <v>360</v>
      </c>
      <c r="E280" s="163" t="s">
        <v>1121</v>
      </c>
      <c r="F280" s="106"/>
      <c r="G280" s="101"/>
      <c r="H280" s="36"/>
      <c r="I280" s="27"/>
      <c r="J280" s="29"/>
      <c r="K280" s="21"/>
      <c r="L280" s="18"/>
      <c r="M280" s="18"/>
      <c r="N280" s="18"/>
      <c r="O280" s="2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  <c r="AA280" s="16"/>
      <c r="AB280" s="18"/>
      <c r="AC280" s="18"/>
      <c r="AD280" s="18"/>
      <c r="AE280" s="21"/>
      <c r="AF280" s="18"/>
      <c r="AG280" s="21"/>
      <c r="AH280" s="18"/>
      <c r="AI280" s="21"/>
      <c r="AJ280" s="21"/>
      <c r="AK280" s="28"/>
      <c r="AL280" s="18"/>
      <c r="AM280" s="18"/>
      <c r="AN280" s="18"/>
      <c r="AO280" s="22"/>
      <c r="AP280" s="18"/>
      <c r="AQ280" s="18"/>
      <c r="AR280">
        <f>F280 +G280</f>
        <v>0</v>
      </c>
    </row>
    <row r="281" spans="1:44" hidden="1" x14ac:dyDescent="0.25">
      <c r="A281" t="str">
        <f>B281 &amp; " - " &amp;E281</f>
        <v>Tottenham - Lloris</v>
      </c>
      <c r="B281" t="s">
        <v>1188</v>
      </c>
      <c r="C281" t="str">
        <f ca="1">IFERROR(VLOOKUP(INDEX(OFFSET(_JOUEURS,0,0,,1),MATCH(A281,OFFSET(_JOUEURS,0,1,,1),0)),_MPG,2,FALSE),"")</f>
        <v>Fuck-Tonio FC</v>
      </c>
      <c r="D281" s="104" t="s">
        <v>360</v>
      </c>
      <c r="E281" s="163" t="s">
        <v>549</v>
      </c>
      <c r="F281" s="106">
        <v>4</v>
      </c>
      <c r="G281" s="101"/>
      <c r="H281" s="36"/>
      <c r="I281" s="27">
        <f>AVERAGE(J281,M281,N281,O281)</f>
        <v>5.75</v>
      </c>
      <c r="J281" s="113">
        <v>5</v>
      </c>
      <c r="K281" s="16"/>
      <c r="L281" s="17"/>
      <c r="M281" s="16">
        <v>6</v>
      </c>
      <c r="N281" s="16">
        <v>6</v>
      </c>
      <c r="O281" s="17">
        <v>6</v>
      </c>
      <c r="P281" s="17"/>
      <c r="Q281" s="85"/>
      <c r="R281" s="17"/>
      <c r="S281" s="17"/>
      <c r="T281" s="17"/>
      <c r="U281" s="85"/>
      <c r="V281" s="17"/>
      <c r="W281" s="17"/>
      <c r="X281" s="17"/>
      <c r="Y281" s="85"/>
      <c r="Z281" s="17"/>
      <c r="AA281" s="85"/>
      <c r="AB281" s="17"/>
      <c r="AC281" s="17"/>
      <c r="AD281" s="17"/>
      <c r="AE281" s="101"/>
      <c r="AF281" s="17"/>
      <c r="AG281" s="85"/>
      <c r="AH281" s="17"/>
      <c r="AI281" s="85"/>
      <c r="AJ281" s="85"/>
      <c r="AK281" s="17"/>
      <c r="AL281" s="85"/>
      <c r="AM281" s="17"/>
      <c r="AN281" s="85"/>
      <c r="AO281" s="86"/>
      <c r="AP281" s="17"/>
      <c r="AQ281" s="17"/>
      <c r="AR281">
        <f>F281 +G281</f>
        <v>4</v>
      </c>
    </row>
    <row r="282" spans="1:44" hidden="1" x14ac:dyDescent="0.25">
      <c r="A282" t="str">
        <f>B282 &amp; " - " &amp;E282</f>
        <v>Tottenham - Vorm</v>
      </c>
      <c r="B282" t="s">
        <v>1188</v>
      </c>
      <c r="C282" t="str">
        <f ca="1">IFERROR(VLOOKUP(INDEX(OFFSET(_JOUEURS,0,0,,1),MATCH(A282,OFFSET(_JOUEURS,0,1,,1),0)),_MPG,2,FALSE),"")</f>
        <v>Fuck-Tonio FC</v>
      </c>
      <c r="D282" s="104" t="s">
        <v>360</v>
      </c>
      <c r="E282" s="163" t="s">
        <v>1168</v>
      </c>
      <c r="F282" s="106">
        <v>2</v>
      </c>
      <c r="G282" s="101">
        <v>1</v>
      </c>
      <c r="H282" s="36"/>
      <c r="I282" s="27">
        <f>AVERAGE(K282,L282)</f>
        <v>6</v>
      </c>
      <c r="J282" s="122" t="s">
        <v>364</v>
      </c>
      <c r="K282" s="16">
        <v>6</v>
      </c>
      <c r="L282" s="17">
        <v>6</v>
      </c>
      <c r="M282" s="17"/>
      <c r="N282" s="17"/>
      <c r="O282" s="59"/>
      <c r="P282" s="17"/>
      <c r="Q282" s="17"/>
      <c r="R282" s="85"/>
      <c r="S282" s="17"/>
      <c r="T282" s="17"/>
      <c r="U282" s="17"/>
      <c r="V282" s="17"/>
      <c r="W282" s="85"/>
      <c r="X282" s="17"/>
      <c r="Y282" s="17"/>
      <c r="Z282" s="17"/>
      <c r="AA282" s="85"/>
      <c r="AB282" s="17"/>
      <c r="AC282" s="85"/>
      <c r="AD282" s="17"/>
      <c r="AE282" s="101"/>
      <c r="AF282" s="17"/>
      <c r="AG282" s="17"/>
      <c r="AH282" s="85"/>
      <c r="AI282" s="17"/>
      <c r="AJ282" s="17"/>
      <c r="AK282" s="85"/>
      <c r="AL282" s="85"/>
      <c r="AM282" s="17"/>
      <c r="AN282" s="17"/>
      <c r="AO282" s="86"/>
      <c r="AP282" s="85"/>
      <c r="AQ282" s="17"/>
      <c r="AR282">
        <f>F282 +G282</f>
        <v>3</v>
      </c>
    </row>
    <row r="283" spans="1:44" x14ac:dyDescent="0.25">
      <c r="A283" t="str">
        <f>B283 &amp; " - " &amp;E283</f>
        <v>Tottenham - Pau Lopez</v>
      </c>
      <c r="B283" t="s">
        <v>1188</v>
      </c>
      <c r="C283" t="str">
        <f ca="1">IFERROR(VLOOKUP(INDEX(OFFSET(_JOUEURS,0,0,,1),MATCH(A283,OFFSET(_JOUEURS,0,1,,1),0)),_MPG,2,FALSE),"")</f>
        <v/>
      </c>
      <c r="D283" s="104" t="s">
        <v>360</v>
      </c>
      <c r="E283" s="163" t="s">
        <v>1169</v>
      </c>
      <c r="F283" s="106"/>
      <c r="G283" s="101"/>
      <c r="H283" s="36"/>
      <c r="I283" s="78"/>
      <c r="J283" s="105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  <c r="AA283" s="17"/>
      <c r="AB283" s="17"/>
      <c r="AC283" s="17"/>
      <c r="AD283" s="17"/>
      <c r="AE283" s="101"/>
      <c r="AF283" s="17"/>
      <c r="AG283" s="17"/>
      <c r="AH283" s="17"/>
      <c r="AI283" s="17"/>
      <c r="AJ283" s="17"/>
      <c r="AK283" s="17"/>
      <c r="AL283" s="17"/>
      <c r="AM283" s="17"/>
      <c r="AN283" s="17"/>
      <c r="AO283" s="101"/>
      <c r="AP283" s="17"/>
      <c r="AQ283" s="17"/>
      <c r="AR283">
        <f>F283 +G283</f>
        <v>0</v>
      </c>
    </row>
    <row r="284" spans="1:44" x14ac:dyDescent="0.25">
      <c r="A284" t="str">
        <f>B284 &amp; " - " &amp;E284</f>
        <v>West Ham - Adrian</v>
      </c>
      <c r="B284" t="s">
        <v>1212</v>
      </c>
      <c r="C284" t="str">
        <f ca="1">IFERROR(VLOOKUP(INDEX(OFFSET(_JOUEURS,0,0,,1),MATCH(A284,OFFSET(_JOUEURS,0,1,,1),0)),_MPG,2,FALSE),"")</f>
        <v/>
      </c>
      <c r="D284" s="104" t="s">
        <v>360</v>
      </c>
      <c r="E284" s="29" t="s">
        <v>1189</v>
      </c>
      <c r="F284" s="106">
        <v>6</v>
      </c>
      <c r="G284" s="101"/>
      <c r="H284" s="191"/>
      <c r="I284" s="27">
        <f>AVERAGE(J284,K284,L284,M284,N284,O284)</f>
        <v>5</v>
      </c>
      <c r="J284" s="109">
        <v>6</v>
      </c>
      <c r="K284" s="19">
        <v>7</v>
      </c>
      <c r="L284" s="17">
        <v>4</v>
      </c>
      <c r="M284" s="114">
        <v>3</v>
      </c>
      <c r="N284" s="17">
        <v>4</v>
      </c>
      <c r="O284" s="17">
        <v>6</v>
      </c>
      <c r="P284" s="17"/>
      <c r="Q284" s="17"/>
      <c r="R284" s="17"/>
      <c r="S284" s="85"/>
      <c r="T284" s="85"/>
      <c r="U284" s="17"/>
      <c r="V284" s="17"/>
      <c r="W284" s="17"/>
      <c r="X284" s="17"/>
      <c r="Y284" s="17"/>
      <c r="Z284" s="85"/>
      <c r="AA284" s="17"/>
      <c r="AB284" s="17"/>
      <c r="AC284" s="85"/>
      <c r="AD284" s="85"/>
      <c r="AE284" s="101"/>
      <c r="AF284" s="17"/>
      <c r="AG284" s="85"/>
      <c r="AH284" s="85"/>
      <c r="AI284" s="17"/>
      <c r="AJ284" s="17"/>
      <c r="AK284" s="17"/>
      <c r="AL284" s="17"/>
      <c r="AM284" s="17"/>
      <c r="AN284" s="17"/>
      <c r="AO284" s="86"/>
      <c r="AP284" s="17"/>
      <c r="AQ284" s="17"/>
      <c r="AR284">
        <f>F284 +G284</f>
        <v>6</v>
      </c>
    </row>
    <row r="285" spans="1:44" x14ac:dyDescent="0.25">
      <c r="A285" t="str">
        <f>B285 &amp; " - " &amp;E285</f>
        <v>West Ham - Randolph</v>
      </c>
      <c r="B285" t="s">
        <v>1212</v>
      </c>
      <c r="C285" t="str">
        <f ca="1">IFERROR(VLOOKUP(INDEX(OFFSET(_JOUEURS,0,0,,1),MATCH(A285,OFFSET(_JOUEURS,0,1,,1),0)),_MPG,2,FALSE),"")</f>
        <v/>
      </c>
      <c r="D285" s="104" t="s">
        <v>360</v>
      </c>
      <c r="E285" s="35" t="s">
        <v>1190</v>
      </c>
      <c r="F285" s="106"/>
      <c r="G285" s="101"/>
      <c r="H285" s="191"/>
      <c r="I285" s="27"/>
      <c r="J285" s="109"/>
      <c r="K285" s="17"/>
      <c r="L285" s="17"/>
      <c r="M285" s="85"/>
      <c r="N285" s="17"/>
      <c r="O285" s="17"/>
      <c r="P285" s="17"/>
      <c r="Q285" s="17"/>
      <c r="R285" s="17"/>
      <c r="S285" s="85"/>
      <c r="T285" s="85"/>
      <c r="U285" s="17"/>
      <c r="V285" s="17"/>
      <c r="W285" s="17"/>
      <c r="X285" s="17"/>
      <c r="Y285" s="17"/>
      <c r="Z285" s="85"/>
      <c r="AA285" s="17"/>
      <c r="AB285" s="17"/>
      <c r="AC285" s="17"/>
      <c r="AD285" s="85"/>
      <c r="AE285" s="101"/>
      <c r="AF285" s="17"/>
      <c r="AG285" s="17"/>
      <c r="AH285" s="17"/>
      <c r="AI285" s="17"/>
      <c r="AJ285" s="85"/>
      <c r="AK285" s="17"/>
      <c r="AL285" s="17"/>
      <c r="AM285" s="17"/>
      <c r="AN285" s="17"/>
      <c r="AO285" s="86"/>
      <c r="AP285" s="17"/>
      <c r="AQ285" s="17"/>
      <c r="AR285">
        <f>F285 +G285</f>
        <v>0</v>
      </c>
    </row>
    <row r="286" spans="1:44" x14ac:dyDescent="0.25">
      <c r="A286" t="str">
        <f>B286 &amp; " - " &amp;E286</f>
        <v>West Ham - Spiegel</v>
      </c>
      <c r="B286" t="s">
        <v>1212</v>
      </c>
      <c r="C286" t="str">
        <f ca="1">IFERROR(VLOOKUP(INDEX(OFFSET(_JOUEURS,0,0,,1),MATCH(A286,OFFSET(_JOUEURS,0,1,,1),0)),_MPG,2,FALSE),"")</f>
        <v/>
      </c>
      <c r="D286" s="104" t="s">
        <v>360</v>
      </c>
      <c r="E286" s="29" t="s">
        <v>1191</v>
      </c>
      <c r="F286" s="106"/>
      <c r="G286" s="101"/>
      <c r="H286" s="191"/>
      <c r="I286" s="27"/>
      <c r="J286" s="109"/>
      <c r="K286" s="17"/>
      <c r="L286" s="85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  <c r="AA286" s="17"/>
      <c r="AB286" s="17"/>
      <c r="AC286" s="17"/>
      <c r="AD286" s="17"/>
      <c r="AE286" s="99"/>
      <c r="AF286" s="85"/>
      <c r="AG286" s="17"/>
      <c r="AH286" s="17"/>
      <c r="AI286" s="17"/>
      <c r="AJ286" s="17"/>
      <c r="AK286" s="17"/>
      <c r="AL286" s="17"/>
      <c r="AM286" s="17"/>
      <c r="AN286" s="17"/>
      <c r="AO286" s="101"/>
      <c r="AP286" s="85"/>
      <c r="AQ286" s="17"/>
      <c r="AR286">
        <f>F286 +G286</f>
        <v>0</v>
      </c>
    </row>
    <row r="287" spans="1:44" x14ac:dyDescent="0.25">
      <c r="A287" t="str">
        <f>B287 &amp; " - " &amp;E287</f>
        <v>Hull - Jakupovic</v>
      </c>
      <c r="B287" t="s">
        <v>1237</v>
      </c>
      <c r="C287" t="str">
        <f ca="1">IFERROR(VLOOKUP(INDEX(OFFSET(_JOUEURS,0,0,,1),MATCH(A287,OFFSET(_JOUEURS,0,1,,1),0)),_MPG,2,FALSE),"")</f>
        <v/>
      </c>
      <c r="D287" s="80" t="s">
        <v>360</v>
      </c>
      <c r="E287" s="69" t="s">
        <v>1213</v>
      </c>
      <c r="F287" s="137">
        <v>5</v>
      </c>
      <c r="G287" s="123"/>
      <c r="H287" s="81"/>
      <c r="I287" s="55">
        <f>AVERAGE(J287,K287,L287,M287,N287)</f>
        <v>5.8</v>
      </c>
      <c r="J287" s="124">
        <v>6</v>
      </c>
      <c r="K287" s="74">
        <v>6</v>
      </c>
      <c r="L287" s="59">
        <v>6</v>
      </c>
      <c r="M287" s="59">
        <v>5</v>
      </c>
      <c r="N287" s="17">
        <v>6</v>
      </c>
      <c r="O287" s="17"/>
      <c r="P287" s="17"/>
      <c r="Q287" s="59"/>
      <c r="R287" s="17"/>
      <c r="S287" s="59"/>
      <c r="T287" s="17"/>
      <c r="U287" s="17"/>
      <c r="V287" s="17"/>
      <c r="W287" s="17"/>
      <c r="X287" s="17"/>
      <c r="Y287" s="59"/>
      <c r="Z287" s="17"/>
      <c r="AA287" s="17"/>
      <c r="AB287" s="17"/>
      <c r="AC287" s="17"/>
      <c r="AD287" s="17"/>
      <c r="AE287" s="101"/>
      <c r="AF287" s="17"/>
      <c r="AG287" s="17"/>
      <c r="AH287" s="17"/>
      <c r="AI287" s="17"/>
      <c r="AJ287" s="17"/>
      <c r="AK287" s="17"/>
      <c r="AL287" s="59"/>
      <c r="AM287" s="17"/>
      <c r="AN287" s="17"/>
      <c r="AO287" s="101"/>
      <c r="AP287" s="17"/>
      <c r="AQ287" s="17"/>
      <c r="AR287">
        <f>F287 +G287</f>
        <v>5</v>
      </c>
    </row>
    <row r="288" spans="1:44" x14ac:dyDescent="0.25">
      <c r="A288" t="str">
        <f>B288 &amp; " - " &amp;E288</f>
        <v>Hull - Marshall</v>
      </c>
      <c r="B288" t="s">
        <v>1237</v>
      </c>
      <c r="C288" t="str">
        <f ca="1">IFERROR(VLOOKUP(INDEX(OFFSET(_JOUEURS,0,0,,1),MATCH(A288,OFFSET(_JOUEURS,0,1,,1),0)),_MPG,2,FALSE),"")</f>
        <v/>
      </c>
      <c r="D288" s="104" t="s">
        <v>360</v>
      </c>
      <c r="E288" s="29" t="s">
        <v>1571</v>
      </c>
      <c r="F288" s="106">
        <v>1</v>
      </c>
      <c r="G288" s="101"/>
      <c r="H288" s="36"/>
      <c r="I288" s="27">
        <f>AVERAGE(O288)</f>
        <v>5</v>
      </c>
      <c r="J288" s="220"/>
      <c r="K288" s="99"/>
      <c r="L288" s="59"/>
      <c r="M288" s="59"/>
      <c r="N288" s="17"/>
      <c r="O288" s="17">
        <v>5</v>
      </c>
      <c r="P288" s="85"/>
      <c r="Q288" s="59"/>
      <c r="R288" s="17"/>
      <c r="S288" s="59"/>
      <c r="T288" s="17"/>
      <c r="U288" s="17"/>
      <c r="V288" s="17"/>
      <c r="W288" s="17"/>
      <c r="X288" s="17"/>
      <c r="Y288" s="84"/>
      <c r="Z288" s="17"/>
      <c r="AA288" s="17"/>
      <c r="AB288" s="85"/>
      <c r="AC288" s="17"/>
      <c r="AD288" s="17"/>
      <c r="AE288" s="101"/>
      <c r="AF288" s="85"/>
      <c r="AG288" s="17"/>
      <c r="AH288" s="17"/>
      <c r="AI288" s="17"/>
      <c r="AJ288" s="17"/>
      <c r="AK288" s="85"/>
      <c r="AL288" s="84"/>
      <c r="AM288" s="17"/>
      <c r="AN288" s="17"/>
      <c r="AO288" s="101"/>
      <c r="AP288" s="17"/>
      <c r="AQ288" s="17"/>
      <c r="AR288">
        <f>F288 +G288</f>
        <v>1</v>
      </c>
    </row>
    <row r="289" spans="1:44" hidden="1" x14ac:dyDescent="0.25">
      <c r="A289" t="str">
        <f>B289 &amp; " - " &amp;E289</f>
        <v>Leicester - Schmeichel</v>
      </c>
      <c r="B289" t="s">
        <v>1258</v>
      </c>
      <c r="C289" t="str">
        <f ca="1">IFERROR(VLOOKUP(INDEX(OFFSET(_JOUEURS,0,0,,1),MATCH(A289,OFFSET(_JOUEURS,0,1,,1),0)),_MPG,2,FALSE),"")</f>
        <v>Shame On You</v>
      </c>
      <c r="D289" s="23" t="s">
        <v>360</v>
      </c>
      <c r="E289" s="29" t="s">
        <v>1238</v>
      </c>
      <c r="F289" s="194">
        <v>4</v>
      </c>
      <c r="G289" s="21"/>
      <c r="H289" s="163"/>
      <c r="I289" s="27">
        <f>AVERAGE(J289,K289,L289,M289)</f>
        <v>5</v>
      </c>
      <c r="J289" s="124">
        <v>5</v>
      </c>
      <c r="K289" s="74">
        <v>6</v>
      </c>
      <c r="L289" s="59">
        <v>6</v>
      </c>
      <c r="M289" s="65">
        <v>3</v>
      </c>
      <c r="N289" s="16"/>
      <c r="O289" s="16"/>
      <c r="P289" s="18"/>
      <c r="Q289" s="18"/>
      <c r="R289" s="18"/>
      <c r="S289" s="18"/>
      <c r="T289" s="18"/>
      <c r="U289" s="16"/>
      <c r="V289" s="18"/>
      <c r="W289" s="16"/>
      <c r="X289" s="18"/>
      <c r="Y289" s="18"/>
      <c r="Z289" s="18"/>
      <c r="AA289" s="18"/>
      <c r="AB289" s="18"/>
      <c r="AC289" s="18"/>
      <c r="AD289" s="18"/>
      <c r="AE289" s="22"/>
      <c r="AF289" s="16"/>
      <c r="AG289" s="18"/>
      <c r="AH289" s="16"/>
      <c r="AI289" s="16"/>
      <c r="AJ289" s="18"/>
      <c r="AK289" s="18"/>
      <c r="AL289" s="18"/>
      <c r="AM289" s="18"/>
      <c r="AN289" s="18"/>
      <c r="AO289" s="21"/>
      <c r="AP289" s="17"/>
      <c r="AQ289" s="16"/>
      <c r="AR289">
        <f>F289 +G289</f>
        <v>4</v>
      </c>
    </row>
    <row r="290" spans="1:44" x14ac:dyDescent="0.25">
      <c r="A290" t="str">
        <f>B290 &amp; " - " &amp;E290</f>
        <v>Leicester - Zieler</v>
      </c>
      <c r="B290" t="s">
        <v>1258</v>
      </c>
      <c r="C290" t="str">
        <f ca="1">IFERROR(VLOOKUP(INDEX(OFFSET(_JOUEURS,0,0,,1),MATCH(A290,OFFSET(_JOUEURS,0,1,,1),0)),_MPG,2,FALSE),"")</f>
        <v/>
      </c>
      <c r="D290" s="23" t="s">
        <v>360</v>
      </c>
      <c r="E290" s="29" t="s">
        <v>1239</v>
      </c>
      <c r="F290" s="194">
        <v>2</v>
      </c>
      <c r="G290" s="21">
        <v>1</v>
      </c>
      <c r="H290" s="163"/>
      <c r="I290" s="27">
        <f>AVERAGE(N290,O290)</f>
        <v>5</v>
      </c>
      <c r="J290" s="70"/>
      <c r="K290" s="21"/>
      <c r="L290" s="28" t="s">
        <v>364</v>
      </c>
      <c r="M290" s="16"/>
      <c r="N290" s="16">
        <v>6</v>
      </c>
      <c r="O290" s="18">
        <v>4</v>
      </c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6"/>
      <c r="AA290" s="18"/>
      <c r="AB290" s="16"/>
      <c r="AC290" s="18"/>
      <c r="AD290" s="18"/>
      <c r="AE290" s="21"/>
      <c r="AF290" s="18"/>
      <c r="AG290" s="18"/>
      <c r="AH290" s="18"/>
      <c r="AI290" s="18"/>
      <c r="AJ290" s="18"/>
      <c r="AK290" s="18"/>
      <c r="AL290" s="18"/>
      <c r="AM290" s="18"/>
      <c r="AN290" s="18"/>
      <c r="AO290" s="21"/>
      <c r="AP290" s="18"/>
      <c r="AQ290" s="18"/>
      <c r="AR290">
        <f>F290 +G290</f>
        <v>3</v>
      </c>
    </row>
    <row r="291" spans="1:44" ht="15.75" thickBot="1" x14ac:dyDescent="0.3">
      <c r="A291" t="str">
        <f>B291 &amp; " - " &amp;E291</f>
        <v>Man. City - Caballero</v>
      </c>
      <c r="B291" t="s">
        <v>1279</v>
      </c>
      <c r="C291" t="str">
        <f ca="1">IFERROR(VLOOKUP(INDEX(OFFSET(_JOUEURS,0,0,,1),MATCH(A291,OFFSET(_JOUEURS,0,1,,1),0)),_MPG,2,FALSE),"")</f>
        <v/>
      </c>
      <c r="D291" s="128" t="s">
        <v>360</v>
      </c>
      <c r="E291" s="174" t="s">
        <v>1259</v>
      </c>
      <c r="F291" s="198">
        <v>3</v>
      </c>
      <c r="G291" s="199"/>
      <c r="H291" s="176"/>
      <c r="I291" s="92">
        <f>AVERAGE(J291,K291,L291)</f>
        <v>5</v>
      </c>
      <c r="J291" s="124">
        <v>5</v>
      </c>
      <c r="K291" s="101">
        <v>6</v>
      </c>
      <c r="L291" s="17">
        <v>4</v>
      </c>
      <c r="M291" s="17"/>
      <c r="N291" s="59"/>
      <c r="O291" s="17"/>
      <c r="P291" s="17"/>
      <c r="Q291" s="17"/>
      <c r="R291" s="17"/>
      <c r="S291" s="17"/>
      <c r="T291" s="17"/>
      <c r="U291" s="59"/>
      <c r="V291" s="17"/>
      <c r="W291" s="17"/>
      <c r="X291" s="85"/>
      <c r="Y291" s="85"/>
      <c r="Z291" s="17"/>
      <c r="AA291" s="17"/>
      <c r="AB291" s="17"/>
      <c r="AC291" s="17"/>
      <c r="AD291" s="17"/>
      <c r="AE291" s="101"/>
      <c r="AF291" s="17"/>
      <c r="AG291" s="101"/>
      <c r="AH291" s="85"/>
      <c r="AI291" s="101"/>
      <c r="AJ291" s="101"/>
      <c r="AK291" s="17"/>
      <c r="AL291" s="17"/>
      <c r="AM291" s="85"/>
      <c r="AN291" s="17"/>
      <c r="AO291" s="86"/>
      <c r="AP291" s="85"/>
      <c r="AQ291" s="17"/>
      <c r="AR291">
        <f>F291 +G291</f>
        <v>3</v>
      </c>
    </row>
    <row r="292" spans="1:44" hidden="1" x14ac:dyDescent="0.25">
      <c r="A292" t="str">
        <f>B292 &amp; " - " &amp;E292</f>
        <v>Man. City - Bravo</v>
      </c>
      <c r="B292" t="s">
        <v>1279</v>
      </c>
      <c r="C292" t="str">
        <f ca="1">IFERROR(VLOOKUP(INDEX(OFFSET(_JOUEURS,0,0,,1),MATCH(A292,OFFSET(_JOUEURS,0,1,,1),0)),_MPG,2,FALSE),"")</f>
        <v>I speak pas english</v>
      </c>
      <c r="D292" s="218" t="s">
        <v>360</v>
      </c>
      <c r="E292" s="219" t="s">
        <v>1260</v>
      </c>
      <c r="F292" s="214">
        <v>3</v>
      </c>
      <c r="G292" s="215"/>
      <c r="H292" s="216"/>
      <c r="I292" s="14">
        <f>AVERAGE(M292,N292,O292)</f>
        <v>5.333333333333333</v>
      </c>
      <c r="J292" s="124"/>
      <c r="K292" s="17"/>
      <c r="L292" s="101"/>
      <c r="M292" s="17">
        <v>4</v>
      </c>
      <c r="N292" s="60">
        <v>6</v>
      </c>
      <c r="O292" s="17">
        <v>6</v>
      </c>
      <c r="P292" s="17"/>
      <c r="Q292" s="17"/>
      <c r="R292" s="17"/>
      <c r="S292" s="17"/>
      <c r="T292" s="17"/>
      <c r="U292" s="59"/>
      <c r="V292" s="17"/>
      <c r="W292" s="17"/>
      <c r="X292" s="17"/>
      <c r="Y292" s="17"/>
      <c r="Z292" s="17"/>
      <c r="AA292" s="17"/>
      <c r="AB292" s="17"/>
      <c r="AC292" s="17"/>
      <c r="AD292" s="17"/>
      <c r="AE292" s="17"/>
      <c r="AF292" s="17"/>
      <c r="AG292" s="17"/>
      <c r="AH292" s="84"/>
      <c r="AI292" s="101"/>
      <c r="AJ292" s="17"/>
      <c r="AK292" s="17"/>
      <c r="AL292" s="17"/>
      <c r="AM292" s="101"/>
      <c r="AN292" s="17"/>
      <c r="AO292" s="84"/>
      <c r="AP292" s="17"/>
      <c r="AQ292" s="17"/>
      <c r="AR292">
        <f>F292 +G292</f>
        <v>3</v>
      </c>
    </row>
    <row r="293" spans="1:44" x14ac:dyDescent="0.25">
      <c r="A293" t="str">
        <f>B293 &amp; " - " &amp;E293</f>
        <v>Sunderland - Mannone</v>
      </c>
      <c r="B293" t="s">
        <v>1301</v>
      </c>
      <c r="C293" t="str">
        <f ca="1">IFERROR(VLOOKUP(INDEX(OFFSET(_JOUEURS,0,0,,1),MATCH(A293,OFFSET(_JOUEURS,0,1,,1),0)),_MPG,2,FALSE),"")</f>
        <v/>
      </c>
      <c r="D293" s="76" t="s">
        <v>360</v>
      </c>
      <c r="E293" s="29" t="s">
        <v>1280</v>
      </c>
      <c r="F293" s="194">
        <v>2</v>
      </c>
      <c r="G293" s="21"/>
      <c r="H293" s="163"/>
      <c r="I293" s="133">
        <f>AVERAGE(J293,K293)</f>
        <v>5</v>
      </c>
      <c r="J293" s="124">
        <v>5</v>
      </c>
      <c r="K293" s="17">
        <v>5</v>
      </c>
      <c r="L293" s="17"/>
      <c r="M293" s="17"/>
      <c r="N293" s="17"/>
      <c r="O293" s="17"/>
      <c r="P293" s="17"/>
      <c r="Q293" s="85"/>
      <c r="R293" s="17"/>
      <c r="S293" s="17"/>
      <c r="T293" s="17"/>
      <c r="U293" s="85"/>
      <c r="V293" s="17"/>
      <c r="W293" s="17"/>
      <c r="X293" s="85"/>
      <c r="Y293" s="85"/>
      <c r="Z293" s="17"/>
      <c r="AA293" s="17"/>
      <c r="AB293" s="85"/>
      <c r="AC293" s="17"/>
      <c r="AD293" s="85"/>
      <c r="AE293" s="17"/>
      <c r="AF293" s="85"/>
      <c r="AG293" s="17"/>
      <c r="AH293" s="85"/>
      <c r="AI293" s="101"/>
      <c r="AJ293" s="85"/>
      <c r="AK293" s="85"/>
      <c r="AL293" s="85"/>
      <c r="AM293" s="101"/>
      <c r="AN293" s="17"/>
      <c r="AO293" s="17"/>
      <c r="AP293" s="17"/>
      <c r="AQ293" s="17"/>
      <c r="AR293">
        <f>F293 +G293</f>
        <v>2</v>
      </c>
    </row>
    <row r="294" spans="1:44" x14ac:dyDescent="0.25">
      <c r="A294" t="str">
        <f>B294 &amp; " - " &amp;E294</f>
        <v>Sunderland - Pickford</v>
      </c>
      <c r="B294" t="s">
        <v>1301</v>
      </c>
      <c r="C294" t="str">
        <f ca="1">IFERROR(VLOOKUP(INDEX(OFFSET(_JOUEURS,0,0,,1),MATCH(A294,OFFSET(_JOUEURS,0,1,,1),0)),_MPG,2,FALSE),"")</f>
        <v/>
      </c>
      <c r="D294" s="189" t="s">
        <v>360</v>
      </c>
      <c r="E294" s="111" t="s">
        <v>1281</v>
      </c>
      <c r="F294" s="195">
        <v>4</v>
      </c>
      <c r="G294" s="196"/>
      <c r="H294" s="197"/>
      <c r="I294" s="55">
        <f>AVERAGE(L294,M294,N294,O294)</f>
        <v>5.5</v>
      </c>
      <c r="J294" s="124"/>
      <c r="K294" s="17"/>
      <c r="L294" s="17">
        <v>6</v>
      </c>
      <c r="M294" s="17">
        <v>5</v>
      </c>
      <c r="N294" s="66">
        <v>7</v>
      </c>
      <c r="O294" s="17">
        <v>4</v>
      </c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85"/>
      <c r="AF294" s="17"/>
      <c r="AG294" s="17"/>
      <c r="AH294" s="84"/>
      <c r="AI294" s="101"/>
      <c r="AJ294" s="17"/>
      <c r="AK294" s="17"/>
      <c r="AL294" s="17"/>
      <c r="AM294" s="101"/>
      <c r="AN294" s="17"/>
      <c r="AO294" s="17"/>
      <c r="AP294" s="17"/>
      <c r="AQ294" s="17"/>
      <c r="AR294">
        <f>F294 +G294</f>
        <v>4</v>
      </c>
    </row>
    <row r="295" spans="1:44" x14ac:dyDescent="0.25">
      <c r="A295" t="str">
        <f>B295 &amp; " - " &amp;E295</f>
        <v>Middlesbrough - Valdes</v>
      </c>
      <c r="B295" t="s">
        <v>1324</v>
      </c>
      <c r="C295" t="str">
        <f ca="1">IFERROR(VLOOKUP(INDEX(OFFSET(_JOUEURS,0,0,,1),MATCH(A295,OFFSET(_JOUEURS,0,1,,1),0)),_MPG,2,FALSE),"")</f>
        <v/>
      </c>
      <c r="D295" s="104" t="s">
        <v>360</v>
      </c>
      <c r="E295" s="29" t="s">
        <v>1302</v>
      </c>
      <c r="F295" s="106">
        <v>4</v>
      </c>
      <c r="G295" s="101"/>
      <c r="H295" s="36"/>
      <c r="I295" s="27">
        <f>AVERAGE(J295,M295,N295,O295)</f>
        <v>4.5</v>
      </c>
      <c r="J295" s="124">
        <v>5</v>
      </c>
      <c r="K295" s="22"/>
      <c r="L295" s="17"/>
      <c r="M295" s="17">
        <v>4</v>
      </c>
      <c r="N295" s="17">
        <v>4</v>
      </c>
      <c r="O295" s="17">
        <v>5</v>
      </c>
      <c r="P295" s="17"/>
      <c r="Q295" s="17"/>
      <c r="R295" s="85"/>
      <c r="S295" s="85"/>
      <c r="T295" s="85"/>
      <c r="U295" s="17"/>
      <c r="V295" s="85"/>
      <c r="W295" s="17"/>
      <c r="X295" s="17"/>
      <c r="Y295" s="17"/>
      <c r="Z295" s="17"/>
      <c r="AA295" s="17"/>
      <c r="AB295" s="85"/>
      <c r="AC295" s="17"/>
      <c r="AD295" s="17"/>
      <c r="AE295" s="85"/>
      <c r="AF295" s="17"/>
      <c r="AG295" s="17"/>
      <c r="AH295" s="17"/>
      <c r="AI295" s="86"/>
      <c r="AJ295" s="17"/>
      <c r="AK295" s="17"/>
      <c r="AL295" s="17"/>
      <c r="AM295" s="101"/>
      <c r="AN295" s="17"/>
      <c r="AO295" s="17"/>
      <c r="AP295" s="17"/>
      <c r="AQ295" s="17"/>
      <c r="AR295">
        <f>F295 +G295</f>
        <v>4</v>
      </c>
    </row>
    <row r="296" spans="1:44" x14ac:dyDescent="0.25">
      <c r="A296" t="str">
        <f>B296 &amp; " - " &amp;E296</f>
        <v>Middlesbrough - Guzan</v>
      </c>
      <c r="B296" t="s">
        <v>1324</v>
      </c>
      <c r="C296" t="str">
        <f ca="1">IFERROR(VLOOKUP(INDEX(OFFSET(_JOUEURS,0,0,,1),MATCH(A296,OFFSET(_JOUEURS,0,1,,1),0)),_MPG,2,FALSE),"")</f>
        <v/>
      </c>
      <c r="D296" s="104" t="s">
        <v>360</v>
      </c>
      <c r="E296" s="29" t="s">
        <v>1303</v>
      </c>
      <c r="F296" s="106">
        <v>2</v>
      </c>
      <c r="G296" s="101"/>
      <c r="H296" s="36"/>
      <c r="I296" s="27">
        <f>AVERAGE(K296,L296)</f>
        <v>5.5</v>
      </c>
      <c r="J296" s="124"/>
      <c r="K296" s="101">
        <v>5</v>
      </c>
      <c r="L296" s="16">
        <v>6</v>
      </c>
      <c r="M296" s="17"/>
      <c r="N296" s="85"/>
      <c r="O296" s="17"/>
      <c r="P296" s="17"/>
      <c r="Q296" s="17"/>
      <c r="R296" s="17"/>
      <c r="S296" s="17"/>
      <c r="T296" s="17"/>
      <c r="U296" s="17"/>
      <c r="V296" s="85"/>
      <c r="W296" s="85"/>
      <c r="X296" s="85"/>
      <c r="Y296" s="17"/>
      <c r="Z296" s="17"/>
      <c r="AA296" s="17"/>
      <c r="AB296" s="17"/>
      <c r="AC296" s="17"/>
      <c r="AD296" s="85"/>
      <c r="AE296" s="17"/>
      <c r="AF296" s="17"/>
      <c r="AG296" s="17"/>
      <c r="AH296" s="17"/>
      <c r="AI296" s="101"/>
      <c r="AJ296" s="85"/>
      <c r="AK296" s="85"/>
      <c r="AL296" s="17"/>
      <c r="AM296" s="86"/>
      <c r="AN296" s="85"/>
      <c r="AO296" s="85"/>
      <c r="AP296" s="17"/>
      <c r="AQ296" s="17"/>
      <c r="AR296">
        <f>F296 +G296</f>
        <v>2</v>
      </c>
    </row>
    <row r="297" spans="1:44" x14ac:dyDescent="0.25">
      <c r="A297" t="str">
        <f>B297 &amp; " - " &amp;E297</f>
        <v>Middlesbrough - Konstantopoulos</v>
      </c>
      <c r="B297" t="s">
        <v>1324</v>
      </c>
      <c r="C297" t="str">
        <f ca="1">IFERROR(VLOOKUP(INDEX(OFFSET(_JOUEURS,0,0,,1),MATCH(A297,OFFSET(_JOUEURS,0,1,,1),0)),_MPG,2,FALSE),"")</f>
        <v/>
      </c>
      <c r="D297" s="104" t="s">
        <v>360</v>
      </c>
      <c r="E297" s="29" t="s">
        <v>1304</v>
      </c>
      <c r="F297" s="106"/>
      <c r="G297" s="101"/>
      <c r="H297" s="36"/>
      <c r="I297" s="27"/>
      <c r="J297" s="124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01"/>
      <c r="AJ297" s="17"/>
      <c r="AK297" s="17"/>
      <c r="AL297" s="17"/>
      <c r="AM297" s="101"/>
      <c r="AN297" s="17"/>
      <c r="AO297" s="17"/>
      <c r="AP297" s="17"/>
      <c r="AQ297" s="17"/>
      <c r="AR297">
        <f>F297 +G297</f>
        <v>0</v>
      </c>
    </row>
    <row r="298" spans="1:44" x14ac:dyDescent="0.25">
      <c r="A298" t="str">
        <f>B298 &amp; " - " &amp;E298</f>
        <v>Stoke City - Grant</v>
      </c>
      <c r="B298" t="s">
        <v>1347</v>
      </c>
      <c r="C298" t="str">
        <f ca="1">IFERROR(VLOOKUP(INDEX(OFFSET(_JOUEURS,0,0,,1),MATCH(A298,OFFSET(_JOUEURS,0,1,,1),0)),_MPG,2,FALSE),"")</f>
        <v/>
      </c>
      <c r="D298" s="23" t="s">
        <v>360</v>
      </c>
      <c r="E298" s="24" t="s">
        <v>1573</v>
      </c>
      <c r="F298" s="25">
        <v>1</v>
      </c>
      <c r="G298" s="77"/>
      <c r="H298" s="56"/>
      <c r="I298" s="27">
        <f>AVERAGE(O298)</f>
        <v>5</v>
      </c>
      <c r="J298" s="229"/>
      <c r="K298" s="17"/>
      <c r="L298" s="59"/>
      <c r="M298" s="17"/>
      <c r="N298" s="17"/>
      <c r="O298" s="17">
        <v>5</v>
      </c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59"/>
      <c r="AG298" s="17"/>
      <c r="AH298" s="59"/>
      <c r="AI298" s="99"/>
      <c r="AJ298" s="17"/>
      <c r="AK298" s="59"/>
      <c r="AL298" s="17"/>
      <c r="AM298" s="101"/>
      <c r="AN298" s="17"/>
      <c r="AO298" s="17"/>
      <c r="AP298" s="17"/>
      <c r="AQ298" s="17"/>
      <c r="AR298">
        <f>F298 +G298</f>
        <v>1</v>
      </c>
    </row>
    <row r="299" spans="1:44" x14ac:dyDescent="0.25">
      <c r="A299" t="str">
        <f>B299 &amp; " - " &amp;E299</f>
        <v>Southampton - Forster</v>
      </c>
      <c r="B299" t="s">
        <v>1367</v>
      </c>
      <c r="D299" s="104" t="s">
        <v>360</v>
      </c>
      <c r="E299" s="109" t="s">
        <v>1348</v>
      </c>
      <c r="F299" s="194">
        <v>6</v>
      </c>
      <c r="G299" s="21"/>
      <c r="H299" s="163"/>
      <c r="I299" s="27">
        <f>AVERAGE(J299,K299,L299,M299,N299,O299)</f>
        <v>4.833333333333333</v>
      </c>
      <c r="J299" s="35">
        <v>4</v>
      </c>
      <c r="K299" s="18">
        <v>5</v>
      </c>
      <c r="L299" s="28">
        <v>5</v>
      </c>
      <c r="M299" s="18">
        <v>4</v>
      </c>
      <c r="N299" s="16">
        <v>6</v>
      </c>
      <c r="O299" s="18">
        <v>5</v>
      </c>
      <c r="P299" s="18"/>
      <c r="Q299" s="28"/>
      <c r="R299" s="18"/>
      <c r="S299" s="28"/>
      <c r="T299" s="28"/>
      <c r="U299" s="18"/>
      <c r="V299" s="28"/>
      <c r="W299" s="18"/>
      <c r="X299" s="28"/>
      <c r="Y299" s="28"/>
      <c r="Z299" s="18"/>
      <c r="AA299" s="60"/>
      <c r="AB299" s="16"/>
      <c r="AC299" s="18"/>
      <c r="AD299" s="18"/>
      <c r="AE299" s="18"/>
      <c r="AF299" s="28"/>
      <c r="AG299" s="18"/>
      <c r="AH299" s="28"/>
      <c r="AI299" s="21"/>
      <c r="AJ299" s="18"/>
      <c r="AK299" s="28"/>
      <c r="AL299" s="18"/>
      <c r="AM299" s="20"/>
      <c r="AN299" s="28"/>
      <c r="AO299" s="18"/>
      <c r="AP299" s="28"/>
      <c r="AQ299" s="18"/>
      <c r="AR299">
        <f>F299 +G299</f>
        <v>6</v>
      </c>
    </row>
    <row r="300" spans="1:44" hidden="1" x14ac:dyDescent="0.25">
      <c r="A300" t="str">
        <f>B300 &amp; " - " &amp;E300</f>
        <v>Southampton - McCarthy</v>
      </c>
      <c r="B300" t="s">
        <v>1367</v>
      </c>
      <c r="C300" t="str">
        <f ca="1">IFERROR(VLOOKUP(INDEX(OFFSET(_JOUEURS,0,0,,1),MATCH(A300,OFFSET(_JOUEURS,0,1,,1),0)),_MPG,2,FALSE),"")</f>
        <v>Saxe-Gambetta FC</v>
      </c>
      <c r="D300" s="104" t="s">
        <v>360</v>
      </c>
      <c r="E300" s="109" t="s">
        <v>1154</v>
      </c>
      <c r="F300" s="194"/>
      <c r="G300" s="21"/>
      <c r="H300" s="163"/>
      <c r="I300" s="78"/>
      <c r="J300" s="35"/>
      <c r="K300" s="18"/>
      <c r="L300" s="28"/>
      <c r="M300" s="18"/>
      <c r="N300" s="18"/>
      <c r="O300" s="18"/>
      <c r="P300" s="18"/>
      <c r="Q300" s="28"/>
      <c r="R300" s="18"/>
      <c r="S300" s="28"/>
      <c r="T300" s="28"/>
      <c r="U300" s="18"/>
      <c r="V300" s="28"/>
      <c r="W300" s="18"/>
      <c r="X300" s="28"/>
      <c r="Y300" s="28"/>
      <c r="Z300" s="18"/>
      <c r="AA300" s="60"/>
      <c r="AB300" s="16"/>
      <c r="AC300" s="18"/>
      <c r="AD300" s="18"/>
      <c r="AE300" s="18"/>
      <c r="AF300" s="28"/>
      <c r="AG300" s="18"/>
      <c r="AH300" s="28"/>
      <c r="AI300" s="21"/>
      <c r="AJ300" s="18"/>
      <c r="AK300" s="28"/>
      <c r="AL300" s="18"/>
      <c r="AM300" s="20"/>
      <c r="AN300" s="28"/>
      <c r="AO300" s="18"/>
      <c r="AP300" s="28"/>
      <c r="AQ300" s="18"/>
      <c r="AR300">
        <f>F300 +G300</f>
        <v>0</v>
      </c>
    </row>
    <row r="301" spans="1:44" x14ac:dyDescent="0.25">
      <c r="A301" t="str">
        <f>B301 &amp; " - " &amp;E301</f>
        <v>Watford - Gomes</v>
      </c>
      <c r="B301" t="s">
        <v>1393</v>
      </c>
      <c r="C301" t="str">
        <f ca="1">IFERROR(VLOOKUP(INDEX(OFFSET(_JOUEURS,0,0,,1),MATCH(A301,OFFSET(_JOUEURS,0,1,,1),0)),_MPG,2,FALSE),"")</f>
        <v/>
      </c>
      <c r="D301" s="80" t="s">
        <v>360</v>
      </c>
      <c r="E301" s="69" t="s">
        <v>1368</v>
      </c>
      <c r="F301" s="137">
        <v>6</v>
      </c>
      <c r="G301" s="123"/>
      <c r="H301" s="81"/>
      <c r="I301" s="55">
        <f>AVERAGE(J301,K301,L301,M301,N301,O301)</f>
        <v>5.333333333333333</v>
      </c>
      <c r="J301" s="151">
        <v>7</v>
      </c>
      <c r="K301" s="17">
        <v>5</v>
      </c>
      <c r="L301" s="59">
        <v>5</v>
      </c>
      <c r="M301" s="17">
        <v>5</v>
      </c>
      <c r="N301" s="59">
        <v>5</v>
      </c>
      <c r="O301" s="59">
        <v>5</v>
      </c>
      <c r="P301" s="17"/>
      <c r="Q301" s="59"/>
      <c r="R301" s="17"/>
      <c r="S301" s="17"/>
      <c r="T301" s="17"/>
      <c r="U301" s="17"/>
      <c r="V301" s="17"/>
      <c r="W301" s="59"/>
      <c r="X301" s="17"/>
      <c r="Y301" s="17"/>
      <c r="Z301" s="59"/>
      <c r="AA301" s="17"/>
      <c r="AB301" s="17"/>
      <c r="AC301" s="17"/>
      <c r="AD301" s="59"/>
      <c r="AE301" s="17"/>
      <c r="AF301" s="17"/>
      <c r="AG301" s="17"/>
      <c r="AH301" s="17"/>
      <c r="AI301" s="101"/>
      <c r="AJ301" s="17"/>
      <c r="AK301" s="17"/>
      <c r="AL301" s="17"/>
      <c r="AM301" s="99"/>
      <c r="AN301" s="17"/>
      <c r="AO301" s="17"/>
      <c r="AP301" s="59"/>
      <c r="AQ301" s="17"/>
      <c r="AR301">
        <f>F301 +G301</f>
        <v>6</v>
      </c>
    </row>
    <row r="302" spans="1:44" x14ac:dyDescent="0.25">
      <c r="A302" t="str">
        <f>B302 &amp; " - " &amp;E302</f>
        <v>Watford - Pantilimon</v>
      </c>
      <c r="B302" t="s">
        <v>1393</v>
      </c>
      <c r="C302" t="str">
        <f ca="1">IFERROR(VLOOKUP(INDEX(OFFSET(_JOUEURS,0,0,,1),MATCH(A302,OFFSET(_JOUEURS,0,1,,1),0)),_MPG,2,FALSE),"")</f>
        <v/>
      </c>
      <c r="D302" s="104" t="s">
        <v>360</v>
      </c>
      <c r="E302" s="109" t="s">
        <v>1369</v>
      </c>
      <c r="F302" s="106"/>
      <c r="G302" s="101"/>
      <c r="H302" s="36"/>
      <c r="I302" s="27"/>
      <c r="J302" s="124"/>
      <c r="K302" s="17"/>
      <c r="L302" s="60"/>
      <c r="M302" s="17"/>
      <c r="N302" s="59"/>
      <c r="O302" s="59"/>
      <c r="P302" s="17"/>
      <c r="Q302" s="59"/>
      <c r="R302" s="17"/>
      <c r="S302" s="17"/>
      <c r="T302" s="17"/>
      <c r="U302" s="17"/>
      <c r="V302" s="17"/>
      <c r="W302" s="59"/>
      <c r="X302" s="17"/>
      <c r="Y302" s="17"/>
      <c r="Z302" s="59"/>
      <c r="AA302" s="17"/>
      <c r="AB302" s="17"/>
      <c r="AC302" s="17"/>
      <c r="AD302" s="59"/>
      <c r="AE302" s="17"/>
      <c r="AF302" s="17"/>
      <c r="AG302" s="17"/>
      <c r="AH302" s="17"/>
      <c r="AI302" s="101"/>
      <c r="AJ302" s="17"/>
      <c r="AK302" s="17"/>
      <c r="AL302" s="17"/>
      <c r="AM302" s="99"/>
      <c r="AN302" s="17"/>
      <c r="AO302" s="17"/>
      <c r="AP302" s="59"/>
      <c r="AQ302" s="17"/>
      <c r="AR302">
        <f>F302 +G302</f>
        <v>0</v>
      </c>
    </row>
    <row r="303" spans="1:44" x14ac:dyDescent="0.25">
      <c r="A303" t="str">
        <f>B303 &amp; " - " &amp;E303</f>
        <v>Watford - Gilmartin</v>
      </c>
      <c r="B303" t="s">
        <v>1393</v>
      </c>
      <c r="C303" t="str">
        <f ca="1">IFERROR(VLOOKUP(INDEX(OFFSET(_JOUEURS,0,0,,1),MATCH(A303,OFFSET(_JOUEURS,0,1,,1),0)),_MPG,2,FALSE),"")</f>
        <v/>
      </c>
      <c r="D303" s="104" t="s">
        <v>360</v>
      </c>
      <c r="E303" s="109" t="s">
        <v>1370</v>
      </c>
      <c r="F303" s="106"/>
      <c r="G303" s="101"/>
      <c r="H303" s="36"/>
      <c r="I303" s="27"/>
      <c r="J303" s="124"/>
      <c r="K303" s="17"/>
      <c r="L303" s="59"/>
      <c r="M303" s="17"/>
      <c r="N303" s="59"/>
      <c r="O303" s="59"/>
      <c r="P303" s="17"/>
      <c r="Q303" s="59"/>
      <c r="R303" s="17"/>
      <c r="S303" s="17"/>
      <c r="T303" s="17"/>
      <c r="U303" s="17"/>
      <c r="V303" s="17"/>
      <c r="W303" s="59"/>
      <c r="X303" s="17"/>
      <c r="Y303" s="17"/>
      <c r="Z303" s="59"/>
      <c r="AA303" s="17"/>
      <c r="AB303" s="17"/>
      <c r="AC303" s="17"/>
      <c r="AD303" s="59"/>
      <c r="AE303" s="17"/>
      <c r="AF303" s="17"/>
      <c r="AG303" s="17"/>
      <c r="AH303" s="17"/>
      <c r="AI303" s="101"/>
      <c r="AJ303" s="17"/>
      <c r="AK303" s="17"/>
      <c r="AL303" s="17"/>
      <c r="AM303" s="99"/>
      <c r="AN303" s="17"/>
      <c r="AO303" s="17"/>
      <c r="AP303" s="59"/>
      <c r="AQ303" s="17"/>
      <c r="AR303">
        <f>F303 +G303</f>
        <v>0</v>
      </c>
    </row>
    <row r="304" spans="1:44" x14ac:dyDescent="0.25">
      <c r="A304" t="str">
        <f>B304 &amp; " - " &amp;E304</f>
        <v>Arsenal - Ospina</v>
      </c>
      <c r="B304" t="s">
        <v>1423</v>
      </c>
      <c r="C304" t="str">
        <f ca="1">IFERROR(VLOOKUP(INDEX(OFFSET(_JOUEURS,0,0,,1),MATCH(A304,OFFSET(_JOUEURS,0,1,,1),0)),_MPG,2,FALSE),"")</f>
        <v/>
      </c>
      <c r="D304" s="104" t="s">
        <v>360</v>
      </c>
      <c r="E304" s="29" t="s">
        <v>1395</v>
      </c>
      <c r="F304" s="106"/>
      <c r="G304" s="101"/>
      <c r="H304" s="36"/>
      <c r="I304" s="27"/>
      <c r="J304" s="124"/>
      <c r="K304" s="101"/>
      <c r="L304" s="60"/>
      <c r="M304" s="18"/>
      <c r="N304" s="28"/>
      <c r="O304" s="28"/>
      <c r="P304" s="18"/>
      <c r="Q304" s="60"/>
      <c r="R304" s="16"/>
      <c r="S304" s="16"/>
      <c r="T304" s="18"/>
      <c r="U304" s="18"/>
      <c r="V304" s="18"/>
      <c r="W304" s="60"/>
      <c r="X304" s="18"/>
      <c r="Y304" s="18"/>
      <c r="Z304" s="28"/>
      <c r="AA304" s="18"/>
      <c r="AB304" s="18"/>
      <c r="AC304" s="18"/>
      <c r="AD304" s="28"/>
      <c r="AE304" s="18"/>
      <c r="AF304" s="16"/>
      <c r="AG304" s="17"/>
      <c r="AH304" s="18"/>
      <c r="AI304" s="21"/>
      <c r="AJ304" s="60"/>
      <c r="AK304" s="18"/>
      <c r="AL304" s="18"/>
      <c r="AM304" s="99"/>
      <c r="AN304" s="18"/>
      <c r="AO304" s="18"/>
      <c r="AP304" s="28"/>
      <c r="AQ304" s="18"/>
      <c r="AR304">
        <f>F304 +G304</f>
        <v>0</v>
      </c>
    </row>
    <row r="305" spans="1:44" hidden="1" x14ac:dyDescent="0.25">
      <c r="A305" t="str">
        <f>B305 &amp; " - " &amp;E305</f>
        <v>Liverpool - Mignolet</v>
      </c>
      <c r="B305" t="s">
        <v>1446</v>
      </c>
      <c r="C305" t="str">
        <f ca="1">IFERROR(VLOOKUP(INDEX(OFFSET(_JOUEURS,0,0,,1),MATCH(A305,OFFSET(_JOUEURS,0,1,,1),0)),_MPG,2,FALSE),"")</f>
        <v>nut fc</v>
      </c>
      <c r="D305" s="152" t="s">
        <v>360</v>
      </c>
      <c r="E305" s="24" t="s">
        <v>1424</v>
      </c>
      <c r="F305" s="25">
        <v>5</v>
      </c>
      <c r="G305" s="77"/>
      <c r="H305" s="56"/>
      <c r="I305" s="27">
        <f>AVERAGE(J305,K305,L305,M305,N305)</f>
        <v>5.2</v>
      </c>
      <c r="J305" s="124">
        <v>6</v>
      </c>
      <c r="K305" s="17">
        <v>4</v>
      </c>
      <c r="L305" s="59">
        <v>6</v>
      </c>
      <c r="M305" s="17">
        <v>5</v>
      </c>
      <c r="N305" s="59">
        <v>5</v>
      </c>
      <c r="O305" s="59"/>
      <c r="P305" s="17"/>
      <c r="Q305" s="59"/>
      <c r="R305" s="17"/>
      <c r="S305" s="17"/>
      <c r="T305" s="17"/>
      <c r="U305" s="17"/>
      <c r="V305" s="17"/>
      <c r="W305" s="59"/>
      <c r="X305" s="17"/>
      <c r="Y305" s="59"/>
      <c r="Z305" s="59"/>
      <c r="AA305" s="17"/>
      <c r="AB305" s="17"/>
      <c r="AC305" s="17"/>
      <c r="AD305" s="59"/>
      <c r="AE305" s="17"/>
      <c r="AF305" s="17"/>
      <c r="AG305" s="17"/>
      <c r="AH305" s="17"/>
      <c r="AI305" s="101"/>
      <c r="AJ305" s="17"/>
      <c r="AK305" s="17"/>
      <c r="AL305" s="17"/>
      <c r="AM305" s="99"/>
      <c r="AN305" s="17"/>
      <c r="AO305" s="17"/>
      <c r="AP305" s="59"/>
      <c r="AQ305" s="17"/>
      <c r="AR305">
        <f>F305 +G305</f>
        <v>5</v>
      </c>
    </row>
    <row r="306" spans="1:44" hidden="1" x14ac:dyDescent="0.25">
      <c r="A306" t="str">
        <f>B306 &amp; " - " &amp;E306</f>
        <v>Liverpool - Manninger</v>
      </c>
      <c r="B306" t="s">
        <v>1446</v>
      </c>
      <c r="C306" t="str">
        <f ca="1">IFERROR(VLOOKUP(INDEX(OFFSET(_JOUEURS,0,0,,1),MATCH(A306,OFFSET(_JOUEURS,0,1,,1),0)),_MPG,2,FALSE),"")</f>
        <v>nut fc</v>
      </c>
      <c r="D306" s="152" t="s">
        <v>360</v>
      </c>
      <c r="E306" s="45" t="s">
        <v>1425</v>
      </c>
      <c r="F306" s="25"/>
      <c r="G306" s="77"/>
      <c r="H306" s="56"/>
      <c r="I306" s="27"/>
      <c r="J306" s="124"/>
      <c r="K306" s="22"/>
      <c r="L306" s="59"/>
      <c r="M306" s="17"/>
      <c r="N306" s="59"/>
      <c r="O306" s="59"/>
      <c r="P306" s="17"/>
      <c r="Q306" s="59"/>
      <c r="R306" s="17"/>
      <c r="S306" s="17"/>
      <c r="T306" s="17"/>
      <c r="U306" s="17"/>
      <c r="V306" s="17"/>
      <c r="W306" s="59"/>
      <c r="X306" s="17"/>
      <c r="Y306" s="59"/>
      <c r="Z306" s="59"/>
      <c r="AA306" s="17"/>
      <c r="AB306" s="17"/>
      <c r="AC306" s="17"/>
      <c r="AD306" s="59"/>
      <c r="AE306" s="17"/>
      <c r="AF306" s="17"/>
      <c r="AG306" s="17"/>
      <c r="AH306" s="17"/>
      <c r="AI306" s="101"/>
      <c r="AJ306" s="17"/>
      <c r="AK306" s="17"/>
      <c r="AL306" s="17"/>
      <c r="AM306" s="99"/>
      <c r="AN306" s="17"/>
      <c r="AO306" s="17"/>
      <c r="AP306" s="59"/>
      <c r="AQ306" s="17"/>
      <c r="AR306">
        <f>F306 +G306</f>
        <v>0</v>
      </c>
    </row>
    <row r="307" spans="1:44" hidden="1" x14ac:dyDescent="0.25">
      <c r="A307" t="str">
        <f>B307 &amp; " - " &amp;E307</f>
        <v>Liverpool - Karius</v>
      </c>
      <c r="B307" t="s">
        <v>1446</v>
      </c>
      <c r="C307" t="str">
        <f ca="1">IFERROR(VLOOKUP(INDEX(OFFSET(_JOUEURS,0,0,,1),MATCH(A307,OFFSET(_JOUEURS,0,1,,1),0)),_MPG,2,FALSE),"")</f>
        <v>nut fc</v>
      </c>
      <c r="D307" s="23" t="s">
        <v>360</v>
      </c>
      <c r="E307" s="24" t="s">
        <v>1426</v>
      </c>
      <c r="F307" s="25">
        <v>1</v>
      </c>
      <c r="G307" s="77"/>
      <c r="H307" s="56"/>
      <c r="I307" s="27">
        <f>AVERAGE(O307)</f>
        <v>5</v>
      </c>
      <c r="J307" s="124"/>
      <c r="K307" s="17"/>
      <c r="L307" s="59"/>
      <c r="M307" s="17"/>
      <c r="N307" s="59"/>
      <c r="O307" s="59">
        <v>5</v>
      </c>
      <c r="P307" s="17"/>
      <c r="Q307" s="59"/>
      <c r="R307" s="17"/>
      <c r="S307" s="17"/>
      <c r="T307" s="17"/>
      <c r="U307" s="17"/>
      <c r="V307" s="17"/>
      <c r="W307" s="59"/>
      <c r="X307" s="17"/>
      <c r="Y307" s="17"/>
      <c r="Z307" s="59"/>
      <c r="AA307" s="17"/>
      <c r="AB307" s="17"/>
      <c r="AC307" s="17"/>
      <c r="AD307" s="59"/>
      <c r="AE307" s="17"/>
      <c r="AF307" s="17"/>
      <c r="AG307" s="17"/>
      <c r="AH307" s="17"/>
      <c r="AI307" s="101"/>
      <c r="AJ307" s="17"/>
      <c r="AK307" s="17"/>
      <c r="AL307" s="17"/>
      <c r="AM307" s="99"/>
      <c r="AN307" s="17"/>
      <c r="AO307" s="17"/>
      <c r="AP307" s="59"/>
      <c r="AQ307" s="17"/>
      <c r="AR307">
        <f>F307 +G307</f>
        <v>1</v>
      </c>
    </row>
    <row r="308" spans="1:44" hidden="1" x14ac:dyDescent="0.25">
      <c r="A308" t="str">
        <f>B308 &amp; " - " &amp;E308</f>
        <v>Bournemouth - Boruc</v>
      </c>
      <c r="B308" t="s">
        <v>1474</v>
      </c>
      <c r="C308" t="str">
        <f ca="1">IFERROR(VLOOKUP(INDEX(OFFSET(_JOUEURS,0,0,,1),MATCH(A308,OFFSET(_JOUEURS,0,1,,1),0)),_MPG,2,FALSE),"")</f>
        <v>myteam</v>
      </c>
      <c r="D308" s="23" t="s">
        <v>360</v>
      </c>
      <c r="E308" s="24" t="s">
        <v>1447</v>
      </c>
      <c r="F308" s="149">
        <v>6</v>
      </c>
      <c r="G308" s="150"/>
      <c r="H308" s="45"/>
      <c r="I308" s="27">
        <f>AVERAGE(J308,K308,L308,M308,N308,O308)</f>
        <v>5.5</v>
      </c>
      <c r="J308" s="105">
        <v>5</v>
      </c>
      <c r="K308" s="183">
        <v>5</v>
      </c>
      <c r="L308" s="59">
        <v>6</v>
      </c>
      <c r="M308" s="16">
        <v>6</v>
      </c>
      <c r="N308" s="17">
        <v>5</v>
      </c>
      <c r="O308" s="16">
        <v>6</v>
      </c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01"/>
      <c r="AJ308" s="17"/>
      <c r="AK308" s="17"/>
      <c r="AL308" s="59"/>
      <c r="AM308" s="101"/>
      <c r="AN308" s="17"/>
      <c r="AO308" s="17"/>
      <c r="AP308" s="17"/>
      <c r="AQ308" s="17"/>
      <c r="AR308">
        <f>F308 +G308</f>
        <v>6</v>
      </c>
    </row>
    <row r="309" spans="1:44" hidden="1" x14ac:dyDescent="0.25">
      <c r="A309" t="str">
        <f>B309 &amp; " - " &amp;E309</f>
        <v>Bournemouth - Federici</v>
      </c>
      <c r="B309" t="s">
        <v>1474</v>
      </c>
      <c r="C309" t="str">
        <f ca="1">IFERROR(VLOOKUP(INDEX(OFFSET(_JOUEURS,0,0,,1),MATCH(A309,OFFSET(_JOUEURS,0,1,,1),0)),_MPG,2,FALSE),"")</f>
        <v>myteam</v>
      </c>
      <c r="D309" s="23" t="s">
        <v>360</v>
      </c>
      <c r="E309" s="45" t="s">
        <v>1448</v>
      </c>
      <c r="F309" s="106"/>
      <c r="G309" s="101"/>
      <c r="H309" s="36"/>
      <c r="I309" s="27"/>
      <c r="J309" s="105"/>
      <c r="K309" s="171"/>
      <c r="L309" s="59"/>
      <c r="M309" s="17"/>
      <c r="N309" s="17"/>
      <c r="O309" s="17"/>
      <c r="P309" s="17"/>
      <c r="Q309" s="59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01"/>
      <c r="AJ309" s="17"/>
      <c r="AK309" s="17"/>
      <c r="AL309" s="59"/>
      <c r="AM309" s="101"/>
      <c r="AN309" s="17"/>
      <c r="AO309" s="17"/>
      <c r="AP309" s="17"/>
      <c r="AQ309" s="17"/>
      <c r="AR309">
        <f>F309 +G309</f>
        <v>0</v>
      </c>
    </row>
    <row r="310" spans="1:44" x14ac:dyDescent="0.25">
      <c r="A310" t="str">
        <f>B310 &amp; " - " &amp;E310</f>
        <v>Bournemouth - Allsop</v>
      </c>
      <c r="B310" t="s">
        <v>1474</v>
      </c>
      <c r="C310" t="str">
        <f ca="1">IFERROR(VLOOKUP(INDEX(OFFSET(_JOUEURS,0,0,,1),MATCH(A310,OFFSET(_JOUEURS,0,1,,1),0)),_MPG,2,FALSE),"")</f>
        <v/>
      </c>
      <c r="D310" s="52" t="s">
        <v>360</v>
      </c>
      <c r="E310" s="111" t="s">
        <v>1449</v>
      </c>
      <c r="F310" s="137"/>
      <c r="G310" s="123"/>
      <c r="H310" s="81"/>
      <c r="I310" s="55"/>
      <c r="J310" s="105"/>
      <c r="K310" s="171"/>
      <c r="L310" s="59"/>
      <c r="M310" s="17"/>
      <c r="N310" s="17"/>
      <c r="O310" s="17"/>
      <c r="P310" s="17"/>
      <c r="Q310" s="59"/>
      <c r="R310" s="17"/>
      <c r="S310" s="17"/>
      <c r="T310" s="17"/>
      <c r="U310" s="17"/>
      <c r="V310" s="17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01"/>
      <c r="AJ310" s="17"/>
      <c r="AK310" s="17"/>
      <c r="AL310" s="59"/>
      <c r="AM310" s="101"/>
      <c r="AN310" s="17"/>
      <c r="AO310" s="17"/>
      <c r="AP310" s="17"/>
      <c r="AQ310" s="17"/>
      <c r="AR310">
        <f>F310 +G310</f>
        <v>0</v>
      </c>
    </row>
    <row r="311" spans="1:44" x14ac:dyDescent="0.25">
      <c r="A311" t="str">
        <f>B311 &amp; " - " &amp;E311</f>
        <v>Bournemouth - Holmes</v>
      </c>
      <c r="B311" t="s">
        <v>1474</v>
      </c>
      <c r="C311" t="str">
        <f ca="1">IFERROR(VLOOKUP(INDEX(OFFSET(_JOUEURS,0,0,,1),MATCH(A311,OFFSET(_JOUEURS,0,1,,1),0)),_MPG,2,FALSE),"")</f>
        <v/>
      </c>
      <c r="D311" s="23" t="s">
        <v>360</v>
      </c>
      <c r="E311" s="45" t="s">
        <v>1450</v>
      </c>
      <c r="F311" s="106"/>
      <c r="G311" s="101"/>
      <c r="H311" s="191"/>
      <c r="I311" s="27"/>
      <c r="J311" s="105"/>
      <c r="K311" s="59"/>
      <c r="L311" s="59"/>
      <c r="M311" s="136"/>
      <c r="N311" s="183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  <c r="AA311" s="17"/>
      <c r="AB311" s="17"/>
      <c r="AC311" s="17"/>
      <c r="AD311" s="17"/>
      <c r="AE311" s="17"/>
      <c r="AF311" s="17"/>
      <c r="AG311" s="17"/>
      <c r="AH311" s="17"/>
      <c r="AI311" s="101"/>
      <c r="AJ311" s="17"/>
      <c r="AK311" s="17"/>
      <c r="AL311" s="59"/>
      <c r="AM311" s="101"/>
      <c r="AN311" s="17"/>
      <c r="AO311" s="17"/>
      <c r="AP311" s="17"/>
      <c r="AQ311" s="17"/>
      <c r="AR311">
        <f>F311 +G311</f>
        <v>0</v>
      </c>
    </row>
    <row r="312" spans="1:44" x14ac:dyDescent="0.25">
      <c r="A312" t="str">
        <f>B312 &amp; " - " &amp;E312</f>
        <v>Man. United - de Gea</v>
      </c>
      <c r="B312" t="s">
        <v>1497</v>
      </c>
      <c r="C312" t="str">
        <f ca="1">IFERROR(VLOOKUP(INDEX(OFFSET(_JOUEURS,0,0,,1),MATCH(A312,OFFSET(_JOUEURS,0,1,,1),0)),_MPG,2,FALSE),"")</f>
        <v/>
      </c>
      <c r="D312" s="104" t="s">
        <v>360</v>
      </c>
      <c r="E312" s="29" t="s">
        <v>1475</v>
      </c>
      <c r="F312" s="106">
        <v>6</v>
      </c>
      <c r="G312" s="101"/>
      <c r="H312" s="36"/>
      <c r="I312" s="135">
        <f>AVERAGE(J312,K312,L312,M312,N312,O312)</f>
        <v>5.5</v>
      </c>
      <c r="J312" s="124">
        <v>6</v>
      </c>
      <c r="K312" s="16">
        <v>6</v>
      </c>
      <c r="L312" s="60">
        <v>6</v>
      </c>
      <c r="M312" s="17">
        <v>6</v>
      </c>
      <c r="N312" s="59">
        <v>4</v>
      </c>
      <c r="O312" s="59">
        <v>5</v>
      </c>
      <c r="P312" s="17"/>
      <c r="Q312" s="59"/>
      <c r="R312" s="17"/>
      <c r="S312" s="17"/>
      <c r="T312" s="17"/>
      <c r="U312" s="17"/>
      <c r="V312" s="17"/>
      <c r="W312" s="59"/>
      <c r="X312" s="17"/>
      <c r="Y312" s="17"/>
      <c r="Z312" s="59"/>
      <c r="AA312" s="17"/>
      <c r="AB312" s="17"/>
      <c r="AC312" s="17"/>
      <c r="AD312" s="59"/>
      <c r="AE312" s="17"/>
      <c r="AF312" s="17"/>
      <c r="AG312" s="17"/>
      <c r="AH312" s="17"/>
      <c r="AI312" s="101"/>
      <c r="AJ312" s="17"/>
      <c r="AK312" s="17"/>
      <c r="AL312" s="17"/>
      <c r="AM312" s="99"/>
      <c r="AN312" s="17"/>
      <c r="AO312" s="17"/>
      <c r="AP312" s="59"/>
      <c r="AQ312" s="17"/>
      <c r="AR312">
        <f>F312 +G312</f>
        <v>6</v>
      </c>
    </row>
    <row r="313" spans="1:44" x14ac:dyDescent="0.25">
      <c r="A313" t="str">
        <f>B313 &amp; " - " &amp;E313</f>
        <v>Man. United - Romero</v>
      </c>
      <c r="B313" t="s">
        <v>1497</v>
      </c>
      <c r="C313" t="str">
        <f ca="1">IFERROR(VLOOKUP(INDEX(OFFSET(_JOUEURS,0,0,,1),MATCH(A313,OFFSET(_JOUEURS,0,1,,1),0)),_MPG,2,FALSE),"")</f>
        <v/>
      </c>
      <c r="D313" s="104" t="s">
        <v>360</v>
      </c>
      <c r="E313" s="29" t="s">
        <v>1476</v>
      </c>
      <c r="F313" s="106"/>
      <c r="G313" s="101"/>
      <c r="H313" s="36"/>
      <c r="I313" s="27"/>
      <c r="J313" s="124"/>
      <c r="K313" s="17"/>
      <c r="L313" s="59"/>
      <c r="M313" s="17"/>
      <c r="N313" s="59"/>
      <c r="O313" s="59"/>
      <c r="P313" s="17"/>
      <c r="Q313" s="59"/>
      <c r="R313" s="17"/>
      <c r="S313" s="17"/>
      <c r="T313" s="17"/>
      <c r="U313" s="17"/>
      <c r="V313" s="17"/>
      <c r="W313" s="59"/>
      <c r="X313" s="17"/>
      <c r="Y313" s="17"/>
      <c r="Z313" s="59"/>
      <c r="AA313" s="17"/>
      <c r="AB313" s="17"/>
      <c r="AC313" s="17"/>
      <c r="AD313" s="59"/>
      <c r="AE313" s="17"/>
      <c r="AF313" s="17"/>
      <c r="AG313" s="17"/>
      <c r="AH313" s="17"/>
      <c r="AI313" s="101"/>
      <c r="AJ313" s="17"/>
      <c r="AK313" s="17"/>
      <c r="AL313" s="17"/>
      <c r="AM313" s="99"/>
      <c r="AN313" s="17"/>
      <c r="AO313" s="17"/>
      <c r="AP313" s="59"/>
      <c r="AQ313" s="17"/>
      <c r="AR313">
        <f>F313 +G313</f>
        <v>0</v>
      </c>
    </row>
    <row r="314" spans="1:44" x14ac:dyDescent="0.25">
      <c r="A314" t="str">
        <f>B314 &amp; " - " &amp;E314</f>
        <v>Man. United - Johnstone</v>
      </c>
      <c r="B314" t="s">
        <v>1497</v>
      </c>
      <c r="C314" t="str">
        <f ca="1">IFERROR(VLOOKUP(INDEX(OFFSET(_JOUEURS,0,0,,1),MATCH(A314,OFFSET(_JOUEURS,0,1,,1),0)),_MPG,2,FALSE),"")</f>
        <v/>
      </c>
      <c r="D314" s="104" t="s">
        <v>360</v>
      </c>
      <c r="E314" s="109" t="s">
        <v>1477</v>
      </c>
      <c r="F314" s="106"/>
      <c r="G314" s="101"/>
      <c r="H314" s="36"/>
      <c r="I314" s="63"/>
      <c r="J314" s="124"/>
      <c r="K314" s="17"/>
      <c r="L314" s="59"/>
      <c r="M314" s="17"/>
      <c r="N314" s="59"/>
      <c r="O314" s="59"/>
      <c r="P314" s="17"/>
      <c r="Q314" s="59"/>
      <c r="R314" s="17"/>
      <c r="S314" s="17"/>
      <c r="T314" s="17"/>
      <c r="U314" s="17"/>
      <c r="V314" s="17"/>
      <c r="W314" s="59"/>
      <c r="X314" s="17"/>
      <c r="Y314" s="17"/>
      <c r="Z314" s="59"/>
      <c r="AA314" s="17"/>
      <c r="AB314" s="17"/>
      <c r="AC314" s="17"/>
      <c r="AD314" s="59"/>
      <c r="AE314" s="17"/>
      <c r="AF314" s="17"/>
      <c r="AG314" s="17"/>
      <c r="AH314" s="17"/>
      <c r="AI314" s="101"/>
      <c r="AJ314" s="17"/>
      <c r="AK314" s="17"/>
      <c r="AL314" s="17"/>
      <c r="AM314" s="99"/>
      <c r="AN314" s="17"/>
      <c r="AO314" s="17"/>
      <c r="AP314" s="59"/>
      <c r="AQ314" s="17"/>
      <c r="AR314">
        <f>F314 +G314</f>
        <v>0</v>
      </c>
    </row>
    <row r="315" spans="1:44" ht="15.75" thickBot="1" x14ac:dyDescent="0.3">
      <c r="A315" t="str">
        <f>B315 &amp; " - " &amp;E315</f>
        <v>Chelsea - Courtois</v>
      </c>
      <c r="B315" t="s">
        <v>1519</v>
      </c>
      <c r="C315" t="str">
        <f ca="1">IFERROR(VLOOKUP(INDEX(OFFSET(_JOUEURS,0,0,,1),MATCH(A315,OFFSET(_JOUEURS,0,1,,1),0)),_MPG,2,FALSE),"")</f>
        <v/>
      </c>
      <c r="D315" s="71" t="s">
        <v>360</v>
      </c>
      <c r="E315" s="100" t="s">
        <v>1498</v>
      </c>
      <c r="F315" s="287">
        <v>6</v>
      </c>
      <c r="G315" s="288"/>
      <c r="H315" s="294"/>
      <c r="I315" s="210">
        <f>AVERAGE(J315,K315,L315,M315,N315,O315)</f>
        <v>4.833333333333333</v>
      </c>
      <c r="J315" s="124">
        <v>5</v>
      </c>
      <c r="K315" s="17">
        <v>5</v>
      </c>
      <c r="L315" s="60">
        <v>6</v>
      </c>
      <c r="M315" s="17">
        <v>4</v>
      </c>
      <c r="N315" s="59">
        <v>5</v>
      </c>
      <c r="O315" s="59">
        <v>4</v>
      </c>
      <c r="P315" s="17"/>
      <c r="Q315" s="59"/>
      <c r="R315" s="17"/>
      <c r="S315" s="17"/>
      <c r="T315" s="17"/>
      <c r="U315" s="17"/>
      <c r="V315" s="17"/>
      <c r="W315" s="59"/>
      <c r="X315" s="17"/>
      <c r="Y315" s="17"/>
      <c r="Z315" s="59"/>
      <c r="AA315" s="17"/>
      <c r="AB315" s="17"/>
      <c r="AC315" s="17"/>
      <c r="AD315" s="59"/>
      <c r="AE315" s="17"/>
      <c r="AF315" s="17"/>
      <c r="AG315" s="17"/>
      <c r="AH315" s="17"/>
      <c r="AI315" s="17"/>
      <c r="AJ315" s="17"/>
      <c r="AK315" s="17"/>
      <c r="AL315" s="17"/>
      <c r="AM315" s="99"/>
      <c r="AN315" s="17"/>
      <c r="AO315" s="17"/>
      <c r="AP315" s="59"/>
      <c r="AQ315" s="17"/>
      <c r="AR315">
        <f>F315 +G315</f>
        <v>6</v>
      </c>
    </row>
    <row r="316" spans="1:44" x14ac:dyDescent="0.25">
      <c r="A316" t="str">
        <f>B316 &amp; " - " &amp;E316</f>
        <v>Chelsea - Begovic</v>
      </c>
      <c r="B316" t="s">
        <v>1519</v>
      </c>
      <c r="C316" t="str">
        <f ca="1">IFERROR(VLOOKUP(INDEX(OFFSET(_JOUEURS,0,0,,1),MATCH(A316,OFFSET(_JOUEURS,0,1,,1),0)),_MPG,2,FALSE),"")</f>
        <v/>
      </c>
      <c r="D316" s="12" t="s">
        <v>360</v>
      </c>
      <c r="E316" s="272" t="s">
        <v>1499</v>
      </c>
      <c r="F316" s="178"/>
      <c r="G316" s="179"/>
      <c r="H316" s="207"/>
      <c r="I316" s="206"/>
      <c r="J316" s="124"/>
      <c r="K316" s="17"/>
      <c r="L316" s="59"/>
      <c r="M316" s="17"/>
      <c r="N316" s="59"/>
      <c r="O316" s="17"/>
      <c r="P316" s="59"/>
      <c r="Q316" s="17"/>
      <c r="R316" s="17"/>
      <c r="S316" s="17"/>
      <c r="T316" s="17"/>
      <c r="U316" s="17"/>
      <c r="V316" s="17"/>
      <c r="W316" s="59"/>
      <c r="X316" s="17"/>
      <c r="Y316" s="17"/>
      <c r="Z316" s="59"/>
      <c r="AA316" s="17"/>
      <c r="AB316" s="17"/>
      <c r="AC316" s="17"/>
      <c r="AD316" s="59"/>
      <c r="AE316" s="17"/>
      <c r="AF316" s="17"/>
      <c r="AG316" s="101"/>
      <c r="AH316" s="101"/>
      <c r="AI316" s="109"/>
      <c r="AJ316" s="17"/>
      <c r="AK316" s="17"/>
      <c r="AL316" s="17"/>
      <c r="AM316" s="59"/>
      <c r="AN316" s="17"/>
      <c r="AO316" s="17"/>
      <c r="AP316" s="59"/>
      <c r="AQ316" s="17"/>
      <c r="AR316">
        <f>F316 +G316</f>
        <v>0</v>
      </c>
    </row>
    <row r="317" spans="1:44" x14ac:dyDescent="0.25">
      <c r="A317" t="str">
        <f>B317 &amp; " - " &amp;E317</f>
        <v>Chelsea - Eduardo</v>
      </c>
      <c r="B317" t="s">
        <v>1519</v>
      </c>
      <c r="C317" t="str">
        <f ca="1">IFERROR(VLOOKUP(INDEX(OFFSET(_JOUEURS,0,0,,1),MATCH(A317,OFFSET(_JOUEURS,0,1,,1),0)),_MPG,2,FALSE),"")</f>
        <v/>
      </c>
      <c r="D317" s="52" t="s">
        <v>360</v>
      </c>
      <c r="E317" s="68" t="s">
        <v>1500</v>
      </c>
      <c r="F317" s="180"/>
      <c r="G317" s="181"/>
      <c r="H317" s="110"/>
      <c r="I317" s="138"/>
      <c r="J317" s="124"/>
      <c r="K317" s="17"/>
      <c r="L317" s="59"/>
      <c r="M317" s="17"/>
      <c r="N317" s="59"/>
      <c r="O317" s="59"/>
      <c r="P317" s="17"/>
      <c r="Q317" s="59"/>
      <c r="R317" s="17"/>
      <c r="S317" s="17"/>
      <c r="T317" s="17"/>
      <c r="U317" s="17"/>
      <c r="V317" s="17"/>
      <c r="W317" s="59"/>
      <c r="X317" s="17"/>
      <c r="Y317" s="17"/>
      <c r="Z317" s="59"/>
      <c r="AA317" s="17"/>
      <c r="AB317" s="17"/>
      <c r="AC317" s="17"/>
      <c r="AD317" s="59"/>
      <c r="AE317" s="17"/>
      <c r="AF317" s="17"/>
      <c r="AG317" s="101"/>
      <c r="AH317" s="101"/>
      <c r="AI317" s="109"/>
      <c r="AJ317" s="17"/>
      <c r="AK317" s="17"/>
      <c r="AL317" s="17"/>
      <c r="AM317" s="59"/>
      <c r="AN317" s="17"/>
      <c r="AO317" s="17"/>
      <c r="AP317" s="59"/>
      <c r="AQ317" s="17"/>
      <c r="AR317">
        <f>F317 +G317</f>
        <v>0</v>
      </c>
    </row>
    <row r="318" spans="1:44" x14ac:dyDescent="0.25">
      <c r="A318" t="str">
        <f>B318 &amp; " - " &amp;E318</f>
        <v>Burnley - Lowton</v>
      </c>
      <c r="B318" t="s">
        <v>1069</v>
      </c>
      <c r="C318" t="str">
        <f ca="1">IFERROR(VLOOKUP(INDEX(OFFSET(_JOUEURS,0,0,,1),MATCH(A318,OFFSET(_JOUEURS,0,1,,1),0)),_MPG,2,FALSE),"")</f>
        <v/>
      </c>
      <c r="D318" s="104" t="s">
        <v>363</v>
      </c>
      <c r="E318" s="29" t="s">
        <v>1048</v>
      </c>
      <c r="F318" s="106">
        <v>6</v>
      </c>
      <c r="G318" s="86"/>
      <c r="H318" s="201"/>
      <c r="I318" s="27">
        <f>AVERAGE(J318,K318,L318,M318,N318,O318)</f>
        <v>4.666666666666667</v>
      </c>
      <c r="J318" s="296">
        <v>4</v>
      </c>
      <c r="K318" s="28">
        <v>6</v>
      </c>
      <c r="L318" s="28">
        <v>4</v>
      </c>
      <c r="M318" s="28">
        <v>5</v>
      </c>
      <c r="N318" s="114">
        <v>3</v>
      </c>
      <c r="O318" s="18">
        <v>6</v>
      </c>
      <c r="P318" s="28"/>
      <c r="Q318" s="18"/>
      <c r="R318" s="18"/>
      <c r="S318" s="18"/>
      <c r="T318" s="18"/>
      <c r="U318" s="18"/>
      <c r="V318" s="18"/>
      <c r="W318" s="18"/>
      <c r="X318" s="18"/>
      <c r="Y318" s="18"/>
      <c r="Z318" s="28"/>
      <c r="AA318" s="18"/>
      <c r="AB318" s="18"/>
      <c r="AC318" s="28"/>
      <c r="AD318" s="18"/>
      <c r="AE318" s="18"/>
      <c r="AF318" s="18"/>
      <c r="AG318" s="21"/>
      <c r="AH318" s="21"/>
      <c r="AI318" s="29"/>
      <c r="AJ318" s="18"/>
      <c r="AK318" s="18"/>
      <c r="AL318" s="28"/>
      <c r="AM318" s="18"/>
      <c r="AN318" s="18"/>
      <c r="AO318" s="18"/>
      <c r="AP318" s="18"/>
      <c r="AQ318" s="18"/>
      <c r="AR318">
        <f>F318 +G318</f>
        <v>6</v>
      </c>
    </row>
    <row r="319" spans="1:44" x14ac:dyDescent="0.25">
      <c r="A319" t="str">
        <f>B319 &amp; " - " &amp;E319</f>
        <v>Burnley - Mee</v>
      </c>
      <c r="B319" t="s">
        <v>1069</v>
      </c>
      <c r="C319" t="str">
        <f ca="1">IFERROR(VLOOKUP(INDEX(OFFSET(_JOUEURS,0,0,,1),MATCH(A319,OFFSET(_JOUEURS,0,1,,1),0)),_MPG,2,FALSE),"")</f>
        <v/>
      </c>
      <c r="D319" s="104" t="s">
        <v>363</v>
      </c>
      <c r="E319" s="29" t="s">
        <v>1050</v>
      </c>
      <c r="F319" s="106">
        <v>6</v>
      </c>
      <c r="G319" s="86"/>
      <c r="H319" s="201"/>
      <c r="I319" s="27">
        <f>AVERAGE(J319,K319,L319,M319,N319,O319)</f>
        <v>4.666666666666667</v>
      </c>
      <c r="J319" s="29">
        <v>5</v>
      </c>
      <c r="K319" s="28">
        <v>6</v>
      </c>
      <c r="L319" s="28">
        <v>4</v>
      </c>
      <c r="M319" s="28">
        <v>5</v>
      </c>
      <c r="N319" s="121">
        <v>3</v>
      </c>
      <c r="O319" s="18">
        <v>5</v>
      </c>
      <c r="P319" s="18"/>
      <c r="Q319" s="18"/>
      <c r="R319" s="16"/>
      <c r="S319" s="28"/>
      <c r="T319" s="28"/>
      <c r="U319" s="28"/>
      <c r="V319" s="18"/>
      <c r="W319" s="28"/>
      <c r="X319" s="28"/>
      <c r="Y319" s="28"/>
      <c r="Z319" s="18"/>
      <c r="AA319" s="28"/>
      <c r="AB319" s="60"/>
      <c r="AC319" s="28"/>
      <c r="AD319" s="59"/>
      <c r="AE319" s="18"/>
      <c r="AF319" s="18"/>
      <c r="AG319" s="21"/>
      <c r="AH319" s="21"/>
      <c r="AI319" s="79"/>
      <c r="AJ319" s="28"/>
      <c r="AK319" s="18"/>
      <c r="AL319" s="18"/>
      <c r="AM319" s="17"/>
      <c r="AN319" s="18"/>
      <c r="AO319" s="18"/>
      <c r="AP319" s="28"/>
      <c r="AQ319" s="18"/>
      <c r="AR319">
        <f>F319 +G319</f>
        <v>6</v>
      </c>
    </row>
    <row r="320" spans="1:44" x14ac:dyDescent="0.25">
      <c r="A320" t="str">
        <f>B320 &amp; " - " &amp;E320</f>
        <v>Burnley - Ward</v>
      </c>
      <c r="B320" t="s">
        <v>1069</v>
      </c>
      <c r="C320" t="str">
        <f ca="1">IFERROR(VLOOKUP(INDEX(OFFSET(_JOUEURS,0,0,,1),MATCH(A320,OFFSET(_JOUEURS,0,1,,1),0)),_MPG,2,FALSE),"")</f>
        <v/>
      </c>
      <c r="D320" s="104" t="s">
        <v>363</v>
      </c>
      <c r="E320" s="29" t="s">
        <v>1051</v>
      </c>
      <c r="F320" s="194">
        <v>6</v>
      </c>
      <c r="G320" s="21"/>
      <c r="H320" s="163"/>
      <c r="I320" s="27">
        <f>AVERAGE(J320,K320,L320,M320,N320,O320)</f>
        <v>4.333333333333333</v>
      </c>
      <c r="J320" s="29">
        <v>5</v>
      </c>
      <c r="K320" s="28">
        <v>5</v>
      </c>
      <c r="L320" s="121">
        <v>3</v>
      </c>
      <c r="M320" s="28">
        <v>4</v>
      </c>
      <c r="N320" s="18">
        <v>4</v>
      </c>
      <c r="O320" s="18">
        <v>5</v>
      </c>
      <c r="P320" s="18"/>
      <c r="Q320" s="18"/>
      <c r="R320" s="18"/>
      <c r="S320" s="18"/>
      <c r="T320" s="18"/>
      <c r="U320" s="28"/>
      <c r="V320" s="18"/>
      <c r="W320" s="18"/>
      <c r="X320" s="28"/>
      <c r="Y320" s="18"/>
      <c r="Z320" s="28"/>
      <c r="AA320" s="18"/>
      <c r="AB320" s="18"/>
      <c r="AC320" s="28"/>
      <c r="AD320" s="28"/>
      <c r="AE320" s="18"/>
      <c r="AF320" s="28"/>
      <c r="AG320" s="18"/>
      <c r="AH320" s="28"/>
      <c r="AI320" s="28"/>
      <c r="AJ320" s="18"/>
      <c r="AK320" s="16"/>
      <c r="AL320" s="28"/>
      <c r="AM320" s="18"/>
      <c r="AN320" s="18"/>
      <c r="AO320" s="18"/>
      <c r="AP320" s="18"/>
      <c r="AQ320" s="18"/>
      <c r="AR320">
        <f>F320 +G320</f>
        <v>6</v>
      </c>
    </row>
    <row r="321" spans="1:44" x14ac:dyDescent="0.25">
      <c r="A321" t="str">
        <f>B321 &amp; " - " &amp;E321</f>
        <v>Burnley - Tarkowski</v>
      </c>
      <c r="B321" t="s">
        <v>1069</v>
      </c>
      <c r="C321" t="str">
        <f ca="1">IFERROR(VLOOKUP(INDEX(OFFSET(_JOUEURS,0,0,,1),MATCH(A321,OFFSET(_JOUEURS,0,1,,1),0)),_MPG,2,FALSE),"")</f>
        <v/>
      </c>
      <c r="D321" s="104" t="s">
        <v>363</v>
      </c>
      <c r="E321" s="29" t="s">
        <v>1052</v>
      </c>
      <c r="F321" s="194"/>
      <c r="G321" s="21">
        <v>1</v>
      </c>
      <c r="H321" s="163"/>
      <c r="I321" s="27"/>
      <c r="J321" s="293"/>
      <c r="K321" s="84"/>
      <c r="L321" s="59" t="s">
        <v>364</v>
      </c>
      <c r="M321" s="84"/>
      <c r="N321" s="85"/>
      <c r="O321" s="85"/>
      <c r="P321" s="85"/>
      <c r="Q321" s="85"/>
      <c r="R321" s="85"/>
      <c r="S321" s="85"/>
      <c r="T321" s="85"/>
      <c r="U321" s="84"/>
      <c r="V321" s="85"/>
      <c r="W321" s="85"/>
      <c r="X321" s="85"/>
      <c r="Y321" s="85"/>
      <c r="Z321" s="85"/>
      <c r="AA321" s="85"/>
      <c r="AB321" s="85"/>
      <c r="AC321" s="84"/>
      <c r="AD321" s="85"/>
      <c r="AE321" s="85"/>
      <c r="AF321" s="85"/>
      <c r="AG321" s="84"/>
      <c r="AH321" s="84"/>
      <c r="AI321" s="86"/>
      <c r="AJ321" s="85"/>
      <c r="AK321" s="85"/>
      <c r="AL321" s="85"/>
      <c r="AM321" s="85"/>
      <c r="AN321" s="85"/>
      <c r="AO321" s="85"/>
      <c r="AP321" s="85"/>
      <c r="AQ321" s="85"/>
      <c r="AR321">
        <f>F321 +G321</f>
        <v>1</v>
      </c>
    </row>
    <row r="322" spans="1:44" x14ac:dyDescent="0.25">
      <c r="A322" t="str">
        <f>B322 &amp; " - " &amp;E322</f>
        <v>Burnley - Long</v>
      </c>
      <c r="B322" t="s">
        <v>1069</v>
      </c>
      <c r="C322" t="str">
        <f ca="1">IFERROR(VLOOKUP(INDEX(OFFSET(_JOUEURS,0,0,,1),MATCH(A322,OFFSET(_JOUEURS,0,1,,1),0)),_MPG,2,FALSE),"")</f>
        <v/>
      </c>
      <c r="D322" s="104" t="s">
        <v>363</v>
      </c>
      <c r="E322" s="29" t="s">
        <v>1053</v>
      </c>
      <c r="F322" s="194"/>
      <c r="G322" s="21"/>
      <c r="H322" s="175"/>
      <c r="I322" s="27"/>
      <c r="J322" s="29"/>
      <c r="K322" s="28"/>
      <c r="L322" s="28"/>
      <c r="M322" s="28"/>
      <c r="N322" s="18"/>
      <c r="O322" s="16"/>
      <c r="P322" s="18"/>
      <c r="Q322" s="18"/>
      <c r="R322" s="18"/>
      <c r="S322" s="18"/>
      <c r="T322" s="18"/>
      <c r="U322" s="28"/>
      <c r="V322" s="18"/>
      <c r="W322" s="18"/>
      <c r="X322" s="18"/>
      <c r="Y322" s="18"/>
      <c r="Z322" s="18"/>
      <c r="AA322" s="18"/>
      <c r="AB322" s="18"/>
      <c r="AC322" s="28"/>
      <c r="AD322" s="18"/>
      <c r="AE322" s="18"/>
      <c r="AF322" s="18"/>
      <c r="AG322" s="28"/>
      <c r="AH322" s="28"/>
      <c r="AI322" s="21"/>
      <c r="AJ322" s="28"/>
      <c r="AK322" s="18"/>
      <c r="AL322" s="18"/>
      <c r="AM322" s="18"/>
      <c r="AN322" s="18"/>
      <c r="AO322" s="18"/>
      <c r="AP322" s="18"/>
      <c r="AQ322" s="18"/>
      <c r="AR322">
        <f>F322 +G322</f>
        <v>0</v>
      </c>
    </row>
    <row r="323" spans="1:44" x14ac:dyDescent="0.25">
      <c r="A323" t="str">
        <f>B323 &amp; " - " &amp;E323</f>
        <v>Burnley - Darikwa</v>
      </c>
      <c r="B323" t="s">
        <v>1069</v>
      </c>
      <c r="C323" t="str">
        <f ca="1">IFERROR(VLOOKUP(INDEX(OFFSET(_JOUEURS,0,0,,1),MATCH(A323,OFFSET(_JOUEURS,0,1,,1),0)),_MPG,2,FALSE),"")</f>
        <v/>
      </c>
      <c r="D323" s="104" t="s">
        <v>363</v>
      </c>
      <c r="E323" s="29" t="s">
        <v>1054</v>
      </c>
      <c r="F323" s="194"/>
      <c r="G323" s="21"/>
      <c r="H323" s="163"/>
      <c r="I323" s="27"/>
      <c r="J323" s="29"/>
      <c r="K323" s="28"/>
      <c r="L323" s="28"/>
      <c r="M323" s="28"/>
      <c r="N323" s="18"/>
      <c r="O323" s="18"/>
      <c r="P323" s="18"/>
      <c r="Q323" s="18"/>
      <c r="R323" s="18"/>
      <c r="S323" s="18"/>
      <c r="T323" s="18"/>
      <c r="U323" s="28"/>
      <c r="V323" s="18"/>
      <c r="W323" s="18"/>
      <c r="X323" s="18"/>
      <c r="Y323" s="18"/>
      <c r="Z323" s="18"/>
      <c r="AA323" s="18"/>
      <c r="AB323" s="18"/>
      <c r="AC323" s="28"/>
      <c r="AD323" s="18"/>
      <c r="AE323" s="18"/>
      <c r="AF323" s="18"/>
      <c r="AG323" s="28"/>
      <c r="AH323" s="28"/>
      <c r="AI323" s="18"/>
      <c r="AJ323" s="18"/>
      <c r="AK323" s="18"/>
      <c r="AL323" s="18"/>
      <c r="AM323" s="28"/>
      <c r="AN323" s="16"/>
      <c r="AO323" s="18"/>
      <c r="AP323" s="18"/>
      <c r="AQ323" s="18"/>
      <c r="AR323">
        <f>F323 +G323</f>
        <v>0</v>
      </c>
    </row>
    <row r="324" spans="1:44" hidden="1" x14ac:dyDescent="0.25">
      <c r="A324" t="str">
        <f>B324 &amp; " - " &amp;E324</f>
        <v>Burnley - Flanagan</v>
      </c>
      <c r="B324" t="s">
        <v>1069</v>
      </c>
      <c r="C324" t="str">
        <f ca="1">IFERROR(VLOOKUP(INDEX(OFFSET(_JOUEURS,0,0,,1),MATCH(A324,OFFSET(_JOUEURS,0,1,,1),0)),_MPG,2,FALSE),"")</f>
        <v>nut fc</v>
      </c>
      <c r="D324" s="104" t="s">
        <v>363</v>
      </c>
      <c r="E324" s="29" t="s">
        <v>1055</v>
      </c>
      <c r="F324" s="194"/>
      <c r="G324" s="21"/>
      <c r="H324" s="163"/>
      <c r="I324" s="27"/>
      <c r="J324" s="29"/>
      <c r="K324" s="28"/>
      <c r="L324" s="28"/>
      <c r="M324" s="28"/>
      <c r="N324" s="18"/>
      <c r="O324" s="18"/>
      <c r="P324" s="18"/>
      <c r="Q324" s="18"/>
      <c r="R324" s="18"/>
      <c r="S324" s="18"/>
      <c r="T324" s="18"/>
      <c r="U324" s="28"/>
      <c r="V324" s="18"/>
      <c r="W324" s="18"/>
      <c r="X324" s="18"/>
      <c r="Y324" s="18"/>
      <c r="Z324" s="18"/>
      <c r="AA324" s="18"/>
      <c r="AB324" s="18"/>
      <c r="AC324" s="28"/>
      <c r="AD324" s="18"/>
      <c r="AE324" s="18"/>
      <c r="AF324" s="18"/>
      <c r="AG324" s="28"/>
      <c r="AH324" s="28"/>
      <c r="AI324" s="18"/>
      <c r="AJ324" s="18"/>
      <c r="AK324" s="18"/>
      <c r="AL324" s="18"/>
      <c r="AM324" s="28"/>
      <c r="AN324" s="16"/>
      <c r="AO324" s="18"/>
      <c r="AP324" s="18"/>
      <c r="AQ324" s="18"/>
      <c r="AR324">
        <f>F324 +G324</f>
        <v>0</v>
      </c>
    </row>
    <row r="325" spans="1:44" hidden="1" x14ac:dyDescent="0.25">
      <c r="A325" t="str">
        <f>B325 &amp; " - " &amp;E325</f>
        <v>Swansea - Naughton</v>
      </c>
      <c r="B325" t="s">
        <v>1095</v>
      </c>
      <c r="C325" t="str">
        <f ca="1">IFERROR(VLOOKUP(INDEX(OFFSET(_JOUEURS,0,0,,1),MATCH(A325,OFFSET(_JOUEURS,0,1,,1),0)),_MPG,2,FALSE),"")</f>
        <v>Shame On You</v>
      </c>
      <c r="D325" s="52" t="s">
        <v>363</v>
      </c>
      <c r="E325" s="69" t="s">
        <v>1073</v>
      </c>
      <c r="F325" s="195">
        <v>6</v>
      </c>
      <c r="G325" s="196"/>
      <c r="H325" s="197"/>
      <c r="I325" s="55">
        <f>AVERAGE(J325,K325,L325,M325,N325,O325)</f>
        <v>4.666666666666667</v>
      </c>
      <c r="J325" s="169">
        <v>6</v>
      </c>
      <c r="K325" s="57">
        <v>5</v>
      </c>
      <c r="L325" s="18">
        <v>4</v>
      </c>
      <c r="M325" s="28">
        <v>4</v>
      </c>
      <c r="N325" s="18">
        <v>5</v>
      </c>
      <c r="O325" s="18">
        <v>4</v>
      </c>
      <c r="P325" s="18"/>
      <c r="Q325" s="18"/>
      <c r="R325" s="18"/>
      <c r="S325" s="18"/>
      <c r="T325" s="18"/>
      <c r="U325" s="16"/>
      <c r="V325" s="28"/>
      <c r="W325" s="18"/>
      <c r="X325" s="18"/>
      <c r="Y325" s="18"/>
      <c r="Z325" s="18"/>
      <c r="AA325" s="17"/>
      <c r="AB325" s="18"/>
      <c r="AC325" s="18"/>
      <c r="AD325" s="18"/>
      <c r="AE325" s="18"/>
      <c r="AF325" s="18"/>
      <c r="AG325" s="18"/>
      <c r="AH325" s="16"/>
      <c r="AI325" s="18"/>
      <c r="AJ325" s="18"/>
      <c r="AK325" s="18"/>
      <c r="AL325" s="28"/>
      <c r="AM325" s="18"/>
      <c r="AN325" s="18"/>
      <c r="AO325" s="18"/>
      <c r="AP325" s="17"/>
      <c r="AQ325" s="18"/>
      <c r="AR325">
        <f>F325 +G325</f>
        <v>6</v>
      </c>
    </row>
    <row r="326" spans="1:44" x14ac:dyDescent="0.25">
      <c r="A326" t="str">
        <f>B326 &amp; " - " &amp;E326</f>
        <v>Swansea - Fernandez</v>
      </c>
      <c r="B326" t="s">
        <v>1095</v>
      </c>
      <c r="C326" t="str">
        <f ca="1">IFERROR(VLOOKUP(INDEX(OFFSET(_JOUEURS,0,0,,1),MATCH(A326,OFFSET(_JOUEURS,0,1,,1),0)),_MPG,2,FALSE),"")</f>
        <v/>
      </c>
      <c r="D326" s="23" t="s">
        <v>363</v>
      </c>
      <c r="E326" s="29" t="s">
        <v>1074</v>
      </c>
      <c r="F326" s="194">
        <v>5</v>
      </c>
      <c r="G326" s="21"/>
      <c r="H326" s="163"/>
      <c r="I326" s="27">
        <f>AVERAGE(J326,K326,L326,M326,N326)</f>
        <v>4.8</v>
      </c>
      <c r="J326" s="79">
        <v>6</v>
      </c>
      <c r="K326" s="28">
        <v>4</v>
      </c>
      <c r="L326" s="18">
        <v>4</v>
      </c>
      <c r="M326" s="28">
        <v>5</v>
      </c>
      <c r="N326" s="18">
        <v>5</v>
      </c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  <c r="AA326" s="18"/>
      <c r="AB326" s="18"/>
      <c r="AC326" s="18"/>
      <c r="AD326" s="18"/>
      <c r="AE326" s="18"/>
      <c r="AF326" s="18"/>
      <c r="AG326" s="21"/>
      <c r="AH326" s="21"/>
      <c r="AI326" s="29"/>
      <c r="AJ326" s="18"/>
      <c r="AK326" s="18"/>
      <c r="AL326" s="18"/>
      <c r="AM326" s="18"/>
      <c r="AN326" s="18"/>
      <c r="AO326" s="18"/>
      <c r="AP326" s="18"/>
      <c r="AQ326" s="18"/>
      <c r="AR326">
        <f>F326 +G326</f>
        <v>5</v>
      </c>
    </row>
    <row r="327" spans="1:44" x14ac:dyDescent="0.25">
      <c r="A327" t="str">
        <f>B327 &amp; " - " &amp;E327</f>
        <v>Swansea - Amat</v>
      </c>
      <c r="B327" t="s">
        <v>1095</v>
      </c>
      <c r="C327" t="str">
        <f ca="1">IFERROR(VLOOKUP(INDEX(OFFSET(_JOUEURS,0,0,,1),MATCH(A327,OFFSET(_JOUEURS,0,1,,1),0)),_MPG,2,FALSE),"")</f>
        <v/>
      </c>
      <c r="D327" s="23" t="s">
        <v>363</v>
      </c>
      <c r="E327" s="29" t="s">
        <v>1075</v>
      </c>
      <c r="F327" s="194">
        <v>6</v>
      </c>
      <c r="G327" s="21"/>
      <c r="H327" s="175"/>
      <c r="I327" s="27">
        <f>AVERAGE(J327,K327,L327,M327,N327,O327)</f>
        <v>4.5</v>
      </c>
      <c r="J327" s="79">
        <v>5</v>
      </c>
      <c r="K327" s="28">
        <v>5</v>
      </c>
      <c r="L327" s="18">
        <v>4</v>
      </c>
      <c r="M327" s="28">
        <v>4</v>
      </c>
      <c r="N327" s="28">
        <v>5</v>
      </c>
      <c r="O327" s="18">
        <v>4</v>
      </c>
      <c r="P327" s="18"/>
      <c r="Q327" s="18"/>
      <c r="R327" s="18"/>
      <c r="S327" s="16"/>
      <c r="T327" s="18"/>
      <c r="U327" s="28"/>
      <c r="V327" s="18"/>
      <c r="W327" s="18"/>
      <c r="X327" s="18"/>
      <c r="Y327" s="28"/>
      <c r="Z327" s="18"/>
      <c r="AA327" s="18"/>
      <c r="AB327" s="18"/>
      <c r="AC327" s="18"/>
      <c r="AD327" s="18"/>
      <c r="AE327" s="18"/>
      <c r="AF327" s="18"/>
      <c r="AG327" s="21"/>
      <c r="AH327" s="21"/>
      <c r="AI327" s="29"/>
      <c r="AJ327" s="18"/>
      <c r="AK327" s="18"/>
      <c r="AL327" s="18"/>
      <c r="AM327" s="18"/>
      <c r="AN327" s="18"/>
      <c r="AO327" s="18"/>
      <c r="AP327" s="18"/>
      <c r="AQ327" s="18"/>
      <c r="AR327">
        <f>F327 +G327</f>
        <v>6</v>
      </c>
    </row>
    <row r="328" spans="1:44" x14ac:dyDescent="0.25">
      <c r="A328" t="str">
        <f>B328 &amp; " - " &amp;E328</f>
        <v>Swansea - Kingsley</v>
      </c>
      <c r="B328" t="s">
        <v>1095</v>
      </c>
      <c r="C328" t="str">
        <f ca="1">IFERROR(VLOOKUP(INDEX(OFFSET(_JOUEURS,0,0,,1),MATCH(A328,OFFSET(_JOUEURS,0,1,,1),0)),_MPG,2,FALSE),"")</f>
        <v/>
      </c>
      <c r="D328" s="23" t="s">
        <v>363</v>
      </c>
      <c r="E328" s="29" t="s">
        <v>1076</v>
      </c>
      <c r="F328" s="194">
        <v>5</v>
      </c>
      <c r="G328" s="21"/>
      <c r="H328" s="175"/>
      <c r="I328" s="27">
        <f>AVERAGE(J328,K328,L328,M328,N328)</f>
        <v>5</v>
      </c>
      <c r="J328" s="79">
        <v>6</v>
      </c>
      <c r="K328" s="28">
        <v>5</v>
      </c>
      <c r="L328" s="18">
        <v>5</v>
      </c>
      <c r="M328" s="28">
        <v>4</v>
      </c>
      <c r="N328" s="18">
        <v>5</v>
      </c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  <c r="AA328" s="18"/>
      <c r="AB328" s="18"/>
      <c r="AC328" s="18"/>
      <c r="AD328" s="18"/>
      <c r="AE328" s="18"/>
      <c r="AF328" s="18"/>
      <c r="AG328" s="21"/>
      <c r="AH328" s="21"/>
      <c r="AI328" s="29"/>
      <c r="AJ328" s="18"/>
      <c r="AK328" s="18"/>
      <c r="AL328" s="18"/>
      <c r="AM328" s="18"/>
      <c r="AN328" s="18"/>
      <c r="AO328" s="18"/>
      <c r="AP328" s="18"/>
      <c r="AQ328" s="18"/>
      <c r="AR328">
        <f>F328 +G328</f>
        <v>5</v>
      </c>
    </row>
    <row r="329" spans="1:44" x14ac:dyDescent="0.25">
      <c r="A329" t="str">
        <f>B329 &amp; " - " &amp;E329</f>
        <v>Swansea - Rangel</v>
      </c>
      <c r="B329" t="s">
        <v>1095</v>
      </c>
      <c r="C329" t="str">
        <f ca="1">IFERROR(VLOOKUP(INDEX(OFFSET(_JOUEURS,0,0,,1),MATCH(A329,OFFSET(_JOUEURS,0,1,,1),0)),_MPG,2,FALSE),"")</f>
        <v/>
      </c>
      <c r="D329" s="23" t="s">
        <v>363</v>
      </c>
      <c r="E329" s="109" t="s">
        <v>1077</v>
      </c>
      <c r="F329" s="194">
        <v>1</v>
      </c>
      <c r="G329" s="21">
        <v>3</v>
      </c>
      <c r="H329" s="175"/>
      <c r="I329" s="27">
        <f>AVERAGE(O329)</f>
        <v>4</v>
      </c>
      <c r="J329" s="79" t="s">
        <v>364</v>
      </c>
      <c r="K329" s="28"/>
      <c r="L329" s="18"/>
      <c r="M329" s="28" t="s">
        <v>364</v>
      </c>
      <c r="N329" s="28" t="s">
        <v>364</v>
      </c>
      <c r="O329" s="18">
        <v>4</v>
      </c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  <c r="AA329" s="18"/>
      <c r="AB329" s="18"/>
      <c r="AC329" s="18"/>
      <c r="AD329" s="18"/>
      <c r="AE329" s="18"/>
      <c r="AF329" s="18"/>
      <c r="AG329" s="21"/>
      <c r="AH329" s="21"/>
      <c r="AI329" s="29"/>
      <c r="AJ329" s="18"/>
      <c r="AK329" s="18"/>
      <c r="AL329" s="18"/>
      <c r="AM329" s="18"/>
      <c r="AN329" s="18"/>
      <c r="AO329" s="18"/>
      <c r="AP329" s="18"/>
      <c r="AQ329" s="18"/>
      <c r="AR329">
        <f>F329 +G329</f>
        <v>4</v>
      </c>
    </row>
    <row r="330" spans="1:44" x14ac:dyDescent="0.25">
      <c r="A330" t="str">
        <f>B330 &amp; " - " &amp;E330</f>
        <v>Swansea - Taylor</v>
      </c>
      <c r="B330" t="s">
        <v>1095</v>
      </c>
      <c r="C330" t="str">
        <f ca="1">IFERROR(VLOOKUP(INDEX(OFFSET(_JOUEURS,0,0,,1),MATCH(A330,OFFSET(_JOUEURS,0,1,,1),0)),_MPG,2,FALSE),"")</f>
        <v/>
      </c>
      <c r="D330" s="23" t="s">
        <v>363</v>
      </c>
      <c r="E330" s="109" t="s">
        <v>1078</v>
      </c>
      <c r="F330" s="194">
        <v>1</v>
      </c>
      <c r="G330" s="21"/>
      <c r="H330" s="175"/>
      <c r="I330" s="27">
        <f>AVERAGE(M330)</f>
        <v>4</v>
      </c>
      <c r="J330" s="79"/>
      <c r="K330" s="28"/>
      <c r="L330" s="28"/>
      <c r="M330" s="28">
        <v>4</v>
      </c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  <c r="AA330" s="18"/>
      <c r="AB330" s="18"/>
      <c r="AC330" s="18"/>
      <c r="AD330" s="18"/>
      <c r="AE330" s="18"/>
      <c r="AF330" s="18"/>
      <c r="AG330" s="21"/>
      <c r="AH330" s="21"/>
      <c r="AI330" s="29"/>
      <c r="AJ330" s="18"/>
      <c r="AK330" s="18"/>
      <c r="AL330" s="18"/>
      <c r="AM330" s="18"/>
      <c r="AN330" s="18"/>
      <c r="AO330" s="18"/>
      <c r="AP330" s="18"/>
      <c r="AQ330" s="18"/>
      <c r="AR330">
        <f>F330 +G330</f>
        <v>1</v>
      </c>
    </row>
    <row r="331" spans="1:44" x14ac:dyDescent="0.25">
      <c r="A331" t="str">
        <f>B331 &amp; " - " &amp;E331</f>
        <v>Swansea - Tremmel</v>
      </c>
      <c r="B331" t="s">
        <v>1095</v>
      </c>
      <c r="C331" t="str">
        <f ca="1">IFERROR(VLOOKUP(INDEX(OFFSET(_JOUEURS,0,0,,1),MATCH(A331,OFFSET(_JOUEURS,0,1,,1),0)),_MPG,2,FALSE),"")</f>
        <v/>
      </c>
      <c r="D331" s="23" t="s">
        <v>363</v>
      </c>
      <c r="E331" s="29" t="s">
        <v>1079</v>
      </c>
      <c r="F331" s="194"/>
      <c r="G331" s="21"/>
      <c r="H331" s="175"/>
      <c r="I331" s="27"/>
      <c r="J331" s="79"/>
      <c r="K331" s="28"/>
      <c r="L331" s="28"/>
      <c r="M331" s="2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  <c r="AA331" s="18"/>
      <c r="AB331" s="18"/>
      <c r="AC331" s="18"/>
      <c r="AD331" s="18"/>
      <c r="AE331" s="18"/>
      <c r="AF331" s="18"/>
      <c r="AG331" s="21"/>
      <c r="AH331" s="21"/>
      <c r="AI331" s="29"/>
      <c r="AJ331" s="18"/>
      <c r="AK331" s="18"/>
      <c r="AL331" s="18"/>
      <c r="AM331" s="18"/>
      <c r="AN331" s="18"/>
      <c r="AO331" s="18"/>
      <c r="AP331" s="18"/>
      <c r="AQ331" s="18"/>
      <c r="AR331">
        <f>F331 +G331</f>
        <v>0</v>
      </c>
    </row>
    <row r="332" spans="1:44" x14ac:dyDescent="0.25">
      <c r="A332" t="str">
        <f>B332 &amp; " - " &amp;E332</f>
        <v>Swansea - van der Hoorn</v>
      </c>
      <c r="B332" t="s">
        <v>1095</v>
      </c>
      <c r="C332" t="str">
        <f ca="1">IFERROR(VLOOKUP(INDEX(OFFSET(_JOUEURS,0,0,,1),MATCH(A332,OFFSET(_JOUEURS,0,1,,1),0)),_MPG,2,FALSE),"")</f>
        <v/>
      </c>
      <c r="D332" s="23" t="s">
        <v>363</v>
      </c>
      <c r="E332" s="29" t="s">
        <v>1080</v>
      </c>
      <c r="F332" s="194">
        <v>1</v>
      </c>
      <c r="G332" s="21"/>
      <c r="H332" s="175"/>
      <c r="I332" s="27">
        <f>AVERAGE(O332)</f>
        <v>3</v>
      </c>
      <c r="J332" s="79"/>
      <c r="K332" s="28"/>
      <c r="L332" s="28"/>
      <c r="M332" s="28"/>
      <c r="N332" s="18"/>
      <c r="O332" s="65">
        <v>3</v>
      </c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  <c r="AA332" s="18"/>
      <c r="AB332" s="18"/>
      <c r="AC332" s="18"/>
      <c r="AD332" s="18"/>
      <c r="AE332" s="18"/>
      <c r="AF332" s="18"/>
      <c r="AG332" s="21"/>
      <c r="AH332" s="21"/>
      <c r="AI332" s="29"/>
      <c r="AJ332" s="18"/>
      <c r="AK332" s="18"/>
      <c r="AL332" s="18"/>
      <c r="AM332" s="18"/>
      <c r="AN332" s="18"/>
      <c r="AO332" s="18"/>
      <c r="AP332" s="18"/>
      <c r="AQ332" s="18"/>
      <c r="AR332">
        <f>F332 +G332</f>
        <v>1</v>
      </c>
    </row>
    <row r="333" spans="1:44" x14ac:dyDescent="0.25">
      <c r="A333" t="str">
        <f>B333 &amp; " - " &amp;E333</f>
        <v>Swansea - Mawson</v>
      </c>
      <c r="B333" t="s">
        <v>1095</v>
      </c>
      <c r="C333" t="str">
        <f ca="1">IFERROR(VLOOKUP(INDEX(OFFSET(_JOUEURS,0,0,,1),MATCH(A333,OFFSET(_JOUEURS,0,1,,1),0)),_MPG,2,FALSE),"")</f>
        <v/>
      </c>
      <c r="D333" s="23" t="s">
        <v>363</v>
      </c>
      <c r="E333" s="29" t="s">
        <v>1081</v>
      </c>
      <c r="F333" s="194"/>
      <c r="G333" s="21"/>
      <c r="H333" s="163"/>
      <c r="I333" s="27"/>
      <c r="J333" s="79"/>
      <c r="K333" s="28"/>
      <c r="L333" s="18"/>
      <c r="M333" s="28"/>
      <c r="N333" s="18"/>
      <c r="O333" s="17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  <c r="AA333" s="18"/>
      <c r="AB333" s="18"/>
      <c r="AC333" s="18"/>
      <c r="AD333" s="18"/>
      <c r="AE333" s="18"/>
      <c r="AF333" s="18"/>
      <c r="AG333" s="21"/>
      <c r="AH333" s="21"/>
      <c r="AI333" s="165"/>
      <c r="AJ333" s="18"/>
      <c r="AK333" s="18"/>
      <c r="AL333" s="18"/>
      <c r="AM333" s="18"/>
      <c r="AN333" s="18"/>
      <c r="AO333" s="18"/>
      <c r="AP333" s="18"/>
      <c r="AQ333" s="18"/>
      <c r="AR333">
        <f>F333 +G333</f>
        <v>0</v>
      </c>
    </row>
    <row r="334" spans="1:44" hidden="1" x14ac:dyDescent="0.25">
      <c r="A334" t="str">
        <f>B334 &amp; " - " &amp;E334</f>
        <v>Palace - Delaney</v>
      </c>
      <c r="B334" t="s">
        <v>1119</v>
      </c>
      <c r="C334" t="str">
        <f ca="1">IFERROR(VLOOKUP(INDEX(OFFSET(_JOUEURS,0,0,,1),MATCH(A334,OFFSET(_JOUEURS,0,1,,1),0)),_MPG,2,FALSE),"")</f>
        <v>myteam</v>
      </c>
      <c r="D334" s="80" t="s">
        <v>363</v>
      </c>
      <c r="E334" s="69" t="s">
        <v>1099</v>
      </c>
      <c r="F334" s="137">
        <v>5</v>
      </c>
      <c r="G334" s="123">
        <v>1</v>
      </c>
      <c r="H334" s="81"/>
      <c r="I334" s="138">
        <f>AVERAGE(J334,K334,L334,M334,O334)</f>
        <v>4.8</v>
      </c>
      <c r="J334" s="59">
        <v>4</v>
      </c>
      <c r="K334" s="59">
        <v>6</v>
      </c>
      <c r="L334" s="59">
        <v>6</v>
      </c>
      <c r="M334" s="59">
        <v>4</v>
      </c>
      <c r="N334" s="28" t="s">
        <v>364</v>
      </c>
      <c r="O334" s="17">
        <v>4</v>
      </c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  <c r="AA334" s="17"/>
      <c r="AB334" s="17"/>
      <c r="AC334" s="17"/>
      <c r="AD334" s="17"/>
      <c r="AE334" s="17"/>
      <c r="AF334" s="17"/>
      <c r="AG334" s="101"/>
      <c r="AH334" s="101"/>
      <c r="AI334" s="109"/>
      <c r="AJ334" s="17"/>
      <c r="AK334" s="17"/>
      <c r="AL334" s="17"/>
      <c r="AM334" s="17"/>
      <c r="AN334" s="17"/>
      <c r="AO334" s="224"/>
      <c r="AP334" s="17"/>
      <c r="AQ334" s="17"/>
      <c r="AR334">
        <f>F334 +G334</f>
        <v>6</v>
      </c>
    </row>
    <row r="335" spans="1:44" x14ac:dyDescent="0.25">
      <c r="A335" t="str">
        <f>B335 &amp; " - " &amp;E335</f>
        <v>Palace - Souaré</v>
      </c>
      <c r="B335" t="s">
        <v>1119</v>
      </c>
      <c r="C335" t="str">
        <f ca="1">IFERROR(VLOOKUP(INDEX(OFFSET(_JOUEURS,0,0,,1),MATCH(A335,OFFSET(_JOUEURS,0,1,,1),0)),_MPG,2,FALSE),"")</f>
        <v/>
      </c>
      <c r="D335" s="104" t="s">
        <v>363</v>
      </c>
      <c r="E335" s="29" t="s">
        <v>1100</v>
      </c>
      <c r="F335" s="106">
        <v>3</v>
      </c>
      <c r="G335" s="101"/>
      <c r="H335" s="36"/>
      <c r="I335" s="135">
        <f>AVERAGE(J335,K335,L335)</f>
        <v>5</v>
      </c>
      <c r="J335" s="59">
        <v>5</v>
      </c>
      <c r="K335" s="59">
        <v>4</v>
      </c>
      <c r="L335" s="59">
        <v>6</v>
      </c>
      <c r="M335" s="59"/>
      <c r="N335" s="17"/>
      <c r="O335" s="17"/>
      <c r="P335" s="17"/>
      <c r="Q335" s="17"/>
      <c r="R335" s="17"/>
      <c r="S335" s="59"/>
      <c r="T335" s="17"/>
      <c r="U335" s="17"/>
      <c r="V335" s="17"/>
      <c r="W335" s="17"/>
      <c r="X335" s="17"/>
      <c r="Y335" s="17"/>
      <c r="Z335" s="17"/>
      <c r="AA335" s="17"/>
      <c r="AB335" s="17"/>
      <c r="AC335" s="17"/>
      <c r="AD335" s="17"/>
      <c r="AE335" s="59"/>
      <c r="AF335" s="17"/>
      <c r="AG335" s="101"/>
      <c r="AH335" s="101"/>
      <c r="AI335" s="109"/>
      <c r="AJ335" s="17"/>
      <c r="AK335" s="17"/>
      <c r="AL335" s="17"/>
      <c r="AM335" s="17"/>
      <c r="AN335" s="17"/>
      <c r="AO335" s="17"/>
      <c r="AP335" s="17"/>
      <c r="AQ335" s="17"/>
      <c r="AR335">
        <f>F335 +G335</f>
        <v>3</v>
      </c>
    </row>
    <row r="336" spans="1:44" x14ac:dyDescent="0.25">
      <c r="A336" t="str">
        <f>B336 &amp; " - " &amp;E336</f>
        <v>Palace - Kelly</v>
      </c>
      <c r="B336" t="s">
        <v>1119</v>
      </c>
      <c r="C336" t="str">
        <f ca="1">IFERROR(VLOOKUP(INDEX(OFFSET(_JOUEURS,0,0,,1),MATCH(A336,OFFSET(_JOUEURS,0,1,,1),0)),_MPG,2,FALSE),"")</f>
        <v/>
      </c>
      <c r="D336" s="104" t="s">
        <v>363</v>
      </c>
      <c r="E336" s="29" t="s">
        <v>1101</v>
      </c>
      <c r="F336" s="106">
        <v>3</v>
      </c>
      <c r="G336" s="101">
        <v>2</v>
      </c>
      <c r="H336" s="191"/>
      <c r="I336" s="135">
        <f>AVERAGE(M336,N336,O336)</f>
        <v>4.666666666666667</v>
      </c>
      <c r="J336" s="79" t="s">
        <v>364</v>
      </c>
      <c r="K336" s="59"/>
      <c r="L336" s="28" t="s">
        <v>364</v>
      </c>
      <c r="M336" s="59">
        <v>5</v>
      </c>
      <c r="N336" s="59">
        <v>5</v>
      </c>
      <c r="O336" s="17">
        <v>4</v>
      </c>
      <c r="P336" s="17"/>
      <c r="Q336" s="224"/>
      <c r="R336" s="17"/>
      <c r="S336" s="17"/>
      <c r="T336" s="17"/>
      <c r="U336" s="17"/>
      <c r="V336" s="17"/>
      <c r="W336" s="17"/>
      <c r="X336" s="17"/>
      <c r="Y336" s="17"/>
      <c r="Z336" s="17"/>
      <c r="AA336" s="224"/>
      <c r="AB336" s="17"/>
      <c r="AC336" s="17"/>
      <c r="AD336" s="17"/>
      <c r="AE336" s="17"/>
      <c r="AF336" s="17"/>
      <c r="AG336" s="101"/>
      <c r="AH336" s="101"/>
      <c r="AI336" s="109"/>
      <c r="AJ336" s="17"/>
      <c r="AK336" s="17"/>
      <c r="AL336" s="17"/>
      <c r="AM336" s="17"/>
      <c r="AN336" s="17"/>
      <c r="AO336" s="17"/>
      <c r="AP336" s="17"/>
      <c r="AQ336" s="17"/>
      <c r="AR336">
        <f>F336 +G336</f>
        <v>5</v>
      </c>
    </row>
    <row r="337" spans="1:44" x14ac:dyDescent="0.25">
      <c r="A337" t="str">
        <f>B337 &amp; " - " &amp;E337</f>
        <v>Palace - Fryers</v>
      </c>
      <c r="B337" t="s">
        <v>1119</v>
      </c>
      <c r="C337" t="str">
        <f ca="1">IFERROR(VLOOKUP(INDEX(OFFSET(_JOUEURS,0,0,,1),MATCH(A337,OFFSET(_JOUEURS,0,1,,1),0)),_MPG,2,FALSE),"")</f>
        <v/>
      </c>
      <c r="D337" s="104" t="s">
        <v>363</v>
      </c>
      <c r="E337" s="29" t="s">
        <v>1102</v>
      </c>
      <c r="F337" s="106"/>
      <c r="G337" s="101">
        <v>1</v>
      </c>
      <c r="H337" s="191"/>
      <c r="I337" s="135"/>
      <c r="J337" s="89"/>
      <c r="K337" s="59"/>
      <c r="L337" s="59"/>
      <c r="M337" s="59"/>
      <c r="N337" s="17"/>
      <c r="O337" s="28" t="s">
        <v>364</v>
      </c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  <c r="AA337" s="17"/>
      <c r="AB337" s="17"/>
      <c r="AC337" s="224"/>
      <c r="AD337" s="17"/>
      <c r="AE337" s="17"/>
      <c r="AF337" s="17"/>
      <c r="AG337" s="101"/>
      <c r="AH337" s="101"/>
      <c r="AI337" s="89"/>
      <c r="AJ337" s="17"/>
      <c r="AK337" s="17"/>
      <c r="AL337" s="17"/>
      <c r="AM337" s="59"/>
      <c r="AN337" s="17"/>
      <c r="AO337" s="17"/>
      <c r="AP337" s="59"/>
      <c r="AQ337" s="225"/>
      <c r="AR337">
        <f>F337 +G337</f>
        <v>1</v>
      </c>
    </row>
    <row r="338" spans="1:44" hidden="1" x14ac:dyDescent="0.25">
      <c r="A338" t="str">
        <f>B338 &amp; " - " &amp;E338</f>
        <v>WBA - Dawson</v>
      </c>
      <c r="B338" t="s">
        <v>1144</v>
      </c>
      <c r="C338" t="str">
        <f ca="1">IFERROR(VLOOKUP(INDEX(OFFSET(_JOUEURS,0,0,,1),MATCH(A338,OFFSET(_JOUEURS,0,1,,1),0)),_MPG,2,FALSE),"")</f>
        <v>myteam</v>
      </c>
      <c r="D338" s="23" t="s">
        <v>363</v>
      </c>
      <c r="E338" s="29" t="s">
        <v>1123</v>
      </c>
      <c r="F338" s="106">
        <v>6</v>
      </c>
      <c r="G338" s="101"/>
      <c r="H338" s="36"/>
      <c r="I338" s="27">
        <f>AVERAGE(J338,K338,L338,M338,N338,O338)</f>
        <v>5.166666666666667</v>
      </c>
      <c r="J338" s="29">
        <v>6</v>
      </c>
      <c r="K338" s="15">
        <v>4</v>
      </c>
      <c r="L338" s="18">
        <v>5</v>
      </c>
      <c r="M338" s="18">
        <v>5</v>
      </c>
      <c r="N338" s="18">
        <v>5</v>
      </c>
      <c r="O338" s="28">
        <v>6</v>
      </c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28"/>
      <c r="AA338" s="18"/>
      <c r="AB338" s="16"/>
      <c r="AC338" s="18"/>
      <c r="AD338" s="18"/>
      <c r="AE338" s="18"/>
      <c r="AF338" s="18"/>
      <c r="AG338" s="21"/>
      <c r="AH338" s="21"/>
      <c r="AI338" s="29"/>
      <c r="AJ338" s="18"/>
      <c r="AK338" s="28"/>
      <c r="AL338" s="28"/>
      <c r="AM338" s="18"/>
      <c r="AN338" s="18"/>
      <c r="AO338" s="18"/>
      <c r="AP338" s="18"/>
      <c r="AQ338" s="18"/>
      <c r="AR338">
        <f>F338 +G338</f>
        <v>6</v>
      </c>
    </row>
    <row r="339" spans="1:44" ht="15.75" thickBot="1" x14ac:dyDescent="0.3">
      <c r="A339" t="str">
        <f>B339 &amp; " - " &amp;E339</f>
        <v>WBA - Olsson</v>
      </c>
      <c r="B339" t="s">
        <v>1144</v>
      </c>
      <c r="C339" t="str">
        <f ca="1">IFERROR(VLOOKUP(INDEX(OFFSET(_JOUEURS,0,0,,1),MATCH(A339,OFFSET(_JOUEURS,0,1,,1),0)),_MPG,2,FALSE),"")</f>
        <v/>
      </c>
      <c r="D339" s="71" t="s">
        <v>363</v>
      </c>
      <c r="E339" s="174" t="s">
        <v>1125</v>
      </c>
      <c r="F339" s="118">
        <v>2</v>
      </c>
      <c r="G339" s="119"/>
      <c r="H339" s="120"/>
      <c r="I339" s="92">
        <f>AVERAGE(J339,K339)</f>
        <v>5</v>
      </c>
      <c r="J339" s="29">
        <v>6</v>
      </c>
      <c r="K339" s="15">
        <v>4</v>
      </c>
      <c r="L339" s="18"/>
      <c r="M339" s="18"/>
      <c r="N339" s="18"/>
      <c r="O339" s="28"/>
      <c r="P339" s="18"/>
      <c r="Q339" s="2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  <c r="AG339" s="21"/>
      <c r="AH339" s="21"/>
      <c r="AI339" s="29"/>
      <c r="AJ339" s="18"/>
      <c r="AK339" s="28"/>
      <c r="AL339" s="18"/>
      <c r="AM339" s="18"/>
      <c r="AN339" s="18"/>
      <c r="AO339" s="18"/>
      <c r="AP339" s="18"/>
      <c r="AQ339" s="18"/>
      <c r="AR339">
        <f>F339 +G339</f>
        <v>2</v>
      </c>
    </row>
    <row r="340" spans="1:44" x14ac:dyDescent="0.25">
      <c r="A340" t="str">
        <f>B340 &amp; " - " &amp;E340</f>
        <v>WBA - Evans</v>
      </c>
      <c r="B340" t="s">
        <v>1144</v>
      </c>
      <c r="C340" t="str">
        <f ca="1">IFERROR(VLOOKUP(INDEX(OFFSET(_JOUEURS,0,0,,1),MATCH(A340,OFFSET(_JOUEURS,0,1,,1),0)),_MPG,2,FALSE),"")</f>
        <v/>
      </c>
      <c r="D340" s="12" t="s">
        <v>363</v>
      </c>
      <c r="E340" s="219" t="s">
        <v>1126</v>
      </c>
      <c r="F340" s="203">
        <v>6</v>
      </c>
      <c r="G340" s="204"/>
      <c r="H340" s="205"/>
      <c r="I340" s="14">
        <f>AVERAGE(J340,K340,L340,M340,N340,O340)</f>
        <v>4.666666666666667</v>
      </c>
      <c r="J340" s="29">
        <v>5</v>
      </c>
      <c r="K340" s="227">
        <v>3</v>
      </c>
      <c r="L340" s="18">
        <v>5</v>
      </c>
      <c r="M340" s="18">
        <v>4</v>
      </c>
      <c r="N340" s="18">
        <v>6</v>
      </c>
      <c r="O340" s="28">
        <v>5</v>
      </c>
      <c r="P340" s="18"/>
      <c r="Q340" s="18"/>
      <c r="R340" s="18"/>
      <c r="S340" s="18"/>
      <c r="T340" s="18"/>
      <c r="U340" s="18"/>
      <c r="V340" s="18"/>
      <c r="W340" s="18"/>
      <c r="X340" s="28"/>
      <c r="Y340" s="18"/>
      <c r="Z340" s="18"/>
      <c r="AA340" s="18"/>
      <c r="AB340" s="18"/>
      <c r="AC340" s="18"/>
      <c r="AD340" s="21"/>
      <c r="AE340" s="18"/>
      <c r="AF340" s="18"/>
      <c r="AG340" s="18"/>
      <c r="AH340" s="18"/>
      <c r="AI340" s="18"/>
      <c r="AJ340" s="18"/>
      <c r="AK340" s="28"/>
      <c r="AL340" s="18"/>
      <c r="AM340" s="18"/>
      <c r="AN340" s="18"/>
      <c r="AO340" s="18"/>
      <c r="AP340" s="18"/>
      <c r="AQ340" s="18"/>
      <c r="AR340">
        <f>F340 +G340</f>
        <v>6</v>
      </c>
    </row>
    <row r="341" spans="1:44" x14ac:dyDescent="0.25">
      <c r="A341" t="str">
        <f>B341 &amp; " - " &amp;E341</f>
        <v>WBA - Galloway</v>
      </c>
      <c r="B341" t="s">
        <v>1144</v>
      </c>
      <c r="C341" t="str">
        <f ca="1">IFERROR(VLOOKUP(INDEX(OFFSET(_JOUEURS,0,0,,1),MATCH(A341,OFFSET(_JOUEURS,0,1,,1),0)),_MPG,2,FALSE),"")</f>
        <v/>
      </c>
      <c r="D341" s="52" t="s">
        <v>363</v>
      </c>
      <c r="E341" s="111" t="s">
        <v>1127</v>
      </c>
      <c r="F341" s="137">
        <v>3</v>
      </c>
      <c r="G341" s="123"/>
      <c r="H341" s="81"/>
      <c r="I341" s="55">
        <f>AVERAGE(L341,M341,N341)</f>
        <v>4.666666666666667</v>
      </c>
      <c r="J341" s="29"/>
      <c r="K341" s="15"/>
      <c r="L341" s="18">
        <v>5</v>
      </c>
      <c r="M341" s="18">
        <v>5</v>
      </c>
      <c r="N341" s="18">
        <v>4</v>
      </c>
      <c r="O341" s="28"/>
      <c r="P341" s="18"/>
      <c r="Q341" s="18"/>
      <c r="R341" s="18"/>
      <c r="S341" s="18"/>
      <c r="T341" s="18"/>
      <c r="U341" s="18"/>
      <c r="V341" s="18"/>
      <c r="W341" s="18"/>
      <c r="X341" s="28"/>
      <c r="Y341" s="18"/>
      <c r="Z341" s="18"/>
      <c r="AA341" s="18"/>
      <c r="AB341" s="18"/>
      <c r="AC341" s="18"/>
      <c r="AD341" s="21"/>
      <c r="AE341" s="18"/>
      <c r="AF341" s="18"/>
      <c r="AG341" s="18"/>
      <c r="AH341" s="18"/>
      <c r="AI341" s="18"/>
      <c r="AJ341" s="18"/>
      <c r="AK341" s="28"/>
      <c r="AL341" s="18"/>
      <c r="AM341" s="18"/>
      <c r="AN341" s="18"/>
      <c r="AO341" s="18"/>
      <c r="AP341" s="18"/>
      <c r="AQ341" s="18"/>
      <c r="AR341">
        <f>F341 +G341</f>
        <v>3</v>
      </c>
    </row>
    <row r="342" spans="1:44" x14ac:dyDescent="0.25">
      <c r="A342" t="str">
        <f>B342 &amp; " - " &amp;E342</f>
        <v>WBA - Nyom</v>
      </c>
      <c r="B342" t="s">
        <v>1144</v>
      </c>
      <c r="C342" t="str">
        <f ca="1">IFERROR(VLOOKUP(INDEX(OFFSET(_JOUEURS,0,0,,1),MATCH(A342,OFFSET(_JOUEURS,0,1,,1),0)),_MPG,2,FALSE),"")</f>
        <v/>
      </c>
      <c r="D342" s="23" t="s">
        <v>363</v>
      </c>
      <c r="E342" s="109" t="s">
        <v>1128</v>
      </c>
      <c r="F342" s="106">
        <v>1</v>
      </c>
      <c r="G342" s="101">
        <v>1</v>
      </c>
      <c r="H342" s="36"/>
      <c r="I342" s="27">
        <f>AVERAGE(O342)</f>
        <v>5</v>
      </c>
      <c r="J342" s="165"/>
      <c r="K342" s="141"/>
      <c r="L342" s="18"/>
      <c r="M342" s="18"/>
      <c r="N342" s="28" t="s">
        <v>364</v>
      </c>
      <c r="O342" s="28">
        <v>5</v>
      </c>
      <c r="P342" s="18"/>
      <c r="Q342" s="18"/>
      <c r="R342" s="18"/>
      <c r="S342" s="18"/>
      <c r="T342" s="18"/>
      <c r="U342" s="18"/>
      <c r="V342" s="18"/>
      <c r="W342" s="18"/>
      <c r="X342" s="28"/>
      <c r="Y342" s="18"/>
      <c r="Z342" s="18"/>
      <c r="AA342" s="18"/>
      <c r="AB342" s="18"/>
      <c r="AC342" s="18"/>
      <c r="AD342" s="21"/>
      <c r="AE342" s="18"/>
      <c r="AF342" s="18"/>
      <c r="AG342" s="18"/>
      <c r="AH342" s="18"/>
      <c r="AI342" s="18"/>
      <c r="AJ342" s="18"/>
      <c r="AK342" s="28"/>
      <c r="AL342" s="18"/>
      <c r="AM342" s="18"/>
      <c r="AN342" s="18"/>
      <c r="AO342" s="18"/>
      <c r="AP342" s="18"/>
      <c r="AQ342" s="18"/>
      <c r="AR342">
        <f>F342 +G342</f>
        <v>2</v>
      </c>
    </row>
    <row r="343" spans="1:44" x14ac:dyDescent="0.25">
      <c r="A343" t="str">
        <f>B343 &amp; " - " &amp;E343</f>
        <v>Everton - Holgate</v>
      </c>
      <c r="B343" t="s">
        <v>1167</v>
      </c>
      <c r="C343" t="str">
        <f ca="1">IFERROR(VLOOKUP(INDEX(OFFSET(_JOUEURS,0,0,,1),MATCH(A343,OFFSET(_JOUEURS,0,1,,1),0)),_MPG,2,FALSE),"")</f>
        <v/>
      </c>
      <c r="D343" s="23" t="s">
        <v>363</v>
      </c>
      <c r="E343" s="24" t="s">
        <v>1147</v>
      </c>
      <c r="F343" s="25">
        <v>3</v>
      </c>
      <c r="G343" s="77"/>
      <c r="H343" s="56"/>
      <c r="I343" s="27">
        <f>AVERAGE(J343,K343,L343)</f>
        <v>5.666666666666667</v>
      </c>
      <c r="J343" s="109">
        <v>5</v>
      </c>
      <c r="K343" s="99">
        <v>6</v>
      </c>
      <c r="L343" s="17">
        <v>6</v>
      </c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59"/>
      <c r="AA343" s="17"/>
      <c r="AB343" s="17"/>
      <c r="AC343" s="17"/>
      <c r="AD343" s="101"/>
      <c r="AE343" s="17"/>
      <c r="AF343" s="17"/>
      <c r="AG343" s="17"/>
      <c r="AH343" s="17"/>
      <c r="AI343" s="17"/>
      <c r="AJ343" s="17"/>
      <c r="AK343" s="17"/>
      <c r="AL343" s="17"/>
      <c r="AM343" s="17"/>
      <c r="AN343" s="17"/>
      <c r="AO343" s="17"/>
      <c r="AP343" s="17"/>
      <c r="AQ343" s="17"/>
      <c r="AR343">
        <f>F343 +G343</f>
        <v>3</v>
      </c>
    </row>
    <row r="344" spans="1:44" x14ac:dyDescent="0.25">
      <c r="A344" t="str">
        <f>B344 &amp; " - " &amp;E344</f>
        <v>Everton - Funes Mori</v>
      </c>
      <c r="B344" t="s">
        <v>1167</v>
      </c>
      <c r="C344" t="str">
        <f ca="1">IFERROR(VLOOKUP(INDEX(OFFSET(_JOUEURS,0,0,,1),MATCH(A344,OFFSET(_JOUEURS,0,1,,1),0)),_MPG,2,FALSE),"")</f>
        <v/>
      </c>
      <c r="D344" s="23" t="s">
        <v>363</v>
      </c>
      <c r="E344" s="29" t="s">
        <v>1149</v>
      </c>
      <c r="F344" s="25">
        <v>2</v>
      </c>
      <c r="G344" s="77">
        <v>1</v>
      </c>
      <c r="H344" s="87"/>
      <c r="I344" s="27">
        <f>AVERAGE(J344,K344)</f>
        <v>5.5</v>
      </c>
      <c r="J344" s="220">
        <v>5</v>
      </c>
      <c r="K344" s="101">
        <v>6</v>
      </c>
      <c r="L344" s="28" t="s">
        <v>364</v>
      </c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  <c r="AA344" s="17"/>
      <c r="AB344" s="17"/>
      <c r="AC344" s="17"/>
      <c r="AD344" s="101"/>
      <c r="AE344" s="17"/>
      <c r="AF344" s="17"/>
      <c r="AG344" s="17"/>
      <c r="AH344" s="17"/>
      <c r="AI344" s="17"/>
      <c r="AJ344" s="17"/>
      <c r="AK344" s="17"/>
      <c r="AL344" s="17"/>
      <c r="AM344" s="17"/>
      <c r="AN344" s="17"/>
      <c r="AO344" s="17"/>
      <c r="AP344" s="17"/>
      <c r="AQ344" s="17"/>
      <c r="AR344">
        <f>F344 +G344</f>
        <v>3</v>
      </c>
    </row>
    <row r="345" spans="1:44" hidden="1" x14ac:dyDescent="0.25">
      <c r="A345" t="str">
        <f>B345 &amp; " - " &amp;E345</f>
        <v>Everton - Williams</v>
      </c>
      <c r="B345" t="s">
        <v>1167</v>
      </c>
      <c r="C345" t="str">
        <f ca="1">IFERROR(VLOOKUP(INDEX(OFFSET(_JOUEURS,0,0,,1),MATCH(A345,OFFSET(_JOUEURS,0,1,,1),0)),_MPG,2,FALSE),"")</f>
        <v>myteam</v>
      </c>
      <c r="D345" s="23" t="s">
        <v>363</v>
      </c>
      <c r="E345" s="29" t="s">
        <v>1150</v>
      </c>
      <c r="F345" s="25">
        <v>4</v>
      </c>
      <c r="G345" s="77">
        <v>1</v>
      </c>
      <c r="H345" s="87"/>
      <c r="I345" s="27">
        <f>AVERAGE(L345,M345,N345,O345)</f>
        <v>5.75</v>
      </c>
      <c r="J345" s="220"/>
      <c r="K345" s="20" t="s">
        <v>364</v>
      </c>
      <c r="L345" s="17">
        <v>6</v>
      </c>
      <c r="M345" s="17">
        <v>6</v>
      </c>
      <c r="N345" s="17">
        <v>6</v>
      </c>
      <c r="O345" s="17">
        <v>5</v>
      </c>
      <c r="P345" s="101"/>
      <c r="Q345" s="17"/>
      <c r="R345" s="17"/>
      <c r="S345" s="59"/>
      <c r="T345" s="17"/>
      <c r="U345" s="17"/>
      <c r="V345" s="59"/>
      <c r="W345" s="17"/>
      <c r="X345" s="99"/>
      <c r="Y345" s="17"/>
      <c r="Z345" s="17"/>
      <c r="AA345" s="17"/>
      <c r="AB345" s="59"/>
      <c r="AC345" s="101"/>
      <c r="AD345" s="17"/>
      <c r="AE345" s="17"/>
      <c r="AF345" s="17"/>
      <c r="AG345" s="17"/>
      <c r="AH345" s="17"/>
      <c r="AI345" s="17"/>
      <c r="AJ345" s="17"/>
      <c r="AK345" s="17"/>
      <c r="AL345" s="17"/>
      <c r="AM345" s="17"/>
      <c r="AN345" s="17"/>
      <c r="AO345" s="17"/>
      <c r="AP345" s="17"/>
      <c r="AQ345" s="17"/>
      <c r="AR345">
        <f>F345 +G345</f>
        <v>5</v>
      </c>
    </row>
    <row r="346" spans="1:44" hidden="1" x14ac:dyDescent="0.25">
      <c r="A346" t="str">
        <f>B346 &amp; " - " &amp;E346</f>
        <v>Everton - Baines</v>
      </c>
      <c r="B346" t="s">
        <v>1167</v>
      </c>
      <c r="C346" t="str">
        <f ca="1">IFERROR(VLOOKUP(INDEX(OFFSET(_JOUEURS,0,0,,1),MATCH(A346,OFFSET(_JOUEURS,0,1,,1),0)),_MPG,2,FALSE),"")</f>
        <v>Shame On You</v>
      </c>
      <c r="D346" s="23" t="s">
        <v>363</v>
      </c>
      <c r="E346" s="29" t="s">
        <v>1152</v>
      </c>
      <c r="F346" s="25">
        <v>5</v>
      </c>
      <c r="G346" s="77"/>
      <c r="H346" s="56"/>
      <c r="I346" s="27">
        <f>AVERAGE(J346,K346,L346,M346,N346)</f>
        <v>6</v>
      </c>
      <c r="J346" s="109">
        <v>5</v>
      </c>
      <c r="K346" s="134">
        <v>6</v>
      </c>
      <c r="L346" s="59">
        <v>6</v>
      </c>
      <c r="M346" s="66">
        <v>7</v>
      </c>
      <c r="N346" s="17">
        <v>6</v>
      </c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  <c r="AA346" s="59"/>
      <c r="AB346" s="17"/>
      <c r="AC346" s="17"/>
      <c r="AD346" s="17"/>
      <c r="AE346" s="17"/>
      <c r="AF346" s="17"/>
      <c r="AG346" s="17"/>
      <c r="AH346" s="17"/>
      <c r="AI346" s="17"/>
      <c r="AJ346" s="17"/>
      <c r="AK346" s="17"/>
      <c r="AL346" s="17"/>
      <c r="AM346" s="17"/>
      <c r="AN346" s="17"/>
      <c r="AO346" s="17"/>
      <c r="AP346" s="17"/>
      <c r="AQ346" s="17"/>
      <c r="AR346">
        <f>F346 +G346</f>
        <v>5</v>
      </c>
    </row>
    <row r="347" spans="1:44" x14ac:dyDescent="0.25">
      <c r="A347" t="str">
        <f>B347 &amp; " - " &amp;E347</f>
        <v>Everton - Oviedo</v>
      </c>
      <c r="B347" t="s">
        <v>1167</v>
      </c>
      <c r="C347" t="str">
        <f ca="1">IFERROR(VLOOKUP(INDEX(OFFSET(_JOUEURS,0,0,,1),MATCH(A347,OFFSET(_JOUEURS,0,1,,1),0)),_MPG,2,FALSE),"")</f>
        <v/>
      </c>
      <c r="D347" s="23" t="s">
        <v>363</v>
      </c>
      <c r="E347" s="29" t="s">
        <v>1153</v>
      </c>
      <c r="F347" s="25">
        <v>1</v>
      </c>
      <c r="G347" s="77"/>
      <c r="H347" s="87"/>
      <c r="I347" s="27">
        <f>AVERAGE(O347)</f>
        <v>4</v>
      </c>
      <c r="J347" s="220"/>
      <c r="K347" s="101"/>
      <c r="L347" s="17"/>
      <c r="M347" s="17"/>
      <c r="N347" s="17"/>
      <c r="O347" s="17">
        <v>4</v>
      </c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59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>
        <f>F347 +G347</f>
        <v>1</v>
      </c>
    </row>
    <row r="348" spans="1:44" hidden="1" x14ac:dyDescent="0.25">
      <c r="A348" t="str">
        <f>B348 &amp; " - " &amp;E348</f>
        <v>Palace - Ward</v>
      </c>
      <c r="B348" t="s">
        <v>1119</v>
      </c>
      <c r="C348" t="str">
        <f ca="1">IFERROR(VLOOKUP(INDEX(OFFSET(_JOUEURS,0,0,,1),MATCH(A348,OFFSET(_JOUEURS,0,1,,1),0)),_MPG,2,FALSE),"")</f>
        <v>The Bastards</v>
      </c>
      <c r="D348" s="104" t="s">
        <v>363</v>
      </c>
      <c r="E348" s="29" t="s">
        <v>1051</v>
      </c>
      <c r="F348" s="106">
        <v>6</v>
      </c>
      <c r="G348" s="101"/>
      <c r="H348" s="191"/>
      <c r="I348" s="135">
        <f>AVERAGE(J348,K348,L348,M348,N348,O348)</f>
        <v>5.166666666666667</v>
      </c>
      <c r="J348" s="89">
        <v>4</v>
      </c>
      <c r="K348" s="99">
        <v>5</v>
      </c>
      <c r="L348" s="59">
        <v>5</v>
      </c>
      <c r="M348" s="59">
        <v>5</v>
      </c>
      <c r="N348" s="59">
        <v>6</v>
      </c>
      <c r="O348" s="17">
        <v>6</v>
      </c>
      <c r="P348" s="59"/>
      <c r="Q348" s="17"/>
      <c r="R348" s="17"/>
      <c r="S348" s="17"/>
      <c r="T348" s="17"/>
      <c r="U348" s="17"/>
      <c r="V348" s="17"/>
      <c r="W348" s="17"/>
      <c r="X348" s="17"/>
      <c r="Y348" s="17"/>
      <c r="Z348" s="17"/>
      <c r="AA348" s="17"/>
      <c r="AB348" s="17"/>
      <c r="AC348" s="17"/>
      <c r="AD348" s="17"/>
      <c r="AE348" s="17"/>
      <c r="AF348" s="17"/>
      <c r="AG348" s="17"/>
      <c r="AH348" s="17"/>
      <c r="AI348" s="224"/>
      <c r="AJ348" s="17"/>
      <c r="AK348" s="17"/>
      <c r="AL348" s="17"/>
      <c r="AM348" s="17"/>
      <c r="AN348" s="17"/>
      <c r="AO348" s="17"/>
      <c r="AP348" s="17"/>
      <c r="AQ348" s="17"/>
      <c r="AR348">
        <f>F348 +G348</f>
        <v>6</v>
      </c>
    </row>
    <row r="349" spans="1:44" hidden="1" x14ac:dyDescent="0.25">
      <c r="A349" t="str">
        <f>B349 &amp; " - " &amp;E349</f>
        <v>Tottenham - Alderweireld</v>
      </c>
      <c r="B349" t="s">
        <v>1188</v>
      </c>
      <c r="C349" t="str">
        <f ca="1">IFERROR(VLOOKUP(INDEX(OFFSET(_JOUEURS,0,0,,1),MATCH(A349,OFFSET(_JOUEURS,0,1,,1),0)),_MPG,2,FALSE),"")</f>
        <v>nut fc</v>
      </c>
      <c r="D349" s="104" t="s">
        <v>363</v>
      </c>
      <c r="E349" s="29" t="s">
        <v>1171</v>
      </c>
      <c r="F349" s="106">
        <v>6</v>
      </c>
      <c r="G349" s="101"/>
      <c r="H349" s="36"/>
      <c r="I349" s="27">
        <f>AVERAGE(J349,K349,L349,M349,N349,O349)</f>
        <v>5.833333333333333</v>
      </c>
      <c r="J349" s="113">
        <v>5</v>
      </c>
      <c r="K349" s="101">
        <v>6</v>
      </c>
      <c r="L349" s="17">
        <v>6</v>
      </c>
      <c r="M349" s="17">
        <v>6</v>
      </c>
      <c r="N349" s="17">
        <v>6</v>
      </c>
      <c r="O349" s="17">
        <v>6</v>
      </c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  <c r="AA349" s="17"/>
      <c r="AB349" s="17"/>
      <c r="AC349" s="17"/>
      <c r="AD349" s="17"/>
      <c r="AE349" s="17"/>
      <c r="AF349" s="17"/>
      <c r="AG349" s="17"/>
      <c r="AH349" s="17"/>
      <c r="AI349" s="17"/>
      <c r="AJ349" s="17"/>
      <c r="AK349" s="17"/>
      <c r="AL349" s="17"/>
      <c r="AM349" s="17"/>
      <c r="AN349" s="17"/>
      <c r="AO349" s="17"/>
      <c r="AP349" s="17"/>
      <c r="AQ349" s="17"/>
      <c r="AR349">
        <f>F349 +G349</f>
        <v>6</v>
      </c>
    </row>
    <row r="350" spans="1:44" hidden="1" x14ac:dyDescent="0.25">
      <c r="A350" t="str">
        <f>B350 &amp; " - " &amp;E350</f>
        <v>Tottenham - Vertonghen</v>
      </c>
      <c r="B350" t="s">
        <v>1188</v>
      </c>
      <c r="C350" t="str">
        <f ca="1">IFERROR(VLOOKUP(INDEX(OFFSET(_JOUEURS,0,0,,1),MATCH(A350,OFFSET(_JOUEURS,0,1,,1),0)),_MPG,2,FALSE),"")</f>
        <v>I speak pas english</v>
      </c>
      <c r="D350" s="80" t="s">
        <v>363</v>
      </c>
      <c r="E350" s="69" t="s">
        <v>1172</v>
      </c>
      <c r="F350" s="137">
        <v>6</v>
      </c>
      <c r="G350" s="123"/>
      <c r="H350" s="81"/>
      <c r="I350" s="55">
        <f>AVERAGE(J350,K350,L350,M350,N350,O350)</f>
        <v>5.666666666666667</v>
      </c>
      <c r="J350" s="105">
        <v>5</v>
      </c>
      <c r="K350" s="101">
        <v>6</v>
      </c>
      <c r="L350" s="17">
        <v>5</v>
      </c>
      <c r="M350" s="17">
        <v>6</v>
      </c>
      <c r="N350" s="66">
        <v>7</v>
      </c>
      <c r="O350" s="59">
        <v>5</v>
      </c>
      <c r="P350" s="17"/>
      <c r="Q350" s="59"/>
      <c r="R350" s="17"/>
      <c r="S350" s="17"/>
      <c r="T350" s="85"/>
      <c r="U350" s="17"/>
      <c r="V350" s="17"/>
      <c r="W350" s="17"/>
      <c r="X350" s="17"/>
      <c r="Y350" s="17"/>
      <c r="Z350" s="17"/>
      <c r="AA350" s="17"/>
      <c r="AB350" s="17"/>
      <c r="AC350" s="17"/>
      <c r="AD350" s="17"/>
      <c r="AE350" s="17"/>
      <c r="AF350" s="85"/>
      <c r="AG350" s="17"/>
      <c r="AH350" s="17"/>
      <c r="AI350" s="17"/>
      <c r="AJ350" s="17"/>
      <c r="AK350" s="17"/>
      <c r="AL350" s="17"/>
      <c r="AM350" s="17"/>
      <c r="AN350" s="85"/>
      <c r="AO350" s="17"/>
      <c r="AP350" s="17"/>
      <c r="AQ350" s="17"/>
      <c r="AR350">
        <f>F350 +G350</f>
        <v>6</v>
      </c>
    </row>
    <row r="351" spans="1:44" x14ac:dyDescent="0.25">
      <c r="A351" t="str">
        <f>B351 &amp; " - " &amp;E351</f>
        <v>Tottenham - Davies</v>
      </c>
      <c r="B351" t="s">
        <v>1188</v>
      </c>
      <c r="C351" t="str">
        <f ca="1">IFERROR(VLOOKUP(INDEX(OFFSET(_JOUEURS,0,0,,1),MATCH(A351,OFFSET(_JOUEURS,0,1,,1),0)),_MPG,2,FALSE),"")</f>
        <v/>
      </c>
      <c r="D351" s="104" t="s">
        <v>363</v>
      </c>
      <c r="E351" s="29" t="s">
        <v>1160</v>
      </c>
      <c r="F351" s="106">
        <v>2</v>
      </c>
      <c r="G351" s="101">
        <v>1</v>
      </c>
      <c r="H351" s="36"/>
      <c r="I351" s="27">
        <f>AVERAGE(M351,O351)</f>
        <v>4.5</v>
      </c>
      <c r="J351" s="105"/>
      <c r="K351" s="101"/>
      <c r="L351" s="17"/>
      <c r="M351" s="17">
        <v>5</v>
      </c>
      <c r="N351" s="28" t="s">
        <v>364</v>
      </c>
      <c r="O351" s="17">
        <v>4</v>
      </c>
      <c r="P351" s="17"/>
      <c r="Q351" s="59"/>
      <c r="R351" s="17"/>
      <c r="S351" s="17"/>
      <c r="T351" s="17"/>
      <c r="U351" s="17"/>
      <c r="V351" s="17"/>
      <c r="W351" s="59"/>
      <c r="X351" s="17"/>
      <c r="Y351" s="17"/>
      <c r="Z351" s="17"/>
      <c r="AA351" s="17"/>
      <c r="AB351" s="17"/>
      <c r="AC351" s="17"/>
      <c r="AD351" s="101"/>
      <c r="AE351" s="17"/>
      <c r="AF351" s="17"/>
      <c r="AG351" s="17"/>
      <c r="AH351" s="17"/>
      <c r="AI351" s="17"/>
      <c r="AJ351" s="17"/>
      <c r="AK351" s="17"/>
      <c r="AL351" s="17"/>
      <c r="AM351" s="17"/>
      <c r="AN351" s="17"/>
      <c r="AO351" s="17"/>
      <c r="AP351" s="59"/>
      <c r="AQ351" s="59"/>
      <c r="AR351">
        <f>F351 +G351</f>
        <v>3</v>
      </c>
    </row>
    <row r="352" spans="1:44" x14ac:dyDescent="0.25">
      <c r="A352" t="str">
        <f>B352 &amp; " - " &amp;E352</f>
        <v>Tottenham - Carter-Vickers</v>
      </c>
      <c r="B352" t="s">
        <v>1188</v>
      </c>
      <c r="C352" t="str">
        <f ca="1">IFERROR(VLOOKUP(INDEX(OFFSET(_JOUEURS,0,0,,1),MATCH(A352,OFFSET(_JOUEURS,0,1,,1),0)),_MPG,2,FALSE),"")</f>
        <v/>
      </c>
      <c r="D352" s="104" t="s">
        <v>363</v>
      </c>
      <c r="E352" s="29" t="s">
        <v>1173</v>
      </c>
      <c r="F352" s="106"/>
      <c r="G352" s="101"/>
      <c r="H352" s="36"/>
      <c r="I352" s="27"/>
      <c r="J352" s="105"/>
      <c r="K352" s="20"/>
      <c r="L352" s="17"/>
      <c r="M352" s="17"/>
      <c r="N352" s="59"/>
      <c r="O352" s="17"/>
      <c r="P352" s="17"/>
      <c r="Q352" s="59"/>
      <c r="R352" s="17"/>
      <c r="S352" s="17"/>
      <c r="T352" s="17"/>
      <c r="U352" s="17"/>
      <c r="V352" s="17"/>
      <c r="W352" s="59"/>
      <c r="X352" s="59"/>
      <c r="Y352" s="17"/>
      <c r="Z352" s="17"/>
      <c r="AA352" s="17"/>
      <c r="AB352" s="17"/>
      <c r="AC352" s="17"/>
      <c r="AD352" s="101"/>
      <c r="AE352" s="17"/>
      <c r="AF352" s="17"/>
      <c r="AG352" s="17"/>
      <c r="AH352" s="17"/>
      <c r="AI352" s="17"/>
      <c r="AJ352" s="17"/>
      <c r="AK352" s="17"/>
      <c r="AL352" s="17"/>
      <c r="AM352" s="17"/>
      <c r="AN352" s="17"/>
      <c r="AO352" s="85"/>
      <c r="AP352" s="59"/>
      <c r="AQ352" s="59"/>
      <c r="AR352">
        <f>F352 +G352</f>
        <v>0</v>
      </c>
    </row>
    <row r="353" spans="1:44" x14ac:dyDescent="0.25">
      <c r="A353" t="str">
        <f>B353 &amp; " - " &amp;E353</f>
        <v>Tottenham - Trippier</v>
      </c>
      <c r="B353" t="s">
        <v>1188</v>
      </c>
      <c r="C353" t="str">
        <f ca="1">IFERROR(VLOOKUP(INDEX(OFFSET(_JOUEURS,0,0,,1),MATCH(A353,OFFSET(_JOUEURS,0,1,,1),0)),_MPG,2,FALSE),"")</f>
        <v/>
      </c>
      <c r="D353" s="104" t="s">
        <v>363</v>
      </c>
      <c r="E353" s="29" t="s">
        <v>1174</v>
      </c>
      <c r="F353" s="106"/>
      <c r="G353" s="101"/>
      <c r="H353" s="36"/>
      <c r="I353" s="27"/>
      <c r="J353" s="105"/>
      <c r="K353" s="101"/>
      <c r="L353" s="28"/>
      <c r="M353" s="16"/>
      <c r="N353" s="59"/>
      <c r="O353" s="17"/>
      <c r="P353" s="17"/>
      <c r="Q353" s="59"/>
      <c r="R353" s="17"/>
      <c r="S353" s="17"/>
      <c r="T353" s="17"/>
      <c r="U353" s="17"/>
      <c r="V353" s="17"/>
      <c r="W353" s="59"/>
      <c r="X353" s="59"/>
      <c r="Y353" s="17"/>
      <c r="Z353" s="17"/>
      <c r="AA353" s="17"/>
      <c r="AB353" s="17"/>
      <c r="AC353" s="17"/>
      <c r="AD353" s="101"/>
      <c r="AE353" s="17"/>
      <c r="AF353" s="17"/>
      <c r="AG353" s="17"/>
      <c r="AH353" s="17"/>
      <c r="AI353" s="17"/>
      <c r="AJ353" s="17"/>
      <c r="AK353" s="17"/>
      <c r="AL353" s="17"/>
      <c r="AM353" s="17"/>
      <c r="AN353" s="17"/>
      <c r="AO353" s="85"/>
      <c r="AP353" s="59"/>
      <c r="AQ353" s="59"/>
      <c r="AR353">
        <f>F353 +G353</f>
        <v>0</v>
      </c>
    </row>
    <row r="354" spans="1:44" x14ac:dyDescent="0.25">
      <c r="A354" t="str">
        <f>B354 &amp; " - " &amp;E354</f>
        <v>Tottenham - Wimmer</v>
      </c>
      <c r="B354" t="s">
        <v>1188</v>
      </c>
      <c r="C354" t="str">
        <f ca="1">IFERROR(VLOOKUP(INDEX(OFFSET(_JOUEURS,0,0,,1),MATCH(A354,OFFSET(_JOUEURS,0,1,,1),0)),_MPG,2,FALSE),"")</f>
        <v/>
      </c>
      <c r="D354" s="104" t="s">
        <v>363</v>
      </c>
      <c r="E354" s="29" t="s">
        <v>1175</v>
      </c>
      <c r="F354" s="106"/>
      <c r="G354" s="101"/>
      <c r="H354" s="191"/>
      <c r="I354" s="27"/>
      <c r="J354" s="105"/>
      <c r="K354" s="101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  <c r="AA354" s="17"/>
      <c r="AB354" s="17"/>
      <c r="AC354" s="17"/>
      <c r="AD354" s="101"/>
      <c r="AE354" s="17"/>
      <c r="AF354" s="17"/>
      <c r="AG354" s="17"/>
      <c r="AH354" s="17"/>
      <c r="AI354" s="17"/>
      <c r="AJ354" s="17"/>
      <c r="AK354" s="17"/>
      <c r="AL354" s="17"/>
      <c r="AM354" s="17"/>
      <c r="AN354" s="17"/>
      <c r="AO354" s="17"/>
      <c r="AP354" s="17"/>
      <c r="AQ354" s="85"/>
      <c r="AR354">
        <f>F354 +G354</f>
        <v>0</v>
      </c>
    </row>
    <row r="355" spans="1:44" hidden="1" x14ac:dyDescent="0.25">
      <c r="A355" t="str">
        <f>B355 &amp; " - " &amp;E355</f>
        <v>Everton - Jagielka</v>
      </c>
      <c r="B355" t="s">
        <v>1167</v>
      </c>
      <c r="C355" t="str">
        <f ca="1">IFERROR(VLOOKUP(INDEX(OFFSET(_JOUEURS,0,0,,1),MATCH(A355,OFFSET(_JOUEURS,0,1,,1),0)),_MPG,2,FALSE),"")</f>
        <v>The Bastards</v>
      </c>
      <c r="D355" s="23" t="s">
        <v>363</v>
      </c>
      <c r="E355" s="29" t="s">
        <v>1148</v>
      </c>
      <c r="F355" s="25">
        <v>6</v>
      </c>
      <c r="G355" s="77"/>
      <c r="H355" s="87"/>
      <c r="I355" s="27">
        <f>AVERAGE(J355,K355,L355,M355,N355,O355)</f>
        <v>5.666666666666667</v>
      </c>
      <c r="J355" s="220">
        <v>6</v>
      </c>
      <c r="K355" s="101">
        <v>5</v>
      </c>
      <c r="L355" s="66">
        <v>7</v>
      </c>
      <c r="M355" s="17">
        <v>6</v>
      </c>
      <c r="N355" s="17">
        <v>5</v>
      </c>
      <c r="O355" s="17">
        <v>5</v>
      </c>
      <c r="P355" s="17"/>
      <c r="Q355" s="17"/>
      <c r="R355" s="17"/>
      <c r="S355" s="17"/>
      <c r="T355" s="17"/>
      <c r="U355" s="17"/>
      <c r="V355" s="17"/>
      <c r="W355" s="17"/>
      <c r="X355" s="17"/>
      <c r="Y355" s="59"/>
      <c r="Z355" s="17"/>
      <c r="AA355" s="17"/>
      <c r="AB355" s="17"/>
      <c r="AC355" s="17"/>
      <c r="AD355" s="101"/>
      <c r="AE355" s="17"/>
      <c r="AF355" s="17"/>
      <c r="AG355" s="17"/>
      <c r="AH355" s="17"/>
      <c r="AI355" s="17"/>
      <c r="AJ355" s="17"/>
      <c r="AK355" s="17"/>
      <c r="AL355" s="17"/>
      <c r="AM355" s="17"/>
      <c r="AN355" s="17"/>
      <c r="AO355" s="17"/>
      <c r="AP355" s="17"/>
      <c r="AQ355" s="17"/>
      <c r="AR355">
        <f>F355 +G355</f>
        <v>6</v>
      </c>
    </row>
    <row r="356" spans="1:44" hidden="1" x14ac:dyDescent="0.25">
      <c r="A356" t="str">
        <f>B356 &amp; " - " &amp;E356</f>
        <v>Tottenham - Walker</v>
      </c>
      <c r="B356" t="s">
        <v>1188</v>
      </c>
      <c r="C356" t="str">
        <f ca="1">IFERROR(VLOOKUP(INDEX(OFFSET(_JOUEURS,0,0,,1),MATCH(A356,OFFSET(_JOUEURS,0,1,,1),0)),_MPG,2,FALSE),"")</f>
        <v>The Bastards</v>
      </c>
      <c r="D356" s="104" t="s">
        <v>363</v>
      </c>
      <c r="E356" s="29" t="s">
        <v>1170</v>
      </c>
      <c r="F356" s="106">
        <v>6</v>
      </c>
      <c r="G356" s="101"/>
      <c r="H356" s="36"/>
      <c r="I356" s="27">
        <f>AVERAGE(J356,K356,L356,M356,N356,O356)</f>
        <v>6</v>
      </c>
      <c r="J356" s="283">
        <v>7</v>
      </c>
      <c r="K356" s="101">
        <v>5</v>
      </c>
      <c r="L356" s="17">
        <v>5</v>
      </c>
      <c r="M356" s="66">
        <v>7</v>
      </c>
      <c r="N356" s="66">
        <v>7</v>
      </c>
      <c r="O356" s="17">
        <v>5</v>
      </c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  <c r="AA356" s="17"/>
      <c r="AB356" s="17"/>
      <c r="AC356" s="17"/>
      <c r="AD356" s="101"/>
      <c r="AE356" s="17"/>
      <c r="AF356" s="17"/>
      <c r="AG356" s="85"/>
      <c r="AH356" s="17"/>
      <c r="AI356" s="17"/>
      <c r="AJ356" s="17"/>
      <c r="AK356" s="17"/>
      <c r="AL356" s="17"/>
      <c r="AM356" s="17"/>
      <c r="AN356" s="17"/>
      <c r="AO356" s="17"/>
      <c r="AP356" s="59"/>
      <c r="AQ356" s="17"/>
      <c r="AR356">
        <f>F356 +G356</f>
        <v>6</v>
      </c>
    </row>
    <row r="357" spans="1:44" x14ac:dyDescent="0.25">
      <c r="A357" t="str">
        <f>B357 &amp; " - " &amp;E357</f>
        <v>West Ham - Reid</v>
      </c>
      <c r="B357" t="s">
        <v>1212</v>
      </c>
      <c r="C357" t="str">
        <f ca="1">IFERROR(VLOOKUP(INDEX(OFFSET(_JOUEURS,0,0,,1),MATCH(A357,OFFSET(_JOUEURS,0,1,,1),0)),_MPG,2,FALSE),"")</f>
        <v/>
      </c>
      <c r="D357" s="80" t="s">
        <v>363</v>
      </c>
      <c r="E357" s="69" t="s">
        <v>1194</v>
      </c>
      <c r="F357" s="137">
        <v>5</v>
      </c>
      <c r="G357" s="123"/>
      <c r="H357" s="81"/>
      <c r="I357" s="55">
        <f>AVERAGE(J357,K357,L357,M357,O357)</f>
        <v>4.4000000000000004</v>
      </c>
      <c r="J357" s="109">
        <v>5</v>
      </c>
      <c r="K357" s="101">
        <v>6</v>
      </c>
      <c r="L357" s="59">
        <v>4</v>
      </c>
      <c r="M357" s="114">
        <v>3</v>
      </c>
      <c r="N357" s="17"/>
      <c r="O357" s="17">
        <v>4</v>
      </c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  <c r="AA357" s="17"/>
      <c r="AB357" s="17"/>
      <c r="AC357" s="17"/>
      <c r="AD357" s="101"/>
      <c r="AE357" s="17"/>
      <c r="AF357" s="85"/>
      <c r="AG357" s="17"/>
      <c r="AH357" s="17"/>
      <c r="AI357" s="17"/>
      <c r="AJ357" s="17"/>
      <c r="AK357" s="17"/>
      <c r="AL357" s="17"/>
      <c r="AM357" s="17"/>
      <c r="AN357" s="17"/>
      <c r="AO357" s="17"/>
      <c r="AP357" s="17"/>
      <c r="AQ357" s="17"/>
      <c r="AR357">
        <f>F357 +G357</f>
        <v>5</v>
      </c>
    </row>
    <row r="358" spans="1:44" x14ac:dyDescent="0.25">
      <c r="A358" t="str">
        <f>B358 &amp; " - " &amp;E358</f>
        <v>West Ham - Masuaku</v>
      </c>
      <c r="B358" t="s">
        <v>1212</v>
      </c>
      <c r="C358" t="str">
        <f ca="1">IFERROR(VLOOKUP(INDEX(OFFSET(_JOUEURS,0,0,,1),MATCH(A358,OFFSET(_JOUEURS,0,1,,1),0)),_MPG,2,FALSE),"")</f>
        <v/>
      </c>
      <c r="D358" s="104" t="s">
        <v>363</v>
      </c>
      <c r="E358" s="29" t="s">
        <v>1195</v>
      </c>
      <c r="F358" s="106">
        <v>5</v>
      </c>
      <c r="G358" s="17"/>
      <c r="H358" s="170"/>
      <c r="I358" s="27">
        <f>AVERAGE(J358,K358,L358,M358,N358)</f>
        <v>4.5999999999999996</v>
      </c>
      <c r="J358" s="17">
        <v>5</v>
      </c>
      <c r="K358" s="17">
        <v>5</v>
      </c>
      <c r="L358" s="59">
        <v>6</v>
      </c>
      <c r="M358" s="17">
        <v>4</v>
      </c>
      <c r="N358" s="114">
        <v>3</v>
      </c>
      <c r="O358" s="17"/>
      <c r="P358" s="17"/>
      <c r="Q358" s="17"/>
      <c r="R358" s="17"/>
      <c r="S358" s="17"/>
      <c r="T358" s="17"/>
      <c r="U358" s="17"/>
      <c r="V358" s="85"/>
      <c r="W358" s="17"/>
      <c r="X358" s="17"/>
      <c r="Y358" s="17"/>
      <c r="Z358" s="85"/>
      <c r="AA358" s="17"/>
      <c r="AB358" s="17"/>
      <c r="AC358" s="59"/>
      <c r="AD358" s="101"/>
      <c r="AE358" s="101"/>
      <c r="AF358" s="109"/>
      <c r="AG358" s="17"/>
      <c r="AH358" s="85"/>
      <c r="AI358" s="101"/>
      <c r="AJ358" s="17"/>
      <c r="AK358" s="17"/>
      <c r="AL358" s="17"/>
      <c r="AM358" s="59"/>
      <c r="AN358" s="17"/>
      <c r="AO358" s="101"/>
      <c r="AP358" s="17"/>
      <c r="AQ358" s="17"/>
      <c r="AR358">
        <f>F358 +G358</f>
        <v>5</v>
      </c>
    </row>
    <row r="359" spans="1:44" x14ac:dyDescent="0.25">
      <c r="A359" t="str">
        <f>B359 &amp; " - " &amp;E359</f>
        <v>West Ham - Byram</v>
      </c>
      <c r="B359" t="s">
        <v>1212</v>
      </c>
      <c r="C359" t="str">
        <f ca="1">IFERROR(VLOOKUP(INDEX(OFFSET(_JOUEURS,0,0,,1),MATCH(A359,OFFSET(_JOUEURS,0,1,,1),0)),_MPG,2,FALSE),"")</f>
        <v/>
      </c>
      <c r="D359" s="104" t="s">
        <v>363</v>
      </c>
      <c r="E359" s="29" t="s">
        <v>1196</v>
      </c>
      <c r="F359" s="106">
        <v>2</v>
      </c>
      <c r="G359" s="101">
        <v>2</v>
      </c>
      <c r="H359" s="36"/>
      <c r="I359" s="27">
        <f>AVERAGE(K359,M359)</f>
        <v>4</v>
      </c>
      <c r="J359" s="79" t="s">
        <v>364</v>
      </c>
      <c r="K359" s="101">
        <v>5</v>
      </c>
      <c r="L359" s="28" t="s">
        <v>364</v>
      </c>
      <c r="M359" s="114">
        <v>3</v>
      </c>
      <c r="N359" s="17"/>
      <c r="O359" s="17"/>
      <c r="P359" s="17"/>
      <c r="Q359" s="85"/>
      <c r="R359" s="17"/>
      <c r="S359" s="17"/>
      <c r="T359" s="17"/>
      <c r="U359" s="17"/>
      <c r="V359" s="17"/>
      <c r="W359" s="17"/>
      <c r="X359" s="17"/>
      <c r="Y359" s="17"/>
      <c r="Z359" s="17"/>
      <c r="AA359" s="17"/>
      <c r="AB359" s="17"/>
      <c r="AC359" s="59"/>
      <c r="AD359" s="101"/>
      <c r="AE359" s="17"/>
      <c r="AF359" s="17"/>
      <c r="AG359" s="17"/>
      <c r="AH359" s="17"/>
      <c r="AI359" s="17"/>
      <c r="AJ359" s="17"/>
      <c r="AK359" s="17"/>
      <c r="AL359" s="17"/>
      <c r="AM359" s="17"/>
      <c r="AN359" s="59"/>
      <c r="AO359" s="17"/>
      <c r="AP359" s="17"/>
      <c r="AQ359" s="17"/>
      <c r="AR359">
        <f>F359 +G359</f>
        <v>4</v>
      </c>
    </row>
    <row r="360" spans="1:44" x14ac:dyDescent="0.25">
      <c r="A360" t="str">
        <f>B360 &amp; " - " &amp;E360</f>
        <v>West Ham - Ogbonna</v>
      </c>
      <c r="B360" t="s">
        <v>1212</v>
      </c>
      <c r="C360" t="str">
        <f ca="1">IFERROR(VLOOKUP(INDEX(OFFSET(_JOUEURS,0,0,,1),MATCH(A360,OFFSET(_JOUEURS,0,1,,1),0)),_MPG,2,FALSE),"")</f>
        <v/>
      </c>
      <c r="D360" s="104" t="s">
        <v>363</v>
      </c>
      <c r="E360" s="29" t="s">
        <v>1197</v>
      </c>
      <c r="F360" s="106">
        <v>3</v>
      </c>
      <c r="G360" s="101"/>
      <c r="H360" s="36"/>
      <c r="I360" s="27">
        <f>AVERAGE(L360,N360,O360)</f>
        <v>4</v>
      </c>
      <c r="J360" s="109"/>
      <c r="K360" s="17"/>
      <c r="L360" s="59">
        <v>4</v>
      </c>
      <c r="M360" s="17"/>
      <c r="N360" s="17">
        <v>4</v>
      </c>
      <c r="O360" s="17">
        <v>4</v>
      </c>
      <c r="P360" s="17"/>
      <c r="Q360" s="85"/>
      <c r="R360" s="17"/>
      <c r="S360" s="17"/>
      <c r="T360" s="17"/>
      <c r="U360" s="17"/>
      <c r="V360" s="17"/>
      <c r="W360" s="17"/>
      <c r="X360" s="17"/>
      <c r="Y360" s="17"/>
      <c r="Z360" s="17"/>
      <c r="AA360" s="17"/>
      <c r="AB360" s="17"/>
      <c r="AC360" s="59"/>
      <c r="AD360" s="101"/>
      <c r="AE360" s="17"/>
      <c r="AF360" s="17"/>
      <c r="AG360" s="17"/>
      <c r="AH360" s="17"/>
      <c r="AI360" s="17"/>
      <c r="AJ360" s="17"/>
      <c r="AK360" s="17"/>
      <c r="AL360" s="17"/>
      <c r="AM360" s="17"/>
      <c r="AN360" s="59"/>
      <c r="AO360" s="17"/>
      <c r="AP360" s="17"/>
      <c r="AQ360" s="17"/>
      <c r="AR360">
        <f>F360 +G360</f>
        <v>3</v>
      </c>
    </row>
    <row r="361" spans="1:44" ht="15.75" thickBot="1" x14ac:dyDescent="0.3">
      <c r="A361" t="str">
        <f>B361 &amp; " - " &amp;E361</f>
        <v>West Ham - Cresswell</v>
      </c>
      <c r="B361" t="s">
        <v>1212</v>
      </c>
      <c r="C361" t="str">
        <f ca="1">IFERROR(VLOOKUP(INDEX(OFFSET(_JOUEURS,0,0,,1),MATCH(A361,OFFSET(_JOUEURS,0,1,,1),0)),_MPG,2,FALSE),"")</f>
        <v/>
      </c>
      <c r="D361" s="186" t="s">
        <v>363</v>
      </c>
      <c r="E361" s="174" t="s">
        <v>1198</v>
      </c>
      <c r="F361" s="118"/>
      <c r="G361" s="119"/>
      <c r="H361" s="120"/>
      <c r="I361" s="92"/>
      <c r="J361" s="109"/>
      <c r="K361" s="17"/>
      <c r="L361" s="59"/>
      <c r="M361" s="17"/>
      <c r="N361" s="17"/>
      <c r="O361" s="17"/>
      <c r="P361" s="17"/>
      <c r="Q361" s="85"/>
      <c r="R361" s="17"/>
      <c r="S361" s="17"/>
      <c r="T361" s="17"/>
      <c r="U361" s="17"/>
      <c r="V361" s="17"/>
      <c r="W361" s="17"/>
      <c r="X361" s="17"/>
      <c r="Y361" s="17"/>
      <c r="Z361" s="17"/>
      <c r="AA361" s="17"/>
      <c r="AB361" s="17"/>
      <c r="AC361" s="59"/>
      <c r="AD361" s="101"/>
      <c r="AE361" s="17"/>
      <c r="AF361" s="17"/>
      <c r="AG361" s="17"/>
      <c r="AH361" s="17"/>
      <c r="AI361" s="17"/>
      <c r="AJ361" s="17"/>
      <c r="AK361" s="17"/>
      <c r="AL361" s="17"/>
      <c r="AM361" s="17"/>
      <c r="AN361" s="59"/>
      <c r="AO361" s="17"/>
      <c r="AP361" s="17"/>
      <c r="AQ361" s="17"/>
      <c r="AR361">
        <f>F361 +G361</f>
        <v>0</v>
      </c>
    </row>
    <row r="362" spans="1:44" x14ac:dyDescent="0.25">
      <c r="A362" t="str">
        <f>B362 &amp; " - " &amp;E362</f>
        <v>West Ham - Arbeloa</v>
      </c>
      <c r="B362" t="s">
        <v>1212</v>
      </c>
      <c r="C362" t="str">
        <f ca="1">IFERROR(VLOOKUP(INDEX(OFFSET(_JOUEURS,0,0,,1),MATCH(A362,OFFSET(_JOUEURS,0,1,,1),0)),_MPG,2,FALSE),"")</f>
        <v/>
      </c>
      <c r="D362" s="218" t="s">
        <v>363</v>
      </c>
      <c r="E362" s="219" t="s">
        <v>1199</v>
      </c>
      <c r="F362" s="203">
        <v>1</v>
      </c>
      <c r="G362" s="204"/>
      <c r="H362" s="205"/>
      <c r="I362" s="230">
        <f>AVERAGE(O362)</f>
        <v>4</v>
      </c>
      <c r="J362" s="129"/>
      <c r="K362" s="85"/>
      <c r="L362" s="84"/>
      <c r="M362" s="85"/>
      <c r="N362" s="85"/>
      <c r="O362" s="17">
        <v>4</v>
      </c>
      <c r="P362" s="86"/>
      <c r="Q362" s="85"/>
      <c r="R362" s="85"/>
      <c r="S362" s="85"/>
      <c r="T362" s="85"/>
      <c r="U362" s="85"/>
      <c r="V362" s="85"/>
      <c r="W362" s="85"/>
      <c r="X362" s="85"/>
      <c r="Y362" s="85"/>
      <c r="Z362" s="85"/>
      <c r="AA362" s="85"/>
      <c r="AB362" s="85"/>
      <c r="AC362" s="85"/>
      <c r="AD362" s="85"/>
      <c r="AE362" s="85"/>
      <c r="AF362" s="85"/>
      <c r="AG362" s="85"/>
      <c r="AH362" s="86"/>
      <c r="AI362" s="85"/>
      <c r="AJ362" s="85"/>
      <c r="AK362" s="86"/>
      <c r="AL362" s="85"/>
      <c r="AM362" s="86"/>
      <c r="AN362" s="86"/>
      <c r="AO362" s="86"/>
      <c r="AP362" s="85"/>
      <c r="AQ362" s="86"/>
      <c r="AR362">
        <f>F362 +G362</f>
        <v>1</v>
      </c>
    </row>
    <row r="363" spans="1:44" x14ac:dyDescent="0.25">
      <c r="A363" t="str">
        <f>B363 &amp; " - " &amp;E363</f>
        <v>Hull - El Mohamady</v>
      </c>
      <c r="B363" t="s">
        <v>1237</v>
      </c>
      <c r="C363" t="str">
        <f ca="1">IFERROR(VLOOKUP(INDEX(OFFSET(_JOUEURS,0,0,,1),MATCH(A363,OFFSET(_JOUEURS,0,1,,1),0)),_MPG,2,FALSE),"")</f>
        <v/>
      </c>
      <c r="D363" s="104" t="s">
        <v>363</v>
      </c>
      <c r="E363" s="29" t="s">
        <v>1214</v>
      </c>
      <c r="F363" s="106">
        <v>6</v>
      </c>
      <c r="G363" s="101"/>
      <c r="H363" s="36"/>
      <c r="I363" s="133">
        <f>AVERAGE(J363,K363,L363,M363,N363,O363)</f>
        <v>4.5</v>
      </c>
      <c r="J363" s="187">
        <v>6</v>
      </c>
      <c r="K363" s="59">
        <v>5</v>
      </c>
      <c r="L363" s="59">
        <v>5</v>
      </c>
      <c r="M363" s="59">
        <v>5</v>
      </c>
      <c r="N363" s="114">
        <v>3</v>
      </c>
      <c r="O363" s="114">
        <v>3</v>
      </c>
      <c r="P363" s="101"/>
      <c r="Q363" s="59"/>
      <c r="R363" s="17"/>
      <c r="S363" s="59"/>
      <c r="T363" s="17"/>
      <c r="U363" s="17"/>
      <c r="V363" s="59"/>
      <c r="W363" s="17"/>
      <c r="X363" s="17"/>
      <c r="Y363" s="59"/>
      <c r="Z363" s="59"/>
      <c r="AA363" s="59"/>
      <c r="AB363" s="17"/>
      <c r="AC363" s="17"/>
      <c r="AD363" s="17"/>
      <c r="AE363" s="17"/>
      <c r="AF363" s="17"/>
      <c r="AG363" s="17"/>
      <c r="AH363" s="101"/>
      <c r="AI363" s="17"/>
      <c r="AJ363" s="17"/>
      <c r="AK363" s="101"/>
      <c r="AL363" s="59"/>
      <c r="AM363" s="101"/>
      <c r="AN363" s="101"/>
      <c r="AO363" s="101"/>
      <c r="AP363" s="17"/>
      <c r="AQ363" s="101"/>
      <c r="AR363">
        <f>F363 +G363</f>
        <v>6</v>
      </c>
    </row>
    <row r="364" spans="1:44" x14ac:dyDescent="0.25">
      <c r="A364" t="str">
        <f>B364 &amp; " - " &amp;E364</f>
        <v>Hull - Livermore</v>
      </c>
      <c r="B364" t="s">
        <v>1237</v>
      </c>
      <c r="C364" t="str">
        <f ca="1">IFERROR(VLOOKUP(INDEX(OFFSET(_JOUEURS,0,0,,1),MATCH(A364,OFFSET(_JOUEURS,0,1,,1),0)),_MPG,2,FALSE),"")</f>
        <v/>
      </c>
      <c r="D364" s="80" t="s">
        <v>363</v>
      </c>
      <c r="E364" s="69" t="s">
        <v>1215</v>
      </c>
      <c r="F364" s="137">
        <v>6</v>
      </c>
      <c r="G364" s="123"/>
      <c r="H364" s="81"/>
      <c r="I364" s="146">
        <f>AVERAGE(J364,K364,L364,M364,N364,O364)</f>
        <v>4.833333333333333</v>
      </c>
      <c r="J364" s="124">
        <v>6</v>
      </c>
      <c r="K364" s="59">
        <v>6</v>
      </c>
      <c r="L364" s="59">
        <v>5</v>
      </c>
      <c r="M364" s="59">
        <v>5</v>
      </c>
      <c r="N364" s="114">
        <v>3</v>
      </c>
      <c r="O364" s="59">
        <v>4</v>
      </c>
      <c r="P364" s="101"/>
      <c r="Q364" s="59"/>
      <c r="R364" s="17"/>
      <c r="S364" s="59"/>
      <c r="T364" s="17"/>
      <c r="U364" s="17"/>
      <c r="V364" s="17"/>
      <c r="W364" s="17"/>
      <c r="X364" s="17"/>
      <c r="Y364" s="59"/>
      <c r="Z364" s="17"/>
      <c r="AA364" s="17"/>
      <c r="AB364" s="59"/>
      <c r="AC364" s="17"/>
      <c r="AD364" s="17"/>
      <c r="AE364" s="17"/>
      <c r="AF364" s="17"/>
      <c r="AG364" s="17"/>
      <c r="AH364" s="101"/>
      <c r="AI364" s="17"/>
      <c r="AJ364" s="59"/>
      <c r="AK364" s="101"/>
      <c r="AL364" s="59"/>
      <c r="AM364" s="99"/>
      <c r="AN364" s="101"/>
      <c r="AO364" s="101"/>
      <c r="AP364" s="59"/>
      <c r="AQ364" s="86"/>
      <c r="AR364">
        <f>F364 +G364</f>
        <v>6</v>
      </c>
    </row>
    <row r="365" spans="1:44" x14ac:dyDescent="0.25">
      <c r="A365" t="str">
        <f>B365 &amp; " - " &amp;E365</f>
        <v>Hull - Robertson</v>
      </c>
      <c r="B365" t="s">
        <v>1237</v>
      </c>
      <c r="C365" t="str">
        <f ca="1">IFERROR(VLOOKUP(INDEX(OFFSET(_JOUEURS,0,0,,1),MATCH(A365,OFFSET(_JOUEURS,0,1,,1),0)),_MPG,2,FALSE),"")</f>
        <v/>
      </c>
      <c r="D365" s="104" t="s">
        <v>363</v>
      </c>
      <c r="E365" s="29" t="s">
        <v>1216</v>
      </c>
      <c r="F365" s="106">
        <v>6</v>
      </c>
      <c r="G365" s="101"/>
      <c r="H365" s="191"/>
      <c r="I365" s="133">
        <f>AVERAGE(J365,K365,L365,M365,N365,O365)</f>
        <v>4.833333333333333</v>
      </c>
      <c r="J365" s="70">
        <v>6</v>
      </c>
      <c r="K365" s="59">
        <v>6</v>
      </c>
      <c r="L365" s="136">
        <v>5</v>
      </c>
      <c r="M365" s="136">
        <v>6</v>
      </c>
      <c r="N365" s="114">
        <v>3</v>
      </c>
      <c r="O365" s="114">
        <v>3</v>
      </c>
      <c r="P365" s="101"/>
      <c r="Q365" s="59"/>
      <c r="R365" s="85"/>
      <c r="S365" s="59"/>
      <c r="T365" s="17"/>
      <c r="U365" s="17"/>
      <c r="V365" s="17"/>
      <c r="W365" s="17"/>
      <c r="X365" s="17"/>
      <c r="Y365" s="59"/>
      <c r="Z365" s="17"/>
      <c r="AA365" s="17"/>
      <c r="AB365" s="17"/>
      <c r="AC365" s="17"/>
      <c r="AD365" s="17"/>
      <c r="AE365" s="17"/>
      <c r="AF365" s="85"/>
      <c r="AG365" s="17"/>
      <c r="AH365" s="101"/>
      <c r="AI365" s="17"/>
      <c r="AJ365" s="17"/>
      <c r="AK365" s="101"/>
      <c r="AL365" s="59"/>
      <c r="AM365" s="101"/>
      <c r="AN365" s="101"/>
      <c r="AO365" s="101"/>
      <c r="AP365" s="17"/>
      <c r="AQ365" s="86"/>
      <c r="AR365">
        <f>F365 +G365</f>
        <v>6</v>
      </c>
    </row>
    <row r="366" spans="1:44" hidden="1" x14ac:dyDescent="0.25">
      <c r="A366" t="str">
        <f>B366 &amp; " - " &amp;E366</f>
        <v>Hull - Maguire</v>
      </c>
      <c r="B366" t="s">
        <v>1237</v>
      </c>
      <c r="C366" t="str">
        <f ca="1">IFERROR(VLOOKUP(INDEX(OFFSET(_JOUEURS,0,0,,1),MATCH(A366,OFFSET(_JOUEURS,0,1,,1),0)),_MPG,2,FALSE),"")</f>
        <v>Saxe-Gambetta FC</v>
      </c>
      <c r="D366" s="104" t="s">
        <v>363</v>
      </c>
      <c r="E366" s="29" t="s">
        <v>1217</v>
      </c>
      <c r="F366" s="106"/>
      <c r="G366" s="101">
        <v>3</v>
      </c>
      <c r="H366" s="191"/>
      <c r="I366" s="133"/>
      <c r="J366" s="124"/>
      <c r="K366" s="59"/>
      <c r="L366" s="57" t="s">
        <v>364</v>
      </c>
      <c r="M366" s="136"/>
      <c r="N366" s="59" t="s">
        <v>364</v>
      </c>
      <c r="O366" s="28" t="s">
        <v>364</v>
      </c>
      <c r="P366" s="101"/>
      <c r="Q366" s="59"/>
      <c r="R366" s="17"/>
      <c r="S366" s="59"/>
      <c r="T366" s="17"/>
      <c r="U366" s="17"/>
      <c r="V366" s="17"/>
      <c r="W366" s="17"/>
      <c r="X366" s="17"/>
      <c r="Y366" s="59"/>
      <c r="Z366" s="17"/>
      <c r="AA366" s="17"/>
      <c r="AB366" s="17"/>
      <c r="AC366" s="17"/>
      <c r="AD366" s="17"/>
      <c r="AE366" s="17"/>
      <c r="AF366" s="17"/>
      <c r="AG366" s="17"/>
      <c r="AH366" s="101"/>
      <c r="AI366" s="17"/>
      <c r="AJ366" s="17"/>
      <c r="AK366" s="101"/>
      <c r="AL366" s="59"/>
      <c r="AM366" s="101"/>
      <c r="AN366" s="101"/>
      <c r="AO366" s="101"/>
      <c r="AP366" s="59"/>
      <c r="AQ366" s="101"/>
      <c r="AR366">
        <f>F366 +G366</f>
        <v>3</v>
      </c>
    </row>
    <row r="367" spans="1:44" hidden="1" x14ac:dyDescent="0.25">
      <c r="A367" t="str">
        <f>B367 &amp; " - " &amp;E367</f>
        <v>Hull - Dawson</v>
      </c>
      <c r="B367" t="s">
        <v>1237</v>
      </c>
      <c r="C367" t="str">
        <f ca="1">IFERROR(VLOOKUP(INDEX(OFFSET(_JOUEURS,0,0,,1),MATCH(A367,OFFSET(_JOUEURS,0,1,,1),0)),_MPG,2,FALSE),"")</f>
        <v>I speak pas english</v>
      </c>
      <c r="D367" s="104" t="s">
        <v>363</v>
      </c>
      <c r="E367" s="29" t="s">
        <v>1123</v>
      </c>
      <c r="F367" s="106"/>
      <c r="G367" s="101"/>
      <c r="H367" s="191"/>
      <c r="I367" s="133"/>
      <c r="J367" s="124"/>
      <c r="K367" s="59"/>
      <c r="L367" s="136"/>
      <c r="M367" s="136"/>
      <c r="N367" s="17"/>
      <c r="O367" s="17"/>
      <c r="P367" s="101"/>
      <c r="Q367" s="59"/>
      <c r="R367" s="17"/>
      <c r="S367" s="59"/>
      <c r="T367" s="17"/>
      <c r="U367" s="17"/>
      <c r="V367" s="17"/>
      <c r="W367" s="17"/>
      <c r="X367" s="17"/>
      <c r="Y367" s="59"/>
      <c r="Z367" s="17"/>
      <c r="AA367" s="17"/>
      <c r="AB367" s="17"/>
      <c r="AC367" s="17"/>
      <c r="AD367" s="17"/>
      <c r="AE367" s="17"/>
      <c r="AF367" s="17"/>
      <c r="AG367" s="17"/>
      <c r="AH367" s="101"/>
      <c r="AI367" s="17"/>
      <c r="AJ367" s="17"/>
      <c r="AK367" s="101"/>
      <c r="AL367" s="59"/>
      <c r="AM367" s="101"/>
      <c r="AN367" s="101"/>
      <c r="AO367" s="101"/>
      <c r="AP367" s="17"/>
      <c r="AQ367" s="101"/>
      <c r="AR367">
        <f>F367 +G367</f>
        <v>0</v>
      </c>
    </row>
    <row r="368" spans="1:44" x14ac:dyDescent="0.25">
      <c r="A368" t="str">
        <f>B368 &amp; " - " &amp;E368</f>
        <v>Hull - Lenihan</v>
      </c>
      <c r="B368" t="s">
        <v>1237</v>
      </c>
      <c r="C368" t="str">
        <f ca="1">IFERROR(VLOOKUP(INDEX(OFFSET(_JOUEURS,0,0,,1),MATCH(A368,OFFSET(_JOUEURS,0,1,,1),0)),_MPG,2,FALSE),"")</f>
        <v/>
      </c>
      <c r="D368" s="109" t="s">
        <v>363</v>
      </c>
      <c r="E368" s="29" t="s">
        <v>1218</v>
      </c>
      <c r="F368" s="106"/>
      <c r="G368" s="101"/>
      <c r="H368" s="191"/>
      <c r="I368" s="133"/>
      <c r="J368" s="124"/>
      <c r="K368" s="99"/>
      <c r="L368" s="136"/>
      <c r="M368" s="136"/>
      <c r="N368" s="17"/>
      <c r="O368" s="17"/>
      <c r="P368" s="17"/>
      <c r="Q368" s="59"/>
      <c r="R368" s="17"/>
      <c r="S368" s="59"/>
      <c r="T368" s="17"/>
      <c r="U368" s="17"/>
      <c r="V368" s="17"/>
      <c r="W368" s="17"/>
      <c r="X368" s="17"/>
      <c r="Y368" s="59"/>
      <c r="Z368" s="17"/>
      <c r="AA368" s="17"/>
      <c r="AB368" s="17"/>
      <c r="AC368" s="17"/>
      <c r="AD368" s="17"/>
      <c r="AE368" s="101"/>
      <c r="AF368" s="17"/>
      <c r="AG368" s="101"/>
      <c r="AH368" s="17"/>
      <c r="AI368" s="101"/>
      <c r="AJ368" s="101"/>
      <c r="AK368" s="17"/>
      <c r="AL368" s="59"/>
      <c r="AM368" s="17"/>
      <c r="AN368" s="17"/>
      <c r="AO368" s="101"/>
      <c r="AP368" s="59"/>
      <c r="AQ368" s="17"/>
      <c r="AR368">
        <f>F368 +G368</f>
        <v>0</v>
      </c>
    </row>
    <row r="369" spans="1:44" x14ac:dyDescent="0.25">
      <c r="A369" t="str">
        <f>B369 &amp; " - " &amp;E369</f>
        <v>Hull - Bruce</v>
      </c>
      <c r="B369" t="s">
        <v>1237</v>
      </c>
      <c r="C369" t="str">
        <f ca="1">IFERROR(VLOOKUP(INDEX(OFFSET(_JOUEURS,0,0,,1),MATCH(A369,OFFSET(_JOUEURS,0,1,,1),0)),_MPG,2,FALSE),"")</f>
        <v/>
      </c>
      <c r="D369" s="104" t="s">
        <v>363</v>
      </c>
      <c r="E369" s="29" t="s">
        <v>1219</v>
      </c>
      <c r="F369" s="106"/>
      <c r="G369" s="101"/>
      <c r="H369" s="191"/>
      <c r="I369" s="133"/>
      <c r="J369" s="70"/>
      <c r="K369" s="59"/>
      <c r="L369" s="57"/>
      <c r="M369" s="136"/>
      <c r="N369" s="17"/>
      <c r="O369" s="17"/>
      <c r="P369" s="101"/>
      <c r="Q369" s="59"/>
      <c r="R369" s="17"/>
      <c r="S369" s="59"/>
      <c r="T369" s="17"/>
      <c r="U369" s="17"/>
      <c r="V369" s="17"/>
      <c r="W369" s="17"/>
      <c r="X369" s="17"/>
      <c r="Y369" s="59"/>
      <c r="Z369" s="17"/>
      <c r="AA369" s="17"/>
      <c r="AB369" s="17"/>
      <c r="AC369" s="17"/>
      <c r="AD369" s="17"/>
      <c r="AE369" s="17"/>
      <c r="AF369" s="17"/>
      <c r="AG369" s="17"/>
      <c r="AH369" s="101"/>
      <c r="AI369" s="17"/>
      <c r="AJ369" s="17"/>
      <c r="AK369" s="101"/>
      <c r="AL369" s="59"/>
      <c r="AM369" s="101"/>
      <c r="AN369" s="101"/>
      <c r="AO369" s="101"/>
      <c r="AP369" s="59"/>
      <c r="AQ369" s="101"/>
      <c r="AR369">
        <f>F369 +G369</f>
        <v>0</v>
      </c>
    </row>
    <row r="370" spans="1:44" x14ac:dyDescent="0.25">
      <c r="A370" t="str">
        <f>B370 &amp; " - " &amp;E370</f>
        <v>Hull - Tymon</v>
      </c>
      <c r="B370" t="s">
        <v>1237</v>
      </c>
      <c r="C370" t="str">
        <f ca="1">IFERROR(VLOOKUP(INDEX(OFFSET(_JOUEURS,0,0,,1),MATCH(A370,OFFSET(_JOUEURS,0,1,,1),0)),_MPG,2,FALSE),"")</f>
        <v/>
      </c>
      <c r="D370" s="104" t="s">
        <v>363</v>
      </c>
      <c r="E370" s="29" t="s">
        <v>1220</v>
      </c>
      <c r="F370" s="106"/>
      <c r="G370" s="101"/>
      <c r="H370" s="191"/>
      <c r="I370" s="133"/>
      <c r="J370" s="70"/>
      <c r="K370" s="59"/>
      <c r="L370" s="57"/>
      <c r="M370" s="136"/>
      <c r="N370" s="17"/>
      <c r="O370" s="17"/>
      <c r="P370" s="101"/>
      <c r="Q370" s="59"/>
      <c r="R370" s="17"/>
      <c r="S370" s="59"/>
      <c r="T370" s="17"/>
      <c r="U370" s="17"/>
      <c r="V370" s="17"/>
      <c r="W370" s="17"/>
      <c r="X370" s="17"/>
      <c r="Y370" s="59"/>
      <c r="Z370" s="17"/>
      <c r="AA370" s="17"/>
      <c r="AB370" s="17"/>
      <c r="AC370" s="17"/>
      <c r="AD370" s="17"/>
      <c r="AE370" s="17"/>
      <c r="AF370" s="17"/>
      <c r="AG370" s="17"/>
      <c r="AH370" s="101"/>
      <c r="AI370" s="17"/>
      <c r="AJ370" s="17"/>
      <c r="AK370" s="101"/>
      <c r="AL370" s="59"/>
      <c r="AM370" s="101"/>
      <c r="AN370" s="101"/>
      <c r="AO370" s="101"/>
      <c r="AP370" s="59"/>
      <c r="AQ370" s="101"/>
      <c r="AR370">
        <f>F370 +G370</f>
        <v>0</v>
      </c>
    </row>
    <row r="371" spans="1:44" hidden="1" x14ac:dyDescent="0.25">
      <c r="A371" t="str">
        <f>B371 &amp; " - " &amp;E371</f>
        <v>Hull - Davies</v>
      </c>
      <c r="B371" t="s">
        <v>1237</v>
      </c>
      <c r="C371" t="str">
        <f ca="1">IFERROR(VLOOKUP(INDEX(OFFSET(_JOUEURS,0,0,,1),MATCH(A371,OFFSET(_JOUEURS,0,1,,1),0)),_MPG,2,FALSE),"")</f>
        <v>The Bastards</v>
      </c>
      <c r="D371" s="104" t="s">
        <v>363</v>
      </c>
      <c r="E371" s="29" t="s">
        <v>1160</v>
      </c>
      <c r="F371" s="106">
        <v>6</v>
      </c>
      <c r="G371" s="101"/>
      <c r="H371" s="36"/>
      <c r="I371" s="133">
        <f>AVERAGE(J371,K371,L371,M371,N371,O371)</f>
        <v>5.333333333333333</v>
      </c>
      <c r="J371" s="124">
        <v>6</v>
      </c>
      <c r="K371" s="97">
        <v>7</v>
      </c>
      <c r="L371" s="97">
        <v>7</v>
      </c>
      <c r="M371" s="59">
        <v>6</v>
      </c>
      <c r="N371" s="114">
        <v>3</v>
      </c>
      <c r="O371" s="145">
        <v>3</v>
      </c>
      <c r="P371" s="101"/>
      <c r="Q371" s="59"/>
      <c r="R371" s="17"/>
      <c r="S371" s="59"/>
      <c r="T371" s="17"/>
      <c r="U371" s="17"/>
      <c r="V371" s="59"/>
      <c r="W371" s="17"/>
      <c r="X371" s="59"/>
      <c r="Y371" s="59"/>
      <c r="Z371" s="17"/>
      <c r="AA371" s="17"/>
      <c r="AB371" s="59"/>
      <c r="AC371" s="59"/>
      <c r="AD371" s="17"/>
      <c r="AE371" s="17"/>
      <c r="AF371" s="59"/>
      <c r="AG371" s="17"/>
      <c r="AH371" s="101"/>
      <c r="AI371" s="17"/>
      <c r="AJ371" s="59"/>
      <c r="AK371" s="99"/>
      <c r="AL371" s="59"/>
      <c r="AM371" s="99"/>
      <c r="AN371" s="101"/>
      <c r="AO371" s="101"/>
      <c r="AP371" s="17"/>
      <c r="AQ371" s="101"/>
      <c r="AR371">
        <f>F371 +G371</f>
        <v>6</v>
      </c>
    </row>
    <row r="372" spans="1:44" hidden="1" x14ac:dyDescent="0.25">
      <c r="A372" t="str">
        <f>B372 &amp; " - " &amp;E372</f>
        <v>Leicester - Simpson</v>
      </c>
      <c r="B372" t="s">
        <v>1258</v>
      </c>
      <c r="C372" t="str">
        <f ca="1">IFERROR(VLOOKUP(INDEX(OFFSET(_JOUEURS,0,0,,1),MATCH(A372,OFFSET(_JOUEURS,0,1,,1),0)),_MPG,2,FALSE),"")</f>
        <v>Saxe-Gambetta FC</v>
      </c>
      <c r="D372" s="23" t="s">
        <v>363</v>
      </c>
      <c r="E372" s="29" t="s">
        <v>1240</v>
      </c>
      <c r="F372" s="194">
        <v>6</v>
      </c>
      <c r="G372" s="21"/>
      <c r="H372" s="163"/>
      <c r="I372" s="133">
        <f>AVERAGE(J372,K372,L372,M372,N372,O372)</f>
        <v>4.333333333333333</v>
      </c>
      <c r="J372" s="122">
        <v>4</v>
      </c>
      <c r="K372" s="28">
        <v>5</v>
      </c>
      <c r="L372" s="17">
        <v>5</v>
      </c>
      <c r="M372" s="28">
        <v>4</v>
      </c>
      <c r="N372" s="18">
        <v>6</v>
      </c>
      <c r="O372" s="65">
        <v>2</v>
      </c>
      <c r="P372" s="22"/>
      <c r="Q372" s="18"/>
      <c r="R372" s="28"/>
      <c r="S372" s="18"/>
      <c r="T372" s="18"/>
      <c r="U372" s="18"/>
      <c r="V372" s="18"/>
      <c r="W372" s="18"/>
      <c r="X372" s="18"/>
      <c r="Y372" s="18"/>
      <c r="Z372" s="18"/>
      <c r="AA372" s="18"/>
      <c r="AB372" s="18"/>
      <c r="AC372" s="18"/>
      <c r="AD372" s="18"/>
      <c r="AE372" s="18"/>
      <c r="AF372" s="18"/>
      <c r="AG372" s="18"/>
      <c r="AH372" s="21"/>
      <c r="AI372" s="18"/>
      <c r="AJ372" s="18"/>
      <c r="AK372" s="21"/>
      <c r="AL372" s="18"/>
      <c r="AM372" s="21"/>
      <c r="AN372" s="21"/>
      <c r="AO372" s="21"/>
      <c r="AP372" s="18"/>
      <c r="AQ372" s="21"/>
      <c r="AR372">
        <f>F372 +G372</f>
        <v>6</v>
      </c>
    </row>
    <row r="373" spans="1:44" x14ac:dyDescent="0.25">
      <c r="A373" t="str">
        <f>B373 &amp; " - " &amp;E373</f>
        <v>Leicester - Hernandez</v>
      </c>
      <c r="B373" t="s">
        <v>1258</v>
      </c>
      <c r="C373" t="str">
        <f ca="1">IFERROR(VLOOKUP(INDEX(OFFSET(_JOUEURS,0,0,,1),MATCH(A373,OFFSET(_JOUEURS,0,1,,1),0)),_MPG,2,FALSE),"")</f>
        <v/>
      </c>
      <c r="D373" s="52" t="s">
        <v>363</v>
      </c>
      <c r="E373" s="69" t="s">
        <v>1232</v>
      </c>
      <c r="F373" s="195">
        <v>1</v>
      </c>
      <c r="G373" s="196">
        <v>1</v>
      </c>
      <c r="H373" s="197"/>
      <c r="I373" s="146">
        <f>AVERAGE(J373)</f>
        <v>3</v>
      </c>
      <c r="J373" s="228">
        <v>3</v>
      </c>
      <c r="K373" s="28"/>
      <c r="L373" s="28"/>
      <c r="M373" s="28" t="s">
        <v>364</v>
      </c>
      <c r="N373" s="18"/>
      <c r="O373" s="18"/>
      <c r="P373" s="21"/>
      <c r="Q373" s="18"/>
      <c r="R373" s="18"/>
      <c r="S373" s="18"/>
      <c r="T373" s="18"/>
      <c r="U373" s="18"/>
      <c r="V373" s="18"/>
      <c r="W373" s="28"/>
      <c r="X373" s="18"/>
      <c r="Y373" s="18"/>
      <c r="Z373" s="18"/>
      <c r="AA373" s="28"/>
      <c r="AB373" s="28"/>
      <c r="AC373" s="28"/>
      <c r="AD373" s="28"/>
      <c r="AE373" s="28"/>
      <c r="AF373" s="28"/>
      <c r="AG373" s="18"/>
      <c r="AH373" s="21"/>
      <c r="AI373" s="18"/>
      <c r="AJ373" s="18"/>
      <c r="AK373" s="21"/>
      <c r="AL373" s="28"/>
      <c r="AM373" s="21"/>
      <c r="AN373" s="20"/>
      <c r="AO373" s="21"/>
      <c r="AP373" s="18"/>
      <c r="AQ373" s="21"/>
      <c r="AR373">
        <f>F373 +G373</f>
        <v>2</v>
      </c>
    </row>
    <row r="374" spans="1:44" hidden="1" x14ac:dyDescent="0.25">
      <c r="A374" t="str">
        <f>B374 &amp; " - " &amp;E374</f>
        <v>Leicester - Fuchs</v>
      </c>
      <c r="B374" t="s">
        <v>1258</v>
      </c>
      <c r="C374" t="str">
        <f ca="1">IFERROR(VLOOKUP(INDEX(OFFSET(_JOUEURS,0,0,,1),MATCH(A374,OFFSET(_JOUEURS,0,1,,1),0)),_MPG,2,FALSE),"")</f>
        <v>74 c'est la champion's league</v>
      </c>
      <c r="D374" s="23" t="s">
        <v>363</v>
      </c>
      <c r="E374" s="29" t="s">
        <v>1241</v>
      </c>
      <c r="F374" s="194">
        <v>6</v>
      </c>
      <c r="G374" s="21"/>
      <c r="H374" s="163"/>
      <c r="I374" s="133">
        <f>AVERAGE(J374,K374,L374,M374,N374,O374)</f>
        <v>4.666666666666667</v>
      </c>
      <c r="J374" s="122">
        <v>5</v>
      </c>
      <c r="K374" s="28">
        <v>5</v>
      </c>
      <c r="L374" s="28">
        <v>4</v>
      </c>
      <c r="M374" s="121">
        <v>3</v>
      </c>
      <c r="N374" s="51">
        <v>8</v>
      </c>
      <c r="O374" s="65">
        <v>3</v>
      </c>
      <c r="P374" s="21"/>
      <c r="Q374" s="18"/>
      <c r="R374" s="17"/>
      <c r="S374" s="18"/>
      <c r="T374" s="18"/>
      <c r="U374" s="18"/>
      <c r="V374" s="16"/>
      <c r="W374" s="18"/>
      <c r="X374" s="17"/>
      <c r="Y374" s="18"/>
      <c r="Z374" s="18"/>
      <c r="AA374" s="18"/>
      <c r="AB374" s="18"/>
      <c r="AC374" s="18"/>
      <c r="AD374" s="18"/>
      <c r="AE374" s="18"/>
      <c r="AF374" s="18"/>
      <c r="AG374" s="18"/>
      <c r="AH374" s="21"/>
      <c r="AI374" s="18"/>
      <c r="AJ374" s="18"/>
      <c r="AK374" s="21"/>
      <c r="AL374" s="28"/>
      <c r="AM374" s="21"/>
      <c r="AN374" s="21"/>
      <c r="AO374" s="21"/>
      <c r="AP374" s="17"/>
      <c r="AQ374" s="21"/>
      <c r="AR374">
        <f>F374 +G374</f>
        <v>6</v>
      </c>
    </row>
    <row r="375" spans="1:44" hidden="1" x14ac:dyDescent="0.25">
      <c r="A375" t="str">
        <f>B375 &amp; " - " &amp;E375</f>
        <v>Leicester - Huth</v>
      </c>
      <c r="B375" t="s">
        <v>1258</v>
      </c>
      <c r="C375" t="str">
        <f ca="1">IFERROR(VLOOKUP(INDEX(OFFSET(_JOUEURS,0,0,,1),MATCH(A375,OFFSET(_JOUEURS,0,1,,1),0)),_MPG,2,FALSE),"")</f>
        <v>Shame On You</v>
      </c>
      <c r="D375" s="23" t="s">
        <v>363</v>
      </c>
      <c r="E375" s="29" t="s">
        <v>1242</v>
      </c>
      <c r="F375" s="194">
        <v>5</v>
      </c>
      <c r="G375" s="21"/>
      <c r="H375" s="163"/>
      <c r="I375" s="133">
        <f>AVERAGE(K375,L375,M375,N375,O375)</f>
        <v>4.4000000000000004</v>
      </c>
      <c r="J375" s="70"/>
      <c r="K375" s="28">
        <v>5</v>
      </c>
      <c r="L375" s="28">
        <v>5</v>
      </c>
      <c r="M375" s="121">
        <v>3</v>
      </c>
      <c r="N375" s="18">
        <v>6</v>
      </c>
      <c r="O375" s="65">
        <v>3</v>
      </c>
      <c r="P375" s="21"/>
      <c r="Q375" s="18"/>
      <c r="R375" s="18"/>
      <c r="S375" s="28"/>
      <c r="T375" s="18"/>
      <c r="U375" s="28"/>
      <c r="V375" s="18"/>
      <c r="W375" s="18"/>
      <c r="X375" s="18"/>
      <c r="Y375" s="18"/>
      <c r="Z375" s="59"/>
      <c r="AA375" s="18"/>
      <c r="AB375" s="18"/>
      <c r="AC375" s="18"/>
      <c r="AD375" s="28"/>
      <c r="AE375" s="18"/>
      <c r="AF375" s="18"/>
      <c r="AG375" s="59"/>
      <c r="AH375" s="21"/>
      <c r="AI375" s="18"/>
      <c r="AJ375" s="16"/>
      <c r="AK375" s="21"/>
      <c r="AL375" s="18"/>
      <c r="AM375" s="21"/>
      <c r="AN375" s="21"/>
      <c r="AO375" s="21"/>
      <c r="AP375" s="18"/>
      <c r="AQ375" s="21"/>
      <c r="AR375">
        <f>F375 +G375</f>
        <v>5</v>
      </c>
    </row>
    <row r="376" spans="1:44" x14ac:dyDescent="0.25">
      <c r="A376" t="str">
        <f>B376 &amp; " - " &amp;E376</f>
        <v>Leicester - Chilwell</v>
      </c>
      <c r="B376" t="s">
        <v>1258</v>
      </c>
      <c r="C376" t="str">
        <f ca="1">IFERROR(VLOOKUP(INDEX(OFFSET(_JOUEURS,0,0,,1),MATCH(A376,OFFSET(_JOUEURS,0,1,,1),0)),_MPG,2,FALSE),"")</f>
        <v/>
      </c>
      <c r="D376" s="23" t="s">
        <v>363</v>
      </c>
      <c r="E376" s="29" t="s">
        <v>1243</v>
      </c>
      <c r="F376" s="194"/>
      <c r="G376" s="21"/>
      <c r="H376" s="163"/>
      <c r="I376" s="133"/>
      <c r="J376" s="70"/>
      <c r="K376" s="28"/>
      <c r="L376" s="28"/>
      <c r="M376" s="28"/>
      <c r="N376" s="18"/>
      <c r="O376" s="28"/>
      <c r="P376" s="21"/>
      <c r="Q376" s="18"/>
      <c r="R376" s="18"/>
      <c r="S376" s="18"/>
      <c r="T376" s="18"/>
      <c r="U376" s="18"/>
      <c r="V376" s="18"/>
      <c r="W376" s="18"/>
      <c r="X376" s="18"/>
      <c r="Y376" s="18"/>
      <c r="Z376" s="18"/>
      <c r="AA376" s="18"/>
      <c r="AB376" s="18"/>
      <c r="AC376" s="18"/>
      <c r="AD376" s="18"/>
      <c r="AE376" s="18"/>
      <c r="AF376" s="18"/>
      <c r="AG376" s="17"/>
      <c r="AH376" s="21"/>
      <c r="AI376" s="18"/>
      <c r="AJ376" s="17"/>
      <c r="AK376" s="21"/>
      <c r="AL376" s="18"/>
      <c r="AM376" s="21"/>
      <c r="AN376" s="21"/>
      <c r="AO376" s="21"/>
      <c r="AP376" s="18"/>
      <c r="AQ376" s="21"/>
      <c r="AR376">
        <f>F376 +G376</f>
        <v>0</v>
      </c>
    </row>
    <row r="377" spans="1:44" x14ac:dyDescent="0.25">
      <c r="A377" t="str">
        <f>B377 &amp; " - " &amp;E377</f>
        <v>Leicester - Wasilewski</v>
      </c>
      <c r="B377" t="s">
        <v>1258</v>
      </c>
      <c r="C377" t="str">
        <f ca="1">IFERROR(VLOOKUP(INDEX(OFFSET(_JOUEURS,0,0,,1),MATCH(A377,OFFSET(_JOUEURS,0,1,,1),0)),_MPG,2,FALSE),"")</f>
        <v/>
      </c>
      <c r="D377" s="23" t="s">
        <v>363</v>
      </c>
      <c r="E377" s="109" t="s">
        <v>1244</v>
      </c>
      <c r="F377" s="194"/>
      <c r="G377" s="21"/>
      <c r="H377" s="163"/>
      <c r="I377" s="133"/>
      <c r="J377" s="70"/>
      <c r="K377" s="28"/>
      <c r="L377" s="28"/>
      <c r="M377" s="28"/>
      <c r="N377" s="18"/>
      <c r="O377" s="28"/>
      <c r="P377" s="21"/>
      <c r="Q377" s="18"/>
      <c r="R377" s="18"/>
      <c r="S377" s="18"/>
      <c r="T377" s="18"/>
      <c r="U377" s="18"/>
      <c r="V377" s="18"/>
      <c r="W377" s="18"/>
      <c r="X377" s="18"/>
      <c r="Y377" s="18"/>
      <c r="Z377" s="18"/>
      <c r="AA377" s="18"/>
      <c r="AB377" s="18"/>
      <c r="AC377" s="18"/>
      <c r="AD377" s="18"/>
      <c r="AE377" s="18"/>
      <c r="AF377" s="18"/>
      <c r="AG377" s="17"/>
      <c r="AH377" s="21"/>
      <c r="AI377" s="18"/>
      <c r="AJ377" s="17"/>
      <c r="AK377" s="21"/>
      <c r="AL377" s="18"/>
      <c r="AM377" s="21"/>
      <c r="AN377" s="21"/>
      <c r="AO377" s="21"/>
      <c r="AP377" s="18"/>
      <c r="AQ377" s="21"/>
      <c r="AR377">
        <f>F377 +G377</f>
        <v>0</v>
      </c>
    </row>
    <row r="378" spans="1:44" x14ac:dyDescent="0.25">
      <c r="A378" t="str">
        <f>B378 &amp; " - " &amp;E378</f>
        <v>Man. City - Sagna</v>
      </c>
      <c r="B378" t="s">
        <v>1279</v>
      </c>
      <c r="C378" t="str">
        <f ca="1">IFERROR(VLOOKUP(INDEX(OFFSET(_JOUEURS,0,0,,1),MATCH(A378,OFFSET(_JOUEURS,0,1,,1),0)),_MPG,2,FALSE),"")</f>
        <v/>
      </c>
      <c r="D378" s="104" t="s">
        <v>363</v>
      </c>
      <c r="E378" s="29" t="s">
        <v>1261</v>
      </c>
      <c r="F378" s="194">
        <v>4</v>
      </c>
      <c r="G378" s="21"/>
      <c r="H378" s="163"/>
      <c r="I378" s="133">
        <f>AVERAGE(J378,M378,N378,O378)</f>
        <v>5.25</v>
      </c>
      <c r="J378" s="124">
        <v>4</v>
      </c>
      <c r="K378" s="84"/>
      <c r="L378" s="183"/>
      <c r="M378" s="59">
        <v>5</v>
      </c>
      <c r="N378" s="59">
        <v>6</v>
      </c>
      <c r="O378" s="59">
        <v>6</v>
      </c>
      <c r="P378" s="101"/>
      <c r="Q378" s="17"/>
      <c r="R378" s="17"/>
      <c r="S378" s="17"/>
      <c r="T378" s="17"/>
      <c r="U378" s="59"/>
      <c r="V378" s="17"/>
      <c r="W378" s="17"/>
      <c r="X378" s="17"/>
      <c r="Y378" s="85"/>
      <c r="Z378" s="59"/>
      <c r="AA378" s="17"/>
      <c r="AB378" s="59"/>
      <c r="AC378" s="17"/>
      <c r="AD378" s="17"/>
      <c r="AE378" s="17"/>
      <c r="AF378" s="17"/>
      <c r="AG378" s="17"/>
      <c r="AH378" s="101"/>
      <c r="AI378" s="17"/>
      <c r="AJ378" s="17"/>
      <c r="AK378" s="101"/>
      <c r="AL378" s="17"/>
      <c r="AM378" s="101"/>
      <c r="AN378" s="101"/>
      <c r="AO378" s="101"/>
      <c r="AP378" s="59"/>
      <c r="AQ378" s="101"/>
      <c r="AR378">
        <f>F378 +G378</f>
        <v>4</v>
      </c>
    </row>
    <row r="379" spans="1:44" x14ac:dyDescent="0.25">
      <c r="A379" t="str">
        <f>B379 &amp; " - " &amp;E379</f>
        <v>Man. City - Stones</v>
      </c>
      <c r="B379" t="s">
        <v>1279</v>
      </c>
      <c r="C379" t="str">
        <f ca="1">IFERROR(VLOOKUP(INDEX(OFFSET(_JOUEURS,0,0,,1),MATCH(A379,OFFSET(_JOUEURS,0,1,,1),0)),_MPG,2,FALSE),"")</f>
        <v/>
      </c>
      <c r="D379" s="104" t="s">
        <v>363</v>
      </c>
      <c r="E379" s="109" t="s">
        <v>1262</v>
      </c>
      <c r="F379" s="106">
        <v>5</v>
      </c>
      <c r="G379" s="101">
        <v>1</v>
      </c>
      <c r="H379" s="201"/>
      <c r="I379" s="133">
        <f>AVERAGE(J379,K379,L379,M379,O379)</f>
        <v>5.6</v>
      </c>
      <c r="J379" s="89">
        <v>5</v>
      </c>
      <c r="K379" s="183">
        <v>6</v>
      </c>
      <c r="L379" s="136">
        <v>5</v>
      </c>
      <c r="M379" s="17">
        <v>6</v>
      </c>
      <c r="N379" s="62" t="s">
        <v>364</v>
      </c>
      <c r="O379" s="17">
        <v>6</v>
      </c>
      <c r="P379" s="99"/>
      <c r="Q379" s="17"/>
      <c r="R379" s="17"/>
      <c r="S379" s="17"/>
      <c r="T379" s="17"/>
      <c r="U379" s="59"/>
      <c r="V379" s="17"/>
      <c r="W379" s="17"/>
      <c r="X379" s="17"/>
      <c r="Y379" s="59"/>
      <c r="Z379" s="17"/>
      <c r="AA379" s="17"/>
      <c r="AB379" s="17"/>
      <c r="AC379" s="17"/>
      <c r="AD379" s="17"/>
      <c r="AE379" s="17"/>
      <c r="AF379" s="17"/>
      <c r="AG379" s="17"/>
      <c r="AH379" s="101"/>
      <c r="AI379" s="17"/>
      <c r="AJ379" s="17"/>
      <c r="AK379" s="101"/>
      <c r="AL379" s="17"/>
      <c r="AM379" s="101"/>
      <c r="AN379" s="101"/>
      <c r="AO379" s="101"/>
      <c r="AP379" s="17"/>
      <c r="AQ379" s="101"/>
      <c r="AR379">
        <f>F379 +G379</f>
        <v>6</v>
      </c>
    </row>
    <row r="380" spans="1:44" hidden="1" x14ac:dyDescent="0.25">
      <c r="A380" t="str">
        <f>B380 &amp; " - " &amp;E380</f>
        <v>Man. City - Kolarov</v>
      </c>
      <c r="B380" t="s">
        <v>1279</v>
      </c>
      <c r="C380" t="str">
        <f ca="1">IFERROR(VLOOKUP(INDEX(OFFSET(_JOUEURS,0,0,,1),MATCH(A380,OFFSET(_JOUEURS,0,1,,1),0)),_MPG,2,FALSE),"")</f>
        <v>I speak pas english</v>
      </c>
      <c r="D380" s="104" t="s">
        <v>363</v>
      </c>
      <c r="E380" s="109" t="s">
        <v>1263</v>
      </c>
      <c r="F380" s="194">
        <v>5</v>
      </c>
      <c r="G380" s="21">
        <v>1</v>
      </c>
      <c r="H380" s="175"/>
      <c r="I380" s="133">
        <f>AVERAGE(J380,K380,M380,N380,O380)</f>
        <v>5.6</v>
      </c>
      <c r="J380" s="89">
        <v>5</v>
      </c>
      <c r="K380" s="17">
        <v>6</v>
      </c>
      <c r="L380" s="57" t="s">
        <v>364</v>
      </c>
      <c r="M380" s="17">
        <v>5</v>
      </c>
      <c r="N380" s="136">
        <v>6</v>
      </c>
      <c r="O380" s="17">
        <v>6</v>
      </c>
      <c r="P380" s="101"/>
      <c r="Q380" s="17"/>
      <c r="R380" s="17"/>
      <c r="S380" s="17"/>
      <c r="T380" s="17"/>
      <c r="U380" s="59"/>
      <c r="V380" s="17"/>
      <c r="W380" s="59"/>
      <c r="X380" s="17"/>
      <c r="Y380" s="59"/>
      <c r="Z380" s="17"/>
      <c r="AA380" s="59"/>
      <c r="AB380" s="59"/>
      <c r="AC380" s="17"/>
      <c r="AD380" s="17"/>
      <c r="AE380" s="17"/>
      <c r="AF380" s="17"/>
      <c r="AG380" s="17"/>
      <c r="AH380" s="101"/>
      <c r="AI380" s="17"/>
      <c r="AJ380" s="17"/>
      <c r="AK380" s="101"/>
      <c r="AL380" s="17"/>
      <c r="AM380" s="101"/>
      <c r="AN380" s="101"/>
      <c r="AO380" s="101"/>
      <c r="AP380" s="17"/>
      <c r="AQ380" s="101"/>
      <c r="AR380">
        <f>F380 +G380</f>
        <v>6</v>
      </c>
    </row>
    <row r="381" spans="1:44" x14ac:dyDescent="0.25">
      <c r="A381" t="str">
        <f>B381 &amp; " - " &amp;E381</f>
        <v>Man. City - Clichy</v>
      </c>
      <c r="B381" t="s">
        <v>1279</v>
      </c>
      <c r="C381" t="str">
        <f ca="1">IFERROR(VLOOKUP(INDEX(OFFSET(_JOUEURS,0,0,,1),MATCH(A381,OFFSET(_JOUEURS,0,1,,1),0)),_MPG,2,FALSE),"")</f>
        <v/>
      </c>
      <c r="D381" s="104" t="s">
        <v>363</v>
      </c>
      <c r="E381" s="109" t="s">
        <v>1264</v>
      </c>
      <c r="F381" s="194">
        <v>3</v>
      </c>
      <c r="G381" s="29"/>
      <c r="H381" s="221"/>
      <c r="I381" s="133">
        <f>AVERAGE(J381,L381,N381)</f>
        <v>5.333333333333333</v>
      </c>
      <c r="J381" s="124">
        <v>5</v>
      </c>
      <c r="K381" s="17"/>
      <c r="L381" s="59">
        <v>6</v>
      </c>
      <c r="M381" s="183"/>
      <c r="N381" s="136">
        <v>5</v>
      </c>
      <c r="O381" s="85"/>
      <c r="P381" s="99"/>
      <c r="Q381" s="17"/>
      <c r="R381" s="17"/>
      <c r="S381" s="17"/>
      <c r="T381" s="17"/>
      <c r="U381" s="59"/>
      <c r="V381" s="59"/>
      <c r="W381" s="17"/>
      <c r="X381" s="59"/>
      <c r="Y381" s="59"/>
      <c r="Z381" s="17"/>
      <c r="AA381" s="17"/>
      <c r="AB381" s="17"/>
      <c r="AC381" s="17"/>
      <c r="AD381" s="17"/>
      <c r="AE381" s="17"/>
      <c r="AF381" s="17"/>
      <c r="AG381" s="17"/>
      <c r="AH381" s="101"/>
      <c r="AI381" s="17"/>
      <c r="AJ381" s="17"/>
      <c r="AK381" s="101"/>
      <c r="AL381" s="17"/>
      <c r="AM381" s="99"/>
      <c r="AN381" s="101"/>
      <c r="AO381" s="99"/>
      <c r="AP381" s="17"/>
      <c r="AQ381" s="99"/>
      <c r="AR381">
        <f>F381 +G381</f>
        <v>3</v>
      </c>
    </row>
    <row r="382" spans="1:44" x14ac:dyDescent="0.25">
      <c r="A382" t="str">
        <f>B382 &amp; " - " &amp;E382</f>
        <v>Man. City - Zabaleta</v>
      </c>
      <c r="B382" t="s">
        <v>1279</v>
      </c>
      <c r="C382" t="str">
        <f ca="1">IFERROR(VLOOKUP(INDEX(OFFSET(_JOUEURS,0,0,,1),MATCH(A382,OFFSET(_JOUEURS,0,1,,1),0)),_MPG,2,FALSE),"")</f>
        <v/>
      </c>
      <c r="D382" s="80" t="s">
        <v>363</v>
      </c>
      <c r="E382" s="111" t="s">
        <v>1265</v>
      </c>
      <c r="F382" s="137">
        <v>2</v>
      </c>
      <c r="G382" s="123">
        <v>2</v>
      </c>
      <c r="H382" s="82"/>
      <c r="I382" s="146">
        <f>AVERAGE(K382,L382)</f>
        <v>5</v>
      </c>
      <c r="J382" s="109"/>
      <c r="K382" s="183">
        <v>5</v>
      </c>
      <c r="L382" s="17">
        <v>5</v>
      </c>
      <c r="M382" s="28" t="s">
        <v>364</v>
      </c>
      <c r="N382" s="184"/>
      <c r="O382" s="28" t="s">
        <v>364</v>
      </c>
      <c r="P382" s="101"/>
      <c r="Q382" s="17"/>
      <c r="R382" s="17"/>
      <c r="S382" s="17"/>
      <c r="T382" s="17"/>
      <c r="U382" s="59"/>
      <c r="V382" s="17"/>
      <c r="W382" s="17"/>
      <c r="X382" s="17"/>
      <c r="Y382" s="59"/>
      <c r="Z382" s="17"/>
      <c r="AA382" s="17"/>
      <c r="AB382" s="17"/>
      <c r="AC382" s="17"/>
      <c r="AD382" s="17"/>
      <c r="AE382" s="17"/>
      <c r="AF382" s="17"/>
      <c r="AG382" s="17"/>
      <c r="AH382" s="101"/>
      <c r="AI382" s="59"/>
      <c r="AJ382" s="59"/>
      <c r="AK382" s="101"/>
      <c r="AL382" s="59"/>
      <c r="AM382" s="101"/>
      <c r="AN382" s="101"/>
      <c r="AO382" s="101"/>
      <c r="AP382" s="17"/>
      <c r="AQ382" s="101"/>
      <c r="AR382">
        <f>F382 +G382</f>
        <v>4</v>
      </c>
    </row>
    <row r="383" spans="1:44" hidden="1" x14ac:dyDescent="0.25">
      <c r="A383" t="str">
        <f>B383 &amp; " - " &amp;E383</f>
        <v>Man. City - Otamendi</v>
      </c>
      <c r="B383" t="s">
        <v>1279</v>
      </c>
      <c r="C383" t="str">
        <f ca="1">IFERROR(VLOOKUP(INDEX(OFFSET(_JOUEURS,0,0,,1),MATCH(A383,OFFSET(_JOUEURS,0,1,,1),0)),_MPG,2,FALSE),"")</f>
        <v>74 c'est la champion's league</v>
      </c>
      <c r="D383" s="109" t="s">
        <v>363</v>
      </c>
      <c r="E383" s="109" t="s">
        <v>1266</v>
      </c>
      <c r="F383" s="194">
        <v>5</v>
      </c>
      <c r="G383" s="21"/>
      <c r="H383" s="163"/>
      <c r="I383" s="133">
        <f>AVERAGE(K383,L383,M383,N383,O383)</f>
        <v>6</v>
      </c>
      <c r="J383" s="124"/>
      <c r="K383" s="101">
        <v>6</v>
      </c>
      <c r="L383" s="17">
        <v>6</v>
      </c>
      <c r="M383" s="66">
        <v>7</v>
      </c>
      <c r="N383" s="136">
        <v>5</v>
      </c>
      <c r="O383" s="17">
        <v>6</v>
      </c>
      <c r="P383" s="17"/>
      <c r="Q383" s="17"/>
      <c r="R383" s="17"/>
      <c r="S383" s="17"/>
      <c r="T383" s="17"/>
      <c r="U383" s="59"/>
      <c r="V383" s="17"/>
      <c r="W383" s="17"/>
      <c r="X383" s="17"/>
      <c r="Y383" s="17"/>
      <c r="Z383" s="17"/>
      <c r="AA383" s="17"/>
      <c r="AB383" s="17"/>
      <c r="AC383" s="17"/>
      <c r="AD383" s="17"/>
      <c r="AE383" s="101"/>
      <c r="AF383" s="17"/>
      <c r="AG383" s="101"/>
      <c r="AH383" s="17"/>
      <c r="AI383" s="101"/>
      <c r="AJ383" s="101"/>
      <c r="AK383" s="17"/>
      <c r="AL383" s="17"/>
      <c r="AM383" s="17"/>
      <c r="AN383" s="17"/>
      <c r="AO383" s="101"/>
      <c r="AP383" s="17"/>
      <c r="AQ383" s="17"/>
      <c r="AR383">
        <f>F383 +G383</f>
        <v>5</v>
      </c>
    </row>
    <row r="384" spans="1:44" hidden="1" x14ac:dyDescent="0.25">
      <c r="A384" t="str">
        <f>B384 &amp; " - " &amp;E384</f>
        <v>Man. City - Kompany</v>
      </c>
      <c r="B384" t="s">
        <v>1279</v>
      </c>
      <c r="C384" t="str">
        <f ca="1">IFERROR(VLOOKUP(INDEX(OFFSET(_JOUEURS,0,0,,1),MATCH(A384,OFFSET(_JOUEURS,0,1,,1),0)),_MPG,2,FALSE),"")</f>
        <v>Fuck-Tonio FC</v>
      </c>
      <c r="D384" s="104" t="s">
        <v>363</v>
      </c>
      <c r="E384" s="109" t="s">
        <v>1267</v>
      </c>
      <c r="F384" s="106"/>
      <c r="G384" s="109"/>
      <c r="H384" s="170"/>
      <c r="I384" s="133"/>
      <c r="J384" s="124"/>
      <c r="K384" s="171"/>
      <c r="L384" s="17"/>
      <c r="M384" s="17"/>
      <c r="N384" s="184"/>
      <c r="O384" s="17"/>
      <c r="P384" s="101"/>
      <c r="Q384" s="17"/>
      <c r="R384" s="17"/>
      <c r="S384" s="17"/>
      <c r="T384" s="17"/>
      <c r="U384" s="59"/>
      <c r="V384" s="17"/>
      <c r="W384" s="17"/>
      <c r="X384" s="17"/>
      <c r="Y384" s="17"/>
      <c r="Z384" s="17"/>
      <c r="AA384" s="17"/>
      <c r="AB384" s="17"/>
      <c r="AC384" s="17"/>
      <c r="AD384" s="17"/>
      <c r="AE384" s="17"/>
      <c r="AF384" s="17"/>
      <c r="AG384" s="17"/>
      <c r="AH384" s="101"/>
      <c r="AI384" s="17"/>
      <c r="AJ384" s="17"/>
      <c r="AK384" s="101"/>
      <c r="AL384" s="17"/>
      <c r="AM384" s="101"/>
      <c r="AN384" s="101"/>
      <c r="AO384" s="101"/>
      <c r="AP384" s="17"/>
      <c r="AQ384" s="101"/>
      <c r="AR384">
        <f>F384 +G384</f>
        <v>0</v>
      </c>
    </row>
    <row r="385" spans="1:44" x14ac:dyDescent="0.25">
      <c r="A385" t="str">
        <f>B385 &amp; " - " &amp;E385</f>
        <v>Sunderland - Love</v>
      </c>
      <c r="B385" t="s">
        <v>1301</v>
      </c>
      <c r="C385" t="str">
        <f ca="1">IFERROR(VLOOKUP(INDEX(OFFSET(_JOUEURS,0,0,,1),MATCH(A385,OFFSET(_JOUEURS,0,1,,1),0)),_MPG,2,FALSE),"")</f>
        <v/>
      </c>
      <c r="D385" s="76" t="s">
        <v>363</v>
      </c>
      <c r="E385" s="29" t="s">
        <v>1282</v>
      </c>
      <c r="F385" s="194">
        <v>2</v>
      </c>
      <c r="G385" s="29">
        <v>1</v>
      </c>
      <c r="H385" s="221"/>
      <c r="I385" s="133">
        <f>AVERAGE(J385,K385)</f>
        <v>4</v>
      </c>
      <c r="J385" s="124">
        <v>4</v>
      </c>
      <c r="K385" s="59">
        <v>4</v>
      </c>
      <c r="L385" s="28" t="s">
        <v>364</v>
      </c>
      <c r="M385" s="59"/>
      <c r="N385" s="17"/>
      <c r="O385" s="17"/>
      <c r="P385" s="101"/>
      <c r="Q385" s="59"/>
      <c r="R385" s="17"/>
      <c r="S385" s="17"/>
      <c r="T385" s="17"/>
      <c r="U385" s="17"/>
      <c r="V385" s="17"/>
      <c r="W385" s="17"/>
      <c r="X385" s="17"/>
      <c r="Y385" s="59"/>
      <c r="Z385" s="17"/>
      <c r="AA385" s="17"/>
      <c r="AB385" s="17"/>
      <c r="AC385" s="17"/>
      <c r="AD385" s="17"/>
      <c r="AE385" s="59"/>
      <c r="AF385" s="17"/>
      <c r="AG385" s="17"/>
      <c r="AH385" s="101"/>
      <c r="AI385" s="59"/>
      <c r="AJ385" s="17"/>
      <c r="AK385" s="101"/>
      <c r="AL385" s="17"/>
      <c r="AM385" s="101"/>
      <c r="AN385" s="101"/>
      <c r="AO385" s="99"/>
      <c r="AP385" s="17"/>
      <c r="AQ385" s="99"/>
      <c r="AR385">
        <f>F385 +G385</f>
        <v>3</v>
      </c>
    </row>
    <row r="386" spans="1:44" x14ac:dyDescent="0.25">
      <c r="A386" t="str">
        <f>B386 &amp; " - " &amp;E386</f>
        <v>Sunderland - Koné</v>
      </c>
      <c r="B386" t="s">
        <v>1301</v>
      </c>
      <c r="C386" t="str">
        <f ca="1">IFERROR(VLOOKUP(INDEX(OFFSET(_JOUEURS,0,0,,1),MATCH(A386,OFFSET(_JOUEURS,0,1,,1),0)),_MPG,2,FALSE),"")</f>
        <v/>
      </c>
      <c r="D386" s="76" t="s">
        <v>363</v>
      </c>
      <c r="E386" s="29" t="s">
        <v>1164</v>
      </c>
      <c r="F386" s="194">
        <v>5</v>
      </c>
      <c r="G386" s="29"/>
      <c r="H386" s="221"/>
      <c r="I386" s="133">
        <f>AVERAGE(J386,L386,M386,N386,O386)</f>
        <v>4.2</v>
      </c>
      <c r="J386" s="124">
        <v>5</v>
      </c>
      <c r="K386" s="59"/>
      <c r="L386" s="59">
        <v>5</v>
      </c>
      <c r="M386" s="145">
        <v>3</v>
      </c>
      <c r="N386" s="17">
        <v>5</v>
      </c>
      <c r="O386" s="145">
        <v>3</v>
      </c>
      <c r="P386" s="101"/>
      <c r="Q386" s="17"/>
      <c r="R386" s="17"/>
      <c r="S386" s="17"/>
      <c r="T386" s="17"/>
      <c r="U386" s="17"/>
      <c r="V386" s="59"/>
      <c r="W386" s="59"/>
      <c r="X386" s="59"/>
      <c r="Y386" s="17"/>
      <c r="Z386" s="17"/>
      <c r="AA386" s="17"/>
      <c r="AB386" s="17"/>
      <c r="AC386" s="17"/>
      <c r="AD386" s="17"/>
      <c r="AE386" s="17"/>
      <c r="AF386" s="17"/>
      <c r="AG386" s="17"/>
      <c r="AH386" s="101"/>
      <c r="AI386" s="17"/>
      <c r="AJ386" s="17"/>
      <c r="AK386" s="101"/>
      <c r="AL386" s="17"/>
      <c r="AM386" s="101"/>
      <c r="AN386" s="101"/>
      <c r="AO386" s="99"/>
      <c r="AP386" s="59"/>
      <c r="AQ386" s="101"/>
      <c r="AR386">
        <f>F386 +G386</f>
        <v>5</v>
      </c>
    </row>
    <row r="387" spans="1:44" ht="15.75" thickBot="1" x14ac:dyDescent="0.3">
      <c r="A387" t="str">
        <f>B387 &amp; " - " &amp;E387</f>
        <v>Sunderland - Kaboul</v>
      </c>
      <c r="B387" t="s">
        <v>1301</v>
      </c>
      <c r="C387" t="str">
        <f ca="1">IFERROR(VLOOKUP(INDEX(OFFSET(_JOUEURS,0,0,,1),MATCH(A387,OFFSET(_JOUEURS,0,1,,1),0)),_MPG,2,FALSE),"")</f>
        <v/>
      </c>
      <c r="D387" s="305" t="s">
        <v>363</v>
      </c>
      <c r="E387" s="308" t="s">
        <v>1283</v>
      </c>
      <c r="F387" s="309">
        <v>1</v>
      </c>
      <c r="G387" s="308"/>
      <c r="H387" s="318"/>
      <c r="I387" s="320">
        <f>AVERAGE(J387)</f>
        <v>5</v>
      </c>
      <c r="J387" s="107">
        <v>5</v>
      </c>
      <c r="K387" s="46"/>
      <c r="L387" s="46"/>
      <c r="M387" s="46"/>
      <c r="N387" s="40"/>
      <c r="O387" s="40"/>
      <c r="P387" s="48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6"/>
      <c r="AD387" s="40"/>
      <c r="AE387" s="40"/>
      <c r="AF387" s="40"/>
      <c r="AG387" s="40"/>
      <c r="AH387" s="48"/>
      <c r="AI387" s="40"/>
      <c r="AJ387" s="40"/>
      <c r="AK387" s="48"/>
      <c r="AL387" s="40"/>
      <c r="AM387" s="48"/>
      <c r="AN387" s="48"/>
      <c r="AO387" s="48"/>
      <c r="AP387" s="40"/>
      <c r="AQ387" s="48"/>
      <c r="AR387">
        <f>F387 +G387</f>
        <v>1</v>
      </c>
    </row>
    <row r="388" spans="1:44" x14ac:dyDescent="0.25">
      <c r="A388" t="str">
        <f>B388 &amp; " - " &amp;E388</f>
        <v>Sunderland - Djilobodji</v>
      </c>
      <c r="B388" t="s">
        <v>1301</v>
      </c>
      <c r="C388" t="str">
        <f ca="1">IFERROR(VLOOKUP(INDEX(OFFSET(_JOUEURS,0,0,,1),MATCH(A388,OFFSET(_JOUEURS,0,1,,1),0)),_MPG,2,FALSE),"")</f>
        <v/>
      </c>
      <c r="D388" s="277" t="s">
        <v>363</v>
      </c>
      <c r="E388" s="217" t="s">
        <v>1285</v>
      </c>
      <c r="F388" s="214">
        <v>5</v>
      </c>
      <c r="G388" s="215"/>
      <c r="H388" s="222"/>
      <c r="I388" s="14">
        <f>AVERAGE(K388,L388,M388,N388,O388)</f>
        <v>4.5999999999999996</v>
      </c>
      <c r="J388" s="124"/>
      <c r="K388" s="136">
        <v>5</v>
      </c>
      <c r="L388" s="59">
        <v>6</v>
      </c>
      <c r="M388" s="59">
        <v>4</v>
      </c>
      <c r="N388" s="17">
        <v>4</v>
      </c>
      <c r="O388" s="17">
        <v>4</v>
      </c>
      <c r="P388" s="101"/>
      <c r="Q388" s="17"/>
      <c r="R388" s="17"/>
      <c r="S388" s="17"/>
      <c r="T388" s="17"/>
      <c r="U388" s="17"/>
      <c r="V388" s="59"/>
      <c r="W388" s="17"/>
      <c r="X388" s="17"/>
      <c r="Y388" s="17"/>
      <c r="Z388" s="17"/>
      <c r="AA388" s="59"/>
      <c r="AB388" s="17"/>
      <c r="AC388" s="59"/>
      <c r="AD388" s="17"/>
      <c r="AE388" s="59"/>
      <c r="AF388" s="17"/>
      <c r="AG388" s="17"/>
      <c r="AH388" s="101"/>
      <c r="AI388" s="17"/>
      <c r="AJ388" s="17"/>
      <c r="AK388" s="101"/>
      <c r="AL388" s="17"/>
      <c r="AM388" s="101"/>
      <c r="AN388" s="101"/>
      <c r="AO388" s="101"/>
      <c r="AP388" s="17"/>
      <c r="AQ388" s="101"/>
      <c r="AR388">
        <f>F388 +G388</f>
        <v>5</v>
      </c>
    </row>
    <row r="389" spans="1:44" x14ac:dyDescent="0.25">
      <c r="A389" t="str">
        <f>B389 &amp; " - " &amp;E389</f>
        <v>Sunderland - Denayer</v>
      </c>
      <c r="B389" t="s">
        <v>1301</v>
      </c>
      <c r="C389" t="str">
        <f ca="1">IFERROR(VLOOKUP(INDEX(OFFSET(_JOUEURS,0,0,,1),MATCH(A389,OFFSET(_JOUEURS,0,1,,1),0)),_MPG,2,FALSE),"")</f>
        <v/>
      </c>
      <c r="D389" s="52" t="s">
        <v>363</v>
      </c>
      <c r="E389" s="111" t="s">
        <v>1286</v>
      </c>
      <c r="F389" s="195">
        <v>1</v>
      </c>
      <c r="G389" s="196">
        <v>1</v>
      </c>
      <c r="H389" s="291"/>
      <c r="I389" s="55">
        <f>AVERAGE(N389)</f>
        <v>4</v>
      </c>
      <c r="J389" s="124"/>
      <c r="K389" s="136"/>
      <c r="L389" s="59"/>
      <c r="M389" s="28" t="s">
        <v>364</v>
      </c>
      <c r="N389" s="28">
        <v>4</v>
      </c>
      <c r="O389" s="17"/>
      <c r="P389" s="101"/>
      <c r="Q389" s="17"/>
      <c r="R389" s="17"/>
      <c r="S389" s="17"/>
      <c r="T389" s="17"/>
      <c r="U389" s="17"/>
      <c r="V389" s="59"/>
      <c r="W389" s="17"/>
      <c r="X389" s="17"/>
      <c r="Y389" s="17"/>
      <c r="Z389" s="17"/>
      <c r="AA389" s="59"/>
      <c r="AB389" s="17"/>
      <c r="AC389" s="59"/>
      <c r="AD389" s="17"/>
      <c r="AE389" s="59"/>
      <c r="AF389" s="17"/>
      <c r="AG389" s="17"/>
      <c r="AH389" s="101"/>
      <c r="AI389" s="17"/>
      <c r="AJ389" s="17"/>
      <c r="AK389" s="101"/>
      <c r="AL389" s="17"/>
      <c r="AM389" s="101"/>
      <c r="AN389" s="101"/>
      <c r="AO389" s="101"/>
      <c r="AP389" s="17"/>
      <c r="AQ389" s="101"/>
      <c r="AR389">
        <f>F389 +G389</f>
        <v>2</v>
      </c>
    </row>
    <row r="390" spans="1:44" x14ac:dyDescent="0.25">
      <c r="A390" t="str">
        <f>B390 &amp; " - " &amp;E390</f>
        <v>Sunderland - Manquillo</v>
      </c>
      <c r="B390" t="s">
        <v>1301</v>
      </c>
      <c r="C390" t="str">
        <f ca="1">IFERROR(VLOOKUP(INDEX(OFFSET(_JOUEURS,0,0,,1),MATCH(A390,OFFSET(_JOUEURS,0,1,,1),0)),_MPG,2,FALSE),"")</f>
        <v/>
      </c>
      <c r="D390" s="76" t="s">
        <v>363</v>
      </c>
      <c r="E390" s="29" t="s">
        <v>1287</v>
      </c>
      <c r="F390" s="194">
        <v>4</v>
      </c>
      <c r="G390" s="21"/>
      <c r="H390" s="163"/>
      <c r="I390" s="94">
        <f>AVERAGE(L390,M390,N390,O390)</f>
        <v>4.25</v>
      </c>
      <c r="J390" s="124"/>
      <c r="K390" s="59"/>
      <c r="L390" s="136">
        <v>5</v>
      </c>
      <c r="M390" s="145">
        <v>3</v>
      </c>
      <c r="N390" s="17">
        <v>5</v>
      </c>
      <c r="O390" s="17">
        <v>4</v>
      </c>
      <c r="P390" s="101"/>
      <c r="Q390" s="85"/>
      <c r="R390" s="17"/>
      <c r="S390" s="17"/>
      <c r="T390" s="17"/>
      <c r="U390" s="17"/>
      <c r="V390" s="17"/>
      <c r="W390" s="17"/>
      <c r="X390" s="17"/>
      <c r="Y390" s="17"/>
      <c r="Z390" s="17"/>
      <c r="AA390" s="17"/>
      <c r="AB390" s="17"/>
      <c r="AC390" s="17"/>
      <c r="AD390" s="17"/>
      <c r="AE390" s="17"/>
      <c r="AF390" s="17"/>
      <c r="AG390" s="17"/>
      <c r="AH390" s="101"/>
      <c r="AI390" s="17"/>
      <c r="AJ390" s="17"/>
      <c r="AK390" s="101"/>
      <c r="AL390" s="17"/>
      <c r="AM390" s="101"/>
      <c r="AN390" s="101"/>
      <c r="AO390" s="101"/>
      <c r="AP390" s="17"/>
      <c r="AQ390" s="101"/>
      <c r="AR390">
        <f>F390 +G390</f>
        <v>4</v>
      </c>
    </row>
    <row r="391" spans="1:44" x14ac:dyDescent="0.25">
      <c r="A391" t="str">
        <f>B391 &amp; " - " &amp;E391</f>
        <v>Middlesbrough - Barragan</v>
      </c>
      <c r="B391" t="s">
        <v>1324</v>
      </c>
      <c r="C391" t="str">
        <f ca="1">IFERROR(VLOOKUP(INDEX(OFFSET(_JOUEURS,0,0,,1),MATCH(A391,OFFSET(_JOUEURS,0,1,,1),0)),_MPG,2,FALSE),"")</f>
        <v/>
      </c>
      <c r="D391" s="104" t="s">
        <v>363</v>
      </c>
      <c r="E391" s="29" t="s">
        <v>1305</v>
      </c>
      <c r="F391" s="106">
        <v>6</v>
      </c>
      <c r="G391" s="101"/>
      <c r="H391" s="36"/>
      <c r="I391" s="27">
        <f>AVERAGE(J391,K391,L391,M391,N391,O391)</f>
        <v>4.833333333333333</v>
      </c>
      <c r="J391" s="124">
        <v>5</v>
      </c>
      <c r="K391" s="134">
        <v>5</v>
      </c>
      <c r="L391" s="101">
        <v>5</v>
      </c>
      <c r="M391" s="17">
        <v>5</v>
      </c>
      <c r="N391" s="59">
        <v>4</v>
      </c>
      <c r="O391" s="17">
        <v>5</v>
      </c>
      <c r="P391" s="101"/>
      <c r="Q391" s="17"/>
      <c r="R391" s="59"/>
      <c r="S391" s="17"/>
      <c r="T391" s="17"/>
      <c r="U391" s="17"/>
      <c r="V391" s="17"/>
      <c r="W391" s="17"/>
      <c r="X391" s="17"/>
      <c r="Y391" s="17"/>
      <c r="Z391" s="17"/>
      <c r="AA391" s="17"/>
      <c r="AB391" s="17"/>
      <c r="AC391" s="17"/>
      <c r="AD391" s="17"/>
      <c r="AE391" s="17"/>
      <c r="AF391" s="17"/>
      <c r="AG391" s="17"/>
      <c r="AH391" s="101"/>
      <c r="AI391" s="17"/>
      <c r="AJ391" s="17"/>
      <c r="AK391" s="101"/>
      <c r="AL391" s="17"/>
      <c r="AM391" s="101"/>
      <c r="AN391" s="101"/>
      <c r="AO391" s="101"/>
      <c r="AP391" s="17"/>
      <c r="AQ391" s="101"/>
      <c r="AR391">
        <f>F391 +G391</f>
        <v>6</v>
      </c>
    </row>
    <row r="392" spans="1:44" x14ac:dyDescent="0.25">
      <c r="A392" t="str">
        <f>B392 &amp; " - " &amp;E392</f>
        <v>Middlesbrough - Friend</v>
      </c>
      <c r="B392" t="s">
        <v>1324</v>
      </c>
      <c r="C392" t="str">
        <f ca="1">IFERROR(VLOOKUP(INDEX(OFFSET(_JOUEURS,0,0,,1),MATCH(A392,OFFSET(_JOUEURS,0,1,,1),0)),_MPG,2,FALSE),"")</f>
        <v/>
      </c>
      <c r="D392" s="104" t="s">
        <v>363</v>
      </c>
      <c r="E392" s="29" t="s">
        <v>1306</v>
      </c>
      <c r="F392" s="106">
        <v>5</v>
      </c>
      <c r="G392" s="101"/>
      <c r="H392" s="36"/>
      <c r="I392" s="135">
        <f>AVERAGE(J392,K392,M392,N392,O392)</f>
        <v>4</v>
      </c>
      <c r="J392" s="124">
        <v>6</v>
      </c>
      <c r="K392" s="59">
        <v>5</v>
      </c>
      <c r="L392" s="84"/>
      <c r="M392" s="145">
        <v>2</v>
      </c>
      <c r="N392" s="59">
        <v>4</v>
      </c>
      <c r="O392" s="114">
        <v>3</v>
      </c>
      <c r="P392" s="86"/>
      <c r="Q392" s="85"/>
      <c r="R392" s="84"/>
      <c r="S392" s="85"/>
      <c r="T392" s="85"/>
      <c r="U392" s="85"/>
      <c r="V392" s="85"/>
      <c r="W392" s="85"/>
      <c r="X392" s="84"/>
      <c r="Y392" s="85"/>
      <c r="Z392" s="85"/>
      <c r="AA392" s="85"/>
      <c r="AB392" s="84"/>
      <c r="AC392" s="84"/>
      <c r="AD392" s="85"/>
      <c r="AE392" s="85"/>
      <c r="AF392" s="85"/>
      <c r="AG392" s="85"/>
      <c r="AH392" s="86"/>
      <c r="AI392" s="84"/>
      <c r="AJ392" s="84"/>
      <c r="AK392" s="125"/>
      <c r="AL392" s="85"/>
      <c r="AM392" s="86"/>
      <c r="AN392" s="125"/>
      <c r="AO392" s="86"/>
      <c r="AP392" s="85"/>
      <c r="AQ392" s="125"/>
      <c r="AR392">
        <f>F392 +G392</f>
        <v>5</v>
      </c>
    </row>
    <row r="393" spans="1:44" x14ac:dyDescent="0.25">
      <c r="A393" t="str">
        <f>B393 &amp; " - " &amp;E393</f>
        <v>Middlesbrough - Fabio</v>
      </c>
      <c r="B393" t="s">
        <v>1324</v>
      </c>
      <c r="C393" t="str">
        <f ca="1">IFERROR(VLOOKUP(INDEX(OFFSET(_JOUEURS,0,0,,1),MATCH(A393,OFFSET(_JOUEURS,0,1,,1),0)),_MPG,2,FALSE),"")</f>
        <v/>
      </c>
      <c r="D393" s="104" t="s">
        <v>363</v>
      </c>
      <c r="E393" s="29" t="s">
        <v>1308</v>
      </c>
      <c r="F393" s="106"/>
      <c r="G393" s="101"/>
      <c r="H393" s="36"/>
      <c r="I393" s="27"/>
      <c r="J393" s="124"/>
      <c r="K393" s="59"/>
      <c r="L393" s="59"/>
      <c r="M393" s="59"/>
      <c r="N393" s="59"/>
      <c r="O393" s="17"/>
      <c r="P393" s="101"/>
      <c r="Q393" s="17"/>
      <c r="R393" s="59"/>
      <c r="S393" s="17"/>
      <c r="T393" s="17"/>
      <c r="U393" s="17"/>
      <c r="V393" s="59"/>
      <c r="W393" s="17"/>
      <c r="X393" s="17"/>
      <c r="Y393" s="17"/>
      <c r="Z393" s="17"/>
      <c r="AA393" s="17"/>
      <c r="AB393" s="17"/>
      <c r="AC393" s="59"/>
      <c r="AD393" s="17"/>
      <c r="AE393" s="17"/>
      <c r="AF393" s="17"/>
      <c r="AG393" s="59"/>
      <c r="AH393" s="101"/>
      <c r="AI393" s="17"/>
      <c r="AJ393" s="59"/>
      <c r="AK393" s="101"/>
      <c r="AL393" s="17"/>
      <c r="AM393" s="101"/>
      <c r="AN393" s="101"/>
      <c r="AO393" s="101"/>
      <c r="AP393" s="17"/>
      <c r="AQ393" s="101"/>
      <c r="AR393">
        <f>F393 +G393</f>
        <v>0</v>
      </c>
    </row>
    <row r="394" spans="1:44" x14ac:dyDescent="0.25">
      <c r="A394" t="str">
        <f>B394 &amp; " - " &amp;E394</f>
        <v>Middlesbrough - Chambers</v>
      </c>
      <c r="B394" t="s">
        <v>1324</v>
      </c>
      <c r="C394" t="str">
        <f ca="1">IFERROR(VLOOKUP(INDEX(OFFSET(_JOUEURS,0,0,,1),MATCH(A394,OFFSET(_JOUEURS,0,1,,1),0)),_MPG,2,FALSE),"")</f>
        <v/>
      </c>
      <c r="D394" s="104" t="s">
        <v>363</v>
      </c>
      <c r="E394" s="29" t="s">
        <v>1309</v>
      </c>
      <c r="F394" s="106">
        <v>1</v>
      </c>
      <c r="G394" s="101"/>
      <c r="H394" s="36"/>
      <c r="I394" s="27">
        <f>AVERAGE(O394)</f>
        <v>4</v>
      </c>
      <c r="J394" s="124"/>
      <c r="K394" s="59"/>
      <c r="L394" s="59"/>
      <c r="M394" s="59"/>
      <c r="N394" s="59"/>
      <c r="O394" s="17">
        <v>4</v>
      </c>
      <c r="P394" s="101"/>
      <c r="Q394" s="17"/>
      <c r="R394" s="59"/>
      <c r="S394" s="17"/>
      <c r="T394" s="17"/>
      <c r="U394" s="17"/>
      <c r="V394" s="59"/>
      <c r="W394" s="17"/>
      <c r="X394" s="17"/>
      <c r="Y394" s="17"/>
      <c r="Z394" s="17"/>
      <c r="AA394" s="17"/>
      <c r="AB394" s="17"/>
      <c r="AC394" s="59"/>
      <c r="AD394" s="17"/>
      <c r="AE394" s="17"/>
      <c r="AF394" s="17"/>
      <c r="AG394" s="59"/>
      <c r="AH394" s="101"/>
      <c r="AI394" s="17"/>
      <c r="AJ394" s="59"/>
      <c r="AK394" s="101"/>
      <c r="AL394" s="59"/>
      <c r="AM394" s="101"/>
      <c r="AN394" s="101"/>
      <c r="AO394" s="99"/>
      <c r="AP394" s="59"/>
      <c r="AQ394" s="99"/>
      <c r="AR394">
        <f>F394 +G394</f>
        <v>1</v>
      </c>
    </row>
    <row r="395" spans="1:44" hidden="1" x14ac:dyDescent="0.25">
      <c r="A395" t="str">
        <f>B395 &amp; " - " &amp;E395</f>
        <v>Middlesbrough - Husband</v>
      </c>
      <c r="B395" t="s">
        <v>1324</v>
      </c>
      <c r="C395" t="str">
        <f ca="1">IFERROR(VLOOKUP(INDEX(OFFSET(_JOUEURS,0,0,,1),MATCH(A395,OFFSET(_JOUEURS,0,1,,1),0)),_MPG,2,FALSE),"")</f>
        <v>74 c'est la champion's league</v>
      </c>
      <c r="D395" s="104" t="s">
        <v>363</v>
      </c>
      <c r="E395" s="29" t="s">
        <v>1310</v>
      </c>
      <c r="F395" s="106"/>
      <c r="G395" s="101"/>
      <c r="H395" s="36"/>
      <c r="I395" s="27"/>
      <c r="J395" s="124"/>
      <c r="K395" s="59"/>
      <c r="L395" s="84"/>
      <c r="M395" s="59"/>
      <c r="N395" s="59"/>
      <c r="O395" s="17"/>
      <c r="P395" s="101"/>
      <c r="Q395" s="17"/>
      <c r="R395" s="59"/>
      <c r="S395" s="59"/>
      <c r="T395" s="17"/>
      <c r="U395" s="17"/>
      <c r="V395" s="59"/>
      <c r="W395" s="17"/>
      <c r="X395" s="17"/>
      <c r="Y395" s="17"/>
      <c r="Z395" s="17"/>
      <c r="AA395" s="17"/>
      <c r="AB395" s="17"/>
      <c r="AC395" s="59"/>
      <c r="AD395" s="17"/>
      <c r="AE395" s="17"/>
      <c r="AF395" s="17"/>
      <c r="AG395" s="59"/>
      <c r="AH395" s="99"/>
      <c r="AI395" s="17"/>
      <c r="AJ395" s="59"/>
      <c r="AK395" s="101"/>
      <c r="AL395" s="17"/>
      <c r="AM395" s="101"/>
      <c r="AN395" s="101"/>
      <c r="AO395" s="101"/>
      <c r="AP395" s="17"/>
      <c r="AQ395" s="99"/>
      <c r="AR395">
        <f>F395 +G395</f>
        <v>0</v>
      </c>
    </row>
    <row r="396" spans="1:44" x14ac:dyDescent="0.25">
      <c r="A396" t="str">
        <f>B396 &amp; " - " &amp;E396</f>
        <v>Stoke City - Bardsley</v>
      </c>
      <c r="B396" t="s">
        <v>1347</v>
      </c>
      <c r="C396" t="str">
        <f ca="1">IFERROR(VLOOKUP(INDEX(OFFSET(_JOUEURS,0,0,,1),MATCH(A396,OFFSET(_JOUEURS,0,1,,1),0)),_MPG,2,FALSE),"")</f>
        <v/>
      </c>
      <c r="D396" s="23" t="s">
        <v>363</v>
      </c>
      <c r="E396" s="24" t="s">
        <v>1326</v>
      </c>
      <c r="F396" s="25">
        <v>3</v>
      </c>
      <c r="G396" s="77"/>
      <c r="H396" s="87"/>
      <c r="I396" s="27">
        <f>AVERAGE(J396,K396,L396)</f>
        <v>3.6666666666666665</v>
      </c>
      <c r="J396" s="124">
        <v>4</v>
      </c>
      <c r="K396" s="17">
        <v>4</v>
      </c>
      <c r="L396" s="145">
        <v>3</v>
      </c>
      <c r="M396" s="17"/>
      <c r="N396" s="17"/>
      <c r="O396" s="17"/>
      <c r="P396" s="99"/>
      <c r="Q396" s="17"/>
      <c r="R396" s="17"/>
      <c r="S396" s="17"/>
      <c r="T396" s="17"/>
      <c r="U396" s="17"/>
      <c r="V396" s="17"/>
      <c r="W396" s="17"/>
      <c r="X396" s="17"/>
      <c r="Y396" s="17"/>
      <c r="Z396" s="17"/>
      <c r="AA396" s="17"/>
      <c r="AB396" s="17"/>
      <c r="AC396" s="17"/>
      <c r="AD396" s="17"/>
      <c r="AE396" s="17"/>
      <c r="AF396" s="59"/>
      <c r="AG396" s="17"/>
      <c r="AH396" s="99"/>
      <c r="AI396" s="59"/>
      <c r="AJ396" s="59"/>
      <c r="AK396" s="99"/>
      <c r="AL396" s="17"/>
      <c r="AM396" s="99"/>
      <c r="AN396" s="101"/>
      <c r="AO396" s="101"/>
      <c r="AP396" s="17"/>
      <c r="AQ396" s="101"/>
      <c r="AR396">
        <f>F396 +G396</f>
        <v>3</v>
      </c>
    </row>
    <row r="397" spans="1:44" x14ac:dyDescent="0.25">
      <c r="A397" t="str">
        <f>B397 &amp; " - " &amp;E397</f>
        <v>Stoke City - Shawcross</v>
      </c>
      <c r="B397" t="s">
        <v>1347</v>
      </c>
      <c r="C397" t="str">
        <f ca="1">IFERROR(VLOOKUP(INDEX(OFFSET(_JOUEURS,0,0,,1),MATCH(A397,OFFSET(_JOUEURS,0,1,,1),0)),_MPG,2,FALSE),"")</f>
        <v/>
      </c>
      <c r="D397" s="23" t="s">
        <v>363</v>
      </c>
      <c r="E397" s="29" t="s">
        <v>1327</v>
      </c>
      <c r="F397" s="25">
        <v>6</v>
      </c>
      <c r="G397" s="77"/>
      <c r="H397" s="56"/>
      <c r="I397" s="27">
        <f>AVERAGE(J397,K397,L397,M397,N397,O397)</f>
        <v>4.166666666666667</v>
      </c>
      <c r="J397" s="124">
        <v>5</v>
      </c>
      <c r="K397" s="114">
        <v>2</v>
      </c>
      <c r="L397" s="136">
        <v>6</v>
      </c>
      <c r="M397" s="17">
        <v>4</v>
      </c>
      <c r="N397" s="182">
        <v>3</v>
      </c>
      <c r="O397" s="17">
        <v>5</v>
      </c>
      <c r="P397" s="101"/>
      <c r="Q397" s="17"/>
      <c r="R397" s="59"/>
      <c r="S397" s="17"/>
      <c r="T397" s="17"/>
      <c r="U397" s="17"/>
      <c r="V397" s="17"/>
      <c r="W397" s="17"/>
      <c r="X397" s="17"/>
      <c r="Y397" s="17"/>
      <c r="Z397" s="17"/>
      <c r="AA397" s="17"/>
      <c r="AB397" s="17"/>
      <c r="AC397" s="17"/>
      <c r="AD397" s="17"/>
      <c r="AE397" s="17"/>
      <c r="AF397" s="59"/>
      <c r="AG397" s="17"/>
      <c r="AH397" s="99"/>
      <c r="AI397" s="59"/>
      <c r="AJ397" s="17"/>
      <c r="AK397" s="99"/>
      <c r="AL397" s="17"/>
      <c r="AM397" s="101"/>
      <c r="AN397" s="101"/>
      <c r="AO397" s="101"/>
      <c r="AP397" s="17"/>
      <c r="AQ397" s="101"/>
      <c r="AR397">
        <f>F397 +G397</f>
        <v>6</v>
      </c>
    </row>
    <row r="398" spans="1:44" x14ac:dyDescent="0.25">
      <c r="A398" t="str">
        <f>B398 &amp; " - " &amp;E398</f>
        <v>Stoke City - Wollscheld</v>
      </c>
      <c r="B398" t="s">
        <v>1347</v>
      </c>
      <c r="C398" t="str">
        <f ca="1">IFERROR(VLOOKUP(INDEX(OFFSET(_JOUEURS,0,0,,1),MATCH(A398,OFFSET(_JOUEURS,0,1,,1),0)),_MPG,2,FALSE),"")</f>
        <v/>
      </c>
      <c r="D398" s="23" t="s">
        <v>363</v>
      </c>
      <c r="E398" s="29" t="s">
        <v>1328</v>
      </c>
      <c r="F398" s="25">
        <v>2</v>
      </c>
      <c r="G398" s="77"/>
      <c r="H398" s="56"/>
      <c r="I398" s="27">
        <f>AVERAGE(J398,K398)</f>
        <v>4</v>
      </c>
      <c r="J398" s="187">
        <v>5</v>
      </c>
      <c r="K398" s="182">
        <v>3</v>
      </c>
      <c r="L398" s="136"/>
      <c r="M398" s="183"/>
      <c r="N398" s="17"/>
      <c r="O398" s="17"/>
      <c r="P398" s="101"/>
      <c r="Q398" s="17"/>
      <c r="R398" s="17"/>
      <c r="S398" s="17"/>
      <c r="T398" s="17"/>
      <c r="U398" s="17"/>
      <c r="V398" s="17"/>
      <c r="W398" s="17"/>
      <c r="X398" s="17"/>
      <c r="Y398" s="17"/>
      <c r="Z398" s="17"/>
      <c r="AA398" s="17"/>
      <c r="AB398" s="17"/>
      <c r="AC398" s="17"/>
      <c r="AD398" s="17"/>
      <c r="AE398" s="17"/>
      <c r="AF398" s="17"/>
      <c r="AG398" s="59"/>
      <c r="AH398" s="99"/>
      <c r="AI398" s="17"/>
      <c r="AJ398" s="17"/>
      <c r="AK398" s="101"/>
      <c r="AL398" s="17"/>
      <c r="AM398" s="101"/>
      <c r="AN398" s="101"/>
      <c r="AO398" s="101"/>
      <c r="AP398" s="17"/>
      <c r="AQ398" s="101"/>
      <c r="AR398">
        <f>F398 +G398</f>
        <v>2</v>
      </c>
    </row>
    <row r="399" spans="1:44" x14ac:dyDescent="0.25">
      <c r="A399" t="str">
        <f>B399 &amp; " - " &amp;E399</f>
        <v>Stoke City - Pieters</v>
      </c>
      <c r="B399" t="s">
        <v>1347</v>
      </c>
      <c r="C399" t="str">
        <f ca="1">IFERROR(VLOOKUP(INDEX(OFFSET(_JOUEURS,0,0,,1),MATCH(A399,OFFSET(_JOUEURS,0,1,,1),0)),_MPG,2,FALSE),"")</f>
        <v/>
      </c>
      <c r="D399" s="23" t="s">
        <v>363</v>
      </c>
      <c r="E399" s="29" t="s">
        <v>1329</v>
      </c>
      <c r="F399" s="25">
        <v>5</v>
      </c>
      <c r="G399" s="77"/>
      <c r="H399" s="56"/>
      <c r="I399" s="27">
        <f>AVERAGE(J399,K399,L399,M399,O399)</f>
        <v>4</v>
      </c>
      <c r="J399" s="187">
        <v>5</v>
      </c>
      <c r="K399" s="182">
        <v>3</v>
      </c>
      <c r="L399" s="136">
        <v>5</v>
      </c>
      <c r="M399" s="182">
        <v>3</v>
      </c>
      <c r="N399" s="17"/>
      <c r="O399" s="17">
        <v>4</v>
      </c>
      <c r="P399" s="101"/>
      <c r="Q399" s="17"/>
      <c r="R399" s="17"/>
      <c r="S399" s="17"/>
      <c r="T399" s="17"/>
      <c r="U399" s="17"/>
      <c r="V399" s="17"/>
      <c r="W399" s="17"/>
      <c r="X399" s="17"/>
      <c r="Y399" s="17"/>
      <c r="Z399" s="17"/>
      <c r="AA399" s="17"/>
      <c r="AB399" s="17"/>
      <c r="AC399" s="17"/>
      <c r="AD399" s="17"/>
      <c r="AE399" s="17"/>
      <c r="AF399" s="17"/>
      <c r="AG399" s="17"/>
      <c r="AH399" s="101"/>
      <c r="AI399" s="17"/>
      <c r="AJ399" s="17"/>
      <c r="AK399" s="101"/>
      <c r="AL399" s="17"/>
      <c r="AM399" s="101"/>
      <c r="AN399" s="101"/>
      <c r="AO399" s="101"/>
      <c r="AP399" s="17"/>
      <c r="AQ399" s="101"/>
      <c r="AR399">
        <f>F399 +G399</f>
        <v>5</v>
      </c>
    </row>
    <row r="400" spans="1:44" x14ac:dyDescent="0.25">
      <c r="A400" t="str">
        <f>B400 &amp; " - " &amp;E400</f>
        <v>Stoke City - Cameron</v>
      </c>
      <c r="B400" t="s">
        <v>1347</v>
      </c>
      <c r="C400" t="str">
        <f ca="1">IFERROR(VLOOKUP(INDEX(OFFSET(_JOUEURS,0,0,,1),MATCH(A400,OFFSET(_JOUEURS,0,1,,1),0)),_MPG,2,FALSE),"")</f>
        <v/>
      </c>
      <c r="D400" s="52" t="s">
        <v>363</v>
      </c>
      <c r="E400" s="69" t="s">
        <v>1330</v>
      </c>
      <c r="F400" s="54">
        <v>4</v>
      </c>
      <c r="G400" s="88"/>
      <c r="H400" s="53"/>
      <c r="I400" s="55">
        <f>AVERAGE(L400,M400,N400,O400)</f>
        <v>4.25</v>
      </c>
      <c r="J400" s="192"/>
      <c r="K400" s="184"/>
      <c r="L400" s="136">
        <v>5</v>
      </c>
      <c r="M400" s="183">
        <v>4</v>
      </c>
      <c r="N400" s="114">
        <v>3</v>
      </c>
      <c r="O400" s="17">
        <v>5</v>
      </c>
      <c r="P400" s="101"/>
      <c r="Q400" s="17"/>
      <c r="R400" s="17"/>
      <c r="S400" s="17"/>
      <c r="T400" s="17"/>
      <c r="U400" s="17"/>
      <c r="V400" s="17"/>
      <c r="W400" s="17"/>
      <c r="X400" s="17"/>
      <c r="Y400" s="17"/>
      <c r="Z400" s="17"/>
      <c r="AA400" s="17"/>
      <c r="AB400" s="17"/>
      <c r="AC400" s="17"/>
      <c r="AD400" s="17"/>
      <c r="AE400" s="17"/>
      <c r="AF400" s="17"/>
      <c r="AG400" s="17"/>
      <c r="AH400" s="101"/>
      <c r="AI400" s="17"/>
      <c r="AJ400" s="17"/>
      <c r="AK400" s="101"/>
      <c r="AL400" s="17"/>
      <c r="AM400" s="101"/>
      <c r="AN400" s="101"/>
      <c r="AO400" s="101"/>
      <c r="AP400" s="17"/>
      <c r="AQ400" s="101"/>
      <c r="AR400">
        <f>F400 +G400</f>
        <v>4</v>
      </c>
    </row>
    <row r="401" spans="1:44" x14ac:dyDescent="0.25">
      <c r="A401" t="str">
        <f>B401 &amp; " - " &amp;E401</f>
        <v>Stoke City - Indi</v>
      </c>
      <c r="B401" t="s">
        <v>1347</v>
      </c>
      <c r="C401" t="str">
        <f ca="1">IFERROR(VLOOKUP(INDEX(OFFSET(_JOUEURS,0,0,,1),MATCH(A401,OFFSET(_JOUEURS,0,1,,1),0)),_MPG,2,FALSE),"")</f>
        <v/>
      </c>
      <c r="D401" s="23" t="s">
        <v>363</v>
      </c>
      <c r="E401" s="29" t="s">
        <v>1331</v>
      </c>
      <c r="F401" s="25">
        <v>3</v>
      </c>
      <c r="G401" s="77"/>
      <c r="H401" s="56"/>
      <c r="I401" s="27">
        <f>AVERAGE(M401,N401,O401)</f>
        <v>3.6666666666666665</v>
      </c>
      <c r="J401" s="321"/>
      <c r="K401" s="171"/>
      <c r="L401" s="17"/>
      <c r="M401" s="114">
        <v>3</v>
      </c>
      <c r="N401" s="114">
        <v>3</v>
      </c>
      <c r="O401" s="17">
        <v>5</v>
      </c>
      <c r="P401" s="101"/>
      <c r="Q401" s="17"/>
      <c r="R401" s="17"/>
      <c r="S401" s="171"/>
      <c r="T401" s="17"/>
      <c r="U401" s="17"/>
      <c r="V401" s="17"/>
      <c r="W401" s="17"/>
      <c r="X401" s="17"/>
      <c r="Y401" s="17"/>
      <c r="Z401" s="17"/>
      <c r="AA401" s="17"/>
      <c r="AB401" s="17"/>
      <c r="AC401" s="171"/>
      <c r="AD401" s="17"/>
      <c r="AE401" s="17"/>
      <c r="AF401" s="17"/>
      <c r="AG401" s="17"/>
      <c r="AH401" s="101"/>
      <c r="AI401" s="17"/>
      <c r="AJ401" s="17"/>
      <c r="AK401" s="324"/>
      <c r="AL401" s="17"/>
      <c r="AM401" s="101"/>
      <c r="AN401" s="101"/>
      <c r="AO401" s="101"/>
      <c r="AP401" s="17"/>
      <c r="AQ401" s="101"/>
      <c r="AR401">
        <f>F401 +G401</f>
        <v>3</v>
      </c>
    </row>
    <row r="402" spans="1:44" x14ac:dyDescent="0.25">
      <c r="A402" t="str">
        <f>B402 &amp; " - " &amp;E402</f>
        <v>Stoke City - Muniesa</v>
      </c>
      <c r="B402" t="s">
        <v>1347</v>
      </c>
      <c r="C402" t="str">
        <f ca="1">IFERROR(VLOOKUP(INDEX(OFFSET(_JOUEURS,0,0,,1),MATCH(A402,OFFSET(_JOUEURS,0,1,,1),0)),_MPG,2,FALSE),"")</f>
        <v/>
      </c>
      <c r="D402" s="23" t="s">
        <v>363</v>
      </c>
      <c r="E402" s="109" t="s">
        <v>1332</v>
      </c>
      <c r="F402" s="25"/>
      <c r="G402" s="77"/>
      <c r="H402" s="56"/>
      <c r="I402" s="27"/>
      <c r="J402" s="187"/>
      <c r="K402" s="183"/>
      <c r="L402" s="17"/>
      <c r="M402" s="17"/>
      <c r="N402" s="17"/>
      <c r="O402" s="17"/>
      <c r="P402" s="101"/>
      <c r="Q402" s="17"/>
      <c r="R402" s="17"/>
      <c r="S402" s="171"/>
      <c r="T402" s="17"/>
      <c r="U402" s="17"/>
      <c r="V402" s="17"/>
      <c r="W402" s="17"/>
      <c r="X402" s="17"/>
      <c r="Y402" s="17"/>
      <c r="Z402" s="17"/>
      <c r="AA402" s="17"/>
      <c r="AB402" s="17"/>
      <c r="AC402" s="171"/>
      <c r="AD402" s="17"/>
      <c r="AE402" s="17"/>
      <c r="AF402" s="17"/>
      <c r="AG402" s="17"/>
      <c r="AH402" s="101"/>
      <c r="AI402" s="17"/>
      <c r="AJ402" s="17"/>
      <c r="AK402" s="324"/>
      <c r="AL402" s="17"/>
      <c r="AM402" s="101"/>
      <c r="AN402" s="101"/>
      <c r="AO402" s="101"/>
      <c r="AP402" s="17"/>
      <c r="AQ402" s="101"/>
      <c r="AR402">
        <f>F402 +G402</f>
        <v>0</v>
      </c>
    </row>
    <row r="403" spans="1:44" x14ac:dyDescent="0.25">
      <c r="A403" t="str">
        <f>B403 &amp; " - " &amp;E403</f>
        <v>Stoke City - Johnson</v>
      </c>
      <c r="B403" t="s">
        <v>1347</v>
      </c>
      <c r="C403" t="str">
        <f ca="1">IFERROR(VLOOKUP(INDEX(OFFSET(_JOUEURS,0,0,,1),MATCH(A403,OFFSET(_JOUEURS,0,1,,1),0)),_MPG,2,FALSE),"")</f>
        <v/>
      </c>
      <c r="D403" s="23" t="s">
        <v>363</v>
      </c>
      <c r="E403" s="109" t="s">
        <v>1333</v>
      </c>
      <c r="F403" s="25">
        <v>2</v>
      </c>
      <c r="G403" s="77"/>
      <c r="H403" s="56"/>
      <c r="I403" s="27">
        <f>AVERAGE(N403,O403)</f>
        <v>4</v>
      </c>
      <c r="J403" s="187"/>
      <c r="K403" s="183"/>
      <c r="L403" s="17"/>
      <c r="M403" s="17"/>
      <c r="N403" s="114">
        <v>3</v>
      </c>
      <c r="O403" s="17">
        <v>5</v>
      </c>
      <c r="P403" s="101"/>
      <c r="Q403" s="17"/>
      <c r="R403" s="17"/>
      <c r="S403" s="171"/>
      <c r="T403" s="17"/>
      <c r="U403" s="17"/>
      <c r="V403" s="17"/>
      <c r="W403" s="17"/>
      <c r="X403" s="17"/>
      <c r="Y403" s="17"/>
      <c r="Z403" s="17"/>
      <c r="AA403" s="17"/>
      <c r="AB403" s="17"/>
      <c r="AC403" s="171"/>
      <c r="AD403" s="17"/>
      <c r="AE403" s="17"/>
      <c r="AF403" s="17"/>
      <c r="AG403" s="17"/>
      <c r="AH403" s="101"/>
      <c r="AI403" s="17"/>
      <c r="AJ403" s="17"/>
      <c r="AK403" s="324"/>
      <c r="AL403" s="17"/>
      <c r="AM403" s="101"/>
      <c r="AN403" s="101"/>
      <c r="AO403" s="101"/>
      <c r="AP403" s="17"/>
      <c r="AQ403" s="101"/>
      <c r="AR403">
        <f>F403 +G403</f>
        <v>2</v>
      </c>
    </row>
    <row r="404" spans="1:44" x14ac:dyDescent="0.25">
      <c r="A404" t="str">
        <f>B404 &amp; " - " &amp;E404</f>
        <v>Southampton - Soares</v>
      </c>
      <c r="B404" t="s">
        <v>1367</v>
      </c>
      <c r="C404" t="str">
        <f ca="1">IFERROR(VLOOKUP(INDEX(OFFSET(_JOUEURS,0,0,,1),MATCH(A404,OFFSET(_JOUEURS,0,1,,1),0)),_MPG,2,FALSE),"")</f>
        <v/>
      </c>
      <c r="D404" s="104" t="s">
        <v>363</v>
      </c>
      <c r="E404" s="29" t="s">
        <v>1349</v>
      </c>
      <c r="F404" s="194">
        <v>6</v>
      </c>
      <c r="G404" s="20"/>
      <c r="H404" s="163"/>
      <c r="I404" s="27">
        <f>AVERAGE(J404,K404,L404,M404,N404,O404)</f>
        <v>5.333333333333333</v>
      </c>
      <c r="J404" s="105">
        <v>5</v>
      </c>
      <c r="K404" s="18">
        <v>5</v>
      </c>
      <c r="L404" s="59">
        <v>5</v>
      </c>
      <c r="M404" s="17">
        <v>5</v>
      </c>
      <c r="N404" s="17">
        <v>6</v>
      </c>
      <c r="O404" s="18">
        <v>6</v>
      </c>
      <c r="P404" s="22"/>
      <c r="Q404" s="28"/>
      <c r="R404" s="18"/>
      <c r="S404" s="28"/>
      <c r="T404" s="28"/>
      <c r="U404" s="18"/>
      <c r="V404" s="28"/>
      <c r="W404" s="18"/>
      <c r="X404" s="28"/>
      <c r="Y404" s="28"/>
      <c r="Z404" s="18"/>
      <c r="AA404" s="60"/>
      <c r="AB404" s="18"/>
      <c r="AC404" s="16"/>
      <c r="AD404" s="18"/>
      <c r="AE404" s="18"/>
      <c r="AF404" s="28"/>
      <c r="AG404" s="18"/>
      <c r="AH404" s="20"/>
      <c r="AI404" s="18"/>
      <c r="AJ404" s="18"/>
      <c r="AK404" s="20"/>
      <c r="AL404" s="18"/>
      <c r="AM404" s="99"/>
      <c r="AN404" s="74"/>
      <c r="AO404" s="20"/>
      <c r="AP404" s="18"/>
      <c r="AQ404" s="21"/>
      <c r="AR404">
        <f>F404 +G404</f>
        <v>6</v>
      </c>
    </row>
    <row r="405" spans="1:44" x14ac:dyDescent="0.25">
      <c r="A405" t="str">
        <f>B405 &amp; " - " &amp;E405</f>
        <v>Southampton - Yoshida</v>
      </c>
      <c r="B405" t="s">
        <v>1367</v>
      </c>
      <c r="C405" t="str">
        <f ca="1">IFERROR(VLOOKUP(INDEX(OFFSET(_JOUEURS,0,0,,1),MATCH(A405,OFFSET(_JOUEURS,0,1,,1),0)),_MPG,2,FALSE),"")</f>
        <v/>
      </c>
      <c r="D405" s="104" t="s">
        <v>363</v>
      </c>
      <c r="E405" s="109" t="s">
        <v>1350</v>
      </c>
      <c r="F405" s="106">
        <v>1</v>
      </c>
      <c r="G405" s="86"/>
      <c r="H405" s="201"/>
      <c r="I405" s="27">
        <f>AVERAGE(J405)</f>
        <v>5</v>
      </c>
      <c r="J405" s="35">
        <v>5</v>
      </c>
      <c r="K405" s="302"/>
      <c r="L405" s="28"/>
      <c r="M405" s="18"/>
      <c r="N405" s="18"/>
      <c r="O405" s="18"/>
      <c r="P405" s="21"/>
      <c r="Q405" s="28"/>
      <c r="R405" s="18"/>
      <c r="S405" s="28"/>
      <c r="T405" s="28"/>
      <c r="U405" s="17"/>
      <c r="V405" s="28"/>
      <c r="W405" s="28"/>
      <c r="X405" s="28"/>
      <c r="Y405" s="28"/>
      <c r="Z405" s="18"/>
      <c r="AA405" s="28"/>
      <c r="AB405" s="18"/>
      <c r="AC405" s="18"/>
      <c r="AD405" s="28"/>
      <c r="AE405" s="18"/>
      <c r="AF405" s="28"/>
      <c r="AG405" s="18"/>
      <c r="AH405" s="20"/>
      <c r="AI405" s="18"/>
      <c r="AJ405" s="18"/>
      <c r="AK405" s="20"/>
      <c r="AL405" s="18"/>
      <c r="AM405" s="20"/>
      <c r="AN405" s="20"/>
      <c r="AO405" s="21"/>
      <c r="AP405" s="28"/>
      <c r="AQ405" s="21"/>
      <c r="AR405">
        <f>F405 +G405</f>
        <v>1</v>
      </c>
    </row>
    <row r="406" spans="1:44" hidden="1" x14ac:dyDescent="0.25">
      <c r="A406" t="str">
        <f>B406 &amp; " - " &amp;E406</f>
        <v>Southampton - van Djik</v>
      </c>
      <c r="B406" t="s">
        <v>1367</v>
      </c>
      <c r="C406" t="str">
        <f ca="1">IFERROR(VLOOKUP(INDEX(OFFSET(_JOUEURS,0,0,,1),MATCH(A406,OFFSET(_JOUEURS,0,1,,1),0)),_MPG,2,FALSE),"")</f>
        <v>nut fc</v>
      </c>
      <c r="D406" s="104" t="s">
        <v>363</v>
      </c>
      <c r="E406" s="109" t="s">
        <v>1351</v>
      </c>
      <c r="F406" s="194">
        <v>6</v>
      </c>
      <c r="G406" s="21"/>
      <c r="H406" s="163"/>
      <c r="I406" s="27">
        <f>AVERAGE(J406,K406,L406,M406,N406,O406)</f>
        <v>5.5</v>
      </c>
      <c r="J406" s="35">
        <v>5</v>
      </c>
      <c r="K406" s="15">
        <v>5</v>
      </c>
      <c r="L406" s="28">
        <v>5</v>
      </c>
      <c r="M406" s="18">
        <v>5</v>
      </c>
      <c r="N406" s="18">
        <v>6</v>
      </c>
      <c r="O406" s="51">
        <v>7</v>
      </c>
      <c r="P406" s="21"/>
      <c r="Q406" s="60"/>
      <c r="R406" s="18"/>
      <c r="S406" s="28"/>
      <c r="T406" s="28"/>
      <c r="U406" s="18"/>
      <c r="V406" s="28"/>
      <c r="W406" s="18"/>
      <c r="X406" s="28"/>
      <c r="Y406" s="28"/>
      <c r="Z406" s="18"/>
      <c r="AA406" s="28"/>
      <c r="AB406" s="28"/>
      <c r="AC406" s="18"/>
      <c r="AD406" s="18"/>
      <c r="AE406" s="18"/>
      <c r="AF406" s="28"/>
      <c r="AG406" s="18"/>
      <c r="AH406" s="20"/>
      <c r="AI406" s="18"/>
      <c r="AJ406" s="18"/>
      <c r="AK406" s="20"/>
      <c r="AL406" s="59"/>
      <c r="AM406" s="20"/>
      <c r="AN406" s="20"/>
      <c r="AO406" s="21"/>
      <c r="AP406" s="28"/>
      <c r="AQ406" s="22"/>
      <c r="AR406">
        <f>F406 +G406</f>
        <v>6</v>
      </c>
    </row>
    <row r="407" spans="1:44" x14ac:dyDescent="0.25">
      <c r="A407" t="str">
        <f>B407 &amp; " - " &amp;E407</f>
        <v>Southampton - Targett</v>
      </c>
      <c r="B407" t="s">
        <v>1367</v>
      </c>
      <c r="C407" t="str">
        <f ca="1">IFERROR(VLOOKUP(INDEX(OFFSET(_JOUEURS,0,0,,1),MATCH(A407,OFFSET(_JOUEURS,0,1,,1),0)),_MPG,2,FALSE),"")</f>
        <v/>
      </c>
      <c r="D407" s="104" t="s">
        <v>363</v>
      </c>
      <c r="E407" s="109" t="s">
        <v>1352</v>
      </c>
      <c r="F407" s="194">
        <v>3</v>
      </c>
      <c r="G407" s="21"/>
      <c r="H407" s="163"/>
      <c r="I407" s="27">
        <f>AVERAGE(J407,K407,L407)</f>
        <v>5.666666666666667</v>
      </c>
      <c r="J407" s="35">
        <v>6</v>
      </c>
      <c r="K407" s="15">
        <v>5</v>
      </c>
      <c r="L407" s="28">
        <v>6</v>
      </c>
      <c r="M407" s="18"/>
      <c r="N407" s="28"/>
      <c r="O407" s="18"/>
      <c r="P407" s="141"/>
      <c r="Q407" s="28"/>
      <c r="R407" s="18"/>
      <c r="S407" s="28"/>
      <c r="T407" s="18"/>
      <c r="U407" s="18"/>
      <c r="V407" s="28"/>
      <c r="W407" s="18"/>
      <c r="X407" s="15"/>
      <c r="Y407" s="28"/>
      <c r="Z407" s="18"/>
      <c r="AA407" s="28"/>
      <c r="AB407" s="18"/>
      <c r="AC407" s="15"/>
      <c r="AD407" s="28"/>
      <c r="AE407" s="18"/>
      <c r="AF407" s="28"/>
      <c r="AG407" s="18"/>
      <c r="AH407" s="21"/>
      <c r="AI407" s="28"/>
      <c r="AJ407" s="18"/>
      <c r="AK407" s="20"/>
      <c r="AL407" s="18"/>
      <c r="AM407" s="20"/>
      <c r="AN407" s="20"/>
      <c r="AO407" s="21"/>
      <c r="AP407" s="28"/>
      <c r="AQ407" s="21"/>
      <c r="AR407">
        <f>F407 +G407</f>
        <v>3</v>
      </c>
    </row>
    <row r="408" spans="1:44" x14ac:dyDescent="0.25">
      <c r="A408" t="str">
        <f>B408 &amp; " - " &amp;E408</f>
        <v>Southampton - Pied</v>
      </c>
      <c r="B408" t="s">
        <v>1367</v>
      </c>
      <c r="C408" t="str">
        <f ca="1">IFERROR(VLOOKUP(INDEX(OFFSET(_JOUEURS,0,0,,1),MATCH(A408,OFFSET(_JOUEURS,0,1,,1),0)),_MPG,2,FALSE),"")</f>
        <v/>
      </c>
      <c r="D408" s="104" t="s">
        <v>363</v>
      </c>
      <c r="E408" s="109" t="s">
        <v>48</v>
      </c>
      <c r="F408" s="194"/>
      <c r="G408" s="21">
        <v>1</v>
      </c>
      <c r="H408" s="163"/>
      <c r="I408" s="27"/>
      <c r="J408" s="70" t="s">
        <v>364</v>
      </c>
      <c r="K408" s="302"/>
      <c r="L408" s="28"/>
      <c r="M408" s="28"/>
      <c r="N408" s="18"/>
      <c r="O408" s="16"/>
      <c r="P408" s="21"/>
      <c r="Q408" s="28"/>
      <c r="R408" s="18"/>
      <c r="S408" s="18"/>
      <c r="T408" s="28"/>
      <c r="U408" s="18"/>
      <c r="V408" s="28"/>
      <c r="W408" s="18"/>
      <c r="X408" s="60"/>
      <c r="Y408" s="28"/>
      <c r="Z408" s="18"/>
      <c r="AA408" s="28"/>
      <c r="AB408" s="18"/>
      <c r="AC408" s="18"/>
      <c r="AD408" s="28"/>
      <c r="AE408" s="18"/>
      <c r="AF408" s="28"/>
      <c r="AG408" s="18"/>
      <c r="AH408" s="20"/>
      <c r="AI408" s="18"/>
      <c r="AJ408" s="18"/>
      <c r="AK408" s="74"/>
      <c r="AL408" s="18"/>
      <c r="AM408" s="20"/>
      <c r="AN408" s="20"/>
      <c r="AO408" s="21"/>
      <c r="AP408" s="28"/>
      <c r="AQ408" s="21"/>
      <c r="AR408">
        <f>F408 +G408</f>
        <v>1</v>
      </c>
    </row>
    <row r="409" spans="1:44" hidden="1" x14ac:dyDescent="0.25">
      <c r="A409" t="str">
        <f>B409 &amp; " - " &amp;E409</f>
        <v>Southampton - Fonte</v>
      </c>
      <c r="B409" t="s">
        <v>1367</v>
      </c>
      <c r="C409" t="str">
        <f ca="1">IFERROR(VLOOKUP(INDEX(OFFSET(_JOUEURS,0,0,,1),MATCH(A409,OFFSET(_JOUEURS,0,1,,1),0)),_MPG,2,FALSE),"")</f>
        <v>I speak pas english</v>
      </c>
      <c r="D409" s="104" t="s">
        <v>363</v>
      </c>
      <c r="E409" s="109" t="s">
        <v>1353</v>
      </c>
      <c r="F409" s="194">
        <v>5</v>
      </c>
      <c r="G409" s="21"/>
      <c r="H409" s="163"/>
      <c r="I409" s="27">
        <f>AVERAGE(K409,L409,M409,N409,O409)</f>
        <v>4.8</v>
      </c>
      <c r="J409" s="35"/>
      <c r="K409" s="15">
        <v>5</v>
      </c>
      <c r="L409" s="28">
        <v>4</v>
      </c>
      <c r="M409" s="18">
        <v>4</v>
      </c>
      <c r="N409" s="18">
        <v>5</v>
      </c>
      <c r="O409" s="17">
        <v>6</v>
      </c>
      <c r="P409" s="21"/>
      <c r="Q409" s="28"/>
      <c r="R409" s="18"/>
      <c r="S409" s="18"/>
      <c r="T409" s="28"/>
      <c r="U409" s="18"/>
      <c r="V409" s="28"/>
      <c r="W409" s="18"/>
      <c r="X409" s="60"/>
      <c r="Y409" s="28"/>
      <c r="Z409" s="18"/>
      <c r="AA409" s="28"/>
      <c r="AB409" s="18"/>
      <c r="AC409" s="18"/>
      <c r="AD409" s="28"/>
      <c r="AE409" s="18"/>
      <c r="AF409" s="28"/>
      <c r="AG409" s="18"/>
      <c r="AH409" s="20"/>
      <c r="AI409" s="18"/>
      <c r="AJ409" s="18"/>
      <c r="AK409" s="74"/>
      <c r="AL409" s="18"/>
      <c r="AM409" s="20"/>
      <c r="AN409" s="20"/>
      <c r="AO409" s="21"/>
      <c r="AP409" s="28"/>
      <c r="AQ409" s="21"/>
      <c r="AR409">
        <f>F409 +G409</f>
        <v>5</v>
      </c>
    </row>
    <row r="410" spans="1:44" x14ac:dyDescent="0.25">
      <c r="A410" t="str">
        <f>B410 &amp; " - " &amp;E410</f>
        <v>Southampton - Bertrand</v>
      </c>
      <c r="B410" t="s">
        <v>1367</v>
      </c>
      <c r="C410" t="str">
        <f ca="1">IFERROR(VLOOKUP(INDEX(OFFSET(_JOUEURS,0,0,,1),MATCH(A410,OFFSET(_JOUEURS,0,1,,1),0)),_MPG,2,FALSE),"")</f>
        <v/>
      </c>
      <c r="D410" s="104" t="s">
        <v>363</v>
      </c>
      <c r="E410" s="109" t="s">
        <v>1354</v>
      </c>
      <c r="F410" s="194">
        <v>3</v>
      </c>
      <c r="G410" s="21"/>
      <c r="H410" s="163"/>
      <c r="I410" s="27">
        <f>AVERAGE(M410,N410,O410)</f>
        <v>6</v>
      </c>
      <c r="J410" s="35"/>
      <c r="K410" s="302"/>
      <c r="L410" s="28"/>
      <c r="M410" s="17">
        <v>5</v>
      </c>
      <c r="N410" s="18">
        <v>6</v>
      </c>
      <c r="O410" s="66">
        <v>7</v>
      </c>
      <c r="P410" s="21"/>
      <c r="Q410" s="28"/>
      <c r="R410" s="18"/>
      <c r="S410" s="18"/>
      <c r="T410" s="28"/>
      <c r="U410" s="18"/>
      <c r="V410" s="28"/>
      <c r="W410" s="18"/>
      <c r="X410" s="60"/>
      <c r="Y410" s="28"/>
      <c r="Z410" s="18"/>
      <c r="AA410" s="28"/>
      <c r="AB410" s="18"/>
      <c r="AC410" s="18"/>
      <c r="AD410" s="28"/>
      <c r="AE410" s="18"/>
      <c r="AF410" s="28"/>
      <c r="AG410" s="18"/>
      <c r="AH410" s="20"/>
      <c r="AI410" s="18"/>
      <c r="AJ410" s="18"/>
      <c r="AK410" s="74"/>
      <c r="AL410" s="18"/>
      <c r="AM410" s="20"/>
      <c r="AN410" s="20"/>
      <c r="AO410" s="21"/>
      <c r="AP410" s="28"/>
      <c r="AQ410" s="21"/>
    </row>
    <row r="411" spans="1:44" x14ac:dyDescent="0.25">
      <c r="A411" t="str">
        <f>B411 &amp; " - " &amp;E411</f>
        <v>Southampton - Cuco Martina</v>
      </c>
      <c r="B411" t="s">
        <v>1367</v>
      </c>
      <c r="C411" t="str">
        <f ca="1">IFERROR(VLOOKUP(INDEX(OFFSET(_JOUEURS,0,0,,1),MATCH(A411,OFFSET(_JOUEURS,0,1,,1),0)),_MPG,2,FALSE),"")</f>
        <v/>
      </c>
      <c r="D411" s="148" t="s">
        <v>363</v>
      </c>
      <c r="E411" s="111" t="s">
        <v>1355</v>
      </c>
      <c r="F411" s="195"/>
      <c r="G411" s="196">
        <v>2</v>
      </c>
      <c r="H411" s="197"/>
      <c r="I411" s="55"/>
      <c r="J411" s="35"/>
      <c r="K411" s="302"/>
      <c r="L411" s="28"/>
      <c r="M411" s="17"/>
      <c r="N411" s="28" t="s">
        <v>364</v>
      </c>
      <c r="O411" s="59" t="s">
        <v>364</v>
      </c>
      <c r="P411" s="21"/>
      <c r="Q411" s="28"/>
      <c r="R411" s="18"/>
      <c r="S411" s="18"/>
      <c r="T411" s="28"/>
      <c r="U411" s="18"/>
      <c r="V411" s="28"/>
      <c r="W411" s="18"/>
      <c r="X411" s="60"/>
      <c r="Y411" s="28"/>
      <c r="Z411" s="18"/>
      <c r="AA411" s="28"/>
      <c r="AB411" s="18"/>
      <c r="AC411" s="18"/>
      <c r="AD411" s="28"/>
      <c r="AE411" s="18"/>
      <c r="AF411" s="28"/>
      <c r="AG411" s="18"/>
      <c r="AH411" s="20"/>
      <c r="AI411" s="18"/>
      <c r="AJ411" s="18"/>
      <c r="AK411" s="74"/>
      <c r="AL411" s="18"/>
      <c r="AM411" s="20"/>
      <c r="AN411" s="20"/>
      <c r="AO411" s="21"/>
      <c r="AP411" s="28"/>
      <c r="AQ411" s="21"/>
      <c r="AR411">
        <f>F411 +G411</f>
        <v>2</v>
      </c>
    </row>
    <row r="412" spans="1:44" x14ac:dyDescent="0.25">
      <c r="A412" t="str">
        <f>B412 &amp; " - " &amp;E412</f>
        <v>Southampton - Clasie</v>
      </c>
      <c r="B412" t="s">
        <v>1367</v>
      </c>
      <c r="C412" t="str">
        <f ca="1">IFERROR(VLOOKUP(INDEX(OFFSET(_JOUEURS,0,0,,1),MATCH(A412,OFFSET(_JOUEURS,0,1,,1),0)),_MPG,2,FALSE),"")</f>
        <v/>
      </c>
      <c r="D412" s="152" t="s">
        <v>363</v>
      </c>
      <c r="E412" s="163" t="s">
        <v>1356</v>
      </c>
      <c r="F412" s="106">
        <v>2</v>
      </c>
      <c r="G412" s="101">
        <v>1</v>
      </c>
      <c r="H412" s="36"/>
      <c r="I412" s="27">
        <f>AVERAGE(M412,N412)</f>
        <v>5</v>
      </c>
      <c r="J412" s="35"/>
      <c r="K412" s="62" t="s">
        <v>364</v>
      </c>
      <c r="L412" s="60"/>
      <c r="M412" s="28">
        <v>5</v>
      </c>
      <c r="N412" s="18">
        <v>5</v>
      </c>
      <c r="O412" s="16"/>
      <c r="P412" s="21"/>
      <c r="Q412" s="28"/>
      <c r="R412" s="18"/>
      <c r="S412" s="18"/>
      <c r="T412" s="28"/>
      <c r="U412" s="18"/>
      <c r="V412" s="28"/>
      <c r="W412" s="18"/>
      <c r="X412" s="60"/>
      <c r="Y412" s="28"/>
      <c r="Z412" s="18"/>
      <c r="AA412" s="28"/>
      <c r="AB412" s="18"/>
      <c r="AC412" s="18"/>
      <c r="AD412" s="28"/>
      <c r="AE412" s="18"/>
      <c r="AF412" s="28"/>
      <c r="AG412" s="18"/>
      <c r="AH412" s="20"/>
      <c r="AI412" s="18"/>
      <c r="AJ412" s="18"/>
      <c r="AK412" s="74"/>
      <c r="AL412" s="18"/>
      <c r="AM412" s="20"/>
      <c r="AN412" s="20"/>
      <c r="AO412" s="21"/>
      <c r="AP412" s="28"/>
      <c r="AQ412" s="21"/>
      <c r="AR412">
        <f>F412 +G412</f>
        <v>3</v>
      </c>
    </row>
    <row r="413" spans="1:44" x14ac:dyDescent="0.25">
      <c r="A413" t="str">
        <f>B413 &amp; " - " &amp;E413</f>
        <v>Watford - Cathcart</v>
      </c>
      <c r="B413" t="s">
        <v>1393</v>
      </c>
      <c r="C413" t="str">
        <f ca="1">IFERROR(VLOOKUP(INDEX(OFFSET(_JOUEURS,0,0,,1),MATCH(A413,OFFSET(_JOUEURS,0,1,,1),0)),_MPG,2,FALSE),"")</f>
        <v/>
      </c>
      <c r="D413" s="104" t="s">
        <v>363</v>
      </c>
      <c r="E413" s="163" t="s">
        <v>1371</v>
      </c>
      <c r="F413" s="106">
        <v>5</v>
      </c>
      <c r="G413" s="101"/>
      <c r="H413" s="191"/>
      <c r="I413" s="27">
        <f>AVERAGE(J413,K413,M413,N413,O413)</f>
        <v>4.8</v>
      </c>
      <c r="J413" s="124">
        <v>5</v>
      </c>
      <c r="K413" s="17">
        <v>4</v>
      </c>
      <c r="L413" s="184"/>
      <c r="M413" s="17">
        <v>5</v>
      </c>
      <c r="N413" s="59">
        <v>6</v>
      </c>
      <c r="O413" s="59">
        <v>4</v>
      </c>
      <c r="P413" s="101"/>
      <c r="Q413" s="59"/>
      <c r="R413" s="17"/>
      <c r="S413" s="59"/>
      <c r="T413" s="17"/>
      <c r="U413" s="17"/>
      <c r="V413" s="17"/>
      <c r="W413" s="59"/>
      <c r="X413" s="17"/>
      <c r="Y413" s="17"/>
      <c r="Z413" s="59"/>
      <c r="AA413" s="17"/>
      <c r="AB413" s="17"/>
      <c r="AC413" s="17"/>
      <c r="AD413" s="59"/>
      <c r="AE413" s="17"/>
      <c r="AF413" s="17"/>
      <c r="AG413" s="17"/>
      <c r="AH413" s="101"/>
      <c r="AI413" s="17"/>
      <c r="AJ413" s="17"/>
      <c r="AK413" s="101"/>
      <c r="AL413" s="59"/>
      <c r="AM413" s="99"/>
      <c r="AN413" s="101"/>
      <c r="AO413" s="101"/>
      <c r="AP413" s="59"/>
      <c r="AQ413" s="101"/>
      <c r="AR413">
        <f>F413 +G413</f>
        <v>5</v>
      </c>
    </row>
    <row r="414" spans="1:44" x14ac:dyDescent="0.25">
      <c r="A414" t="str">
        <f>B414 &amp; " - " &amp;E414</f>
        <v>Watford - Prödl</v>
      </c>
      <c r="B414" t="s">
        <v>1393</v>
      </c>
      <c r="C414" t="str">
        <f ca="1">IFERROR(VLOOKUP(INDEX(OFFSET(_JOUEURS,0,0,,1),MATCH(A414,OFFSET(_JOUEURS,0,1,,1),0)),_MPG,2,FALSE),"")</f>
        <v/>
      </c>
      <c r="D414" s="104" t="s">
        <v>363</v>
      </c>
      <c r="E414" s="163" t="s">
        <v>1372</v>
      </c>
      <c r="F414" s="106">
        <v>5</v>
      </c>
      <c r="G414" s="101">
        <v>1</v>
      </c>
      <c r="H414" s="191"/>
      <c r="I414" s="27">
        <f>AVERAGE(J414,K414,L414,N414,O414)</f>
        <v>4.4000000000000004</v>
      </c>
      <c r="J414" s="124">
        <v>5</v>
      </c>
      <c r="K414" s="17">
        <v>4</v>
      </c>
      <c r="L414" s="59">
        <v>4</v>
      </c>
      <c r="M414" s="28" t="s">
        <v>364</v>
      </c>
      <c r="N414" s="59">
        <v>5</v>
      </c>
      <c r="O414" s="59">
        <v>4</v>
      </c>
      <c r="P414" s="101"/>
      <c r="Q414" s="59"/>
      <c r="R414" s="17"/>
      <c r="S414" s="17"/>
      <c r="T414" s="17"/>
      <c r="U414" s="17"/>
      <c r="V414" s="17"/>
      <c r="W414" s="59"/>
      <c r="X414" s="17"/>
      <c r="Y414" s="59"/>
      <c r="Z414" s="59"/>
      <c r="AA414" s="17"/>
      <c r="AB414" s="17"/>
      <c r="AC414" s="17"/>
      <c r="AD414" s="59"/>
      <c r="AE414" s="17"/>
      <c r="AF414" s="17"/>
      <c r="AG414" s="17"/>
      <c r="AH414" s="101"/>
      <c r="AI414" s="17"/>
      <c r="AJ414" s="17"/>
      <c r="AK414" s="101"/>
      <c r="AL414" s="17"/>
      <c r="AM414" s="99"/>
      <c r="AN414" s="101"/>
      <c r="AO414" s="101"/>
      <c r="AP414" s="59"/>
      <c r="AQ414" s="101"/>
      <c r="AR414">
        <f>F414 +G414</f>
        <v>6</v>
      </c>
    </row>
    <row r="415" spans="1:44" x14ac:dyDescent="0.25">
      <c r="A415" t="str">
        <f>B415 &amp; " - " &amp;E415</f>
        <v>Watford - Britos</v>
      </c>
      <c r="B415" t="s">
        <v>1393</v>
      </c>
      <c r="C415" t="str">
        <f ca="1">IFERROR(VLOOKUP(INDEX(OFFSET(_JOUEURS,0,0,,1),MATCH(A415,OFFSET(_JOUEURS,0,1,,1),0)),_MPG,2,FALSE),"")</f>
        <v/>
      </c>
      <c r="D415" s="104" t="s">
        <v>363</v>
      </c>
      <c r="E415" s="163" t="s">
        <v>1373</v>
      </c>
      <c r="F415" s="106">
        <v>5</v>
      </c>
      <c r="G415" s="101"/>
      <c r="H415" s="36"/>
      <c r="I415" s="27">
        <f>AVERAGE(J415,K415,M415,N415,O415)</f>
        <v>4.4000000000000004</v>
      </c>
      <c r="J415" s="124">
        <v>5</v>
      </c>
      <c r="K415" s="28">
        <v>4</v>
      </c>
      <c r="L415" s="59"/>
      <c r="M415" s="17">
        <v>4</v>
      </c>
      <c r="N415" s="59">
        <v>5</v>
      </c>
      <c r="O415" s="59">
        <v>4</v>
      </c>
      <c r="P415" s="101"/>
      <c r="Q415" s="59"/>
      <c r="R415" s="17"/>
      <c r="S415" s="17"/>
      <c r="T415" s="17"/>
      <c r="U415" s="17"/>
      <c r="V415" s="17"/>
      <c r="W415" s="59"/>
      <c r="X415" s="17"/>
      <c r="Y415" s="17"/>
      <c r="Z415" s="59"/>
      <c r="AA415" s="17"/>
      <c r="AB415" s="17"/>
      <c r="AC415" s="17"/>
      <c r="AD415" s="59"/>
      <c r="AE415" s="59"/>
      <c r="AF415" s="17"/>
      <c r="AG415" s="17"/>
      <c r="AH415" s="101"/>
      <c r="AI415" s="59"/>
      <c r="AJ415" s="17"/>
      <c r="AK415" s="101"/>
      <c r="AL415" s="17"/>
      <c r="AM415" s="99"/>
      <c r="AN415" s="99"/>
      <c r="AO415" s="101"/>
      <c r="AP415" s="59"/>
      <c r="AQ415" s="99"/>
      <c r="AR415">
        <f>F415 +G415</f>
        <v>5</v>
      </c>
    </row>
    <row r="416" spans="1:44" x14ac:dyDescent="0.25">
      <c r="A416" t="str">
        <f>B416 &amp; " - " &amp;E416</f>
        <v>Watford - Kaboul</v>
      </c>
      <c r="B416" t="s">
        <v>1393</v>
      </c>
      <c r="C416" t="str">
        <f ca="1">IFERROR(VLOOKUP(INDEX(OFFSET(_JOUEURS,0,0,,1),MATCH(A416,OFFSET(_JOUEURS,0,1,,1),0)),_MPG,2,FALSE),"")</f>
        <v/>
      </c>
      <c r="D416" s="104" t="s">
        <v>363</v>
      </c>
      <c r="E416" s="29" t="s">
        <v>1283</v>
      </c>
      <c r="F416" s="106">
        <v>2</v>
      </c>
      <c r="G416" s="101"/>
      <c r="H416" s="191"/>
      <c r="I416" s="27">
        <f>AVERAGE(L416,M416)</f>
        <v>4</v>
      </c>
      <c r="J416" s="124"/>
      <c r="K416" s="102"/>
      <c r="L416" s="200">
        <v>3</v>
      </c>
      <c r="M416" s="17">
        <v>5</v>
      </c>
      <c r="N416" s="59"/>
      <c r="O416" s="59"/>
      <c r="P416" s="101"/>
      <c r="Q416" s="59"/>
      <c r="R416" s="17"/>
      <c r="S416" s="17"/>
      <c r="T416" s="17"/>
      <c r="U416" s="17"/>
      <c r="V416" s="17"/>
      <c r="W416" s="59"/>
      <c r="X416" s="17"/>
      <c r="Y416" s="17"/>
      <c r="Z416" s="59"/>
      <c r="AA416" s="17"/>
      <c r="AB416" s="17"/>
      <c r="AC416" s="17"/>
      <c r="AD416" s="59"/>
      <c r="AE416" s="17"/>
      <c r="AF416" s="17"/>
      <c r="AG416" s="17"/>
      <c r="AH416" s="101"/>
      <c r="AI416" s="17"/>
      <c r="AJ416" s="17"/>
      <c r="AK416" s="101"/>
      <c r="AL416" s="17"/>
      <c r="AM416" s="99"/>
      <c r="AN416" s="101"/>
      <c r="AO416" s="101"/>
      <c r="AP416" s="59"/>
      <c r="AQ416" s="99"/>
      <c r="AR416">
        <f>F416 +G416</f>
        <v>2</v>
      </c>
    </row>
    <row r="417" spans="1:44" ht="15.75" thickBot="1" x14ac:dyDescent="0.3">
      <c r="A417" t="str">
        <f>B417 &amp; " - " &amp;E417</f>
        <v>Watford - Kabasele</v>
      </c>
      <c r="B417" t="s">
        <v>1393</v>
      </c>
      <c r="C417" t="str">
        <f ca="1">IFERROR(VLOOKUP(INDEX(OFFSET(_JOUEURS,0,0,,1),MATCH(A417,OFFSET(_JOUEURS,0,1,,1),0)),_MPG,2,FALSE),"")</f>
        <v/>
      </c>
      <c r="D417" s="128" t="s">
        <v>363</v>
      </c>
      <c r="E417" s="174" t="s">
        <v>1375</v>
      </c>
      <c r="F417" s="118">
        <v>1</v>
      </c>
      <c r="G417" s="119"/>
      <c r="H417" s="289"/>
      <c r="I417" s="92">
        <f>AVERAGE(L417)</f>
        <v>4</v>
      </c>
      <c r="J417" s="124"/>
      <c r="K417" s="171"/>
      <c r="L417" s="136">
        <v>4</v>
      </c>
      <c r="M417" s="17"/>
      <c r="N417" s="59"/>
      <c r="O417" s="59"/>
      <c r="P417" s="101"/>
      <c r="Q417" s="59"/>
      <c r="R417" s="17"/>
      <c r="S417" s="17"/>
      <c r="T417" s="17"/>
      <c r="U417" s="17"/>
      <c r="V417" s="17"/>
      <c r="W417" s="59"/>
      <c r="X417" s="17"/>
      <c r="Y417" s="17"/>
      <c r="Z417" s="59"/>
      <c r="AA417" s="17"/>
      <c r="AB417" s="17"/>
      <c r="AC417" s="17"/>
      <c r="AD417" s="59"/>
      <c r="AE417" s="17"/>
      <c r="AF417" s="17"/>
      <c r="AG417" s="17"/>
      <c r="AH417" s="101"/>
      <c r="AI417" s="17"/>
      <c r="AJ417" s="17"/>
      <c r="AK417" s="101"/>
      <c r="AL417" s="17"/>
      <c r="AM417" s="99"/>
      <c r="AN417" s="101"/>
      <c r="AO417" s="101"/>
      <c r="AP417" s="59"/>
      <c r="AQ417" s="99"/>
      <c r="AR417">
        <f>F417 +G417</f>
        <v>1</v>
      </c>
    </row>
    <row r="418" spans="1:44" x14ac:dyDescent="0.25">
      <c r="A418" t="str">
        <f>B418 &amp; " - " &amp;E418</f>
        <v>Watford - Janmaat</v>
      </c>
      <c r="B418" t="s">
        <v>1393</v>
      </c>
      <c r="C418" t="str">
        <f ca="1">IFERROR(VLOOKUP(INDEX(OFFSET(_JOUEURS,0,0,,1),MATCH(A418,OFFSET(_JOUEURS,0,1,,1),0)),_MPG,2,FALSE),"")</f>
        <v/>
      </c>
      <c r="D418" s="218" t="s">
        <v>363</v>
      </c>
      <c r="E418" s="219" t="s">
        <v>1376</v>
      </c>
      <c r="F418" s="203">
        <v>2</v>
      </c>
      <c r="G418" s="204">
        <v>1</v>
      </c>
      <c r="H418" s="264"/>
      <c r="I418" s="14">
        <f>AVERAGE(M418,N418)</f>
        <v>6</v>
      </c>
      <c r="J418" s="124"/>
      <c r="K418" s="171"/>
      <c r="L418" s="57" t="s">
        <v>364</v>
      </c>
      <c r="M418" s="17">
        <v>5</v>
      </c>
      <c r="N418" s="97">
        <v>7</v>
      </c>
      <c r="O418" s="59"/>
      <c r="P418" s="101"/>
      <c r="Q418" s="59"/>
      <c r="R418" s="17"/>
      <c r="S418" s="17"/>
      <c r="T418" s="17"/>
      <c r="U418" s="17"/>
      <c r="V418" s="17"/>
      <c r="W418" s="59"/>
      <c r="X418" s="17"/>
      <c r="Y418" s="17"/>
      <c r="Z418" s="59"/>
      <c r="AA418" s="17"/>
      <c r="AB418" s="17"/>
      <c r="AC418" s="17"/>
      <c r="AD418" s="59"/>
      <c r="AE418" s="17"/>
      <c r="AF418" s="17"/>
      <c r="AG418" s="17"/>
      <c r="AH418" s="101"/>
      <c r="AI418" s="17"/>
      <c r="AJ418" s="17"/>
      <c r="AK418" s="101"/>
      <c r="AL418" s="17"/>
      <c r="AM418" s="99"/>
      <c r="AN418" s="101"/>
      <c r="AO418" s="101"/>
      <c r="AP418" s="59"/>
      <c r="AQ418" s="99"/>
      <c r="AR418">
        <f>F418 +G418</f>
        <v>3</v>
      </c>
    </row>
    <row r="419" spans="1:44" x14ac:dyDescent="0.25">
      <c r="A419" t="str">
        <f>B419 &amp; " - " &amp;E419</f>
        <v>Watford - Mariappa</v>
      </c>
      <c r="B419" t="s">
        <v>1393</v>
      </c>
      <c r="C419" t="str">
        <f ca="1">IFERROR(VLOOKUP(INDEX(OFFSET(_JOUEURS,0,0,,1),MATCH(A419,OFFSET(_JOUEURS,0,1,,1),0)),_MPG,2,FALSE),"")</f>
        <v/>
      </c>
      <c r="D419" s="104" t="s">
        <v>363</v>
      </c>
      <c r="E419" s="109" t="s">
        <v>1377</v>
      </c>
      <c r="F419" s="106"/>
      <c r="G419" s="101"/>
      <c r="H419" s="191"/>
      <c r="I419" s="27"/>
      <c r="J419" s="124"/>
      <c r="K419" s="183"/>
      <c r="L419" s="136"/>
      <c r="M419" s="17"/>
      <c r="N419" s="59"/>
      <c r="O419" s="59"/>
      <c r="P419" s="101"/>
      <c r="Q419" s="59"/>
      <c r="R419" s="17"/>
      <c r="S419" s="17"/>
      <c r="T419" s="17"/>
      <c r="U419" s="17"/>
      <c r="V419" s="17"/>
      <c r="W419" s="59"/>
      <c r="X419" s="17"/>
      <c r="Y419" s="17"/>
      <c r="Z419" s="59"/>
      <c r="AA419" s="17"/>
      <c r="AB419" s="17"/>
      <c r="AC419" s="17"/>
      <c r="AD419" s="59"/>
      <c r="AE419" s="17"/>
      <c r="AF419" s="17"/>
      <c r="AG419" s="17"/>
      <c r="AH419" s="101"/>
      <c r="AI419" s="17"/>
      <c r="AJ419" s="17"/>
      <c r="AK419" s="101"/>
      <c r="AL419" s="17"/>
      <c r="AM419" s="99"/>
      <c r="AN419" s="101"/>
      <c r="AO419" s="101"/>
      <c r="AP419" s="59"/>
      <c r="AQ419" s="99"/>
      <c r="AR419">
        <f>F419 +G419</f>
        <v>0</v>
      </c>
    </row>
    <row r="420" spans="1:44" x14ac:dyDescent="0.25">
      <c r="A420" t="str">
        <f>B420 &amp; " - " &amp;E420</f>
        <v>Watford - Paredes</v>
      </c>
      <c r="B420" t="s">
        <v>1393</v>
      </c>
      <c r="C420" t="str">
        <f ca="1">IFERROR(VLOOKUP(INDEX(OFFSET(_JOUEURS,0,0,,1),MATCH(A420,OFFSET(_JOUEURS,0,1,,1),0)),_MPG,2,FALSE),"")</f>
        <v/>
      </c>
      <c r="D420" s="80" t="s">
        <v>363</v>
      </c>
      <c r="E420" s="111" t="s">
        <v>1378</v>
      </c>
      <c r="F420" s="137"/>
      <c r="G420" s="123"/>
      <c r="H420" s="190"/>
      <c r="I420" s="55"/>
      <c r="J420" s="70"/>
      <c r="K420" s="62"/>
      <c r="L420" s="57"/>
      <c r="M420" s="17"/>
      <c r="N420" s="59"/>
      <c r="O420" s="59"/>
      <c r="P420" s="101"/>
      <c r="Q420" s="59"/>
      <c r="R420" s="17"/>
      <c r="S420" s="17"/>
      <c r="T420" s="17"/>
      <c r="U420" s="17"/>
      <c r="V420" s="17"/>
      <c r="W420" s="59"/>
      <c r="X420" s="17"/>
      <c r="Y420" s="17"/>
      <c r="Z420" s="59"/>
      <c r="AA420" s="17"/>
      <c r="AB420" s="17"/>
      <c r="AC420" s="17"/>
      <c r="AD420" s="59"/>
      <c r="AE420" s="17"/>
      <c r="AF420" s="17"/>
      <c r="AG420" s="17"/>
      <c r="AH420" s="101"/>
      <c r="AI420" s="17"/>
      <c r="AJ420" s="17"/>
      <c r="AK420" s="101"/>
      <c r="AL420" s="17"/>
      <c r="AM420" s="99"/>
      <c r="AN420" s="101"/>
      <c r="AO420" s="101"/>
      <c r="AP420" s="59"/>
      <c r="AQ420" s="99"/>
      <c r="AR420">
        <f>F420 +G420</f>
        <v>0</v>
      </c>
    </row>
    <row r="421" spans="1:44" hidden="1" x14ac:dyDescent="0.25">
      <c r="A421" t="str">
        <f>B421 &amp; " - " &amp;E421</f>
        <v>Arsenal - Bellerin</v>
      </c>
      <c r="B421" t="s">
        <v>1423</v>
      </c>
      <c r="C421" t="str">
        <f ca="1">IFERROR(VLOOKUP(INDEX(OFFSET(_JOUEURS,0,0,,1),MATCH(A421,OFFSET(_JOUEURS,0,1,,1),0)),_MPG,2,FALSE),"")</f>
        <v>I speak pas english</v>
      </c>
      <c r="D421" s="104" t="s">
        <v>363</v>
      </c>
      <c r="E421" s="109" t="s">
        <v>1396</v>
      </c>
      <c r="F421" s="106">
        <v>6</v>
      </c>
      <c r="G421" s="101"/>
      <c r="H421" s="36"/>
      <c r="I421" s="27">
        <f>AVERAGE(J421,K421,L421,M421,N421,O421)</f>
        <v>5.5</v>
      </c>
      <c r="J421" s="173">
        <v>3</v>
      </c>
      <c r="K421" s="18">
        <v>6</v>
      </c>
      <c r="L421" s="28">
        <v>6</v>
      </c>
      <c r="M421" s="18">
        <v>6</v>
      </c>
      <c r="N421" s="28">
        <v>5</v>
      </c>
      <c r="O421" s="67">
        <v>7</v>
      </c>
      <c r="P421" s="21"/>
      <c r="Q421" s="28"/>
      <c r="R421" s="28"/>
      <c r="S421" s="17"/>
      <c r="T421" s="28"/>
      <c r="U421" s="18"/>
      <c r="V421" s="18"/>
      <c r="W421" s="28"/>
      <c r="X421" s="28"/>
      <c r="Y421" s="18"/>
      <c r="Z421" s="28"/>
      <c r="AA421" s="28"/>
      <c r="AB421" s="28"/>
      <c r="AC421" s="28"/>
      <c r="AD421" s="28"/>
      <c r="AE421" s="28"/>
      <c r="AF421" s="28"/>
      <c r="AG421" s="28"/>
      <c r="AH421" s="20"/>
      <c r="AI421" s="28"/>
      <c r="AJ421" s="28"/>
      <c r="AK421" s="20"/>
      <c r="AL421" s="18"/>
      <c r="AM421" s="20"/>
      <c r="AN421" s="20"/>
      <c r="AO421" s="20"/>
      <c r="AP421" s="28"/>
      <c r="AQ421" s="21"/>
      <c r="AR421">
        <f>F421 +G421</f>
        <v>6</v>
      </c>
    </row>
    <row r="422" spans="1:44" x14ac:dyDescent="0.25">
      <c r="A422" t="str">
        <f>B422 &amp; " - " &amp;E422</f>
        <v>Arsenal - Holding</v>
      </c>
      <c r="B422" t="s">
        <v>1423</v>
      </c>
      <c r="C422" t="str">
        <f ca="1">IFERROR(VLOOKUP(INDEX(OFFSET(_JOUEURS,0,0,,1),MATCH(A422,OFFSET(_JOUEURS,0,1,,1),0)),_MPG,2,FALSE),"")</f>
        <v/>
      </c>
      <c r="D422" s="104" t="s">
        <v>363</v>
      </c>
      <c r="E422" s="109" t="s">
        <v>1397</v>
      </c>
      <c r="F422" s="106">
        <v>3</v>
      </c>
      <c r="G422" s="101"/>
      <c r="H422" s="36"/>
      <c r="I422" s="27">
        <f>AVERAGE(J422,K422,L422)</f>
        <v>4.333333333333333</v>
      </c>
      <c r="J422" s="173">
        <v>3</v>
      </c>
      <c r="K422" s="59">
        <v>5</v>
      </c>
      <c r="L422" s="59">
        <v>5</v>
      </c>
      <c r="M422" s="18"/>
      <c r="N422" s="28"/>
      <c r="O422" s="28"/>
      <c r="P422" s="21"/>
      <c r="Q422" s="28"/>
      <c r="R422" s="18"/>
      <c r="S422" s="17"/>
      <c r="T422" s="18"/>
      <c r="U422" s="18"/>
      <c r="V422" s="18"/>
      <c r="W422" s="28"/>
      <c r="X422" s="16"/>
      <c r="Y422" s="18"/>
      <c r="Z422" s="28"/>
      <c r="AA422" s="18"/>
      <c r="AB422" s="18"/>
      <c r="AC422" s="18"/>
      <c r="AD422" s="28"/>
      <c r="AE422" s="16"/>
      <c r="AF422" s="18"/>
      <c r="AG422" s="18"/>
      <c r="AH422" s="21"/>
      <c r="AI422" s="18"/>
      <c r="AJ422" s="18"/>
      <c r="AK422" s="21"/>
      <c r="AL422" s="18"/>
      <c r="AM422" s="20"/>
      <c r="AN422" s="21"/>
      <c r="AO422" s="21"/>
      <c r="AP422" s="28"/>
      <c r="AQ422" s="21"/>
      <c r="AR422">
        <f>F422 +G422</f>
        <v>3</v>
      </c>
    </row>
    <row r="423" spans="1:44" hidden="1" x14ac:dyDescent="0.25">
      <c r="A423" t="str">
        <f>B423 &amp; " - " &amp;E423</f>
        <v>Arsenal - Monreal</v>
      </c>
      <c r="B423" t="s">
        <v>1423</v>
      </c>
      <c r="C423" t="str">
        <f ca="1">IFERROR(VLOOKUP(INDEX(OFFSET(_JOUEURS,0,0,,1),MATCH(A423,OFFSET(_JOUEURS,0,1,,1),0)),_MPG,2,FALSE),"")</f>
        <v>nut fc</v>
      </c>
      <c r="D423" s="104" t="s">
        <v>363</v>
      </c>
      <c r="E423" s="109" t="s">
        <v>1398</v>
      </c>
      <c r="F423" s="106">
        <v>6</v>
      </c>
      <c r="G423" s="101"/>
      <c r="H423" s="36"/>
      <c r="I423" s="27">
        <f>AVERAGE(J423,K423,L423,M423,N423,O423)</f>
        <v>5.333333333333333</v>
      </c>
      <c r="J423" s="173">
        <v>3</v>
      </c>
      <c r="K423" s="28">
        <v>6</v>
      </c>
      <c r="L423" s="28">
        <v>5</v>
      </c>
      <c r="M423" s="18">
        <v>6</v>
      </c>
      <c r="N423" s="28">
        <v>6</v>
      </c>
      <c r="O423" s="28">
        <v>6</v>
      </c>
      <c r="P423" s="21"/>
      <c r="Q423" s="28"/>
      <c r="R423" s="18"/>
      <c r="S423" s="17"/>
      <c r="T423" s="18"/>
      <c r="U423" s="18"/>
      <c r="V423" s="18"/>
      <c r="W423" s="28"/>
      <c r="X423" s="18"/>
      <c r="Y423" s="17"/>
      <c r="Z423" s="28"/>
      <c r="AA423" s="28"/>
      <c r="AB423" s="18"/>
      <c r="AC423" s="18"/>
      <c r="AD423" s="60"/>
      <c r="AE423" s="18"/>
      <c r="AF423" s="18"/>
      <c r="AG423" s="18"/>
      <c r="AH423" s="21"/>
      <c r="AI423" s="18"/>
      <c r="AJ423" s="18"/>
      <c r="AK423" s="20"/>
      <c r="AL423" s="18"/>
      <c r="AM423" s="20"/>
      <c r="AN423" s="21"/>
      <c r="AO423" s="20"/>
      <c r="AP423" s="28"/>
      <c r="AQ423" s="21"/>
      <c r="AR423">
        <f>F423 +G423</f>
        <v>6</v>
      </c>
    </row>
    <row r="424" spans="1:44" x14ac:dyDescent="0.25">
      <c r="A424" t="str">
        <f>B424 &amp; " - " &amp;E424</f>
        <v>Arsenal - Gibbs</v>
      </c>
      <c r="B424" t="s">
        <v>1423</v>
      </c>
      <c r="C424" t="str">
        <f ca="1">IFERROR(VLOOKUP(INDEX(OFFSET(_JOUEURS,0,0,,1),MATCH(A424,OFFSET(_JOUEURS,0,1,,1),0)),_MPG,2,FALSE),"")</f>
        <v/>
      </c>
      <c r="D424" s="104" t="s">
        <v>363</v>
      </c>
      <c r="E424" s="109" t="s">
        <v>1400</v>
      </c>
      <c r="F424" s="106"/>
      <c r="G424" s="101">
        <v>2</v>
      </c>
      <c r="H424" s="36"/>
      <c r="I424" s="27"/>
      <c r="J424" s="124"/>
      <c r="K424" s="18"/>
      <c r="L424" s="28" t="s">
        <v>364</v>
      </c>
      <c r="M424" s="18"/>
      <c r="N424" s="60"/>
      <c r="O424" s="28" t="s">
        <v>364</v>
      </c>
      <c r="P424" s="21"/>
      <c r="Q424" s="28"/>
      <c r="R424" s="18"/>
      <c r="S424" s="17"/>
      <c r="T424" s="18"/>
      <c r="U424" s="18"/>
      <c r="V424" s="28"/>
      <c r="W424" s="28"/>
      <c r="X424" s="17"/>
      <c r="Y424" s="17"/>
      <c r="Z424" s="28"/>
      <c r="AA424" s="16"/>
      <c r="AB424" s="18"/>
      <c r="AC424" s="18"/>
      <c r="AD424" s="59"/>
      <c r="AE424" s="18"/>
      <c r="AF424" s="18"/>
      <c r="AG424" s="18"/>
      <c r="AH424" s="21"/>
      <c r="AI424" s="18"/>
      <c r="AJ424" s="18"/>
      <c r="AK424" s="20"/>
      <c r="AL424" s="18"/>
      <c r="AM424" s="20"/>
      <c r="AN424" s="21"/>
      <c r="AO424" s="20"/>
      <c r="AP424" s="28"/>
      <c r="AQ424" s="21"/>
    </row>
    <row r="425" spans="1:44" hidden="1" x14ac:dyDescent="0.25">
      <c r="A425" t="str">
        <f>B425 &amp; " - " &amp;E425</f>
        <v>Arsenal - Mustafi</v>
      </c>
      <c r="B425" t="s">
        <v>1423</v>
      </c>
      <c r="C425" t="str">
        <f ca="1">IFERROR(VLOOKUP(INDEX(OFFSET(_JOUEURS,0,0,,1),MATCH(A425,OFFSET(_JOUEURS,0,1,,1),0)),_MPG,2,FALSE),"")</f>
        <v>Fuck-Tonio FC</v>
      </c>
      <c r="D425" s="104" t="s">
        <v>363</v>
      </c>
      <c r="E425" s="109" t="s">
        <v>1401</v>
      </c>
      <c r="F425" s="106">
        <v>3</v>
      </c>
      <c r="G425" s="101"/>
      <c r="H425" s="36"/>
      <c r="I425" s="27">
        <f>AVERAGE(M425,N425,O425)</f>
        <v>5.666666666666667</v>
      </c>
      <c r="J425" s="124"/>
      <c r="K425" s="18"/>
      <c r="L425" s="28"/>
      <c r="M425" s="18">
        <v>5</v>
      </c>
      <c r="N425" s="59">
        <v>6</v>
      </c>
      <c r="O425" s="28">
        <v>6</v>
      </c>
      <c r="P425" s="21"/>
      <c r="Q425" s="28"/>
      <c r="R425" s="18"/>
      <c r="S425" s="17"/>
      <c r="T425" s="18"/>
      <c r="U425" s="18"/>
      <c r="V425" s="28"/>
      <c r="W425" s="28"/>
      <c r="X425" s="17"/>
      <c r="Y425" s="17"/>
      <c r="Z425" s="28"/>
      <c r="AA425" s="16"/>
      <c r="AB425" s="18"/>
      <c r="AC425" s="18"/>
      <c r="AD425" s="59"/>
      <c r="AE425" s="18"/>
      <c r="AF425" s="18"/>
      <c r="AG425" s="18"/>
      <c r="AH425" s="21"/>
      <c r="AI425" s="18"/>
      <c r="AJ425" s="18"/>
      <c r="AK425" s="20"/>
      <c r="AL425" s="18"/>
      <c r="AM425" s="20"/>
      <c r="AN425" s="21"/>
      <c r="AO425" s="20"/>
      <c r="AP425" s="28"/>
      <c r="AQ425" s="21"/>
      <c r="AR425">
        <f>F425 +G425</f>
        <v>3</v>
      </c>
    </row>
    <row r="426" spans="1:44" x14ac:dyDescent="0.25">
      <c r="A426" t="str">
        <f>B426 &amp; " - " &amp;E426</f>
        <v>Arsenal - Gabriel</v>
      </c>
      <c r="B426" t="s">
        <v>1423</v>
      </c>
      <c r="C426" t="str">
        <f ca="1">IFERROR(VLOOKUP(INDEX(OFFSET(_JOUEURS,0,0,,1),MATCH(A426,OFFSET(_JOUEURS,0,1,,1),0)),_MPG,2,FALSE),"")</f>
        <v/>
      </c>
      <c r="D426" s="104" t="s">
        <v>363</v>
      </c>
      <c r="E426" s="109" t="s">
        <v>1402</v>
      </c>
      <c r="F426" s="106"/>
      <c r="G426" s="101"/>
      <c r="H426" s="36"/>
      <c r="I426" s="27"/>
      <c r="J426" s="124"/>
      <c r="K426" s="28"/>
      <c r="L426" s="28"/>
      <c r="M426" s="18"/>
      <c r="N426" s="60"/>
      <c r="O426" s="28"/>
      <c r="P426" s="21"/>
      <c r="Q426" s="28"/>
      <c r="R426" s="18"/>
      <c r="S426" s="17"/>
      <c r="T426" s="18"/>
      <c r="U426" s="18"/>
      <c r="V426" s="28"/>
      <c r="W426" s="28"/>
      <c r="X426" s="17"/>
      <c r="Y426" s="17"/>
      <c r="Z426" s="28"/>
      <c r="AA426" s="16"/>
      <c r="AB426" s="18"/>
      <c r="AC426" s="18"/>
      <c r="AD426" s="59"/>
      <c r="AE426" s="18"/>
      <c r="AF426" s="18"/>
      <c r="AG426" s="18"/>
      <c r="AH426" s="21"/>
      <c r="AI426" s="18"/>
      <c r="AJ426" s="18"/>
      <c r="AK426" s="20"/>
      <c r="AL426" s="18"/>
      <c r="AM426" s="20"/>
      <c r="AN426" s="21"/>
      <c r="AO426" s="20"/>
      <c r="AP426" s="28"/>
      <c r="AQ426" s="21"/>
      <c r="AR426">
        <f>F426 +G426</f>
        <v>0</v>
      </c>
    </row>
    <row r="427" spans="1:44" x14ac:dyDescent="0.25">
      <c r="A427" t="str">
        <f>B427 &amp; " - " &amp;E427</f>
        <v>Arsenal - Debuchy</v>
      </c>
      <c r="B427" t="s">
        <v>1423</v>
      </c>
      <c r="C427" t="str">
        <f ca="1">IFERROR(VLOOKUP(INDEX(OFFSET(_JOUEURS,0,0,,1),MATCH(A427,OFFSET(_JOUEURS,0,1,,1),0)),_MPG,2,FALSE),"")</f>
        <v/>
      </c>
      <c r="D427" s="152" t="s">
        <v>363</v>
      </c>
      <c r="E427" s="109" t="s">
        <v>1403</v>
      </c>
      <c r="F427" s="106"/>
      <c r="G427" s="101"/>
      <c r="H427" s="36"/>
      <c r="I427" s="27"/>
      <c r="J427" s="124"/>
      <c r="K427" s="28"/>
      <c r="L427" s="28"/>
      <c r="M427" s="18"/>
      <c r="N427" s="60"/>
      <c r="O427" s="28"/>
      <c r="P427" s="21"/>
      <c r="Q427" s="28"/>
      <c r="R427" s="18"/>
      <c r="S427" s="17"/>
      <c r="T427" s="18"/>
      <c r="U427" s="18"/>
      <c r="V427" s="28"/>
      <c r="W427" s="28"/>
      <c r="X427" s="17"/>
      <c r="Y427" s="17"/>
      <c r="Z427" s="28"/>
      <c r="AA427" s="16"/>
      <c r="AB427" s="18"/>
      <c r="AC427" s="18"/>
      <c r="AD427" s="59"/>
      <c r="AE427" s="18"/>
      <c r="AF427" s="18"/>
      <c r="AG427" s="18"/>
      <c r="AH427" s="21"/>
      <c r="AI427" s="18"/>
      <c r="AJ427" s="18"/>
      <c r="AK427" s="20"/>
      <c r="AL427" s="18"/>
      <c r="AM427" s="20"/>
      <c r="AN427" s="21"/>
      <c r="AO427" s="20"/>
      <c r="AP427" s="28"/>
      <c r="AQ427" s="21"/>
      <c r="AR427">
        <f>F427 +G427</f>
        <v>0</v>
      </c>
    </row>
    <row r="428" spans="1:44" x14ac:dyDescent="0.25">
      <c r="A428" t="str">
        <f>B428 &amp; " - " &amp;E428</f>
        <v>Arsenal - Jenkinson</v>
      </c>
      <c r="B428" t="s">
        <v>1423</v>
      </c>
      <c r="C428" t="str">
        <f ca="1">IFERROR(VLOOKUP(INDEX(OFFSET(_JOUEURS,0,0,,1),MATCH(A428,OFFSET(_JOUEURS,0,1,,1),0)),_MPG,2,FALSE),"")</f>
        <v/>
      </c>
      <c r="D428" s="148" t="s">
        <v>363</v>
      </c>
      <c r="E428" s="111" t="s">
        <v>1404</v>
      </c>
      <c r="F428" s="137"/>
      <c r="G428" s="123"/>
      <c r="H428" s="81"/>
      <c r="I428" s="55"/>
      <c r="J428" s="124"/>
      <c r="K428" s="28"/>
      <c r="L428" s="28"/>
      <c r="M428" s="18"/>
      <c r="N428" s="60"/>
      <c r="O428" s="28"/>
      <c r="P428" s="21"/>
      <c r="Q428" s="28"/>
      <c r="R428" s="18"/>
      <c r="S428" s="17"/>
      <c r="T428" s="18"/>
      <c r="U428" s="18"/>
      <c r="V428" s="28"/>
      <c r="W428" s="28"/>
      <c r="X428" s="17"/>
      <c r="Y428" s="17"/>
      <c r="Z428" s="28"/>
      <c r="AA428" s="16"/>
      <c r="AB428" s="18"/>
      <c r="AC428" s="18"/>
      <c r="AD428" s="59"/>
      <c r="AE428" s="18"/>
      <c r="AF428" s="18"/>
      <c r="AG428" s="18"/>
      <c r="AH428" s="21"/>
      <c r="AI428" s="18"/>
      <c r="AJ428" s="18"/>
      <c r="AK428" s="20"/>
      <c r="AL428" s="18"/>
      <c r="AM428" s="20"/>
      <c r="AN428" s="21"/>
      <c r="AO428" s="20"/>
      <c r="AP428" s="28"/>
      <c r="AQ428" s="21"/>
      <c r="AR428">
        <f>F428 +G428</f>
        <v>0</v>
      </c>
    </row>
    <row r="429" spans="1:44" x14ac:dyDescent="0.25">
      <c r="A429" t="str">
        <f>B429 &amp; " - " &amp;E429</f>
        <v>Arsenal - Mertesacker</v>
      </c>
      <c r="B429" t="s">
        <v>1423</v>
      </c>
      <c r="C429" t="str">
        <f ca="1">IFERROR(VLOOKUP(INDEX(OFFSET(_JOUEURS,0,0,,1),MATCH(A429,OFFSET(_JOUEURS,0,1,,1),0)),_MPG,2,FALSE),"")</f>
        <v/>
      </c>
      <c r="D429" s="104" t="s">
        <v>363</v>
      </c>
      <c r="E429" s="29" t="s">
        <v>1405</v>
      </c>
      <c r="F429" s="106"/>
      <c r="G429" s="101"/>
      <c r="H429" s="191"/>
      <c r="I429" s="27"/>
      <c r="J429" s="124"/>
      <c r="K429" s="18"/>
      <c r="L429" s="28"/>
      <c r="M429" s="18"/>
      <c r="N429" s="28"/>
      <c r="O429" s="28"/>
      <c r="P429" s="21"/>
      <c r="Q429" s="60"/>
      <c r="R429" s="18"/>
      <c r="S429" s="17"/>
      <c r="T429" s="18"/>
      <c r="U429" s="18"/>
      <c r="V429" s="18"/>
      <c r="W429" s="28"/>
      <c r="X429" s="18"/>
      <c r="Y429" s="18"/>
      <c r="Z429" s="28"/>
      <c r="AA429" s="18"/>
      <c r="AB429" s="18"/>
      <c r="AC429" s="18"/>
      <c r="AD429" s="28"/>
      <c r="AE429" s="18"/>
      <c r="AF429" s="18"/>
      <c r="AG429" s="18"/>
      <c r="AH429" s="21"/>
      <c r="AI429" s="18"/>
      <c r="AJ429" s="18"/>
      <c r="AK429" s="21"/>
      <c r="AL429" s="18"/>
      <c r="AM429" s="20"/>
      <c r="AN429" s="21"/>
      <c r="AO429" s="21"/>
      <c r="AP429" s="28"/>
      <c r="AQ429" s="21"/>
      <c r="AR429">
        <f>F429 +G429</f>
        <v>0</v>
      </c>
    </row>
    <row r="430" spans="1:44" hidden="1" x14ac:dyDescent="0.25">
      <c r="A430" t="str">
        <f>B430 &amp; " - " &amp;E430</f>
        <v>Liverpool - Clyne</v>
      </c>
      <c r="B430" t="s">
        <v>1446</v>
      </c>
      <c r="C430" t="str">
        <f ca="1">IFERROR(VLOOKUP(INDEX(OFFSET(_JOUEURS,0,0,,1),MATCH(A430,OFFSET(_JOUEURS,0,1,,1),0)),_MPG,2,FALSE),"")</f>
        <v>nut fc</v>
      </c>
      <c r="D430" s="23" t="s">
        <v>363</v>
      </c>
      <c r="E430" s="29" t="s">
        <v>1427</v>
      </c>
      <c r="F430" s="25">
        <v>6</v>
      </c>
      <c r="G430" s="77"/>
      <c r="H430" s="56"/>
      <c r="I430" s="27">
        <f>AVERAGE(J430,K430,L430,M430,N430,O430)</f>
        <v>4.833333333333333</v>
      </c>
      <c r="J430" s="124">
        <v>5</v>
      </c>
      <c r="K430" s="114">
        <v>3</v>
      </c>
      <c r="L430" s="59">
        <v>4</v>
      </c>
      <c r="M430" s="17">
        <v>5</v>
      </c>
      <c r="N430" s="59">
        <v>6</v>
      </c>
      <c r="O430" s="59">
        <v>6</v>
      </c>
      <c r="P430" s="101"/>
      <c r="Q430" s="59"/>
      <c r="R430" s="17"/>
      <c r="S430" s="17"/>
      <c r="T430" s="17"/>
      <c r="U430" s="17"/>
      <c r="V430" s="17"/>
      <c r="W430" s="59"/>
      <c r="X430" s="17"/>
      <c r="Y430" s="17"/>
      <c r="Z430" s="59"/>
      <c r="AA430" s="17"/>
      <c r="AB430" s="17"/>
      <c r="AC430" s="17"/>
      <c r="AD430" s="59"/>
      <c r="AE430" s="17"/>
      <c r="AF430" s="17"/>
      <c r="AG430" s="17"/>
      <c r="AH430" s="101"/>
      <c r="AI430" s="17"/>
      <c r="AJ430" s="17"/>
      <c r="AK430" s="101"/>
      <c r="AL430" s="17"/>
      <c r="AM430" s="99"/>
      <c r="AN430" s="101"/>
      <c r="AO430" s="101"/>
      <c r="AP430" s="59"/>
      <c r="AQ430" s="101"/>
      <c r="AR430">
        <f>F430 +G430</f>
        <v>6</v>
      </c>
    </row>
    <row r="431" spans="1:44" x14ac:dyDescent="0.25">
      <c r="A431" t="str">
        <f>B431 &amp; " - " &amp;E431</f>
        <v>Liverpool - Klavan</v>
      </c>
      <c r="B431" t="s">
        <v>1446</v>
      </c>
      <c r="C431" t="str">
        <f ca="1">IFERROR(VLOOKUP(INDEX(OFFSET(_JOUEURS,0,0,,1),MATCH(A431,OFFSET(_JOUEURS,0,1,,1),0)),_MPG,2,FALSE),"")</f>
        <v/>
      </c>
      <c r="D431" s="104" t="s">
        <v>363</v>
      </c>
      <c r="E431" s="29" t="s">
        <v>1429</v>
      </c>
      <c r="F431" s="106">
        <v>3</v>
      </c>
      <c r="G431" s="101"/>
      <c r="H431" s="36"/>
      <c r="I431" s="135">
        <f>AVERAGE(J431,K431,O431)</f>
        <v>5.333333333333333</v>
      </c>
      <c r="J431" s="124">
        <v>5</v>
      </c>
      <c r="K431" s="17">
        <v>4</v>
      </c>
      <c r="L431" s="59"/>
      <c r="M431" s="17"/>
      <c r="N431" s="59"/>
      <c r="O431" s="97">
        <v>7</v>
      </c>
      <c r="P431" s="101"/>
      <c r="Q431" s="59"/>
      <c r="R431" s="17"/>
      <c r="S431" s="17"/>
      <c r="T431" s="17"/>
      <c r="U431" s="17"/>
      <c r="V431" s="17"/>
      <c r="W431" s="59"/>
      <c r="X431" s="17"/>
      <c r="Y431" s="17"/>
      <c r="Z431" s="59"/>
      <c r="AA431" s="17"/>
      <c r="AB431" s="59"/>
      <c r="AC431" s="17"/>
      <c r="AD431" s="59"/>
      <c r="AE431" s="17"/>
      <c r="AF431" s="17"/>
      <c r="AG431" s="17"/>
      <c r="AH431" s="101"/>
      <c r="AI431" s="17"/>
      <c r="AJ431" s="17"/>
      <c r="AK431" s="101"/>
      <c r="AL431" s="17"/>
      <c r="AM431" s="99"/>
      <c r="AN431" s="101"/>
      <c r="AO431" s="101"/>
      <c r="AP431" s="59"/>
      <c r="AQ431" s="101"/>
      <c r="AR431">
        <f>F431 +G431</f>
        <v>3</v>
      </c>
    </row>
    <row r="432" spans="1:44" x14ac:dyDescent="0.25">
      <c r="A432" t="str">
        <f>B432 &amp; " - " &amp;E432</f>
        <v>Liverpool - Moreno</v>
      </c>
      <c r="B432" t="s">
        <v>1446</v>
      </c>
      <c r="C432" t="str">
        <f ca="1">IFERROR(VLOOKUP(INDEX(OFFSET(_JOUEURS,0,0,,1),MATCH(A432,OFFSET(_JOUEURS,0,1,,1),0)),_MPG,2,FALSE),"")</f>
        <v/>
      </c>
      <c r="D432" s="23" t="s">
        <v>363</v>
      </c>
      <c r="E432" s="29" t="s">
        <v>1430</v>
      </c>
      <c r="F432" s="25">
        <v>1</v>
      </c>
      <c r="G432" s="77">
        <v>2</v>
      </c>
      <c r="H432" s="56"/>
      <c r="I432" s="27">
        <f>AVERAGE(J432)</f>
        <v>3</v>
      </c>
      <c r="J432" s="173">
        <v>3</v>
      </c>
      <c r="K432" s="28" t="s">
        <v>364</v>
      </c>
      <c r="L432" s="59"/>
      <c r="M432" s="28" t="s">
        <v>364</v>
      </c>
      <c r="N432" s="59"/>
      <c r="O432" s="59"/>
      <c r="P432" s="101"/>
      <c r="Q432" s="59"/>
      <c r="R432" s="17"/>
      <c r="S432" s="17"/>
      <c r="T432" s="17"/>
      <c r="U432" s="17"/>
      <c r="V432" s="17"/>
      <c r="W432" s="59"/>
      <c r="X432" s="17"/>
      <c r="Y432" s="17"/>
      <c r="Z432" s="59"/>
      <c r="AA432" s="17"/>
      <c r="AB432" s="17"/>
      <c r="AC432" s="17"/>
      <c r="AD432" s="59"/>
      <c r="AE432" s="17"/>
      <c r="AF432" s="17"/>
      <c r="AG432" s="17"/>
      <c r="AH432" s="101"/>
      <c r="AI432" s="17"/>
      <c r="AJ432" s="17"/>
      <c r="AK432" s="99"/>
      <c r="AL432" s="17"/>
      <c r="AM432" s="99"/>
      <c r="AN432" s="101"/>
      <c r="AO432" s="99"/>
      <c r="AP432" s="59"/>
      <c r="AQ432" s="101"/>
      <c r="AR432">
        <f>F432 +G432</f>
        <v>3</v>
      </c>
    </row>
    <row r="433" spans="1:44" x14ac:dyDescent="0.25">
      <c r="A433" t="str">
        <f>B433 &amp; " - " &amp;E433</f>
        <v>Liverpool - Stewart</v>
      </c>
      <c r="B433" t="s">
        <v>1446</v>
      </c>
      <c r="C433" t="str">
        <f ca="1">IFERROR(VLOOKUP(INDEX(OFFSET(_JOUEURS,0,0,,1),MATCH(A433,OFFSET(_JOUEURS,0,1,,1),0)),_MPG,2,FALSE),"")</f>
        <v/>
      </c>
      <c r="D433" s="23" t="s">
        <v>363</v>
      </c>
      <c r="E433" s="29" t="s">
        <v>1431</v>
      </c>
      <c r="F433" s="25"/>
      <c r="G433" s="77">
        <v>4</v>
      </c>
      <c r="H433" s="56"/>
      <c r="I433" s="27"/>
      <c r="J433" s="70" t="s">
        <v>364</v>
      </c>
      <c r="K433" s="17"/>
      <c r="L433" s="28" t="s">
        <v>364</v>
      </c>
      <c r="M433" s="28" t="s">
        <v>364</v>
      </c>
      <c r="N433" s="28" t="s">
        <v>364</v>
      </c>
      <c r="O433" s="59"/>
      <c r="P433" s="101"/>
      <c r="Q433" s="59"/>
      <c r="R433" s="17"/>
      <c r="S433" s="17"/>
      <c r="T433" s="17"/>
      <c r="U433" s="17"/>
      <c r="V433" s="17"/>
      <c r="W433" s="59"/>
      <c r="X433" s="17"/>
      <c r="Y433" s="17"/>
      <c r="Z433" s="59"/>
      <c r="AA433" s="17"/>
      <c r="AB433" s="17"/>
      <c r="AC433" s="17"/>
      <c r="AD433" s="59"/>
      <c r="AE433" s="17"/>
      <c r="AF433" s="17"/>
      <c r="AG433" s="17"/>
      <c r="AH433" s="101"/>
      <c r="AI433" s="17"/>
      <c r="AJ433" s="17"/>
      <c r="AK433" s="99"/>
      <c r="AL433" s="17"/>
      <c r="AM433" s="99"/>
      <c r="AN433" s="101"/>
      <c r="AO433" s="99"/>
      <c r="AP433" s="59"/>
      <c r="AQ433" s="101"/>
      <c r="AR433">
        <f>F433 +G433</f>
        <v>4</v>
      </c>
    </row>
    <row r="434" spans="1:44" hidden="1" x14ac:dyDescent="0.25">
      <c r="A434" t="str">
        <f>B434 &amp; " - " &amp;E434</f>
        <v>Liverpool - Matip</v>
      </c>
      <c r="B434" t="s">
        <v>1446</v>
      </c>
      <c r="C434" t="str">
        <f ca="1">IFERROR(VLOOKUP(INDEX(OFFSET(_JOUEURS,0,0,,1),MATCH(A434,OFFSET(_JOUEURS,0,1,,1),0)),_MPG,2,FALSE),"")</f>
        <v>myteam</v>
      </c>
      <c r="D434" s="23" t="s">
        <v>363</v>
      </c>
      <c r="E434" s="29" t="s">
        <v>1432</v>
      </c>
      <c r="F434" s="25">
        <v>4</v>
      </c>
      <c r="G434" s="77"/>
      <c r="H434" s="56"/>
      <c r="I434" s="27">
        <f>AVERAGE(L434,M434,N434,O434)</f>
        <v>5.75</v>
      </c>
      <c r="J434" s="124"/>
      <c r="K434" s="17"/>
      <c r="L434" s="28">
        <v>5</v>
      </c>
      <c r="M434" s="17">
        <v>6</v>
      </c>
      <c r="N434" s="59">
        <v>6</v>
      </c>
      <c r="O434" s="59">
        <v>6</v>
      </c>
      <c r="P434" s="101"/>
      <c r="Q434" s="59"/>
      <c r="R434" s="17"/>
      <c r="S434" s="17"/>
      <c r="T434" s="17"/>
      <c r="U434" s="17"/>
      <c r="V434" s="17"/>
      <c r="W434" s="59"/>
      <c r="X434" s="17"/>
      <c r="Y434" s="17"/>
      <c r="Z434" s="59"/>
      <c r="AA434" s="17"/>
      <c r="AB434" s="17"/>
      <c r="AC434" s="17"/>
      <c r="AD434" s="59"/>
      <c r="AE434" s="17"/>
      <c r="AF434" s="17"/>
      <c r="AG434" s="17"/>
      <c r="AH434" s="101"/>
      <c r="AI434" s="17"/>
      <c r="AJ434" s="17"/>
      <c r="AK434" s="101"/>
      <c r="AL434" s="17"/>
      <c r="AM434" s="99"/>
      <c r="AN434" s="101"/>
      <c r="AO434" s="101"/>
      <c r="AP434" s="59"/>
      <c r="AQ434" s="101"/>
      <c r="AR434">
        <f>F434 +G434</f>
        <v>4</v>
      </c>
    </row>
    <row r="435" spans="1:44" x14ac:dyDescent="0.25">
      <c r="A435" t="str">
        <f>B435 &amp; " - " &amp;E435</f>
        <v>Liverpool - Sakho</v>
      </c>
      <c r="B435" t="s">
        <v>1446</v>
      </c>
      <c r="C435" t="str">
        <f ca="1">IFERROR(VLOOKUP(INDEX(OFFSET(_JOUEURS,0,0,,1),MATCH(A435,OFFSET(_JOUEURS,0,1,,1),0)),_MPG,2,FALSE),"")</f>
        <v/>
      </c>
      <c r="D435" s="23" t="s">
        <v>363</v>
      </c>
      <c r="E435" s="29" t="s">
        <v>1210</v>
      </c>
      <c r="F435" s="25"/>
      <c r="G435" s="77"/>
      <c r="H435" s="56"/>
      <c r="I435" s="27"/>
      <c r="J435" s="124"/>
      <c r="K435" s="17"/>
      <c r="L435" s="28"/>
      <c r="M435" s="17"/>
      <c r="N435" s="59"/>
      <c r="O435" s="59"/>
      <c r="P435" s="101"/>
      <c r="Q435" s="59"/>
      <c r="R435" s="17"/>
      <c r="S435" s="17"/>
      <c r="T435" s="17"/>
      <c r="U435" s="17"/>
      <c r="V435" s="17"/>
      <c r="W435" s="59"/>
      <c r="X435" s="17"/>
      <c r="Y435" s="17"/>
      <c r="Z435" s="59"/>
      <c r="AA435" s="17"/>
      <c r="AB435" s="17"/>
      <c r="AC435" s="17"/>
      <c r="AD435" s="59"/>
      <c r="AE435" s="17"/>
      <c r="AF435" s="17"/>
      <c r="AG435" s="17"/>
      <c r="AH435" s="101"/>
      <c r="AI435" s="17"/>
      <c r="AJ435" s="17"/>
      <c r="AK435" s="101"/>
      <c r="AL435" s="17"/>
      <c r="AM435" s="99"/>
      <c r="AN435" s="101"/>
      <c r="AO435" s="101"/>
      <c r="AP435" s="59"/>
      <c r="AQ435" s="101"/>
      <c r="AR435">
        <f>F435 +G435</f>
        <v>0</v>
      </c>
    </row>
    <row r="436" spans="1:44" x14ac:dyDescent="0.25">
      <c r="A436" t="str">
        <f>B436 &amp; " - " &amp;E436</f>
        <v>Liverpool - Ilori</v>
      </c>
      <c r="B436" t="s">
        <v>1446</v>
      </c>
      <c r="C436" t="str">
        <f ca="1">IFERROR(VLOOKUP(INDEX(OFFSET(_JOUEURS,0,0,,1),MATCH(A436,OFFSET(_JOUEURS,0,1,,1),0)),_MPG,2,FALSE),"")</f>
        <v/>
      </c>
      <c r="D436" s="52" t="s">
        <v>363</v>
      </c>
      <c r="E436" s="197" t="s">
        <v>1433</v>
      </c>
      <c r="F436" s="54"/>
      <c r="G436" s="88"/>
      <c r="H436" s="53"/>
      <c r="I436" s="55"/>
      <c r="J436" s="124"/>
      <c r="K436" s="17"/>
      <c r="L436" s="59"/>
      <c r="M436" s="17"/>
      <c r="N436" s="59"/>
      <c r="O436" s="59"/>
      <c r="P436" s="101"/>
      <c r="Q436" s="59"/>
      <c r="R436" s="17"/>
      <c r="S436" s="17"/>
      <c r="T436" s="17"/>
      <c r="U436" s="17"/>
      <c r="V436" s="17"/>
      <c r="W436" s="59"/>
      <c r="X436" s="17"/>
      <c r="Y436" s="17"/>
      <c r="Z436" s="59"/>
      <c r="AA436" s="17"/>
      <c r="AB436" s="17"/>
      <c r="AC436" s="17"/>
      <c r="AD436" s="59"/>
      <c r="AE436" s="17"/>
      <c r="AF436" s="17"/>
      <c r="AG436" s="17"/>
      <c r="AH436" s="101"/>
      <c r="AI436" s="17"/>
      <c r="AJ436" s="17"/>
      <c r="AK436" s="101"/>
      <c r="AL436" s="17"/>
      <c r="AM436" s="99"/>
      <c r="AN436" s="101"/>
      <c r="AO436" s="101"/>
      <c r="AP436" s="59"/>
      <c r="AQ436" s="101"/>
      <c r="AR436">
        <f>F436 +G436</f>
        <v>0</v>
      </c>
    </row>
    <row r="437" spans="1:44" x14ac:dyDescent="0.25">
      <c r="A437" t="str">
        <f>B437 &amp; " - " &amp;E437</f>
        <v>Bournemouth - B. Smith</v>
      </c>
      <c r="B437" t="s">
        <v>1474</v>
      </c>
      <c r="C437" t="str">
        <f ca="1">IFERROR(VLOOKUP(INDEX(OFFSET(_JOUEURS,0,0,,1),MATCH(A437,OFFSET(_JOUEURS,0,1,,1),0)),_MPG,2,FALSE),"")</f>
        <v/>
      </c>
      <c r="D437" s="23" t="s">
        <v>363</v>
      </c>
      <c r="E437" s="56" t="s">
        <v>1451</v>
      </c>
      <c r="F437" s="106">
        <v>1</v>
      </c>
      <c r="G437" s="101"/>
      <c r="H437" s="36"/>
      <c r="I437" s="27">
        <f>AVERAGE(O437)</f>
        <v>6</v>
      </c>
      <c r="J437" s="177"/>
      <c r="K437" s="136"/>
      <c r="L437" s="59"/>
      <c r="M437" s="17"/>
      <c r="N437" s="17"/>
      <c r="O437" s="17">
        <v>6</v>
      </c>
      <c r="P437" s="101"/>
      <c r="Q437" s="17"/>
      <c r="R437" s="17"/>
      <c r="S437" s="17"/>
      <c r="T437" s="17"/>
      <c r="U437" s="17"/>
      <c r="V437" s="17"/>
      <c r="W437" s="17"/>
      <c r="X437" s="17"/>
      <c r="Y437" s="59"/>
      <c r="Z437" s="17"/>
      <c r="AA437" s="17"/>
      <c r="AB437" s="17"/>
      <c r="AC437" s="17"/>
      <c r="AD437" s="17"/>
      <c r="AE437" s="17"/>
      <c r="AF437" s="17"/>
      <c r="AG437" s="17"/>
      <c r="AH437" s="101"/>
      <c r="AI437" s="17"/>
      <c r="AJ437" s="17"/>
      <c r="AK437" s="101"/>
      <c r="AL437" s="59"/>
      <c r="AM437" s="101"/>
      <c r="AN437" s="101"/>
      <c r="AO437" s="101"/>
      <c r="AP437" s="17"/>
      <c r="AQ437" s="101"/>
      <c r="AR437">
        <f>F437 +G437</f>
        <v>1</v>
      </c>
    </row>
    <row r="438" spans="1:44" x14ac:dyDescent="0.25">
      <c r="A438" t="str">
        <f>B438 &amp; " - " &amp;E438</f>
        <v>Bournemouth - Francis</v>
      </c>
      <c r="B438" t="s">
        <v>1474</v>
      </c>
      <c r="C438" t="str">
        <f ca="1">IFERROR(VLOOKUP(INDEX(OFFSET(_JOUEURS,0,0,,1),MATCH(A438,OFFSET(_JOUEURS,0,1,,1),0)),_MPG,2,FALSE),"")</f>
        <v/>
      </c>
      <c r="D438" s="23" t="s">
        <v>363</v>
      </c>
      <c r="E438" s="29" t="s">
        <v>1452</v>
      </c>
      <c r="F438" s="106">
        <v>6</v>
      </c>
      <c r="G438" s="101"/>
      <c r="H438" s="36"/>
      <c r="I438" s="27">
        <f>AVERAGE(J438,K438,L438,M438,N438,O438)</f>
        <v>4.666666666666667</v>
      </c>
      <c r="J438" s="185">
        <v>3</v>
      </c>
      <c r="K438" s="59">
        <v>5</v>
      </c>
      <c r="L438" s="136">
        <v>5</v>
      </c>
      <c r="M438" s="59">
        <v>6</v>
      </c>
      <c r="N438" s="114">
        <v>3</v>
      </c>
      <c r="O438" s="17">
        <v>6</v>
      </c>
      <c r="P438" s="101"/>
      <c r="Q438" s="17"/>
      <c r="R438" s="17"/>
      <c r="S438" s="17"/>
      <c r="T438" s="17"/>
      <c r="U438" s="17"/>
      <c r="V438" s="17"/>
      <c r="W438" s="17"/>
      <c r="X438" s="17"/>
      <c r="Y438" s="17"/>
      <c r="Z438" s="17"/>
      <c r="AA438" s="17"/>
      <c r="AB438" s="17"/>
      <c r="AC438" s="17"/>
      <c r="AD438" s="17"/>
      <c r="AE438" s="17"/>
      <c r="AF438" s="17"/>
      <c r="AG438" s="17"/>
      <c r="AH438" s="101"/>
      <c r="AI438" s="17"/>
      <c r="AJ438" s="17"/>
      <c r="AK438" s="101"/>
      <c r="AL438" s="59"/>
      <c r="AM438" s="101"/>
      <c r="AN438" s="101"/>
      <c r="AO438" s="101"/>
      <c r="AP438" s="17"/>
      <c r="AQ438" s="101"/>
      <c r="AR438">
        <f>F438 +G438</f>
        <v>6</v>
      </c>
    </row>
    <row r="439" spans="1:44" hidden="1" x14ac:dyDescent="0.25">
      <c r="A439" t="str">
        <f>B439 &amp; " - " &amp;E439</f>
        <v>Bournemouth - S. Cook</v>
      </c>
      <c r="B439" t="s">
        <v>1474</v>
      </c>
      <c r="C439" t="str">
        <f ca="1">IFERROR(VLOOKUP(INDEX(OFFSET(_JOUEURS,0,0,,1),MATCH(A439,OFFSET(_JOUEURS,0,1,,1),0)),_MPG,2,FALSE),"")</f>
        <v>myteam</v>
      </c>
      <c r="D439" s="104" t="s">
        <v>363</v>
      </c>
      <c r="E439" s="163" t="s">
        <v>1453</v>
      </c>
      <c r="F439" s="106">
        <v>6</v>
      </c>
      <c r="G439" s="101"/>
      <c r="H439" s="36"/>
      <c r="I439" s="27">
        <f>AVERAGE(J439,K439,L439,M439,N439,O439)</f>
        <v>5</v>
      </c>
      <c r="J439" s="124">
        <v>4</v>
      </c>
      <c r="K439" s="59">
        <v>6</v>
      </c>
      <c r="L439" s="59">
        <v>5</v>
      </c>
      <c r="M439" s="59">
        <v>6</v>
      </c>
      <c r="N439" s="114">
        <v>3</v>
      </c>
      <c r="O439" s="59">
        <v>6</v>
      </c>
      <c r="P439" s="101"/>
      <c r="Q439" s="59"/>
      <c r="R439" s="59"/>
      <c r="S439" s="17"/>
      <c r="T439" s="17"/>
      <c r="U439" s="17"/>
      <c r="V439" s="17"/>
      <c r="W439" s="59"/>
      <c r="X439" s="17"/>
      <c r="Y439" s="17"/>
      <c r="Z439" s="59"/>
      <c r="AA439" s="17"/>
      <c r="AB439" s="17"/>
      <c r="AC439" s="59"/>
      <c r="AD439" s="17"/>
      <c r="AE439" s="17"/>
      <c r="AF439" s="17"/>
      <c r="AG439" s="17"/>
      <c r="AH439" s="101"/>
      <c r="AI439" s="59"/>
      <c r="AJ439" s="17"/>
      <c r="AK439" s="101"/>
      <c r="AL439" s="59"/>
      <c r="AM439" s="101"/>
      <c r="AN439" s="101"/>
      <c r="AO439" s="101"/>
      <c r="AP439" s="17"/>
      <c r="AQ439" s="101"/>
      <c r="AR439">
        <f>F439 +G439</f>
        <v>6</v>
      </c>
    </row>
    <row r="440" spans="1:44" x14ac:dyDescent="0.25">
      <c r="A440" t="str">
        <f>B440 &amp; " - " &amp;E440</f>
        <v>Bournemouth - Daniels</v>
      </c>
      <c r="B440" t="s">
        <v>1474</v>
      </c>
      <c r="C440" t="str">
        <f ca="1">IFERROR(VLOOKUP(INDEX(OFFSET(_JOUEURS,0,0,,1),MATCH(A440,OFFSET(_JOUEURS,0,1,,1),0)),_MPG,2,FALSE),"")</f>
        <v/>
      </c>
      <c r="D440" s="23" t="s">
        <v>363</v>
      </c>
      <c r="E440" s="36" t="s">
        <v>1454</v>
      </c>
      <c r="F440" s="106">
        <v>6</v>
      </c>
      <c r="G440" s="101"/>
      <c r="H440" s="191"/>
      <c r="I440" s="27">
        <f>AVERAGE(J440,K440,L440,M440,N440,O440)</f>
        <v>4.333333333333333</v>
      </c>
      <c r="J440" s="105">
        <v>5</v>
      </c>
      <c r="K440" s="136">
        <v>4</v>
      </c>
      <c r="L440" s="136">
        <v>4</v>
      </c>
      <c r="M440" s="59">
        <v>6</v>
      </c>
      <c r="N440" s="114">
        <v>2</v>
      </c>
      <c r="O440" s="17">
        <v>5</v>
      </c>
      <c r="P440" s="101"/>
      <c r="Q440" s="17"/>
      <c r="R440" s="17"/>
      <c r="S440" s="17"/>
      <c r="T440" s="17"/>
      <c r="U440" s="17"/>
      <c r="V440" s="17"/>
      <c r="W440" s="17"/>
      <c r="X440" s="17"/>
      <c r="Y440" s="17"/>
      <c r="Z440" s="17"/>
      <c r="AA440" s="17"/>
      <c r="AB440" s="17"/>
      <c r="AC440" s="17"/>
      <c r="AD440" s="17"/>
      <c r="AE440" s="17"/>
      <c r="AF440" s="17"/>
      <c r="AG440" s="17"/>
      <c r="AH440" s="101"/>
      <c r="AI440" s="17"/>
      <c r="AJ440" s="17"/>
      <c r="AK440" s="101"/>
      <c r="AL440" s="59"/>
      <c r="AM440" s="101"/>
      <c r="AN440" s="101"/>
      <c r="AO440" s="101"/>
      <c r="AP440" s="17"/>
      <c r="AQ440" s="101"/>
      <c r="AR440">
        <f>F440 +G440</f>
        <v>6</v>
      </c>
    </row>
    <row r="441" spans="1:44" ht="15.75" thickBot="1" x14ac:dyDescent="0.3">
      <c r="A441" t="str">
        <f>B441 &amp; " - " &amp;E441</f>
        <v>Bournemouth - Aké</v>
      </c>
      <c r="B441" t="s">
        <v>1474</v>
      </c>
      <c r="C441" t="str">
        <f ca="1">IFERROR(VLOOKUP(INDEX(OFFSET(_JOUEURS,0,0,,1),MATCH(A441,OFFSET(_JOUEURS,0,1,,1),0)),_MPG,2,FALSE),"")</f>
        <v/>
      </c>
      <c r="D441" s="71" t="s">
        <v>363</v>
      </c>
      <c r="E441" s="116" t="s">
        <v>1455</v>
      </c>
      <c r="F441" s="118"/>
      <c r="G441" s="119">
        <v>2</v>
      </c>
      <c r="H441" s="120"/>
      <c r="I441" s="92"/>
      <c r="J441" s="70"/>
      <c r="K441" s="57" t="s">
        <v>364</v>
      </c>
      <c r="L441" s="57" t="s">
        <v>364</v>
      </c>
      <c r="M441" s="59"/>
      <c r="N441" s="17"/>
      <c r="O441" s="17"/>
      <c r="P441" s="101"/>
      <c r="Q441" s="17"/>
      <c r="R441" s="17"/>
      <c r="S441" s="17"/>
      <c r="T441" s="17"/>
      <c r="U441" s="17"/>
      <c r="V441" s="17"/>
      <c r="W441" s="17"/>
      <c r="X441" s="17"/>
      <c r="Y441" s="17"/>
      <c r="Z441" s="17"/>
      <c r="AA441" s="17"/>
      <c r="AB441" s="17"/>
      <c r="AC441" s="17"/>
      <c r="AD441" s="17"/>
      <c r="AE441" s="17"/>
      <c r="AF441" s="17"/>
      <c r="AG441" s="17"/>
      <c r="AH441" s="101"/>
      <c r="AI441" s="17"/>
      <c r="AJ441" s="17"/>
      <c r="AK441" s="101"/>
      <c r="AL441" s="59"/>
      <c r="AM441" s="101"/>
      <c r="AN441" s="101"/>
      <c r="AO441" s="101"/>
      <c r="AP441" s="17"/>
      <c r="AQ441" s="101"/>
      <c r="AR441">
        <f>F441 +G441</f>
        <v>2</v>
      </c>
    </row>
    <row r="442" spans="1:44" hidden="1" x14ac:dyDescent="0.25">
      <c r="A442" t="str">
        <f>B442 &amp; " - " &amp;E442</f>
        <v>Bournemouth - Mings</v>
      </c>
      <c r="B442" t="s">
        <v>1474</v>
      </c>
      <c r="C442" t="str">
        <f ca="1">IFERROR(VLOOKUP(INDEX(OFFSET(_JOUEURS,0,0,,1),MATCH(A442,OFFSET(_JOUEURS,0,1,,1),0)),_MPG,2,FALSE),"")</f>
        <v>74 c'est la champion's league</v>
      </c>
      <c r="D442" s="12" t="s">
        <v>363</v>
      </c>
      <c r="E442" s="217" t="s">
        <v>1456</v>
      </c>
      <c r="F442" s="203"/>
      <c r="G442" s="204"/>
      <c r="H442" s="264"/>
      <c r="I442" s="14"/>
      <c r="J442" s="105"/>
      <c r="K442" s="59"/>
      <c r="L442" s="59"/>
      <c r="M442" s="59"/>
      <c r="N442" s="59"/>
      <c r="O442" s="17"/>
      <c r="P442" s="59"/>
      <c r="Q442" s="59"/>
      <c r="R442" s="17"/>
      <c r="S442" s="17"/>
      <c r="T442" s="17"/>
      <c r="U442" s="17"/>
      <c r="V442" s="17"/>
      <c r="W442" s="17"/>
      <c r="X442" s="17"/>
      <c r="Y442" s="17"/>
      <c r="Z442" s="17"/>
      <c r="AA442" s="59"/>
      <c r="AB442" s="17"/>
      <c r="AC442" s="17"/>
      <c r="AD442" s="17"/>
      <c r="AE442" s="17"/>
      <c r="AF442" s="17"/>
      <c r="AG442" s="17"/>
      <c r="AH442" s="17"/>
      <c r="AI442" s="17"/>
      <c r="AJ442" s="101"/>
      <c r="AK442" s="17"/>
      <c r="AL442" s="59"/>
      <c r="AM442" s="17"/>
      <c r="AN442" s="17"/>
      <c r="AO442" s="17"/>
      <c r="AP442" s="17"/>
      <c r="AQ442" s="17"/>
      <c r="AR442">
        <f>F442 +G442</f>
        <v>0</v>
      </c>
    </row>
    <row r="443" spans="1:44" x14ac:dyDescent="0.25">
      <c r="A443" t="str">
        <f>B443 &amp; " - " &amp;E443</f>
        <v>Bournemouth - Buckley</v>
      </c>
      <c r="B443" t="s">
        <v>1474</v>
      </c>
      <c r="C443" t="str">
        <f ca="1">IFERROR(VLOOKUP(INDEX(OFFSET(_JOUEURS,0,0,,1),MATCH(A443,OFFSET(_JOUEURS,0,1,,1),0)),_MPG,2,FALSE),"")</f>
        <v/>
      </c>
      <c r="D443" s="23" t="s">
        <v>363</v>
      </c>
      <c r="E443" s="109" t="s">
        <v>1457</v>
      </c>
      <c r="F443" s="106"/>
      <c r="G443" s="101"/>
      <c r="H443" s="191"/>
      <c r="I443" s="27"/>
      <c r="J443" s="105"/>
      <c r="K443" s="59"/>
      <c r="L443" s="59"/>
      <c r="M443" s="59"/>
      <c r="N443" s="59"/>
      <c r="O443" s="17"/>
      <c r="P443" s="17"/>
      <c r="Q443" s="59"/>
      <c r="R443" s="17"/>
      <c r="S443" s="17"/>
      <c r="T443" s="17"/>
      <c r="U443" s="17"/>
      <c r="V443" s="17"/>
      <c r="W443" s="17"/>
      <c r="X443" s="17"/>
      <c r="Y443" s="17"/>
      <c r="Z443" s="17"/>
      <c r="AA443" s="59"/>
      <c r="AB443" s="17"/>
      <c r="AC443" s="17"/>
      <c r="AD443" s="17"/>
      <c r="AE443" s="17"/>
      <c r="AF443" s="17"/>
      <c r="AG443" s="17"/>
      <c r="AH443" s="17"/>
      <c r="AI443" s="17"/>
      <c r="AJ443" s="101"/>
      <c r="AK443" s="17"/>
      <c r="AL443" s="59"/>
      <c r="AM443" s="17"/>
      <c r="AN443" s="17"/>
      <c r="AO443" s="17"/>
      <c r="AP443" s="17"/>
      <c r="AQ443" s="59"/>
      <c r="AR443">
        <f>F443 +G443</f>
        <v>0</v>
      </c>
    </row>
    <row r="444" spans="1:44" x14ac:dyDescent="0.25">
      <c r="A444" t="str">
        <f>B444 &amp; " - " &amp;E444</f>
        <v>Bournemouth - Lee</v>
      </c>
      <c r="B444" t="s">
        <v>1474</v>
      </c>
      <c r="C444" t="str">
        <f ca="1">IFERROR(VLOOKUP(INDEX(OFFSET(_JOUEURS,0,0,,1),MATCH(A444,OFFSET(_JOUEURS,0,1,,1),0)),_MPG,2,FALSE),"")</f>
        <v/>
      </c>
      <c r="D444" s="23" t="s">
        <v>363</v>
      </c>
      <c r="E444" s="109" t="s">
        <v>1458</v>
      </c>
      <c r="F444" s="106"/>
      <c r="G444" s="101"/>
      <c r="H444" s="191"/>
      <c r="I444" s="27"/>
      <c r="J444" s="105"/>
      <c r="K444" s="59"/>
      <c r="L444" s="59"/>
      <c r="M444" s="59"/>
      <c r="N444" s="59"/>
      <c r="O444" s="17"/>
      <c r="P444" s="17"/>
      <c r="Q444" s="59"/>
      <c r="R444" s="17"/>
      <c r="S444" s="17"/>
      <c r="T444" s="17"/>
      <c r="U444" s="17"/>
      <c r="V444" s="17"/>
      <c r="W444" s="17"/>
      <c r="X444" s="17"/>
      <c r="Y444" s="17"/>
      <c r="Z444" s="17"/>
      <c r="AA444" s="59"/>
      <c r="AB444" s="17"/>
      <c r="AC444" s="17"/>
      <c r="AD444" s="17"/>
      <c r="AE444" s="17"/>
      <c r="AF444" s="17"/>
      <c r="AG444" s="59"/>
      <c r="AH444" s="17"/>
      <c r="AI444" s="17"/>
      <c r="AJ444" s="101"/>
      <c r="AK444" s="17"/>
      <c r="AL444" s="59"/>
      <c r="AM444" s="17"/>
      <c r="AN444" s="17"/>
      <c r="AO444" s="17"/>
      <c r="AP444" s="17"/>
      <c r="AQ444" s="17"/>
      <c r="AR444">
        <f>F444 +G444</f>
        <v>0</v>
      </c>
    </row>
    <row r="445" spans="1:44" x14ac:dyDescent="0.25">
      <c r="A445" t="str">
        <f>B445 &amp; " - " &amp;E445</f>
        <v>Man. United - Valencia</v>
      </c>
      <c r="B445" t="s">
        <v>1497</v>
      </c>
      <c r="C445" t="str">
        <f ca="1">IFERROR(VLOOKUP(INDEX(OFFSET(_JOUEURS,0,0,,1),MATCH(A445,OFFSET(_JOUEURS,0,1,,1),0)),_MPG,2,FALSE),"")</f>
        <v/>
      </c>
      <c r="D445" s="80" t="s">
        <v>363</v>
      </c>
      <c r="E445" s="81" t="s">
        <v>1166</v>
      </c>
      <c r="F445" s="137">
        <v>6</v>
      </c>
      <c r="G445" s="123"/>
      <c r="H445" s="190"/>
      <c r="I445" s="55">
        <f>AVERAGE(J445,K445,L445,M445,N445,O445)</f>
        <v>5.666666666666667</v>
      </c>
      <c r="J445" s="124">
        <v>5</v>
      </c>
      <c r="K445" s="28">
        <v>6</v>
      </c>
      <c r="L445" s="97">
        <v>7</v>
      </c>
      <c r="M445" s="17">
        <v>5</v>
      </c>
      <c r="N445" s="59">
        <v>5</v>
      </c>
      <c r="O445" s="59">
        <v>6</v>
      </c>
      <c r="P445" s="17"/>
      <c r="Q445" s="59"/>
      <c r="R445" s="17"/>
      <c r="S445" s="17"/>
      <c r="T445" s="59"/>
      <c r="U445" s="17"/>
      <c r="V445" s="17"/>
      <c r="W445" s="59"/>
      <c r="X445" s="59"/>
      <c r="Y445" s="17"/>
      <c r="Z445" s="59"/>
      <c r="AA445" s="59"/>
      <c r="AB445" s="17"/>
      <c r="AC445" s="17"/>
      <c r="AD445" s="59"/>
      <c r="AE445" s="59"/>
      <c r="AF445" s="59"/>
      <c r="AG445" s="59"/>
      <c r="AH445" s="59"/>
      <c r="AI445" s="59"/>
      <c r="AJ445" s="101"/>
      <c r="AK445" s="59"/>
      <c r="AL445" s="17"/>
      <c r="AM445" s="59"/>
      <c r="AN445" s="17"/>
      <c r="AO445" s="17"/>
      <c r="AP445" s="59"/>
      <c r="AQ445" s="17"/>
      <c r="AR445">
        <f>F445 +G445</f>
        <v>6</v>
      </c>
    </row>
    <row r="446" spans="1:44" x14ac:dyDescent="0.25">
      <c r="A446" t="str">
        <f>B446 &amp; " - " &amp;E446</f>
        <v>Man. United - Bailly</v>
      </c>
      <c r="B446" t="s">
        <v>1497</v>
      </c>
      <c r="C446" t="str">
        <f ca="1">IFERROR(VLOOKUP(INDEX(OFFSET(_JOUEURS,0,0,,1),MATCH(A446,OFFSET(_JOUEURS,0,1,,1),0)),_MPG,2,FALSE),"")</f>
        <v/>
      </c>
      <c r="D446" s="104" t="s">
        <v>363</v>
      </c>
      <c r="E446" s="109" t="s">
        <v>1478</v>
      </c>
      <c r="F446" s="106">
        <v>6</v>
      </c>
      <c r="G446" s="101"/>
      <c r="H446" s="36"/>
      <c r="I446" s="27">
        <f>AVERAGE(J446,K446,L446,M446,N446,O446)</f>
        <v>5.5</v>
      </c>
      <c r="J446" s="124">
        <v>6</v>
      </c>
      <c r="K446" s="17">
        <v>6</v>
      </c>
      <c r="L446" s="97">
        <v>7</v>
      </c>
      <c r="M446" s="17">
        <v>4</v>
      </c>
      <c r="N446" s="59">
        <v>4</v>
      </c>
      <c r="O446" s="59">
        <v>6</v>
      </c>
      <c r="P446" s="17"/>
      <c r="Q446" s="59"/>
      <c r="R446" s="17"/>
      <c r="S446" s="17"/>
      <c r="T446" s="17"/>
      <c r="U446" s="17"/>
      <c r="V446" s="59"/>
      <c r="W446" s="59"/>
      <c r="X446" s="17"/>
      <c r="Y446" s="17"/>
      <c r="Z446" s="59"/>
      <c r="AA446" s="17"/>
      <c r="AB446" s="17"/>
      <c r="AC446" s="17"/>
      <c r="AD446" s="59"/>
      <c r="AE446" s="17"/>
      <c r="AF446" s="17"/>
      <c r="AG446" s="17"/>
      <c r="AH446" s="17"/>
      <c r="AI446" s="17"/>
      <c r="AJ446" s="101"/>
      <c r="AK446" s="17"/>
      <c r="AL446" s="17"/>
      <c r="AM446" s="59"/>
      <c r="AN446" s="17"/>
      <c r="AO446" s="17"/>
      <c r="AP446" s="59"/>
      <c r="AQ446" s="17"/>
      <c r="AR446">
        <f>F446 +G446</f>
        <v>6</v>
      </c>
    </row>
    <row r="447" spans="1:44" hidden="1" x14ac:dyDescent="0.25">
      <c r="A447" t="str">
        <f>B447 &amp; " - " &amp;E447</f>
        <v>Man. United - Blind</v>
      </c>
      <c r="B447" t="s">
        <v>1497</v>
      </c>
      <c r="C447" t="str">
        <f ca="1">IFERROR(VLOOKUP(INDEX(OFFSET(_JOUEURS,0,0,,1),MATCH(A447,OFFSET(_JOUEURS,0,1,,1),0)),_MPG,2,FALSE),"")</f>
        <v>Fuck-Tonio FC</v>
      </c>
      <c r="D447" s="104" t="s">
        <v>363</v>
      </c>
      <c r="E447" s="109" t="s">
        <v>1479</v>
      </c>
      <c r="F447" s="106">
        <v>5</v>
      </c>
      <c r="G447" s="101"/>
      <c r="H447" s="36"/>
      <c r="I447" s="27">
        <f>AVERAGE(J447,K447,L447,M447,O447)</f>
        <v>6.4</v>
      </c>
      <c r="J447" s="124">
        <v>6</v>
      </c>
      <c r="K447" s="17">
        <v>6</v>
      </c>
      <c r="L447" s="97">
        <v>7</v>
      </c>
      <c r="M447" s="17">
        <v>5</v>
      </c>
      <c r="N447" s="59"/>
      <c r="O447" s="97">
        <v>8</v>
      </c>
      <c r="P447" s="17"/>
      <c r="Q447" s="59"/>
      <c r="R447" s="17"/>
      <c r="S447" s="17"/>
      <c r="T447" s="17"/>
      <c r="U447" s="17"/>
      <c r="V447" s="17"/>
      <c r="W447" s="59"/>
      <c r="X447" s="17"/>
      <c r="Y447" s="17"/>
      <c r="Z447" s="59"/>
      <c r="AA447" s="17"/>
      <c r="AB447" s="17"/>
      <c r="AC447" s="17"/>
      <c r="AD447" s="59"/>
      <c r="AE447" s="17"/>
      <c r="AF447" s="17"/>
      <c r="AG447" s="17"/>
      <c r="AH447" s="17"/>
      <c r="AI447" s="17"/>
      <c r="AJ447" s="101"/>
      <c r="AK447" s="17"/>
      <c r="AL447" s="17"/>
      <c r="AM447" s="59"/>
      <c r="AN447" s="17"/>
      <c r="AO447" s="17"/>
      <c r="AP447" s="59"/>
      <c r="AQ447" s="17"/>
      <c r="AR447">
        <f>F447 +G447</f>
        <v>5</v>
      </c>
    </row>
    <row r="448" spans="1:44" hidden="1" x14ac:dyDescent="0.25">
      <c r="A448" t="str">
        <f>B448 &amp; " - " &amp;E448</f>
        <v>Man. United - Shaw</v>
      </c>
      <c r="B448" t="s">
        <v>1497</v>
      </c>
      <c r="C448" t="str">
        <f ca="1">IFERROR(VLOOKUP(INDEX(OFFSET(_JOUEURS,0,0,,1),MATCH(A448,OFFSET(_JOUEURS,0,1,,1),0)),_MPG,2,FALSE),"")</f>
        <v>Shame On You</v>
      </c>
      <c r="D448" s="104" t="s">
        <v>363</v>
      </c>
      <c r="E448" s="109" t="s">
        <v>1480</v>
      </c>
      <c r="F448" s="106">
        <v>5</v>
      </c>
      <c r="G448" s="101"/>
      <c r="H448" s="36"/>
      <c r="I448" s="27">
        <f>AVERAGE(J448,K448,L448,M448,N448)</f>
        <v>5</v>
      </c>
      <c r="J448" s="124">
        <v>5</v>
      </c>
      <c r="K448" s="17">
        <v>6</v>
      </c>
      <c r="L448" s="59">
        <v>6</v>
      </c>
      <c r="M448" s="17">
        <v>4</v>
      </c>
      <c r="N448" s="59">
        <v>4</v>
      </c>
      <c r="O448" s="59"/>
      <c r="P448" s="17"/>
      <c r="Q448" s="59"/>
      <c r="R448" s="17"/>
      <c r="S448" s="17"/>
      <c r="T448" s="17"/>
      <c r="U448" s="17"/>
      <c r="V448" s="17"/>
      <c r="W448" s="59"/>
      <c r="X448" s="17"/>
      <c r="Y448" s="17"/>
      <c r="Z448" s="59"/>
      <c r="AA448" s="17"/>
      <c r="AB448" s="17"/>
      <c r="AC448" s="17"/>
      <c r="AD448" s="59"/>
      <c r="AE448" s="17"/>
      <c r="AF448" s="17"/>
      <c r="AG448" s="17"/>
      <c r="AH448" s="17"/>
      <c r="AI448" s="17"/>
      <c r="AJ448" s="101"/>
      <c r="AK448" s="17"/>
      <c r="AL448" s="17"/>
      <c r="AM448" s="59"/>
      <c r="AN448" s="17"/>
      <c r="AO448" s="17"/>
      <c r="AP448" s="59"/>
      <c r="AQ448" s="17"/>
      <c r="AR448">
        <f>F448 +G448</f>
        <v>5</v>
      </c>
    </row>
    <row r="449" spans="1:44" hidden="1" x14ac:dyDescent="0.25">
      <c r="A449" t="str">
        <f>B449 &amp; " - " &amp;E449</f>
        <v>Man. United - Darmian</v>
      </c>
      <c r="B449" t="s">
        <v>1497</v>
      </c>
      <c r="C449" t="str">
        <f ca="1">IFERROR(VLOOKUP(INDEX(OFFSET(_JOUEURS,0,0,,1),MATCH(A449,OFFSET(_JOUEURS,0,1,,1),0)),_MPG,2,FALSE),"")</f>
        <v>nut fc</v>
      </c>
      <c r="D449" s="104" t="s">
        <v>363</v>
      </c>
      <c r="E449" s="109" t="s">
        <v>1482</v>
      </c>
      <c r="F449" s="106"/>
      <c r="G449" s="101"/>
      <c r="H449" s="36"/>
      <c r="I449" s="63"/>
      <c r="J449" s="124"/>
      <c r="K449" s="17"/>
      <c r="L449" s="59"/>
      <c r="M449" s="17"/>
      <c r="N449" s="59"/>
      <c r="O449" s="59"/>
      <c r="P449" s="17"/>
      <c r="Q449" s="59"/>
      <c r="R449" s="17"/>
      <c r="S449" s="17"/>
      <c r="T449" s="17"/>
      <c r="U449" s="17"/>
      <c r="V449" s="17"/>
      <c r="W449" s="59"/>
      <c r="X449" s="17"/>
      <c r="Y449" s="17"/>
      <c r="Z449" s="59"/>
      <c r="AA449" s="17"/>
      <c r="AB449" s="17"/>
      <c r="AC449" s="17"/>
      <c r="AD449" s="59"/>
      <c r="AE449" s="17"/>
      <c r="AF449" s="17"/>
      <c r="AG449" s="17"/>
      <c r="AH449" s="17"/>
      <c r="AI449" s="17"/>
      <c r="AJ449" s="101"/>
      <c r="AK449" s="59"/>
      <c r="AL449" s="17"/>
      <c r="AM449" s="59"/>
      <c r="AN449" s="17"/>
      <c r="AO449" s="59"/>
      <c r="AP449" s="59"/>
      <c r="AQ449" s="17"/>
      <c r="AR449">
        <f>F449 +G449</f>
        <v>0</v>
      </c>
    </row>
    <row r="450" spans="1:44" x14ac:dyDescent="0.25">
      <c r="A450" t="str">
        <f>B450 &amp; " - " &amp;E450</f>
        <v>Man. United - Rojo</v>
      </c>
      <c r="B450" t="s">
        <v>1497</v>
      </c>
      <c r="C450" t="str">
        <f ca="1">IFERROR(VLOOKUP(INDEX(OFFSET(_JOUEURS,0,0,,1),MATCH(A450,OFFSET(_JOUEURS,0,1,,1),0)),_MPG,2,FALSE),"")</f>
        <v/>
      </c>
      <c r="D450" s="104" t="s">
        <v>363</v>
      </c>
      <c r="E450" s="109" t="s">
        <v>1483</v>
      </c>
      <c r="F450" s="106"/>
      <c r="G450" s="101"/>
      <c r="H450" s="191"/>
      <c r="I450" s="27"/>
      <c r="J450" s="124"/>
      <c r="K450" s="17"/>
      <c r="L450" s="59"/>
      <c r="M450" s="17"/>
      <c r="N450" s="59"/>
      <c r="O450" s="59"/>
      <c r="P450" s="17"/>
      <c r="Q450" s="59"/>
      <c r="R450" s="17"/>
      <c r="S450" s="17"/>
      <c r="T450" s="17"/>
      <c r="U450" s="17"/>
      <c r="V450" s="17"/>
      <c r="W450" s="59"/>
      <c r="X450" s="17"/>
      <c r="Y450" s="17"/>
      <c r="Z450" s="59"/>
      <c r="AA450" s="17"/>
      <c r="AB450" s="17"/>
      <c r="AC450" s="17"/>
      <c r="AD450" s="59"/>
      <c r="AE450" s="17"/>
      <c r="AF450" s="17"/>
      <c r="AG450" s="17"/>
      <c r="AH450" s="17"/>
      <c r="AI450" s="17"/>
      <c r="AJ450" s="101"/>
      <c r="AK450" s="59"/>
      <c r="AL450" s="59"/>
      <c r="AM450" s="59"/>
      <c r="AN450" s="17"/>
      <c r="AO450" s="59"/>
      <c r="AP450" s="59"/>
      <c r="AQ450" s="17"/>
      <c r="AR450">
        <f>F450 +G450</f>
        <v>0</v>
      </c>
    </row>
    <row r="451" spans="1:44" x14ac:dyDescent="0.25">
      <c r="A451" t="str">
        <f>B451 &amp; " - " &amp;E451</f>
        <v>Man. United - Jones</v>
      </c>
      <c r="B451" t="s">
        <v>1497</v>
      </c>
      <c r="C451" t="str">
        <f ca="1">IFERROR(VLOOKUP(INDEX(OFFSET(_JOUEURS,0,0,,1),MATCH(A451,OFFSET(_JOUEURS,0,1,,1),0)),_MPG,2,FALSE),"")</f>
        <v/>
      </c>
      <c r="D451" s="104" t="s">
        <v>363</v>
      </c>
      <c r="E451" s="29" t="s">
        <v>1058</v>
      </c>
      <c r="F451" s="106"/>
      <c r="G451" s="101"/>
      <c r="H451" s="36"/>
      <c r="I451" s="27"/>
      <c r="J451" s="124"/>
      <c r="K451" s="17"/>
      <c r="L451" s="59"/>
      <c r="M451" s="17"/>
      <c r="N451" s="59"/>
      <c r="O451" s="59"/>
      <c r="P451" s="17"/>
      <c r="Q451" s="59"/>
      <c r="R451" s="17"/>
      <c r="S451" s="17"/>
      <c r="T451" s="17"/>
      <c r="U451" s="17"/>
      <c r="V451" s="17"/>
      <c r="W451" s="59"/>
      <c r="X451" s="17"/>
      <c r="Y451" s="17"/>
      <c r="Z451" s="59"/>
      <c r="AA451" s="17"/>
      <c r="AB451" s="17"/>
      <c r="AC451" s="17"/>
      <c r="AD451" s="59"/>
      <c r="AE451" s="17"/>
      <c r="AF451" s="17"/>
      <c r="AG451" s="17"/>
      <c r="AH451" s="17"/>
      <c r="AI451" s="59"/>
      <c r="AJ451" s="101"/>
      <c r="AK451" s="59"/>
      <c r="AL451" s="17"/>
      <c r="AM451" s="59"/>
      <c r="AN451" s="17"/>
      <c r="AO451" s="59"/>
      <c r="AP451" s="59"/>
      <c r="AQ451" s="17"/>
      <c r="AR451">
        <f>F451 +G451</f>
        <v>0</v>
      </c>
    </row>
    <row r="452" spans="1:44" hidden="1" x14ac:dyDescent="0.25">
      <c r="A452" t="str">
        <f>B452 &amp; " - " &amp;E452</f>
        <v>Chelsea - Ivanovic</v>
      </c>
      <c r="B452" t="s">
        <v>1519</v>
      </c>
      <c r="C452" t="str">
        <f ca="1">IFERROR(VLOOKUP(INDEX(OFFSET(_JOUEURS,0,0,,1),MATCH(A452,OFFSET(_JOUEURS,0,1,,1),0)),_MPG,2,FALSE),"")</f>
        <v>Saxe-Gambetta FC</v>
      </c>
      <c r="D452" s="23" t="s">
        <v>363</v>
      </c>
      <c r="E452" s="29" t="s">
        <v>1501</v>
      </c>
      <c r="F452" s="149">
        <v>6</v>
      </c>
      <c r="G452" s="150"/>
      <c r="H452" s="208"/>
      <c r="I452" s="135">
        <f>AVERAGE(J452,K452,L452,M452,N452,O452)</f>
        <v>5.5</v>
      </c>
      <c r="J452" s="124">
        <v>6</v>
      </c>
      <c r="K452" s="17">
        <v>6</v>
      </c>
      <c r="L452" s="59">
        <v>6</v>
      </c>
      <c r="M452" s="28">
        <v>6</v>
      </c>
      <c r="N452" s="59">
        <v>5</v>
      </c>
      <c r="O452" s="59">
        <v>4</v>
      </c>
      <c r="P452" s="17"/>
      <c r="Q452" s="59"/>
      <c r="R452" s="17"/>
      <c r="S452" s="17"/>
      <c r="T452" s="17"/>
      <c r="U452" s="17"/>
      <c r="V452" s="17"/>
      <c r="W452" s="59"/>
      <c r="X452" s="17"/>
      <c r="Y452" s="17"/>
      <c r="Z452" s="59"/>
      <c r="AA452" s="17"/>
      <c r="AB452" s="59"/>
      <c r="AC452" s="59"/>
      <c r="AD452" s="59"/>
      <c r="AE452" s="59"/>
      <c r="AF452" s="17"/>
      <c r="AG452" s="17"/>
      <c r="AH452" s="17"/>
      <c r="AI452" s="59"/>
      <c r="AJ452" s="101"/>
      <c r="AK452" s="17"/>
      <c r="AL452" s="17"/>
      <c r="AM452" s="59"/>
      <c r="AN452" s="17"/>
      <c r="AO452" s="17"/>
      <c r="AP452" s="59"/>
      <c r="AQ452" s="17"/>
      <c r="AR452">
        <f>F452 +G452</f>
        <v>6</v>
      </c>
    </row>
    <row r="453" spans="1:44" hidden="1" x14ac:dyDescent="0.25">
      <c r="A453" t="str">
        <f>B453 &amp; " - " &amp;E453</f>
        <v>Chelsea - Cahill</v>
      </c>
      <c r="B453" t="s">
        <v>1519</v>
      </c>
      <c r="C453" t="str">
        <f ca="1">IFERROR(VLOOKUP(INDEX(OFFSET(_JOUEURS,0,0,,1),MATCH(A453,OFFSET(_JOUEURS,0,1,,1),0)),_MPG,2,FALSE),"")</f>
        <v>Saxe-Gambetta FC</v>
      </c>
      <c r="D453" s="52" t="s">
        <v>363</v>
      </c>
      <c r="E453" s="69" t="s">
        <v>1502</v>
      </c>
      <c r="F453" s="180">
        <v>6</v>
      </c>
      <c r="G453" s="181"/>
      <c r="H453" s="110"/>
      <c r="I453" s="138">
        <f>AVERAGE(J453,K453,L453,M453,N453,O453)</f>
        <v>4.5</v>
      </c>
      <c r="J453" s="124">
        <v>5</v>
      </c>
      <c r="K453" s="17">
        <v>5</v>
      </c>
      <c r="L453" s="59">
        <v>6</v>
      </c>
      <c r="M453" s="17">
        <v>4</v>
      </c>
      <c r="N453" s="59">
        <v>5</v>
      </c>
      <c r="O453" s="145">
        <v>2</v>
      </c>
      <c r="P453" s="17"/>
      <c r="Q453" s="59"/>
      <c r="R453" s="17"/>
      <c r="S453" s="17"/>
      <c r="T453" s="17"/>
      <c r="U453" s="17"/>
      <c r="V453" s="17"/>
      <c r="W453" s="59"/>
      <c r="X453" s="17"/>
      <c r="Y453" s="17"/>
      <c r="Z453" s="59"/>
      <c r="AA453" s="17"/>
      <c r="AB453" s="17"/>
      <c r="AC453" s="17"/>
      <c r="AD453" s="59"/>
      <c r="AE453" s="17"/>
      <c r="AF453" s="17"/>
      <c r="AG453" s="17"/>
      <c r="AH453" s="17"/>
      <c r="AI453" s="17"/>
      <c r="AJ453" s="101"/>
      <c r="AK453" s="17"/>
      <c r="AL453" s="17"/>
      <c r="AM453" s="59"/>
      <c r="AN453" s="17"/>
      <c r="AO453" s="17"/>
      <c r="AP453" s="59"/>
      <c r="AQ453" s="17"/>
      <c r="AR453">
        <f>F453 +G453</f>
        <v>6</v>
      </c>
    </row>
    <row r="454" spans="1:44" x14ac:dyDescent="0.25">
      <c r="A454" t="str">
        <f>B454 &amp; " - " &amp;E454</f>
        <v>Chelsea - Terry</v>
      </c>
      <c r="B454" t="s">
        <v>1519</v>
      </c>
      <c r="C454" t="str">
        <f ca="1">IFERROR(VLOOKUP(INDEX(OFFSET(_JOUEURS,0,0,,1),MATCH(A454,OFFSET(_JOUEURS,0,1,,1),0)),_MPG,2,FALSE),"")</f>
        <v/>
      </c>
      <c r="D454" s="23" t="s">
        <v>363</v>
      </c>
      <c r="E454" s="29" t="s">
        <v>1503</v>
      </c>
      <c r="F454" s="149">
        <v>4</v>
      </c>
      <c r="G454" s="150"/>
      <c r="H454" s="61"/>
      <c r="I454" s="135">
        <f>AVERAGE(J454,K454,L454,M454)</f>
        <v>5.25</v>
      </c>
      <c r="J454" s="59">
        <v>5</v>
      </c>
      <c r="K454" s="59">
        <v>5</v>
      </c>
      <c r="L454" s="59">
        <v>6</v>
      </c>
      <c r="M454" s="17">
        <v>5</v>
      </c>
      <c r="N454" s="59"/>
      <c r="O454" s="59"/>
      <c r="P454" s="17"/>
      <c r="Q454" s="59"/>
      <c r="R454" s="17"/>
      <c r="S454" s="17"/>
      <c r="T454" s="17"/>
      <c r="U454" s="17"/>
      <c r="V454" s="17"/>
      <c r="W454" s="59"/>
      <c r="X454" s="17"/>
      <c r="Y454" s="17"/>
      <c r="Z454" s="59"/>
      <c r="AA454" s="17"/>
      <c r="AB454" s="17"/>
      <c r="AC454" s="17"/>
      <c r="AD454" s="59"/>
      <c r="AE454" s="17"/>
      <c r="AF454" s="17"/>
      <c r="AG454" s="17"/>
      <c r="AH454" s="59"/>
      <c r="AI454" s="59"/>
      <c r="AJ454" s="101"/>
      <c r="AK454" s="17"/>
      <c r="AL454" s="17"/>
      <c r="AM454" s="59"/>
      <c r="AN454" s="17"/>
      <c r="AO454" s="17"/>
      <c r="AP454" s="59"/>
      <c r="AQ454" s="17"/>
      <c r="AR454">
        <f>F454 +G454</f>
        <v>4</v>
      </c>
    </row>
    <row r="455" spans="1:44" hidden="1" x14ac:dyDescent="0.25">
      <c r="A455" t="str">
        <f>B455 &amp; " - " &amp;E455</f>
        <v>Chelsea - Azpilicueta</v>
      </c>
      <c r="B455" t="s">
        <v>1519</v>
      </c>
      <c r="C455" t="str">
        <f ca="1">IFERROR(VLOOKUP(INDEX(OFFSET(_JOUEURS,0,0,,1),MATCH(A455,OFFSET(_JOUEURS,0,1,,1),0)),_MPG,2,FALSE),"")</f>
        <v>Shame On You</v>
      </c>
      <c r="D455" s="23" t="s">
        <v>363</v>
      </c>
      <c r="E455" s="29" t="s">
        <v>1504</v>
      </c>
      <c r="F455" s="149">
        <v>6</v>
      </c>
      <c r="G455" s="150"/>
      <c r="H455" s="61"/>
      <c r="I455" s="135">
        <f>AVERAGE(J455,K455,L455,M455,N455,O455)</f>
        <v>5</v>
      </c>
      <c r="J455" s="124">
        <v>6</v>
      </c>
      <c r="K455" s="17">
        <v>5</v>
      </c>
      <c r="L455" s="59">
        <v>6</v>
      </c>
      <c r="M455" s="17">
        <v>5</v>
      </c>
      <c r="N455" s="59">
        <v>4</v>
      </c>
      <c r="O455" s="59">
        <v>4</v>
      </c>
      <c r="P455" s="17"/>
      <c r="Q455" s="59"/>
      <c r="R455" s="17"/>
      <c r="S455" s="17"/>
      <c r="T455" s="17"/>
      <c r="U455" s="17"/>
      <c r="V455" s="17"/>
      <c r="W455" s="59"/>
      <c r="X455" s="17"/>
      <c r="Y455" s="17"/>
      <c r="Z455" s="59"/>
      <c r="AA455" s="17"/>
      <c r="AB455" s="17"/>
      <c r="AC455" s="17"/>
      <c r="AD455" s="59"/>
      <c r="AE455" s="17"/>
      <c r="AF455" s="17"/>
      <c r="AG455" s="17"/>
      <c r="AH455" s="17"/>
      <c r="AI455" s="17"/>
      <c r="AJ455" s="101"/>
      <c r="AK455" s="17"/>
      <c r="AL455" s="59"/>
      <c r="AM455" s="59"/>
      <c r="AN455" s="17"/>
      <c r="AO455" s="59"/>
      <c r="AP455" s="59"/>
      <c r="AQ455" s="59"/>
      <c r="AR455">
        <f>F455 +G455</f>
        <v>6</v>
      </c>
    </row>
    <row r="456" spans="1:44" x14ac:dyDescent="0.25">
      <c r="A456" t="str">
        <f>B456 &amp; " - " &amp;E456</f>
        <v>Chelsea - Zouma</v>
      </c>
      <c r="B456" t="s">
        <v>1519</v>
      </c>
      <c r="C456" t="str">
        <f ca="1">IFERROR(VLOOKUP(INDEX(OFFSET(_JOUEURS,0,0,,1),MATCH(A456,OFFSET(_JOUEURS,0,1,,1),0)),_MPG,2,FALSE),"")</f>
        <v/>
      </c>
      <c r="D456" s="23" t="s">
        <v>363</v>
      </c>
      <c r="E456" s="29" t="s">
        <v>1505</v>
      </c>
      <c r="F456" s="149"/>
      <c r="G456" s="150"/>
      <c r="H456" s="208"/>
      <c r="I456" s="135"/>
      <c r="J456" s="70"/>
      <c r="K456" s="17"/>
      <c r="L456" s="59"/>
      <c r="M456" s="17"/>
      <c r="N456" s="99"/>
      <c r="O456" s="59"/>
      <c r="P456" s="17"/>
      <c r="Q456" s="59"/>
      <c r="R456" s="17"/>
      <c r="S456" s="59"/>
      <c r="T456" s="17"/>
      <c r="U456" s="59"/>
      <c r="V456" s="17"/>
      <c r="W456" s="59"/>
      <c r="X456" s="17"/>
      <c r="Y456" s="17"/>
      <c r="Z456" s="59"/>
      <c r="AA456" s="17"/>
      <c r="AB456" s="17"/>
      <c r="AC456" s="17"/>
      <c r="AD456" s="59"/>
      <c r="AE456" s="59"/>
      <c r="AF456" s="59"/>
      <c r="AG456" s="59"/>
      <c r="AH456" s="17"/>
      <c r="AI456" s="17"/>
      <c r="AJ456" s="101"/>
      <c r="AK456" s="17"/>
      <c r="AL456" s="59"/>
      <c r="AM456" s="59"/>
      <c r="AN456" s="17"/>
      <c r="AO456" s="59"/>
      <c r="AP456" s="59"/>
      <c r="AQ456" s="17"/>
      <c r="AR456">
        <f>F456 +G456</f>
        <v>0</v>
      </c>
    </row>
    <row r="457" spans="1:44" x14ac:dyDescent="0.25">
      <c r="A457" t="str">
        <f>B457 &amp; " - " &amp;E457</f>
        <v>Chelsea - Aina</v>
      </c>
      <c r="B457" t="s">
        <v>1519</v>
      </c>
      <c r="C457" t="str">
        <f ca="1">IFERROR(VLOOKUP(INDEX(OFFSET(_JOUEURS,0,0,,1),MATCH(A457,OFFSET(_JOUEURS,0,1,,1),0)),_MPG,2,FALSE),"")</f>
        <v/>
      </c>
      <c r="D457" s="23" t="s">
        <v>363</v>
      </c>
      <c r="E457" s="29" t="s">
        <v>1506</v>
      </c>
      <c r="F457" s="149"/>
      <c r="G457" s="150"/>
      <c r="H457" s="61"/>
      <c r="I457" s="135"/>
      <c r="J457" s="124"/>
      <c r="K457" s="17"/>
      <c r="L457" s="59"/>
      <c r="M457" s="17"/>
      <c r="N457" s="59"/>
      <c r="O457" s="59"/>
      <c r="P457" s="17"/>
      <c r="Q457" s="59"/>
      <c r="R457" s="17"/>
      <c r="S457" s="17"/>
      <c r="T457" s="17"/>
      <c r="U457" s="17"/>
      <c r="V457" s="17"/>
      <c r="W457" s="59"/>
      <c r="X457" s="17"/>
      <c r="Y457" s="17"/>
      <c r="Z457" s="59"/>
      <c r="AA457" s="17"/>
      <c r="AB457" s="17"/>
      <c r="AC457" s="17"/>
      <c r="AD457" s="59"/>
      <c r="AE457" s="17"/>
      <c r="AF457" s="17"/>
      <c r="AG457" s="17"/>
      <c r="AH457" s="17"/>
      <c r="AI457" s="17"/>
      <c r="AJ457" s="101"/>
      <c r="AK457" s="17"/>
      <c r="AL457" s="59"/>
      <c r="AM457" s="59"/>
      <c r="AN457" s="17"/>
      <c r="AO457" s="59"/>
      <c r="AP457" s="59"/>
      <c r="AQ457" s="17"/>
      <c r="AR457">
        <f>F457 +G457</f>
        <v>0</v>
      </c>
    </row>
    <row r="458" spans="1:44" x14ac:dyDescent="0.25">
      <c r="A458" t="str">
        <f>B458 &amp; " - " &amp;E458</f>
        <v>Chelsea - David Luiz</v>
      </c>
      <c r="B458" t="s">
        <v>1519</v>
      </c>
      <c r="C458" t="str">
        <f ca="1">IFERROR(VLOOKUP(INDEX(OFFSET(_JOUEURS,0,0,,1),MATCH(A458,OFFSET(_JOUEURS,0,1,,1),0)),_MPG,2,FALSE),"")</f>
        <v/>
      </c>
      <c r="D458" s="23" t="s">
        <v>363</v>
      </c>
      <c r="E458" s="29" t="s">
        <v>9</v>
      </c>
      <c r="F458" s="149">
        <v>2</v>
      </c>
      <c r="G458" s="150"/>
      <c r="H458" s="61"/>
      <c r="I458" s="135">
        <f>AVERAGE(N458,O458)</f>
        <v>4</v>
      </c>
      <c r="J458" s="124"/>
      <c r="K458" s="17"/>
      <c r="L458" s="28"/>
      <c r="M458" s="17"/>
      <c r="N458" s="59">
        <v>4</v>
      </c>
      <c r="O458" s="59">
        <v>4</v>
      </c>
      <c r="P458" s="17"/>
      <c r="Q458" s="59"/>
      <c r="R458" s="17"/>
      <c r="S458" s="17"/>
      <c r="T458" s="59"/>
      <c r="U458" s="59"/>
      <c r="V458" s="17"/>
      <c r="W458" s="59"/>
      <c r="X458" s="17"/>
      <c r="Y458" s="17"/>
      <c r="Z458" s="59"/>
      <c r="AA458" s="17"/>
      <c r="AB458" s="17"/>
      <c r="AC458" s="17"/>
      <c r="AD458" s="59"/>
      <c r="AE458" s="17"/>
      <c r="AF458" s="17"/>
      <c r="AG458" s="17"/>
      <c r="AH458" s="17"/>
      <c r="AI458" s="17"/>
      <c r="AJ458" s="101"/>
      <c r="AK458" s="17"/>
      <c r="AL458" s="59"/>
      <c r="AM458" s="59"/>
      <c r="AN458" s="17"/>
      <c r="AO458" s="59"/>
      <c r="AP458" s="59"/>
      <c r="AQ458" s="17"/>
      <c r="AR458">
        <f>F458 +G458</f>
        <v>2</v>
      </c>
    </row>
    <row r="459" spans="1:44" x14ac:dyDescent="0.25">
      <c r="A459" t="str">
        <f>B459 &amp; " - " &amp;E459</f>
        <v>Chelsea - Alonso</v>
      </c>
      <c r="B459" t="s">
        <v>1519</v>
      </c>
      <c r="C459" t="str">
        <f ca="1">IFERROR(VLOOKUP(INDEX(OFFSET(_JOUEURS,0,0,,1),MATCH(A459,OFFSET(_JOUEURS,0,1,,1),0)),_MPG,2,FALSE),"")</f>
        <v/>
      </c>
      <c r="D459" s="23" t="s">
        <v>363</v>
      </c>
      <c r="E459" s="29" t="s">
        <v>1507</v>
      </c>
      <c r="F459" s="149"/>
      <c r="G459" s="150">
        <v>1</v>
      </c>
      <c r="H459" s="61"/>
      <c r="I459" s="135"/>
      <c r="J459" s="124"/>
      <c r="K459" s="17"/>
      <c r="L459" s="28"/>
      <c r="M459" s="17"/>
      <c r="N459" s="59"/>
      <c r="O459" s="28" t="s">
        <v>364</v>
      </c>
      <c r="P459" s="17"/>
      <c r="Q459" s="59"/>
      <c r="R459" s="17"/>
      <c r="S459" s="17"/>
      <c r="T459" s="59"/>
      <c r="U459" s="59"/>
      <c r="V459" s="17"/>
      <c r="W459" s="59"/>
      <c r="X459" s="17"/>
      <c r="Y459" s="17"/>
      <c r="Z459" s="59"/>
      <c r="AA459" s="17"/>
      <c r="AB459" s="17"/>
      <c r="AC459" s="17"/>
      <c r="AD459" s="59"/>
      <c r="AE459" s="17"/>
      <c r="AF459" s="17"/>
      <c r="AG459" s="17"/>
      <c r="AH459" s="17"/>
      <c r="AI459" s="17"/>
      <c r="AJ459" s="101"/>
      <c r="AK459" s="17"/>
      <c r="AL459" s="59"/>
      <c r="AM459" s="59"/>
      <c r="AN459" s="17"/>
      <c r="AO459" s="59"/>
      <c r="AP459" s="59"/>
      <c r="AQ459" s="17"/>
      <c r="AR459">
        <f>F459 +G459</f>
        <v>1</v>
      </c>
    </row>
    <row r="460" spans="1:44" x14ac:dyDescent="0.25">
      <c r="A460" t="str">
        <f>B460 &amp; " - " &amp;E460</f>
        <v>Burnley - Jutkiewicz</v>
      </c>
      <c r="B460" t="s">
        <v>1069</v>
      </c>
      <c r="C460" t="str">
        <f ca="1">IFERROR(VLOOKUP(INDEX(OFFSET(_JOUEURS,0,0,,1),MATCH(A460,OFFSET(_JOUEURS,0,1,,1),0)),_MPG,2,FALSE),"")</f>
        <v/>
      </c>
      <c r="D460" s="37" t="s">
        <v>372</v>
      </c>
      <c r="E460" s="43" t="s">
        <v>1067</v>
      </c>
      <c r="F460" s="39"/>
      <c r="G460" s="48">
        <v>2</v>
      </c>
      <c r="H460" s="103"/>
      <c r="I460" s="27"/>
      <c r="J460" s="301" t="s">
        <v>364</v>
      </c>
      <c r="K460" s="46" t="s">
        <v>364</v>
      </c>
      <c r="L460" s="40"/>
      <c r="M460" s="40"/>
      <c r="N460" s="40"/>
      <c r="O460" s="40"/>
      <c r="P460" s="40"/>
      <c r="Q460" s="40"/>
      <c r="R460" s="40"/>
      <c r="S460" s="40"/>
      <c r="T460" s="40"/>
      <c r="U460" s="40"/>
      <c r="V460" s="46"/>
      <c r="W460" s="40"/>
      <c r="X460" s="40"/>
      <c r="Y460" s="40"/>
      <c r="Z460" s="40"/>
      <c r="AA460" s="40"/>
      <c r="AB460" s="40"/>
      <c r="AC460" s="46"/>
      <c r="AD460" s="40"/>
      <c r="AE460" s="40"/>
      <c r="AF460" s="64"/>
      <c r="AG460" s="40"/>
      <c r="AH460" s="40"/>
      <c r="AI460" s="40"/>
      <c r="AJ460" s="48"/>
      <c r="AK460" s="40"/>
      <c r="AL460" s="40"/>
      <c r="AM460" s="40"/>
      <c r="AN460" s="40"/>
      <c r="AO460" s="40"/>
      <c r="AP460" s="40"/>
      <c r="AQ460" s="40"/>
      <c r="AR460">
        <f>F460 +G460</f>
        <v>2</v>
      </c>
    </row>
    <row r="461" spans="1:44" x14ac:dyDescent="0.25">
      <c r="A461" t="str">
        <f>B461 &amp; " - " &amp;E461</f>
        <v>Burnley - Bamford</v>
      </c>
      <c r="B461" t="s">
        <v>1069</v>
      </c>
      <c r="C461" t="str">
        <f ca="1">IFERROR(VLOOKUP(INDEX(OFFSET(_JOUEURS,0,0,,1),MATCH(A461,OFFSET(_JOUEURS,0,1,,1),0)),_MPG,2,FALSE),"")</f>
        <v/>
      </c>
      <c r="D461" s="104" t="s">
        <v>372</v>
      </c>
      <c r="E461" s="29" t="s">
        <v>1068</v>
      </c>
      <c r="F461" s="194"/>
      <c r="G461" s="21">
        <v>2</v>
      </c>
      <c r="H461" s="163"/>
      <c r="I461" s="27"/>
      <c r="J461" s="29"/>
      <c r="K461" s="28"/>
      <c r="L461" s="18"/>
      <c r="M461" s="28" t="s">
        <v>364</v>
      </c>
      <c r="N461" s="28" t="s">
        <v>364</v>
      </c>
      <c r="O461" s="18"/>
      <c r="P461" s="18"/>
      <c r="Q461" s="18"/>
      <c r="R461" s="18"/>
      <c r="S461" s="18"/>
      <c r="T461" s="18"/>
      <c r="U461" s="18"/>
      <c r="V461" s="28"/>
      <c r="W461" s="18"/>
      <c r="X461" s="18"/>
      <c r="Y461" s="18"/>
      <c r="Z461" s="18"/>
      <c r="AA461" s="18"/>
      <c r="AB461" s="18"/>
      <c r="AC461" s="28"/>
      <c r="AD461" s="18"/>
      <c r="AE461" s="18"/>
      <c r="AF461" s="60"/>
      <c r="AG461" s="18"/>
      <c r="AH461" s="18"/>
      <c r="AI461" s="18"/>
      <c r="AJ461" s="21"/>
      <c r="AK461" s="18"/>
      <c r="AL461" s="18"/>
      <c r="AM461" s="18"/>
      <c r="AN461" s="18"/>
      <c r="AO461" s="18"/>
      <c r="AP461" s="18"/>
      <c r="AQ461" s="18"/>
      <c r="AR461">
        <f>F461 +G461</f>
        <v>2</v>
      </c>
    </row>
    <row r="462" spans="1:44" x14ac:dyDescent="0.25">
      <c r="A462" t="str">
        <f>B462 &amp; " - " &amp;E462</f>
        <v>Swansea - Barrow</v>
      </c>
      <c r="B462" t="s">
        <v>1095</v>
      </c>
      <c r="C462" t="str">
        <f ca="1">IFERROR(VLOOKUP(INDEX(OFFSET(_JOUEURS,0,0,,1),MATCH(A462,OFFSET(_JOUEURS,0,1,,1),0)),_MPG,2,FALSE),"")</f>
        <v/>
      </c>
      <c r="D462" s="23" t="s">
        <v>372</v>
      </c>
      <c r="E462" s="29" t="s">
        <v>1090</v>
      </c>
      <c r="F462" s="194">
        <v>4</v>
      </c>
      <c r="G462" s="21">
        <v>2</v>
      </c>
      <c r="H462" s="163"/>
      <c r="I462" s="27">
        <f>AVERAGE(J462,K462,L462,N462)</f>
        <v>5.25</v>
      </c>
      <c r="J462" s="89">
        <v>6</v>
      </c>
      <c r="K462" s="59">
        <v>4</v>
      </c>
      <c r="L462" s="28">
        <v>6</v>
      </c>
      <c r="M462" s="28" t="s">
        <v>364</v>
      </c>
      <c r="N462" s="18">
        <v>5</v>
      </c>
      <c r="O462" s="59" t="s">
        <v>364</v>
      </c>
      <c r="P462" s="17"/>
      <c r="Q462" s="18"/>
      <c r="R462" s="16"/>
      <c r="S462" s="17"/>
      <c r="T462" s="18"/>
      <c r="U462" s="17"/>
      <c r="V462" s="16"/>
      <c r="W462" s="18"/>
      <c r="X462" s="16"/>
      <c r="Y462" s="17"/>
      <c r="Z462" s="17"/>
      <c r="AA462" s="16"/>
      <c r="AB462" s="16"/>
      <c r="AC462" s="16"/>
      <c r="AD462" s="17"/>
      <c r="AE462" s="17"/>
      <c r="AF462" s="17"/>
      <c r="AG462" s="16"/>
      <c r="AH462" s="18"/>
      <c r="AI462" s="16"/>
      <c r="AJ462" s="21"/>
      <c r="AK462" s="17"/>
      <c r="AL462" s="16"/>
      <c r="AM462" s="16"/>
      <c r="AN462" s="16"/>
      <c r="AO462" s="16"/>
      <c r="AP462" s="18"/>
      <c r="AQ462" s="16"/>
      <c r="AR462">
        <f>F462 +G462</f>
        <v>6</v>
      </c>
    </row>
    <row r="463" spans="1:44" x14ac:dyDescent="0.25">
      <c r="A463" t="str">
        <f>B463 &amp; " - " &amp;E463</f>
        <v>Swansea - McBurnie</v>
      </c>
      <c r="B463" t="s">
        <v>1095</v>
      </c>
      <c r="C463" t="str">
        <f ca="1">IFERROR(VLOOKUP(INDEX(OFFSET(_JOUEURS,0,0,,1),MATCH(A463,OFFSET(_JOUEURS,0,1,,1),0)),_MPG,2,FALSE),"")</f>
        <v/>
      </c>
      <c r="D463" s="52" t="s">
        <v>372</v>
      </c>
      <c r="E463" s="69" t="s">
        <v>1092</v>
      </c>
      <c r="F463" s="195"/>
      <c r="G463" s="196">
        <v>1</v>
      </c>
      <c r="H463" s="197"/>
      <c r="I463" s="55"/>
      <c r="J463" s="89"/>
      <c r="K463" s="59"/>
      <c r="L463" s="28" t="s">
        <v>364</v>
      </c>
      <c r="M463" s="60"/>
      <c r="N463" s="28"/>
      <c r="O463" s="28"/>
      <c r="P463" s="16"/>
      <c r="Q463" s="28"/>
      <c r="R463" s="16"/>
      <c r="S463" s="16"/>
      <c r="T463" s="18"/>
      <c r="U463" s="16"/>
      <c r="V463" s="16"/>
      <c r="W463" s="18"/>
      <c r="X463" s="18"/>
      <c r="Y463" s="17"/>
      <c r="Z463" s="16"/>
      <c r="AA463" s="16"/>
      <c r="AB463" s="16"/>
      <c r="AC463" s="59"/>
      <c r="AD463" s="59"/>
      <c r="AE463" s="59"/>
      <c r="AF463" s="59"/>
      <c r="AG463" s="60"/>
      <c r="AH463" s="18"/>
      <c r="AI463" s="18"/>
      <c r="AJ463" s="21"/>
      <c r="AK463" s="16"/>
      <c r="AL463" s="18"/>
      <c r="AM463" s="18"/>
      <c r="AN463" s="59"/>
      <c r="AO463" s="16"/>
      <c r="AP463" s="18"/>
      <c r="AQ463" s="16"/>
      <c r="AR463">
        <f>F463 +G463</f>
        <v>1</v>
      </c>
    </row>
    <row r="464" spans="1:44" x14ac:dyDescent="0.25">
      <c r="A464" t="str">
        <f>B464 &amp; " - " &amp;E464</f>
        <v xml:space="preserve">Swansea - Borja </v>
      </c>
      <c r="B464" t="s">
        <v>1095</v>
      </c>
      <c r="C464" t="str">
        <f ca="1">IFERROR(VLOOKUP(INDEX(OFFSET(_JOUEURS,0,0,,1),MATCH(A464,OFFSET(_JOUEURS,0,1,,1),0)),_MPG,2,FALSE),"")</f>
        <v/>
      </c>
      <c r="D464" s="23" t="s">
        <v>372</v>
      </c>
      <c r="E464" s="29" t="s">
        <v>1093</v>
      </c>
      <c r="F464" s="194"/>
      <c r="G464" s="21">
        <v>2</v>
      </c>
      <c r="H464" s="163"/>
      <c r="I464" s="27"/>
      <c r="J464" s="89"/>
      <c r="K464" s="59"/>
      <c r="L464" s="28"/>
      <c r="M464" s="60"/>
      <c r="N464" s="28" t="s">
        <v>364</v>
      </c>
      <c r="O464" s="28" t="s">
        <v>364</v>
      </c>
      <c r="P464" s="16"/>
      <c r="Q464" s="28"/>
      <c r="R464" s="16"/>
      <c r="S464" s="16"/>
      <c r="T464" s="18"/>
      <c r="U464" s="16"/>
      <c r="V464" s="16"/>
      <c r="W464" s="18"/>
      <c r="X464" s="18"/>
      <c r="Y464" s="17"/>
      <c r="Z464" s="16"/>
      <c r="AA464" s="16"/>
      <c r="AB464" s="16"/>
      <c r="AC464" s="59"/>
      <c r="AD464" s="59"/>
      <c r="AE464" s="59"/>
      <c r="AF464" s="59"/>
      <c r="AG464" s="60"/>
      <c r="AH464" s="18"/>
      <c r="AI464" s="18"/>
      <c r="AJ464" s="21"/>
      <c r="AK464" s="16"/>
      <c r="AL464" s="18"/>
      <c r="AM464" s="18"/>
      <c r="AN464" s="59"/>
      <c r="AO464" s="16"/>
      <c r="AP464" s="18"/>
      <c r="AQ464" s="16"/>
      <c r="AR464">
        <f>F464 +G464</f>
        <v>2</v>
      </c>
    </row>
    <row r="465" spans="1:44" x14ac:dyDescent="0.25">
      <c r="A465" t="str">
        <f>B465 &amp; " - " &amp;E465</f>
        <v>Swansea - Routledge</v>
      </c>
      <c r="B465" t="s">
        <v>1095</v>
      </c>
      <c r="C465" t="str">
        <f ca="1">IFERROR(VLOOKUP(INDEX(OFFSET(_JOUEURS,0,0,,1),MATCH(A465,OFFSET(_JOUEURS,0,1,,1),0)),_MPG,2,FALSE),"")</f>
        <v/>
      </c>
      <c r="D465" s="23" t="s">
        <v>372</v>
      </c>
      <c r="E465" s="29" t="s">
        <v>1094</v>
      </c>
      <c r="F465" s="194">
        <v>4</v>
      </c>
      <c r="G465" s="21"/>
      <c r="H465" s="163"/>
      <c r="I465" s="27">
        <f>AVERAGE(J465,K465,L465,O465)</f>
        <v>4.25</v>
      </c>
      <c r="J465" s="79">
        <v>5</v>
      </c>
      <c r="K465" s="57">
        <v>5</v>
      </c>
      <c r="L465" s="121">
        <v>3</v>
      </c>
      <c r="M465" s="28"/>
      <c r="N465" s="28"/>
      <c r="O465" s="28">
        <v>4</v>
      </c>
      <c r="P465" s="28"/>
      <c r="Q465" s="28"/>
      <c r="R465" s="28"/>
      <c r="S465" s="28"/>
      <c r="T465" s="60"/>
      <c r="U465" s="28"/>
      <c r="V465" s="18"/>
      <c r="W465" s="28"/>
      <c r="X465" s="28"/>
      <c r="Y465" s="28"/>
      <c r="Z465" s="28"/>
      <c r="AA465" s="18"/>
      <c r="AB465" s="18"/>
      <c r="AC465" s="18"/>
      <c r="AD465" s="59"/>
      <c r="AE465" s="28"/>
      <c r="AF465" s="28"/>
      <c r="AG465" s="18"/>
      <c r="AH465" s="28"/>
      <c r="AI465" s="16"/>
      <c r="AJ465" s="21"/>
      <c r="AK465" s="60"/>
      <c r="AL465" s="16"/>
      <c r="AM465" s="28"/>
      <c r="AN465" s="18"/>
      <c r="AO465" s="18"/>
      <c r="AP465" s="16"/>
      <c r="AQ465" s="18"/>
      <c r="AR465">
        <f>F465 +G465</f>
        <v>4</v>
      </c>
    </row>
    <row r="466" spans="1:44" x14ac:dyDescent="0.25">
      <c r="A466" t="str">
        <f>B466 &amp; " - " &amp;E466</f>
        <v>Palace - Wickham</v>
      </c>
      <c r="B466" t="s">
        <v>1119</v>
      </c>
      <c r="C466" t="str">
        <f ca="1">IFERROR(VLOOKUP(INDEX(OFFSET(_JOUEURS,0,0,,1),MATCH(A466,OFFSET(_JOUEURS,0,1,,1),0)),_MPG,2,FALSE),"")</f>
        <v/>
      </c>
      <c r="D466" s="104" t="s">
        <v>372</v>
      </c>
      <c r="E466" s="29" t="s">
        <v>1115</v>
      </c>
      <c r="F466" s="106">
        <v>3</v>
      </c>
      <c r="G466" s="101">
        <v>1</v>
      </c>
      <c r="H466" s="36"/>
      <c r="I466" s="135">
        <f>AVERAGE(J466,K466,L466)</f>
        <v>4</v>
      </c>
      <c r="J466" s="109">
        <v>4</v>
      </c>
      <c r="K466" s="59">
        <v>4</v>
      </c>
      <c r="L466" s="59">
        <v>4</v>
      </c>
      <c r="M466" s="59"/>
      <c r="N466" s="224"/>
      <c r="O466" s="59" t="s">
        <v>364</v>
      </c>
      <c r="P466" s="17"/>
      <c r="Q466" s="225"/>
      <c r="R466" s="17"/>
      <c r="S466" s="17"/>
      <c r="T466" s="224"/>
      <c r="U466" s="224"/>
      <c r="V466" s="17"/>
      <c r="W466" s="59"/>
      <c r="X466" s="224"/>
      <c r="Y466" s="17"/>
      <c r="Z466" s="225"/>
      <c r="AA466" s="224"/>
      <c r="AB466" s="17"/>
      <c r="AC466" s="17"/>
      <c r="AD466" s="59"/>
      <c r="AE466" s="59"/>
      <c r="AF466" s="59"/>
      <c r="AG466" s="224"/>
      <c r="AH466" s="59"/>
      <c r="AI466" s="17"/>
      <c r="AJ466" s="226"/>
      <c r="AK466" s="59"/>
      <c r="AL466" s="59"/>
      <c r="AM466" s="224"/>
      <c r="AN466" s="17"/>
      <c r="AO466" s="59"/>
      <c r="AP466" s="224"/>
      <c r="AQ466" s="224"/>
      <c r="AR466">
        <f>F466 +G466</f>
        <v>4</v>
      </c>
    </row>
    <row r="467" spans="1:44" x14ac:dyDescent="0.25">
      <c r="A467" t="str">
        <f>B467 &amp; " - " &amp;E467</f>
        <v>Palace - J. Benteke</v>
      </c>
      <c r="B467" t="s">
        <v>1119</v>
      </c>
      <c r="C467" t="str">
        <f ca="1">IFERROR(VLOOKUP(INDEX(OFFSET(_JOUEURS,0,0,,1),MATCH(A467,OFFSET(_JOUEURS,0,1,,1),0)),_MPG,2,FALSE),"")</f>
        <v/>
      </c>
      <c r="D467" s="104" t="s">
        <v>372</v>
      </c>
      <c r="E467" s="109" t="s">
        <v>1117</v>
      </c>
      <c r="F467" s="106"/>
      <c r="G467" s="101">
        <v>1</v>
      </c>
      <c r="H467" s="36"/>
      <c r="I467" s="135"/>
      <c r="J467" s="89"/>
      <c r="K467" s="59"/>
      <c r="L467" s="59"/>
      <c r="M467" s="28" t="s">
        <v>364</v>
      </c>
      <c r="N467" s="17"/>
      <c r="O467" s="17"/>
      <c r="P467" s="17"/>
      <c r="Q467" s="17"/>
      <c r="R467" s="17"/>
      <c r="S467" s="17"/>
      <c r="T467" s="17"/>
      <c r="U467" s="59"/>
      <c r="V467" s="59"/>
      <c r="W467" s="17"/>
      <c r="X467" s="224"/>
      <c r="Y467" s="17"/>
      <c r="Z467" s="224"/>
      <c r="AA467" s="17"/>
      <c r="AB467" s="17"/>
      <c r="AC467" s="17"/>
      <c r="AD467" s="17"/>
      <c r="AE467" s="224"/>
      <c r="AF467" s="17"/>
      <c r="AG467" s="17"/>
      <c r="AH467" s="224"/>
      <c r="AI467" s="17"/>
      <c r="AJ467" s="101"/>
      <c r="AK467" s="224"/>
      <c r="AL467" s="224"/>
      <c r="AM467" s="224"/>
      <c r="AN467" s="17"/>
      <c r="AO467" s="224"/>
      <c r="AP467" s="17"/>
      <c r="AQ467" s="59"/>
      <c r="AR467">
        <f>F467 +G467</f>
        <v>1</v>
      </c>
    </row>
    <row r="468" spans="1:44" x14ac:dyDescent="0.25">
      <c r="A468" t="str">
        <f>B468 &amp; " - " &amp;E468</f>
        <v>Palace - Campbell</v>
      </c>
      <c r="B468" t="s">
        <v>1119</v>
      </c>
      <c r="C468" t="str">
        <f ca="1">IFERROR(VLOOKUP(INDEX(OFFSET(_JOUEURS,0,0,,1),MATCH(A468,OFFSET(_JOUEURS,0,1,,1),0)),_MPG,2,FALSE),"")</f>
        <v/>
      </c>
      <c r="D468" s="152" t="s">
        <v>372</v>
      </c>
      <c r="E468" s="109" t="s">
        <v>1118</v>
      </c>
      <c r="F468" s="106"/>
      <c r="G468" s="101"/>
      <c r="H468" s="36"/>
      <c r="I468" s="135"/>
      <c r="J468" s="89"/>
      <c r="K468" s="59"/>
      <c r="L468" s="59"/>
      <c r="M468" s="28"/>
      <c r="N468" s="17"/>
      <c r="O468" s="17"/>
      <c r="P468" s="17"/>
      <c r="Q468" s="17"/>
      <c r="R468" s="17"/>
      <c r="S468" s="17"/>
      <c r="T468" s="17"/>
      <c r="U468" s="59"/>
      <c r="V468" s="59"/>
      <c r="W468" s="17"/>
      <c r="X468" s="224"/>
      <c r="Y468" s="17"/>
      <c r="Z468" s="224"/>
      <c r="AA468" s="17"/>
      <c r="AB468" s="17"/>
      <c r="AC468" s="17"/>
      <c r="AD468" s="17"/>
      <c r="AE468" s="224"/>
      <c r="AF468" s="17"/>
      <c r="AG468" s="17"/>
      <c r="AH468" s="224"/>
      <c r="AI468" s="17"/>
      <c r="AJ468" s="101"/>
      <c r="AK468" s="224"/>
      <c r="AL468" s="224"/>
      <c r="AM468" s="224"/>
      <c r="AN468" s="17"/>
      <c r="AO468" s="224"/>
      <c r="AP468" s="17"/>
      <c r="AQ468" s="59"/>
      <c r="AR468">
        <f>F468 +G468</f>
        <v>0</v>
      </c>
    </row>
    <row r="469" spans="1:44" x14ac:dyDescent="0.25">
      <c r="A469" t="str">
        <f>B469 &amp; " - " &amp;E469</f>
        <v>Palace - Rémy</v>
      </c>
      <c r="B469" t="s">
        <v>1119</v>
      </c>
      <c r="C469" t="str">
        <f ca="1">IFERROR(VLOOKUP(INDEX(OFFSET(_JOUEURS,0,0,,1),MATCH(A469,OFFSET(_JOUEURS,0,1,,1),0)),_MPG,2,FALSE),"")</f>
        <v/>
      </c>
      <c r="D469" s="104" t="s">
        <v>372</v>
      </c>
      <c r="E469" s="29" t="s">
        <v>69</v>
      </c>
      <c r="F469" s="106"/>
      <c r="G469" s="101"/>
      <c r="H469" s="36"/>
      <c r="I469" s="135"/>
      <c r="J469" s="89"/>
      <c r="K469" s="59"/>
      <c r="L469" s="59"/>
      <c r="M469" s="225"/>
      <c r="N469" s="17"/>
      <c r="O469" s="17"/>
      <c r="P469" s="17"/>
      <c r="Q469" s="17"/>
      <c r="R469" s="17"/>
      <c r="S469" s="17"/>
      <c r="T469" s="17"/>
      <c r="U469" s="59"/>
      <c r="V469" s="59"/>
      <c r="W469" s="224"/>
      <c r="X469" s="224"/>
      <c r="Y469" s="17"/>
      <c r="Z469" s="224"/>
      <c r="AA469" s="17"/>
      <c r="AB469" s="17"/>
      <c r="AC469" s="17"/>
      <c r="AD469" s="17"/>
      <c r="AE469" s="224"/>
      <c r="AF469" s="17"/>
      <c r="AG469" s="17"/>
      <c r="AH469" s="224"/>
      <c r="AI469" s="17"/>
      <c r="AJ469" s="101"/>
      <c r="AK469" s="224"/>
      <c r="AL469" s="224"/>
      <c r="AM469" s="224"/>
      <c r="AN469" s="17"/>
      <c r="AO469" s="17"/>
      <c r="AP469" s="17"/>
      <c r="AQ469" s="59"/>
      <c r="AR469">
        <f>F469 +G469</f>
        <v>0</v>
      </c>
    </row>
    <row r="470" spans="1:44" ht="15.75" thickBot="1" x14ac:dyDescent="0.3">
      <c r="A470" t="str">
        <f>B470 &amp; " - " &amp;E470</f>
        <v>WBA - Berahino</v>
      </c>
      <c r="B470" t="s">
        <v>1144</v>
      </c>
      <c r="C470" t="str">
        <f ca="1">IFERROR(VLOOKUP(INDEX(OFFSET(_JOUEURS,0,0,,1),MATCH(A470,OFFSET(_JOUEURS,0,1,,1),0)),_MPG,2,FALSE),"")</f>
        <v/>
      </c>
      <c r="D470" s="128" t="s">
        <v>372</v>
      </c>
      <c r="E470" s="174" t="s">
        <v>1141</v>
      </c>
      <c r="F470" s="118">
        <v>3</v>
      </c>
      <c r="G470" s="119">
        <v>1</v>
      </c>
      <c r="H470" s="120"/>
      <c r="I470" s="92">
        <f>AVERAGE(J470,K470,M470)</f>
        <v>3.6666666666666665</v>
      </c>
      <c r="J470" s="35">
        <v>4</v>
      </c>
      <c r="K470" s="65">
        <v>3</v>
      </c>
      <c r="L470" s="28" t="s">
        <v>364</v>
      </c>
      <c r="M470" s="28">
        <v>4</v>
      </c>
      <c r="N470" s="18"/>
      <c r="O470" s="2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  <c r="AA470" s="18"/>
      <c r="AB470" s="18"/>
      <c r="AC470" s="18"/>
      <c r="AD470" s="18"/>
      <c r="AE470" s="18"/>
      <c r="AF470" s="18"/>
      <c r="AG470" s="28"/>
      <c r="AH470" s="28"/>
      <c r="AI470" s="18"/>
      <c r="AJ470" s="21"/>
      <c r="AK470" s="28"/>
      <c r="AL470" s="18"/>
      <c r="AM470" s="18"/>
      <c r="AN470" s="18"/>
      <c r="AO470" s="18"/>
      <c r="AP470" s="18"/>
      <c r="AQ470" s="18"/>
      <c r="AR470">
        <f>F470 +G470</f>
        <v>4</v>
      </c>
    </row>
    <row r="471" spans="1:44" x14ac:dyDescent="0.25">
      <c r="A471" t="str">
        <f>B471 &amp; " - " &amp;E471</f>
        <v>WBA - Robson-Kanu</v>
      </c>
      <c r="B471" t="s">
        <v>1144</v>
      </c>
      <c r="C471" t="str">
        <f ca="1">IFERROR(VLOOKUP(INDEX(OFFSET(_JOUEURS,0,0,,1),MATCH(A471,OFFSET(_JOUEURS,0,1,,1),0)),_MPG,2,FALSE),"")</f>
        <v/>
      </c>
      <c r="D471" s="202" t="s">
        <v>372</v>
      </c>
      <c r="E471" s="219" t="s">
        <v>1142</v>
      </c>
      <c r="F471" s="203"/>
      <c r="G471" s="204">
        <v>2</v>
      </c>
      <c r="H471" s="205"/>
      <c r="I471" s="14"/>
      <c r="J471" s="35"/>
      <c r="K471" s="28"/>
      <c r="L471" s="28"/>
      <c r="M471" s="28"/>
      <c r="N471" s="28" t="s">
        <v>364</v>
      </c>
      <c r="O471" s="28" t="s">
        <v>364</v>
      </c>
      <c r="P471" s="21"/>
      <c r="Q471" s="18"/>
      <c r="R471" s="18"/>
      <c r="S471" s="18"/>
      <c r="T471" s="18"/>
      <c r="U471" s="18"/>
      <c r="V471" s="18"/>
      <c r="W471" s="18"/>
      <c r="X471" s="18"/>
      <c r="Y471" s="18"/>
      <c r="Z471" s="18"/>
      <c r="AA471" s="18"/>
      <c r="AB471" s="18"/>
      <c r="AC471" s="18"/>
      <c r="AD471" s="18"/>
      <c r="AE471" s="18"/>
      <c r="AF471" s="18"/>
      <c r="AG471" s="28"/>
      <c r="AH471" s="20"/>
      <c r="AI471" s="18"/>
      <c r="AJ471" s="18"/>
      <c r="AK471" s="20"/>
      <c r="AL471" s="18"/>
      <c r="AM471" s="21"/>
      <c r="AN471" s="21"/>
      <c r="AO471" s="21"/>
      <c r="AP471" s="18"/>
      <c r="AQ471" s="21"/>
      <c r="AR471">
        <f>F471 +G471</f>
        <v>2</v>
      </c>
    </row>
    <row r="472" spans="1:44" x14ac:dyDescent="0.25">
      <c r="A472" t="str">
        <f>B472 &amp; " - " &amp;E472</f>
        <v>WBA - Lambert</v>
      </c>
      <c r="B472" t="s">
        <v>1144</v>
      </c>
      <c r="C472" t="str">
        <f ca="1">IFERROR(VLOOKUP(INDEX(OFFSET(_JOUEURS,0,0,,1),MATCH(A472,OFFSET(_JOUEURS,0,1,,1),0)),_MPG,2,FALSE),"")</f>
        <v/>
      </c>
      <c r="D472" s="104" t="s">
        <v>372</v>
      </c>
      <c r="E472" s="29" t="s">
        <v>1143</v>
      </c>
      <c r="F472" s="106"/>
      <c r="G472" s="101">
        <v>1</v>
      </c>
      <c r="H472" s="36"/>
      <c r="I472" s="295"/>
      <c r="J472" s="70"/>
      <c r="K472" s="62" t="s">
        <v>364</v>
      </c>
      <c r="L472" s="28"/>
      <c r="M472" s="28"/>
      <c r="N472" s="18"/>
      <c r="O472" s="28"/>
      <c r="P472" s="21"/>
      <c r="Q472" s="18"/>
      <c r="R472" s="18"/>
      <c r="S472" s="18"/>
      <c r="T472" s="18"/>
      <c r="U472" s="28"/>
      <c r="V472" s="18"/>
      <c r="W472" s="18"/>
      <c r="X472" s="18"/>
      <c r="Y472" s="18"/>
      <c r="Z472" s="18"/>
      <c r="AA472" s="18"/>
      <c r="AB472" s="18"/>
      <c r="AC472" s="28"/>
      <c r="AD472" s="28"/>
      <c r="AE472" s="28"/>
      <c r="AF472" s="28"/>
      <c r="AG472" s="18"/>
      <c r="AH472" s="21"/>
      <c r="AI472" s="18"/>
      <c r="AJ472" s="18"/>
      <c r="AK472" s="20"/>
      <c r="AL472" s="18"/>
      <c r="AM472" s="21"/>
      <c r="AN472" s="21"/>
      <c r="AO472" s="20"/>
      <c r="AP472" s="18"/>
      <c r="AQ472" s="21"/>
      <c r="AR472">
        <f>F472 +G472</f>
        <v>1</v>
      </c>
    </row>
    <row r="473" spans="1:44" x14ac:dyDescent="0.25">
      <c r="A473" t="str">
        <f>B473 &amp; " - " &amp;E473</f>
        <v>Everton - Deulofeu</v>
      </c>
      <c r="B473" t="s">
        <v>1167</v>
      </c>
      <c r="C473" t="str">
        <f ca="1">IFERROR(VLOOKUP(INDEX(OFFSET(_JOUEURS,0,0,,1),MATCH(A473,OFFSET(_JOUEURS,0,1,,1),0)),_MPG,2,FALSE),"")</f>
        <v/>
      </c>
      <c r="D473" s="80" t="s">
        <v>372</v>
      </c>
      <c r="E473" s="69" t="s">
        <v>1162</v>
      </c>
      <c r="F473" s="137">
        <v>2</v>
      </c>
      <c r="G473" s="123">
        <v>3</v>
      </c>
      <c r="H473" s="81"/>
      <c r="I473" s="138">
        <f>AVERAGE(J473,K473)</f>
        <v>4</v>
      </c>
      <c r="J473" s="124">
        <v>4</v>
      </c>
      <c r="K473" s="17">
        <v>4</v>
      </c>
      <c r="L473" s="59"/>
      <c r="M473" s="28" t="s">
        <v>364</v>
      </c>
      <c r="N473" s="28" t="s">
        <v>364</v>
      </c>
      <c r="O473" s="28" t="s">
        <v>364</v>
      </c>
      <c r="P473" s="101"/>
      <c r="Q473" s="17"/>
      <c r="R473" s="17"/>
      <c r="S473" s="17"/>
      <c r="T473" s="17"/>
      <c r="U473" s="17"/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01"/>
      <c r="AI473" s="17"/>
      <c r="AJ473" s="17"/>
      <c r="AK473" s="101"/>
      <c r="AL473" s="17"/>
      <c r="AM473" s="101"/>
      <c r="AN473" s="101"/>
      <c r="AO473" s="101"/>
      <c r="AP473" s="17"/>
      <c r="AQ473" s="101"/>
      <c r="AR473">
        <f>F473 +G473</f>
        <v>5</v>
      </c>
    </row>
    <row r="474" spans="1:44" x14ac:dyDescent="0.25">
      <c r="A474" t="str">
        <f>B474 &amp; " - " &amp;E474</f>
        <v>Everton - Koné</v>
      </c>
      <c r="B474" t="s">
        <v>1167</v>
      </c>
      <c r="C474" t="str">
        <f ca="1">IFERROR(VLOOKUP(INDEX(OFFSET(_JOUEURS,0,0,,1),MATCH(A474,OFFSET(_JOUEURS,0,1,,1),0)),_MPG,2,FALSE),"")</f>
        <v/>
      </c>
      <c r="D474" s="23" t="s">
        <v>372</v>
      </c>
      <c r="E474" s="29" t="s">
        <v>1164</v>
      </c>
      <c r="F474" s="25"/>
      <c r="G474" s="77">
        <v>3</v>
      </c>
      <c r="H474" s="56"/>
      <c r="I474" s="27"/>
      <c r="J474" s="79" t="s">
        <v>364</v>
      </c>
      <c r="K474" s="59"/>
      <c r="L474" s="28" t="s">
        <v>364</v>
      </c>
      <c r="M474" s="59" t="s">
        <v>364</v>
      </c>
      <c r="N474" s="59"/>
      <c r="O474" s="17"/>
      <c r="P474" s="99"/>
      <c r="Q474" s="17"/>
      <c r="R474" s="17"/>
      <c r="S474" s="17"/>
      <c r="T474" s="17"/>
      <c r="U474" s="59"/>
      <c r="V474" s="59"/>
      <c r="W474" s="17"/>
      <c r="X474" s="17"/>
      <c r="Y474" s="17"/>
      <c r="Z474" s="17"/>
      <c r="AA474" s="17"/>
      <c r="AB474" s="17"/>
      <c r="AC474" s="59"/>
      <c r="AD474" s="17"/>
      <c r="AE474" s="59"/>
      <c r="AF474" s="59"/>
      <c r="AG474" s="17"/>
      <c r="AH474" s="101"/>
      <c r="AI474" s="17"/>
      <c r="AJ474" s="17"/>
      <c r="AK474" s="101"/>
      <c r="AL474" s="17"/>
      <c r="AM474" s="101"/>
      <c r="AN474" s="101"/>
      <c r="AO474" s="101"/>
      <c r="AP474" s="17"/>
      <c r="AQ474" s="101"/>
      <c r="AR474">
        <f>F474 +G474</f>
        <v>3</v>
      </c>
    </row>
    <row r="475" spans="1:44" x14ac:dyDescent="0.25">
      <c r="A475" t="str">
        <f>B475 &amp; " - " &amp;E475</f>
        <v>Everton - Valencia</v>
      </c>
      <c r="B475" t="s">
        <v>1167</v>
      </c>
      <c r="C475" t="str">
        <f ca="1">IFERROR(VLOOKUP(INDEX(OFFSET(_JOUEURS,0,0,,1),MATCH(A475,OFFSET(_JOUEURS,0,1,,1),0)),_MPG,2,FALSE),"")</f>
        <v/>
      </c>
      <c r="D475" s="23" t="s">
        <v>372</v>
      </c>
      <c r="E475" s="29" t="s">
        <v>1166</v>
      </c>
      <c r="F475" s="25"/>
      <c r="G475" s="77">
        <v>2</v>
      </c>
      <c r="H475" s="56"/>
      <c r="I475" s="27"/>
      <c r="J475" s="109"/>
      <c r="K475" s="183"/>
      <c r="L475" s="59"/>
      <c r="M475" s="17"/>
      <c r="N475" s="28" t="s">
        <v>364</v>
      </c>
      <c r="O475" s="28" t="s">
        <v>364</v>
      </c>
      <c r="P475" s="99"/>
      <c r="Q475" s="17"/>
      <c r="R475" s="17"/>
      <c r="S475" s="17"/>
      <c r="T475" s="59"/>
      <c r="U475" s="17"/>
      <c r="V475" s="17"/>
      <c r="W475" s="17"/>
      <c r="X475" s="17"/>
      <c r="Y475" s="59"/>
      <c r="Z475" s="17"/>
      <c r="AA475" s="17"/>
      <c r="AB475" s="59"/>
      <c r="AC475" s="17"/>
      <c r="AD475" s="17"/>
      <c r="AE475" s="59"/>
      <c r="AF475" s="59"/>
      <c r="AG475" s="17"/>
      <c r="AH475" s="101"/>
      <c r="AI475" s="17"/>
      <c r="AJ475" s="17"/>
      <c r="AK475" s="101"/>
      <c r="AL475" s="17"/>
      <c r="AM475" s="101"/>
      <c r="AN475" s="99"/>
      <c r="AO475" s="101"/>
      <c r="AP475" s="59"/>
      <c r="AQ475" s="101"/>
      <c r="AR475">
        <f>F475 +G475</f>
        <v>2</v>
      </c>
    </row>
    <row r="476" spans="1:44" x14ac:dyDescent="0.25">
      <c r="A476" t="str">
        <f>B476 &amp; " - " &amp;E476</f>
        <v>West Ham - Ayew</v>
      </c>
      <c r="B476" t="s">
        <v>1212</v>
      </c>
      <c r="C476" t="str">
        <f ca="1">IFERROR(VLOOKUP(INDEX(OFFSET(_JOUEURS,0,0,,1),MATCH(A476,OFFSET(_JOUEURS,0,1,,1),0)),_MPG,2,FALSE),"")</f>
        <v/>
      </c>
      <c r="D476" s="104" t="s">
        <v>372</v>
      </c>
      <c r="E476" s="29" t="s">
        <v>1207</v>
      </c>
      <c r="F476" s="106">
        <v>1</v>
      </c>
      <c r="G476" s="101"/>
      <c r="H476" s="36"/>
      <c r="I476" s="27">
        <f>AVERAGE(J476)</f>
        <v>4</v>
      </c>
      <c r="J476" s="109">
        <v>4</v>
      </c>
      <c r="K476" s="59"/>
      <c r="L476" s="59"/>
      <c r="M476" s="59"/>
      <c r="N476" s="59"/>
      <c r="O476" s="59"/>
      <c r="P476" s="101"/>
      <c r="Q476" s="85"/>
      <c r="R476" s="17"/>
      <c r="S476" s="59"/>
      <c r="T476" s="59"/>
      <c r="U476" s="59"/>
      <c r="V476" s="17"/>
      <c r="W476" s="59"/>
      <c r="X476" s="17"/>
      <c r="Y476" s="17"/>
      <c r="Z476" s="17"/>
      <c r="AA476" s="17"/>
      <c r="AB476" s="17"/>
      <c r="AC476" s="59"/>
      <c r="AD476" s="17"/>
      <c r="AE476" s="59"/>
      <c r="AF476" s="84"/>
      <c r="AG476" s="59"/>
      <c r="AH476" s="99"/>
      <c r="AI476" s="59"/>
      <c r="AJ476" s="59"/>
      <c r="AK476" s="99"/>
      <c r="AL476" s="17"/>
      <c r="AM476" s="99"/>
      <c r="AN476" s="99"/>
      <c r="AO476" s="86"/>
      <c r="AP476" s="17"/>
      <c r="AQ476" s="101"/>
      <c r="AR476">
        <f>F476 +G476</f>
        <v>1</v>
      </c>
    </row>
    <row r="477" spans="1:44" x14ac:dyDescent="0.25">
      <c r="A477" t="str">
        <f>B477 &amp; " - " &amp;E477</f>
        <v>West Ham - Carroll</v>
      </c>
      <c r="B477" t="s">
        <v>1212</v>
      </c>
      <c r="C477" t="str">
        <f ca="1">IFERROR(VLOOKUP(INDEX(OFFSET(_JOUEURS,0,0,,1),MATCH(A477,OFFSET(_JOUEURS,0,1,,1),0)),_MPG,2,FALSE),"")</f>
        <v/>
      </c>
      <c r="D477" s="104" t="s">
        <v>372</v>
      </c>
      <c r="E477" s="29" t="s">
        <v>1181</v>
      </c>
      <c r="F477" s="106">
        <v>1</v>
      </c>
      <c r="G477" s="101"/>
      <c r="H477" s="36"/>
      <c r="I477" s="27">
        <f>AVERAGE(J477)</f>
        <v>4</v>
      </c>
      <c r="J477" s="109">
        <v>4</v>
      </c>
      <c r="K477" s="17"/>
      <c r="L477" s="59"/>
      <c r="M477" s="59"/>
      <c r="N477" s="17"/>
      <c r="O477" s="84"/>
      <c r="P477" s="101"/>
      <c r="Q477" s="59"/>
      <c r="R477" s="17"/>
      <c r="S477" s="59"/>
      <c r="T477" s="17"/>
      <c r="U477" s="17"/>
      <c r="V477" s="17"/>
      <c r="W477" s="85"/>
      <c r="X477" s="84"/>
      <c r="Y477" s="59"/>
      <c r="Z477" s="17"/>
      <c r="AA477" s="59"/>
      <c r="AB477" s="17"/>
      <c r="AC477" s="59"/>
      <c r="AD477" s="17"/>
      <c r="AE477" s="59"/>
      <c r="AF477" s="59"/>
      <c r="AG477" s="59"/>
      <c r="AH477" s="101"/>
      <c r="AI477" s="17"/>
      <c r="AJ477" s="17"/>
      <c r="AK477" s="101"/>
      <c r="AL477" s="59"/>
      <c r="AM477" s="99"/>
      <c r="AN477" s="101"/>
      <c r="AO477" s="101"/>
      <c r="AP477" s="17"/>
      <c r="AQ477" s="99"/>
      <c r="AR477">
        <f>F477 +G477</f>
        <v>1</v>
      </c>
    </row>
    <row r="478" spans="1:44" x14ac:dyDescent="0.25">
      <c r="A478" t="str">
        <f>B478 &amp; " - " &amp;E478</f>
        <v>West Ham - Valencia</v>
      </c>
      <c r="B478" t="s">
        <v>1212</v>
      </c>
      <c r="C478" t="str">
        <f ca="1">IFERROR(VLOOKUP(INDEX(OFFSET(_JOUEURS,0,0,,1),MATCH(A478,OFFSET(_JOUEURS,0,1,,1),0)),_MPG,2,FALSE),"")</f>
        <v/>
      </c>
      <c r="D478" s="37" t="s">
        <v>372</v>
      </c>
      <c r="E478" s="43" t="s">
        <v>1166</v>
      </c>
      <c r="F478" s="39">
        <v>3</v>
      </c>
      <c r="G478" s="48"/>
      <c r="H478" s="103"/>
      <c r="I478" s="63">
        <f>AVERAGE(J478,K478,L478)</f>
        <v>4.333333333333333</v>
      </c>
      <c r="J478" s="43">
        <v>5</v>
      </c>
      <c r="K478" s="47">
        <v>4</v>
      </c>
      <c r="L478" s="48">
        <v>4</v>
      </c>
      <c r="M478" s="46"/>
      <c r="N478" s="40"/>
      <c r="O478" s="40"/>
      <c r="P478" s="48"/>
      <c r="Q478" s="46"/>
      <c r="R478" s="40"/>
      <c r="S478" s="40"/>
      <c r="T478" s="40"/>
      <c r="U478" s="40"/>
      <c r="V478" s="40"/>
      <c r="W478" s="40"/>
      <c r="X478" s="40"/>
      <c r="Y478" s="46"/>
      <c r="Z478" s="40"/>
      <c r="AA478" s="46"/>
      <c r="AB478" s="40"/>
      <c r="AC478" s="40"/>
      <c r="AD478" s="46"/>
      <c r="AE478" s="40"/>
      <c r="AF478" s="40"/>
      <c r="AG478" s="40"/>
      <c r="AH478" s="48"/>
      <c r="AI478" s="40"/>
      <c r="AJ478" s="40"/>
      <c r="AK478" s="48"/>
      <c r="AL478" s="40"/>
      <c r="AM478" s="48"/>
      <c r="AN478" s="48"/>
      <c r="AO478" s="47"/>
      <c r="AP478" s="40"/>
      <c r="AQ478" s="48"/>
      <c r="AR478">
        <f>F478 +G478</f>
        <v>3</v>
      </c>
    </row>
    <row r="479" spans="1:44" x14ac:dyDescent="0.25">
      <c r="A479" t="str">
        <f>B479 &amp; " - " &amp;E479</f>
        <v>West Ham - Calleri</v>
      </c>
      <c r="B479" t="s">
        <v>1212</v>
      </c>
      <c r="C479" t="str">
        <f ca="1">IFERROR(VLOOKUP(INDEX(OFFSET(_JOUEURS,0,0,,1),MATCH(A479,OFFSET(_JOUEURS,0,1,,1),0)),_MPG,2,FALSE),"")</f>
        <v/>
      </c>
      <c r="D479" s="104" t="s">
        <v>372</v>
      </c>
      <c r="E479" s="29" t="s">
        <v>1208</v>
      </c>
      <c r="F479" s="106"/>
      <c r="G479" s="101">
        <v>4</v>
      </c>
      <c r="H479" s="36"/>
      <c r="I479" s="27"/>
      <c r="J479" s="165"/>
      <c r="K479" s="59" t="s">
        <v>364</v>
      </c>
      <c r="L479" s="28" t="s">
        <v>364</v>
      </c>
      <c r="M479" s="28" t="s">
        <v>364</v>
      </c>
      <c r="N479" s="59" t="s">
        <v>364</v>
      </c>
      <c r="O479" s="85"/>
      <c r="P479" s="86"/>
      <c r="Q479" s="84"/>
      <c r="R479" s="85"/>
      <c r="S479" s="85"/>
      <c r="T479" s="85"/>
      <c r="U479" s="85"/>
      <c r="V479" s="85"/>
      <c r="W479" s="85"/>
      <c r="X479" s="85"/>
      <c r="Y479" s="84"/>
      <c r="Z479" s="85"/>
      <c r="AA479" s="84"/>
      <c r="AB479" s="85"/>
      <c r="AC479" s="85"/>
      <c r="AD479" s="84"/>
      <c r="AE479" s="85"/>
      <c r="AF479" s="85"/>
      <c r="AG479" s="85"/>
      <c r="AH479" s="86"/>
      <c r="AI479" s="85"/>
      <c r="AJ479" s="85"/>
      <c r="AK479" s="86"/>
      <c r="AL479" s="85"/>
      <c r="AM479" s="86"/>
      <c r="AN479" s="86"/>
      <c r="AO479" s="86"/>
      <c r="AP479" s="85"/>
      <c r="AQ479" s="86"/>
      <c r="AR479">
        <f>F479 +G479</f>
        <v>4</v>
      </c>
    </row>
    <row r="480" spans="1:44" x14ac:dyDescent="0.25">
      <c r="A480" t="str">
        <f>B480 &amp; " - " &amp;E480</f>
        <v>West Ham - Fletcher</v>
      </c>
      <c r="B480" t="s">
        <v>1212</v>
      </c>
      <c r="C480" t="str">
        <f ca="1">IFERROR(VLOOKUP(INDEX(OFFSET(_JOUEURS,0,0,,1),MATCH(A480,OFFSET(_JOUEURS,0,1,,1),0)),_MPG,2,FALSE),"")</f>
        <v/>
      </c>
      <c r="D480" s="104" t="s">
        <v>372</v>
      </c>
      <c r="E480" s="29" t="s">
        <v>1130</v>
      </c>
      <c r="F480" s="106">
        <v>1</v>
      </c>
      <c r="G480" s="101">
        <v>4</v>
      </c>
      <c r="H480" s="36"/>
      <c r="I480" s="27">
        <f>AVERAGE(L480)</f>
        <v>3</v>
      </c>
      <c r="J480" s="89"/>
      <c r="K480" s="28" t="s">
        <v>364</v>
      </c>
      <c r="L480" s="145">
        <v>3</v>
      </c>
      <c r="M480" s="28" t="s">
        <v>364</v>
      </c>
      <c r="N480" s="28" t="s">
        <v>364</v>
      </c>
      <c r="O480" s="28" t="s">
        <v>364</v>
      </c>
      <c r="P480" s="99"/>
      <c r="Q480" s="17"/>
      <c r="R480" s="59"/>
      <c r="S480" s="17"/>
      <c r="T480" s="17"/>
      <c r="U480" s="17"/>
      <c r="V480" s="85"/>
      <c r="W480" s="17"/>
      <c r="X480" s="17"/>
      <c r="Y480" s="59"/>
      <c r="Z480" s="17"/>
      <c r="AA480" s="17"/>
      <c r="AB480" s="59"/>
      <c r="AC480" s="17"/>
      <c r="AD480" s="17"/>
      <c r="AE480" s="17"/>
      <c r="AF480" s="17"/>
      <c r="AG480" s="59"/>
      <c r="AH480" s="101"/>
      <c r="AI480" s="59"/>
      <c r="AJ480" s="59"/>
      <c r="AK480" s="101"/>
      <c r="AL480" s="59"/>
      <c r="AM480" s="99"/>
      <c r="AN480" s="125"/>
      <c r="AO480" s="99"/>
      <c r="AP480" s="59"/>
      <c r="AQ480" s="99"/>
      <c r="AR480">
        <f>F480 +G480</f>
        <v>5</v>
      </c>
    </row>
    <row r="481" spans="1:44" x14ac:dyDescent="0.25">
      <c r="A481" t="str">
        <f>B481 &amp; " - " &amp;E481</f>
        <v>West Ham - Sakho</v>
      </c>
      <c r="B481" t="s">
        <v>1212</v>
      </c>
      <c r="C481" t="str">
        <f ca="1">IFERROR(VLOOKUP(INDEX(OFFSET(_JOUEURS,0,0,,1),MATCH(A481,OFFSET(_JOUEURS,0,1,,1),0)),_MPG,2,FALSE),"")</f>
        <v/>
      </c>
      <c r="D481" s="148" t="s">
        <v>372</v>
      </c>
      <c r="E481" s="69" t="s">
        <v>1210</v>
      </c>
      <c r="F481" s="137"/>
      <c r="G481" s="123"/>
      <c r="H481" s="81"/>
      <c r="I481" s="55"/>
      <c r="J481" s="89"/>
      <c r="K481" s="28"/>
      <c r="L481" s="59"/>
      <c r="M481" s="28"/>
      <c r="N481" s="17"/>
      <c r="O481" s="17"/>
      <c r="P481" s="99"/>
      <c r="Q481" s="17"/>
      <c r="R481" s="59"/>
      <c r="S481" s="17"/>
      <c r="T481" s="17"/>
      <c r="U481" s="17"/>
      <c r="V481" s="85"/>
      <c r="W481" s="17"/>
      <c r="X481" s="17"/>
      <c r="Y481" s="59"/>
      <c r="Z481" s="17"/>
      <c r="AA481" s="17"/>
      <c r="AB481" s="59"/>
      <c r="AC481" s="17"/>
      <c r="AD481" s="17"/>
      <c r="AE481" s="17"/>
      <c r="AF481" s="17"/>
      <c r="AG481" s="59"/>
      <c r="AH481" s="101"/>
      <c r="AI481" s="59"/>
      <c r="AJ481" s="59"/>
      <c r="AK481" s="101"/>
      <c r="AL481" s="59"/>
      <c r="AM481" s="99"/>
      <c r="AN481" s="125"/>
      <c r="AO481" s="99"/>
      <c r="AP481" s="59"/>
      <c r="AQ481" s="99"/>
      <c r="AR481">
        <f>F481 +G481</f>
        <v>0</v>
      </c>
    </row>
    <row r="482" spans="1:44" hidden="1" x14ac:dyDescent="0.25">
      <c r="A482" t="str">
        <f>B482 &amp; " - " &amp;E482</f>
        <v>West Ham - Zaza</v>
      </c>
      <c r="B482" t="s">
        <v>1212</v>
      </c>
      <c r="C482" t="str">
        <f ca="1">IFERROR(VLOOKUP(INDEX(OFFSET(_JOUEURS,0,0,,1),MATCH(A482,OFFSET(_JOUEURS,0,1,,1),0)),_MPG,2,FALSE),"")</f>
        <v>nut fc</v>
      </c>
      <c r="D482" s="104" t="s">
        <v>372</v>
      </c>
      <c r="E482" s="29" t="s">
        <v>1211</v>
      </c>
      <c r="F482" s="106">
        <v>3</v>
      </c>
      <c r="G482" s="101"/>
      <c r="H482" s="36"/>
      <c r="I482" s="27">
        <f>AVERAGE(M482,N482,O482)</f>
        <v>4</v>
      </c>
      <c r="J482" s="223"/>
      <c r="K482" s="59"/>
      <c r="L482" s="16"/>
      <c r="M482" s="59">
        <v>4</v>
      </c>
      <c r="N482" s="17">
        <v>4</v>
      </c>
      <c r="O482" s="17">
        <v>4</v>
      </c>
      <c r="P482" s="99"/>
      <c r="Q482" s="17"/>
      <c r="R482" s="85"/>
      <c r="S482" s="17"/>
      <c r="T482" s="17"/>
      <c r="U482" s="59"/>
      <c r="V482" s="59"/>
      <c r="W482" s="59"/>
      <c r="X482" s="17"/>
      <c r="Y482" s="59"/>
      <c r="Z482" s="59"/>
      <c r="AA482" s="84"/>
      <c r="AB482" s="59"/>
      <c r="AC482" s="17"/>
      <c r="AD482" s="17"/>
      <c r="AE482" s="59"/>
      <c r="AF482" s="85"/>
      <c r="AG482" s="17"/>
      <c r="AH482" s="101"/>
      <c r="AI482" s="85"/>
      <c r="AJ482" s="17"/>
      <c r="AK482" s="101"/>
      <c r="AL482" s="17"/>
      <c r="AM482" s="86"/>
      <c r="AN482" s="101"/>
      <c r="AO482" s="99"/>
      <c r="AP482" s="59"/>
      <c r="AQ482" s="86"/>
      <c r="AR482">
        <f>F482 +G482</f>
        <v>3</v>
      </c>
    </row>
    <row r="483" spans="1:44" x14ac:dyDescent="0.25">
      <c r="A483" t="str">
        <f>B483 &amp; " - " &amp;E483</f>
        <v>Hull - Mbokani</v>
      </c>
      <c r="B483" t="s">
        <v>1237</v>
      </c>
      <c r="C483" t="str">
        <f ca="1">IFERROR(VLOOKUP(INDEX(OFFSET(_JOUEURS,0,0,,1),MATCH(A483,OFFSET(_JOUEURS,0,1,,1),0)),_MPG,2,FALSE),"")</f>
        <v/>
      </c>
      <c r="D483" s="152" t="s">
        <v>372</v>
      </c>
      <c r="E483" s="29" t="s">
        <v>1233</v>
      </c>
      <c r="F483" s="106"/>
      <c r="G483" s="101">
        <v>1</v>
      </c>
      <c r="H483" s="36"/>
      <c r="I483" s="27"/>
      <c r="J483" s="124"/>
      <c r="K483" s="59"/>
      <c r="L483" s="59"/>
      <c r="M483" s="59"/>
      <c r="N483" s="59" t="s">
        <v>364</v>
      </c>
      <c r="O483" s="85"/>
      <c r="P483" s="86"/>
      <c r="Q483" s="84"/>
      <c r="R483" s="85"/>
      <c r="S483" s="84"/>
      <c r="T483" s="85"/>
      <c r="U483" s="85"/>
      <c r="V483" s="85"/>
      <c r="W483" s="84"/>
      <c r="X483" s="85"/>
      <c r="Y483" s="84"/>
      <c r="Z483" s="85"/>
      <c r="AA483" s="85"/>
      <c r="AB483" s="85"/>
      <c r="AC483" s="85"/>
      <c r="AD483" s="85"/>
      <c r="AE483" s="84"/>
      <c r="AF483" s="85"/>
      <c r="AG483" s="84"/>
      <c r="AH483" s="125"/>
      <c r="AI483" s="84"/>
      <c r="AJ483" s="84"/>
      <c r="AK483" s="125"/>
      <c r="AL483" s="84"/>
      <c r="AM483" s="86"/>
      <c r="AN483" s="86"/>
      <c r="AO483" s="86"/>
      <c r="AP483" s="85"/>
      <c r="AQ483" s="125"/>
      <c r="AR483">
        <f>F483 +G483</f>
        <v>1</v>
      </c>
    </row>
    <row r="484" spans="1:44" x14ac:dyDescent="0.25">
      <c r="A484" t="str">
        <f>B484 &amp; " - " &amp;E484</f>
        <v>Hull - Keane</v>
      </c>
      <c r="B484" t="s">
        <v>1237</v>
      </c>
      <c r="C484" t="str">
        <f ca="1">IFERROR(VLOOKUP(INDEX(OFFSET(_JOUEURS,0,0,,1),MATCH(A484,OFFSET(_JOUEURS,0,1,,1),0)),_MPG,2,FALSE),"")</f>
        <v/>
      </c>
      <c r="D484" s="104" t="s">
        <v>372</v>
      </c>
      <c r="E484" s="29" t="s">
        <v>1049</v>
      </c>
      <c r="F484" s="106"/>
      <c r="G484" s="101">
        <v>1</v>
      </c>
      <c r="H484" s="36"/>
      <c r="I484" s="27"/>
      <c r="J484" s="126"/>
      <c r="K484" s="59"/>
      <c r="L484" s="59"/>
      <c r="M484" s="28" t="s">
        <v>364</v>
      </c>
      <c r="N484" s="59"/>
      <c r="O484" s="84"/>
      <c r="P484" s="125"/>
      <c r="Q484" s="59"/>
      <c r="R484" s="85"/>
      <c r="S484" s="84"/>
      <c r="T484" s="59"/>
      <c r="U484" s="85"/>
      <c r="V484" s="85"/>
      <c r="W484" s="85"/>
      <c r="X484" s="85"/>
      <c r="Y484" s="59"/>
      <c r="Z484" s="59"/>
      <c r="AA484" s="17"/>
      <c r="AB484" s="17"/>
      <c r="AC484" s="17"/>
      <c r="AD484" s="17"/>
      <c r="AE484" s="59"/>
      <c r="AF484" s="59"/>
      <c r="AG484" s="59"/>
      <c r="AH484" s="99"/>
      <c r="AI484" s="85"/>
      <c r="AJ484" s="17"/>
      <c r="AK484" s="101"/>
      <c r="AL484" s="59"/>
      <c r="AM484" s="101"/>
      <c r="AN484" s="101"/>
      <c r="AO484" s="99"/>
      <c r="AP484" s="17"/>
      <c r="AQ484" s="101"/>
      <c r="AR484">
        <f>F484 +G484</f>
        <v>1</v>
      </c>
    </row>
    <row r="485" spans="1:44" x14ac:dyDescent="0.25">
      <c r="A485" t="str">
        <f>B485 &amp; " - " &amp;E485</f>
        <v>Hull - Hinchcliffe</v>
      </c>
      <c r="B485" t="s">
        <v>1237</v>
      </c>
      <c r="C485" t="str">
        <f ca="1">IFERROR(VLOOKUP(INDEX(OFFSET(_JOUEURS,0,0,,1),MATCH(A485,OFFSET(_JOUEURS,0,1,,1),0)),_MPG,2,FALSE),"")</f>
        <v/>
      </c>
      <c r="D485" s="152" t="s">
        <v>372</v>
      </c>
      <c r="E485" s="29" t="s">
        <v>1234</v>
      </c>
      <c r="F485" s="106"/>
      <c r="G485" s="101"/>
      <c r="H485" s="36"/>
      <c r="I485" s="27"/>
      <c r="J485" s="126"/>
      <c r="K485" s="99"/>
      <c r="L485" s="99"/>
      <c r="M485" s="28"/>
      <c r="N485" s="59"/>
      <c r="O485" s="84"/>
      <c r="P485" s="125"/>
      <c r="Q485" s="59"/>
      <c r="R485" s="85"/>
      <c r="S485" s="84"/>
      <c r="T485" s="59"/>
      <c r="U485" s="85"/>
      <c r="V485" s="85"/>
      <c r="W485" s="85"/>
      <c r="X485" s="85"/>
      <c r="Y485" s="59"/>
      <c r="Z485" s="59"/>
      <c r="AA485" s="17"/>
      <c r="AB485" s="17"/>
      <c r="AC485" s="17"/>
      <c r="AD485" s="17"/>
      <c r="AE485" s="59"/>
      <c r="AF485" s="59"/>
      <c r="AG485" s="59"/>
      <c r="AH485" s="99"/>
      <c r="AI485" s="85"/>
      <c r="AJ485" s="17"/>
      <c r="AK485" s="101"/>
      <c r="AL485" s="59"/>
      <c r="AM485" s="101"/>
      <c r="AN485" s="101"/>
      <c r="AO485" s="99"/>
      <c r="AP485" s="17"/>
      <c r="AQ485" s="101"/>
      <c r="AR485">
        <f>F485 +G485</f>
        <v>0</v>
      </c>
    </row>
    <row r="486" spans="1:44" x14ac:dyDescent="0.25">
      <c r="A486" t="str">
        <f>B486 &amp; " - " &amp;E486</f>
        <v>Hull - Luer</v>
      </c>
      <c r="B486" t="s">
        <v>1237</v>
      </c>
      <c r="C486" t="str">
        <f ca="1">IFERROR(VLOOKUP(INDEX(OFFSET(_JOUEURS,0,0,,1),MATCH(A486,OFFSET(_JOUEURS,0,1,,1),0)),_MPG,2,FALSE),"")</f>
        <v/>
      </c>
      <c r="D486" s="152" t="s">
        <v>372</v>
      </c>
      <c r="E486" s="29" t="s">
        <v>1235</v>
      </c>
      <c r="F486" s="106"/>
      <c r="G486" s="101"/>
      <c r="H486" s="36"/>
      <c r="I486" s="27"/>
      <c r="J486" s="126"/>
      <c r="K486" s="59"/>
      <c r="L486" s="59"/>
      <c r="M486" s="28"/>
      <c r="N486" s="59"/>
      <c r="O486" s="84"/>
      <c r="P486" s="125"/>
      <c r="Q486" s="59"/>
      <c r="R486" s="85"/>
      <c r="S486" s="84"/>
      <c r="T486" s="59"/>
      <c r="U486" s="85"/>
      <c r="V486" s="85"/>
      <c r="W486" s="85"/>
      <c r="X486" s="85"/>
      <c r="Y486" s="59"/>
      <c r="Z486" s="59"/>
      <c r="AA486" s="17"/>
      <c r="AB486" s="17"/>
      <c r="AC486" s="17"/>
      <c r="AD486" s="17"/>
      <c r="AE486" s="59"/>
      <c r="AF486" s="59"/>
      <c r="AG486" s="59"/>
      <c r="AH486" s="99"/>
      <c r="AI486" s="85"/>
      <c r="AJ486" s="17"/>
      <c r="AK486" s="101"/>
      <c r="AL486" s="59"/>
      <c r="AM486" s="101"/>
      <c r="AN486" s="101"/>
      <c r="AO486" s="99"/>
      <c r="AP486" s="17"/>
      <c r="AQ486" s="101"/>
      <c r="AR486">
        <f>F486 +G486</f>
        <v>0</v>
      </c>
    </row>
    <row r="487" spans="1:44" x14ac:dyDescent="0.25">
      <c r="A487" t="str">
        <f>B487 &amp; " - " &amp;E487</f>
        <v>Hull - Bowen</v>
      </c>
      <c r="B487" t="s">
        <v>1237</v>
      </c>
      <c r="C487" t="str">
        <f ca="1">IFERROR(VLOOKUP(INDEX(OFFSET(_JOUEURS,0,0,,1),MATCH(A487,OFFSET(_JOUEURS,0,1,,1),0)),_MPG,2,FALSE),"")</f>
        <v/>
      </c>
      <c r="D487" s="104" t="s">
        <v>372</v>
      </c>
      <c r="E487" s="29" t="s">
        <v>1236</v>
      </c>
      <c r="F487" s="106"/>
      <c r="G487" s="101"/>
      <c r="H487" s="36"/>
      <c r="I487" s="27"/>
      <c r="J487" s="124"/>
      <c r="K487" s="59"/>
      <c r="L487" s="59"/>
      <c r="M487" s="59"/>
      <c r="N487" s="84"/>
      <c r="O487" s="59"/>
      <c r="P487" s="125"/>
      <c r="Q487" s="59"/>
      <c r="R487" s="85"/>
      <c r="S487" s="59"/>
      <c r="T487" s="59"/>
      <c r="U487" s="17"/>
      <c r="V487" s="17"/>
      <c r="W487" s="17"/>
      <c r="X487" s="17"/>
      <c r="Y487" s="59"/>
      <c r="Z487" s="17"/>
      <c r="AA487" s="17"/>
      <c r="AB487" s="17"/>
      <c r="AC487" s="85"/>
      <c r="AD487" s="17"/>
      <c r="AE487" s="59"/>
      <c r="AF487" s="59"/>
      <c r="AG487" s="17"/>
      <c r="AH487" s="99"/>
      <c r="AI487" s="17"/>
      <c r="AJ487" s="85"/>
      <c r="AK487" s="86"/>
      <c r="AL487" s="59"/>
      <c r="AM487" s="86"/>
      <c r="AN487" s="86"/>
      <c r="AO487" s="86"/>
      <c r="AP487" s="85"/>
      <c r="AQ487" s="99"/>
      <c r="AR487">
        <f>F487 +G487</f>
        <v>0</v>
      </c>
    </row>
    <row r="488" spans="1:44" x14ac:dyDescent="0.25">
      <c r="A488" t="str">
        <f>B488 &amp; " - " &amp;E488</f>
        <v>Leicester - Musa</v>
      </c>
      <c r="B488" t="s">
        <v>1258</v>
      </c>
      <c r="C488" t="str">
        <f ca="1">IFERROR(VLOOKUP(INDEX(OFFSET(_JOUEURS,0,0,,1),MATCH(A488,OFFSET(_JOUEURS,0,1,,1),0)),_MPG,2,FALSE),"")</f>
        <v/>
      </c>
      <c r="D488" s="23" t="s">
        <v>372</v>
      </c>
      <c r="E488" s="29" t="s">
        <v>1253</v>
      </c>
      <c r="F488" s="194">
        <v>1</v>
      </c>
      <c r="G488" s="21">
        <v>3</v>
      </c>
      <c r="H488" s="163"/>
      <c r="I488" s="27">
        <f>AVERAGE(J488)</f>
        <v>5</v>
      </c>
      <c r="J488" s="70">
        <v>5</v>
      </c>
      <c r="K488" s="28" t="s">
        <v>364</v>
      </c>
      <c r="L488" s="28" t="s">
        <v>364</v>
      </c>
      <c r="M488" s="28" t="s">
        <v>364</v>
      </c>
      <c r="N488" s="18"/>
      <c r="O488" s="28"/>
      <c r="P488" s="21"/>
      <c r="Q488" s="18"/>
      <c r="R488" s="18"/>
      <c r="S488" s="18"/>
      <c r="T488" s="18"/>
      <c r="U488" s="16"/>
      <c r="V488" s="18"/>
      <c r="W488" s="18"/>
      <c r="X488" s="18"/>
      <c r="Y488" s="18"/>
      <c r="Z488" s="18"/>
      <c r="AA488" s="18"/>
      <c r="AB488" s="28"/>
      <c r="AC488" s="59"/>
      <c r="AD488" s="28"/>
      <c r="AE488" s="16"/>
      <c r="AF488" s="28"/>
      <c r="AG488" s="18"/>
      <c r="AH488" s="74"/>
      <c r="AI488" s="59"/>
      <c r="AJ488" s="16"/>
      <c r="AK488" s="22"/>
      <c r="AL488" s="18"/>
      <c r="AM488" s="21"/>
      <c r="AN488" s="21"/>
      <c r="AO488" s="21"/>
      <c r="AP488" s="18"/>
      <c r="AQ488" s="20"/>
      <c r="AR488">
        <f>F488 +G488</f>
        <v>4</v>
      </c>
    </row>
    <row r="489" spans="1:44" x14ac:dyDescent="0.25">
      <c r="A489" t="str">
        <f>B489 &amp; " - " &amp;E489</f>
        <v>Leicester - Ulloa</v>
      </c>
      <c r="B489" t="s">
        <v>1258</v>
      </c>
      <c r="C489" t="str">
        <f ca="1">IFERROR(VLOOKUP(INDEX(OFFSET(_JOUEURS,0,0,,1),MATCH(A489,OFFSET(_JOUEURS,0,1,,1),0)),_MPG,2,FALSE),"")</f>
        <v/>
      </c>
      <c r="D489" s="104" t="s">
        <v>372</v>
      </c>
      <c r="E489" s="29" t="s">
        <v>1255</v>
      </c>
      <c r="F489" s="106"/>
      <c r="G489" s="101">
        <v>4</v>
      </c>
      <c r="H489" s="36"/>
      <c r="I489" s="27"/>
      <c r="J489" s="122" t="s">
        <v>364</v>
      </c>
      <c r="K489" s="59" t="s">
        <v>364</v>
      </c>
      <c r="L489" s="28" t="s">
        <v>364</v>
      </c>
      <c r="M489" s="28" t="s">
        <v>364</v>
      </c>
      <c r="N489" s="84"/>
      <c r="O489" s="84"/>
      <c r="P489" s="125"/>
      <c r="Q489" s="16"/>
      <c r="R489" s="85"/>
      <c r="S489" s="85"/>
      <c r="T489" s="84"/>
      <c r="U489" s="84"/>
      <c r="V489" s="84"/>
      <c r="W489" s="16"/>
      <c r="X489" s="85"/>
      <c r="Y489" s="85"/>
      <c r="Z489" s="84"/>
      <c r="AA489" s="85"/>
      <c r="AB489" s="84"/>
      <c r="AC489" s="84"/>
      <c r="AD489" s="84"/>
      <c r="AE489" s="84"/>
      <c r="AF489" s="85"/>
      <c r="AG489" s="84"/>
      <c r="AH489" s="125"/>
      <c r="AI489" s="85"/>
      <c r="AJ489" s="84"/>
      <c r="AK489" s="125"/>
      <c r="AL489" s="84"/>
      <c r="AM489" s="125"/>
      <c r="AN489" s="86"/>
      <c r="AO489" s="125"/>
      <c r="AP489" s="84"/>
      <c r="AQ489" s="125"/>
      <c r="AR489">
        <f>F489 +G489</f>
        <v>4</v>
      </c>
    </row>
    <row r="490" spans="1:44" x14ac:dyDescent="0.25">
      <c r="A490" t="str">
        <f>B490 &amp; " - " &amp;E490</f>
        <v>Leicester - Okazaki</v>
      </c>
      <c r="B490" t="s">
        <v>1258</v>
      </c>
      <c r="C490" t="str">
        <f ca="1">IFERROR(VLOOKUP(INDEX(OFFSET(_JOUEURS,0,0,,1),MATCH(A490,OFFSET(_JOUEURS,0,1,,1),0)),_MPG,2,FALSE),"")</f>
        <v/>
      </c>
      <c r="D490" s="104" t="s">
        <v>372</v>
      </c>
      <c r="E490" s="29" t="s">
        <v>1257</v>
      </c>
      <c r="F490" s="106">
        <v>3</v>
      </c>
      <c r="G490" s="101">
        <v>1</v>
      </c>
      <c r="H490" s="36"/>
      <c r="I490" s="27">
        <f>AVERAGE(K490,L490,M490)</f>
        <v>4.666666666666667</v>
      </c>
      <c r="J490" s="122" t="s">
        <v>364</v>
      </c>
      <c r="K490" s="28">
        <v>4</v>
      </c>
      <c r="L490" s="59">
        <v>6</v>
      </c>
      <c r="M490" s="28">
        <v>4</v>
      </c>
      <c r="N490" s="28"/>
      <c r="O490" s="28"/>
      <c r="P490" s="20"/>
      <c r="Q490" s="17"/>
      <c r="R490" s="18"/>
      <c r="S490" s="18"/>
      <c r="T490" s="60"/>
      <c r="U490" s="28"/>
      <c r="V490" s="28"/>
      <c r="W490" s="17"/>
      <c r="X490" s="16"/>
      <c r="Y490" s="18"/>
      <c r="Z490" s="60"/>
      <c r="AA490" s="16"/>
      <c r="AB490" s="28"/>
      <c r="AC490" s="28"/>
      <c r="AD490" s="28"/>
      <c r="AE490" s="28"/>
      <c r="AF490" s="28"/>
      <c r="AG490" s="28"/>
      <c r="AH490" s="20"/>
      <c r="AI490" s="59"/>
      <c r="AJ490" s="28"/>
      <c r="AK490" s="20"/>
      <c r="AL490" s="28"/>
      <c r="AM490" s="20"/>
      <c r="AN490" s="21"/>
      <c r="AO490" s="20"/>
      <c r="AP490" s="28"/>
      <c r="AQ490" s="20"/>
      <c r="AR490">
        <f>F490 +G490</f>
        <v>4</v>
      </c>
    </row>
    <row r="491" spans="1:44" x14ac:dyDescent="0.25">
      <c r="A491" t="str">
        <f>B491 &amp; " - " &amp;E491</f>
        <v>Sunderland - Borini</v>
      </c>
      <c r="B491" t="s">
        <v>1301</v>
      </c>
      <c r="C491" t="str">
        <f ca="1">IFERROR(VLOOKUP(INDEX(OFFSET(_JOUEURS,0,0,,1),MATCH(A491,OFFSET(_JOUEURS,0,1,,1),0)),_MPG,2,FALSE),"")</f>
        <v/>
      </c>
      <c r="D491" s="80" t="s">
        <v>372</v>
      </c>
      <c r="E491" s="69" t="s">
        <v>1298</v>
      </c>
      <c r="F491" s="137">
        <v>2</v>
      </c>
      <c r="G491" s="123"/>
      <c r="H491" s="190"/>
      <c r="I491" s="55">
        <f>AVERAGE(J491,L491)</f>
        <v>4</v>
      </c>
      <c r="J491" s="124">
        <v>4</v>
      </c>
      <c r="K491" s="60"/>
      <c r="L491" s="59">
        <v>4</v>
      </c>
      <c r="M491" s="59"/>
      <c r="N491" s="85"/>
      <c r="O491" s="85"/>
      <c r="P491" s="86"/>
      <c r="Q491" s="85"/>
      <c r="R491" s="85"/>
      <c r="S491" s="84"/>
      <c r="T491" s="84"/>
      <c r="U491" s="85"/>
      <c r="V491" s="85"/>
      <c r="W491" s="84"/>
      <c r="X491" s="85"/>
      <c r="Y491" s="85"/>
      <c r="Z491" s="85"/>
      <c r="AA491" s="84"/>
      <c r="AB491" s="85"/>
      <c r="AC491" s="85"/>
      <c r="AD491" s="84"/>
      <c r="AE491" s="85"/>
      <c r="AF491" s="84"/>
      <c r="AG491" s="85"/>
      <c r="AH491" s="125"/>
      <c r="AI491" s="85"/>
      <c r="AJ491" s="84"/>
      <c r="AK491" s="86"/>
      <c r="AL491" s="85"/>
      <c r="AM491" s="86"/>
      <c r="AN491" s="86"/>
      <c r="AO491" s="86"/>
      <c r="AP491" s="85"/>
      <c r="AQ491" s="86"/>
      <c r="AR491">
        <f>F491 +G491</f>
        <v>2</v>
      </c>
    </row>
    <row r="492" spans="1:44" hidden="1" x14ac:dyDescent="0.25">
      <c r="A492" t="str">
        <f>B492 &amp; " - " &amp;E492</f>
        <v>Tottenham - Janssen</v>
      </c>
      <c r="B492" t="s">
        <v>1188</v>
      </c>
      <c r="C492" t="str">
        <f ca="1">IFERROR(VLOOKUP(INDEX(OFFSET(_JOUEURS,0,0,,1),MATCH(A492,OFFSET(_JOUEURS,0,1,,1),0)),_MPG,2,FALSE),"")</f>
        <v>The Bastards</v>
      </c>
      <c r="D492" s="104" t="s">
        <v>372</v>
      </c>
      <c r="E492" s="29" t="s">
        <v>1187</v>
      </c>
      <c r="F492" s="106">
        <v>2</v>
      </c>
      <c r="G492" s="101">
        <v>3</v>
      </c>
      <c r="H492" s="36"/>
      <c r="I492" s="27">
        <f>AVERAGE(K492,O492)</f>
        <v>4.5</v>
      </c>
      <c r="J492" s="70" t="s">
        <v>364</v>
      </c>
      <c r="K492" s="17">
        <v>4</v>
      </c>
      <c r="L492" s="28" t="s">
        <v>364</v>
      </c>
      <c r="M492" s="28" t="s">
        <v>364</v>
      </c>
      <c r="N492" s="28" t="s">
        <v>364</v>
      </c>
      <c r="O492" s="17">
        <v>5</v>
      </c>
      <c r="P492" s="99"/>
      <c r="Q492" s="17"/>
      <c r="R492" s="17"/>
      <c r="S492" s="17"/>
      <c r="T492" s="17"/>
      <c r="U492" s="17"/>
      <c r="V492" s="17"/>
      <c r="W492" s="59"/>
      <c r="X492" s="17"/>
      <c r="Y492" s="59"/>
      <c r="Z492" s="17"/>
      <c r="AA492" s="17"/>
      <c r="AB492" s="17"/>
      <c r="AC492" s="59"/>
      <c r="AD492" s="17"/>
      <c r="AE492" s="17"/>
      <c r="AF492" s="59"/>
      <c r="AG492" s="17"/>
      <c r="AH492" s="101"/>
      <c r="AI492" s="17"/>
      <c r="AJ492" s="17"/>
      <c r="AK492" s="101"/>
      <c r="AL492" s="17"/>
      <c r="AM492" s="101"/>
      <c r="AN492" s="101"/>
      <c r="AO492" s="101"/>
      <c r="AP492" s="17"/>
      <c r="AQ492" s="101"/>
      <c r="AR492">
        <f>F492 +G492</f>
        <v>5</v>
      </c>
    </row>
    <row r="493" spans="1:44" x14ac:dyDescent="0.25">
      <c r="A493" t="str">
        <f>B493 &amp; " - " &amp;E493</f>
        <v>Sunderland - Anichebe</v>
      </c>
      <c r="B493" t="s">
        <v>1301</v>
      </c>
      <c r="C493" t="str">
        <f ca="1">IFERROR(VLOOKUP(INDEX(OFFSET(_JOUEURS,0,0,,1),MATCH(A493,OFFSET(_JOUEURS,0,1,,1),0)),_MPG,2,FALSE),"")</f>
        <v/>
      </c>
      <c r="D493" s="152" t="s">
        <v>372</v>
      </c>
      <c r="E493" s="29" t="s">
        <v>1572</v>
      </c>
      <c r="F493" s="106"/>
      <c r="G493" s="101">
        <v>1</v>
      </c>
      <c r="H493" s="191"/>
      <c r="I493" s="27"/>
      <c r="J493" s="126"/>
      <c r="K493" s="59"/>
      <c r="L493" s="60"/>
      <c r="M493" s="17"/>
      <c r="N493" s="17"/>
      <c r="O493" s="28" t="s">
        <v>364</v>
      </c>
      <c r="P493" s="99"/>
      <c r="Q493" s="85"/>
      <c r="R493" s="85"/>
      <c r="S493" s="84"/>
      <c r="T493" s="84"/>
      <c r="U493" s="85"/>
      <c r="V493" s="85"/>
      <c r="W493" s="84"/>
      <c r="X493" s="85"/>
      <c r="Y493" s="85"/>
      <c r="Z493" s="85"/>
      <c r="AA493" s="84"/>
      <c r="AB493" s="85"/>
      <c r="AC493" s="85"/>
      <c r="AD493" s="84"/>
      <c r="AE493" s="85"/>
      <c r="AF493" s="84"/>
      <c r="AG493" s="85"/>
      <c r="AH493" s="125"/>
      <c r="AI493" s="85"/>
      <c r="AJ493" s="84"/>
      <c r="AK493" s="86"/>
      <c r="AL493" s="85"/>
      <c r="AM493" s="86"/>
      <c r="AN493" s="86"/>
      <c r="AO493" s="86"/>
      <c r="AP493" s="85"/>
      <c r="AQ493" s="86"/>
      <c r="AR493">
        <f>F493 +G493</f>
        <v>1</v>
      </c>
    </row>
    <row r="494" spans="1:44" x14ac:dyDescent="0.25">
      <c r="A494" t="str">
        <f>B494 &amp; " - " &amp;E494</f>
        <v>Sunderland - Lens</v>
      </c>
      <c r="B494" t="s">
        <v>1301</v>
      </c>
      <c r="C494" t="str">
        <f ca="1">IFERROR(VLOOKUP(INDEX(OFFSET(_JOUEURS,0,0,,1),MATCH(A494,OFFSET(_JOUEURS,0,1,,1),0)),_MPG,2,FALSE),"")</f>
        <v/>
      </c>
      <c r="D494" s="76" t="s">
        <v>372</v>
      </c>
      <c r="E494" s="29" t="s">
        <v>1300</v>
      </c>
      <c r="F494" s="194"/>
      <c r="G494" s="21">
        <v>2</v>
      </c>
      <c r="H494" s="163"/>
      <c r="I494" s="27"/>
      <c r="J494" s="124"/>
      <c r="K494" s="59" t="s">
        <v>364</v>
      </c>
      <c r="L494" s="28" t="s">
        <v>364</v>
      </c>
      <c r="M494" s="59"/>
      <c r="N494" s="17"/>
      <c r="O494" s="17"/>
      <c r="P494" s="101"/>
      <c r="Q494" s="17"/>
      <c r="R494" s="17"/>
      <c r="S494" s="17"/>
      <c r="T494" s="17"/>
      <c r="U494" s="17"/>
      <c r="V494" s="17"/>
      <c r="W494" s="17"/>
      <c r="X494" s="17"/>
      <c r="Y494" s="17"/>
      <c r="Z494" s="17"/>
      <c r="AA494" s="17"/>
      <c r="AB494" s="85"/>
      <c r="AC494" s="59"/>
      <c r="AD494" s="59"/>
      <c r="AE494" s="59"/>
      <c r="AF494" s="17"/>
      <c r="AG494" s="59"/>
      <c r="AH494" s="99"/>
      <c r="AI494" s="59"/>
      <c r="AJ494" s="17"/>
      <c r="AK494" s="101"/>
      <c r="AL494" s="17"/>
      <c r="AM494" s="101"/>
      <c r="AN494" s="99"/>
      <c r="AO494" s="101"/>
      <c r="AP494" s="59"/>
      <c r="AQ494" s="101"/>
      <c r="AR494">
        <f>F494 +G494</f>
        <v>2</v>
      </c>
    </row>
    <row r="495" spans="1:44" x14ac:dyDescent="0.25">
      <c r="A495" t="str">
        <f>B495 &amp; " - " &amp;E495</f>
        <v>Middlesbrough - Nugent</v>
      </c>
      <c r="B495" t="s">
        <v>1324</v>
      </c>
      <c r="C495" t="str">
        <f ca="1">IFERROR(VLOOKUP(INDEX(OFFSET(_JOUEURS,0,0,,1),MATCH(A495,OFFSET(_JOUEURS,0,1,,1),0)),_MPG,2,FALSE),"")</f>
        <v/>
      </c>
      <c r="D495" s="104" t="s">
        <v>372</v>
      </c>
      <c r="E495" s="29" t="s">
        <v>1320</v>
      </c>
      <c r="F495" s="106"/>
      <c r="G495" s="101">
        <v>4</v>
      </c>
      <c r="H495" s="36"/>
      <c r="I495" s="27"/>
      <c r="J495" s="70" t="s">
        <v>364</v>
      </c>
      <c r="K495" s="59" t="s">
        <v>364</v>
      </c>
      <c r="L495" s="28" t="s">
        <v>364</v>
      </c>
      <c r="M495" s="28"/>
      <c r="N495" s="59" t="s">
        <v>364</v>
      </c>
      <c r="O495" s="85"/>
      <c r="P495" s="101"/>
      <c r="Q495" s="17"/>
      <c r="R495" s="17"/>
      <c r="S495" s="59"/>
      <c r="T495" s="17"/>
      <c r="U495" s="17"/>
      <c r="V495" s="17"/>
      <c r="W495" s="17"/>
      <c r="X495" s="17"/>
      <c r="Y495" s="85"/>
      <c r="Z495" s="17"/>
      <c r="AA495" s="17"/>
      <c r="AB495" s="17"/>
      <c r="AC495" s="85"/>
      <c r="AD495" s="59"/>
      <c r="AE495" s="17"/>
      <c r="AF495" s="17"/>
      <c r="AG495" s="59"/>
      <c r="AH495" s="101"/>
      <c r="AI495" s="17"/>
      <c r="AJ495" s="17"/>
      <c r="AK495" s="99"/>
      <c r="AL495" s="17"/>
      <c r="AM495" s="101"/>
      <c r="AN495" s="101"/>
      <c r="AO495" s="101"/>
      <c r="AP495" s="17"/>
      <c r="AQ495" s="99"/>
      <c r="AR495">
        <f>F495 +G495</f>
        <v>4</v>
      </c>
    </row>
    <row r="496" spans="1:44" ht="15.75" thickBot="1" x14ac:dyDescent="0.3">
      <c r="A496" t="str">
        <f>B496 &amp; " - " &amp;E496</f>
        <v>Middlesbrough - Fischer</v>
      </c>
      <c r="B496" t="s">
        <v>1324</v>
      </c>
      <c r="C496" t="str">
        <f ca="1">IFERROR(VLOOKUP(INDEX(OFFSET(_JOUEURS,0,0,,1),MATCH(A496,OFFSET(_JOUEURS,0,1,,1),0)),_MPG,2,FALSE),"")</f>
        <v/>
      </c>
      <c r="D496" s="128" t="s">
        <v>372</v>
      </c>
      <c r="E496" s="174" t="s">
        <v>1321</v>
      </c>
      <c r="F496" s="118">
        <v>1</v>
      </c>
      <c r="G496" s="311">
        <v>2</v>
      </c>
      <c r="H496" s="120"/>
      <c r="I496" s="92">
        <f>AVERAGE(M496)</f>
        <v>4</v>
      </c>
      <c r="J496" s="124"/>
      <c r="K496" s="59"/>
      <c r="L496" s="28" t="s">
        <v>364</v>
      </c>
      <c r="M496" s="59">
        <v>4</v>
      </c>
      <c r="N496" s="28" t="s">
        <v>364</v>
      </c>
      <c r="O496" s="59"/>
      <c r="P496" s="99"/>
      <c r="Q496" s="59"/>
      <c r="R496" s="59"/>
      <c r="S496" s="84"/>
      <c r="T496" s="84"/>
      <c r="U496" s="59"/>
      <c r="V496" s="17"/>
      <c r="W496" s="84"/>
      <c r="X496" s="85"/>
      <c r="Y496" s="59"/>
      <c r="Z496" s="17"/>
      <c r="AA496" s="17"/>
      <c r="AB496" s="17"/>
      <c r="AC496" s="17"/>
      <c r="AD496" s="84"/>
      <c r="AE496" s="59"/>
      <c r="AF496" s="59"/>
      <c r="AG496" s="59"/>
      <c r="AH496" s="101"/>
      <c r="AI496" s="59"/>
      <c r="AJ496" s="59"/>
      <c r="AK496" s="125"/>
      <c r="AL496" s="84"/>
      <c r="AM496" s="99"/>
      <c r="AN496" s="99"/>
      <c r="AO496" s="125"/>
      <c r="AP496" s="59"/>
      <c r="AQ496" s="101"/>
      <c r="AR496">
        <f>F496 +G496</f>
        <v>3</v>
      </c>
    </row>
    <row r="497" spans="1:44" x14ac:dyDescent="0.25">
      <c r="A497" t="str">
        <f>B497 &amp; " - " &amp;E497</f>
        <v>Middlesbrough - Rhodes</v>
      </c>
      <c r="B497" t="s">
        <v>1324</v>
      </c>
      <c r="C497" t="str">
        <f ca="1">IFERROR(VLOOKUP(INDEX(OFFSET(_JOUEURS,0,0,,1),MATCH(A497,OFFSET(_JOUEURS,0,1,,1),0)),_MPG,2,FALSE),"")</f>
        <v/>
      </c>
      <c r="D497" s="218" t="s">
        <v>372</v>
      </c>
      <c r="E497" s="219" t="s">
        <v>1322</v>
      </c>
      <c r="F497" s="203"/>
      <c r="G497" s="204">
        <v>1</v>
      </c>
      <c r="H497" s="205"/>
      <c r="I497" s="14"/>
      <c r="J497" s="124"/>
      <c r="K497" s="60"/>
      <c r="L497" s="59"/>
      <c r="M497" s="59"/>
      <c r="N497" s="85"/>
      <c r="O497" s="28" t="s">
        <v>364</v>
      </c>
      <c r="P497" s="86"/>
      <c r="Q497" s="59"/>
      <c r="R497" s="17"/>
      <c r="S497" s="17"/>
      <c r="T497" s="17"/>
      <c r="U497" s="59"/>
      <c r="V497" s="17"/>
      <c r="W497" s="17"/>
      <c r="X497" s="59"/>
      <c r="Y497" s="101"/>
      <c r="Z497" s="17"/>
      <c r="AA497" s="17"/>
      <c r="AB497" s="85"/>
      <c r="AC497" s="17"/>
      <c r="AD497" s="17"/>
      <c r="AE497" s="17"/>
      <c r="AF497" s="17"/>
      <c r="AG497" s="59"/>
      <c r="AH497" s="99"/>
      <c r="AI497" s="17"/>
      <c r="AJ497" s="17"/>
      <c r="AK497" s="101"/>
      <c r="AL497" s="99"/>
      <c r="AM497" s="99"/>
      <c r="AN497" s="125"/>
      <c r="AO497" s="99"/>
      <c r="AP497" s="59"/>
      <c r="AQ497" s="101"/>
      <c r="AR497">
        <f>F497 +G497</f>
        <v>1</v>
      </c>
    </row>
    <row r="498" spans="1:44" hidden="1" x14ac:dyDescent="0.25">
      <c r="A498" t="str">
        <f>B498 &amp; " - " &amp;E498</f>
        <v>Stoke City - Bojan</v>
      </c>
      <c r="B498" t="s">
        <v>1347</v>
      </c>
      <c r="C498" t="str">
        <f ca="1">IFERROR(VLOOKUP(INDEX(OFFSET(_JOUEURS,0,0,,1),MATCH(A498,OFFSET(_JOUEURS,0,1,,1),0)),_MPG,2,FALSE),"")</f>
        <v>Saxe-Gambetta FC</v>
      </c>
      <c r="D498" s="104" t="s">
        <v>372</v>
      </c>
      <c r="E498" s="29" t="s">
        <v>1342</v>
      </c>
      <c r="F498" s="106">
        <v>3</v>
      </c>
      <c r="G498" s="101">
        <v>1</v>
      </c>
      <c r="H498" s="36"/>
      <c r="I498" s="27">
        <f>AVERAGE(J498,K498,N498)</f>
        <v>4.666666666666667</v>
      </c>
      <c r="J498" s="220">
        <v>5</v>
      </c>
      <c r="K498" s="16">
        <v>5</v>
      </c>
      <c r="L498" s="28" t="s">
        <v>364</v>
      </c>
      <c r="M498" s="28" t="s">
        <v>364</v>
      </c>
      <c r="N498" s="101">
        <v>4</v>
      </c>
      <c r="O498" s="17"/>
      <c r="P498" s="17"/>
      <c r="Q498" s="59"/>
      <c r="R498" s="17"/>
      <c r="S498" s="59"/>
      <c r="T498" s="17"/>
      <c r="U498" s="17"/>
      <c r="V498" s="17"/>
      <c r="W498" s="17"/>
      <c r="X498" s="17"/>
      <c r="Y498" s="17"/>
      <c r="Z498" s="17"/>
      <c r="AA498" s="17"/>
      <c r="AB498" s="17"/>
      <c r="AC498" s="17"/>
      <c r="AD498" s="17"/>
      <c r="AE498" s="17"/>
      <c r="AF498" s="59"/>
      <c r="AG498" s="17"/>
      <c r="AH498" s="99"/>
      <c r="AI498" s="59"/>
      <c r="AJ498" s="17"/>
      <c r="AK498" s="99"/>
      <c r="AL498" s="101"/>
      <c r="AM498" s="101"/>
      <c r="AN498" s="101"/>
      <c r="AO498" s="101"/>
      <c r="AP498" s="17"/>
      <c r="AQ498" s="101"/>
      <c r="AR498">
        <f>F498 +G498</f>
        <v>4</v>
      </c>
    </row>
    <row r="499" spans="1:44" x14ac:dyDescent="0.25">
      <c r="A499" t="str">
        <f>B499 &amp; " - " &amp;E499</f>
        <v>Stoke City - Diouf</v>
      </c>
      <c r="B499" t="s">
        <v>1347</v>
      </c>
      <c r="C499" t="str">
        <f ca="1">IFERROR(VLOOKUP(INDEX(OFFSET(_JOUEURS,0,0,,1),MATCH(A499,OFFSET(_JOUEURS,0,1,,1),0)),_MPG,2,FALSE),"")</f>
        <v/>
      </c>
      <c r="D499" s="52" t="s">
        <v>372</v>
      </c>
      <c r="E499" s="69" t="s">
        <v>1343</v>
      </c>
      <c r="F499" s="54">
        <v>3</v>
      </c>
      <c r="G499" s="88">
        <v>2</v>
      </c>
      <c r="H499" s="53"/>
      <c r="I499" s="55">
        <f>AVERAGE(J499,K499,L499)</f>
        <v>3.6666666666666665</v>
      </c>
      <c r="J499" s="124">
        <v>4</v>
      </c>
      <c r="K499" s="145">
        <v>3</v>
      </c>
      <c r="L499" s="136">
        <v>4</v>
      </c>
      <c r="M499" s="136"/>
      <c r="N499" s="28" t="s">
        <v>364</v>
      </c>
      <c r="O499" s="28" t="s">
        <v>364</v>
      </c>
      <c r="P499" s="101"/>
      <c r="Q499" s="17"/>
      <c r="R499" s="17"/>
      <c r="S499" s="17"/>
      <c r="T499" s="17"/>
      <c r="U499" s="17"/>
      <c r="V499" s="17"/>
      <c r="W499" s="17"/>
      <c r="X499" s="17"/>
      <c r="Y499" s="59"/>
      <c r="Z499" s="59"/>
      <c r="AA499" s="17"/>
      <c r="AB499" s="17"/>
      <c r="AC499" s="17"/>
      <c r="AD499" s="59"/>
      <c r="AE499" s="59"/>
      <c r="AF499" s="59"/>
      <c r="AG499" s="59"/>
      <c r="AH499" s="99"/>
      <c r="AI499" s="59"/>
      <c r="AJ499" s="59"/>
      <c r="AK499" s="99"/>
      <c r="AL499" s="99"/>
      <c r="AM499" s="99"/>
      <c r="AN499" s="99"/>
      <c r="AO499" s="101"/>
      <c r="AP499" s="59"/>
      <c r="AQ499" s="99"/>
      <c r="AR499">
        <f>F499 +G499</f>
        <v>5</v>
      </c>
    </row>
    <row r="500" spans="1:44" x14ac:dyDescent="0.25">
      <c r="A500" t="str">
        <f>B500 &amp; " - " &amp;E500</f>
        <v>Stoke City - Walters</v>
      </c>
      <c r="B500" t="s">
        <v>1347</v>
      </c>
      <c r="C500" t="str">
        <f ca="1">IFERROR(VLOOKUP(INDEX(OFFSET(_JOUEURS,0,0,,1),MATCH(A500,OFFSET(_JOUEURS,0,1,,1),0)),_MPG,2,FALSE),"")</f>
        <v/>
      </c>
      <c r="D500" s="23" t="s">
        <v>372</v>
      </c>
      <c r="E500" s="29" t="s">
        <v>1344</v>
      </c>
      <c r="F500" s="25">
        <v>2</v>
      </c>
      <c r="G500" s="77">
        <v>3</v>
      </c>
      <c r="H500" s="56"/>
      <c r="I500" s="27">
        <f>AVERAGE(M500,N500)</f>
        <v>3</v>
      </c>
      <c r="J500" s="70" t="s">
        <v>364</v>
      </c>
      <c r="K500" s="28" t="s">
        <v>364</v>
      </c>
      <c r="L500" s="28" t="s">
        <v>364</v>
      </c>
      <c r="M500" s="145">
        <v>3</v>
      </c>
      <c r="N500" s="145">
        <v>3</v>
      </c>
      <c r="O500" s="17"/>
      <c r="P500" s="99"/>
      <c r="Q500" s="17"/>
      <c r="R500" s="59"/>
      <c r="S500" s="17"/>
      <c r="T500" s="59"/>
      <c r="U500" s="59"/>
      <c r="V500" s="59"/>
      <c r="W500" s="59"/>
      <c r="X500" s="59"/>
      <c r="Y500" s="17"/>
      <c r="Z500" s="17"/>
      <c r="AA500" s="17"/>
      <c r="AB500" s="17"/>
      <c r="AC500" s="17"/>
      <c r="AD500" s="17"/>
      <c r="AE500" s="59"/>
      <c r="AF500" s="59"/>
      <c r="AG500" s="17"/>
      <c r="AH500" s="99"/>
      <c r="AI500" s="59"/>
      <c r="AJ500" s="59"/>
      <c r="AK500" s="99"/>
      <c r="AL500" s="99"/>
      <c r="AM500" s="101"/>
      <c r="AN500" s="101"/>
      <c r="AO500" s="101"/>
      <c r="AP500" s="59"/>
      <c r="AQ500" s="101"/>
      <c r="AR500">
        <f>F500 +G500</f>
        <v>5</v>
      </c>
    </row>
    <row r="501" spans="1:44" x14ac:dyDescent="0.25">
      <c r="A501" t="str">
        <f>B501 &amp; " - " &amp;E501</f>
        <v>Stoke City - Crouch</v>
      </c>
      <c r="B501" t="s">
        <v>1347</v>
      </c>
      <c r="C501" t="str">
        <f ca="1">IFERROR(VLOOKUP(INDEX(OFFSET(_JOUEURS,0,0,,1),MATCH(A501,OFFSET(_JOUEURS,0,1,,1),0)),_MPG,2,FALSE),"")</f>
        <v/>
      </c>
      <c r="D501" s="104" t="s">
        <v>372</v>
      </c>
      <c r="E501" s="29" t="s">
        <v>1345</v>
      </c>
      <c r="F501" s="106">
        <v>1</v>
      </c>
      <c r="G501" s="101">
        <v>1</v>
      </c>
      <c r="H501" s="36"/>
      <c r="I501" s="135">
        <f>AVERAGE(L501)</f>
        <v>4</v>
      </c>
      <c r="J501" s="124"/>
      <c r="K501" s="17"/>
      <c r="L501" s="59">
        <v>4</v>
      </c>
      <c r="M501" s="17"/>
      <c r="N501" s="59"/>
      <c r="O501" s="28" t="s">
        <v>364</v>
      </c>
      <c r="P501" s="99"/>
      <c r="Q501" s="17"/>
      <c r="R501" s="59"/>
      <c r="S501" s="59"/>
      <c r="T501" s="59"/>
      <c r="U501" s="59"/>
      <c r="V501" s="17"/>
      <c r="W501" s="17"/>
      <c r="X501" s="17"/>
      <c r="Y501" s="59"/>
      <c r="Z501" s="17"/>
      <c r="AA501" s="17"/>
      <c r="AB501" s="17"/>
      <c r="AC501" s="59"/>
      <c r="AD501" s="59"/>
      <c r="AE501" s="17"/>
      <c r="AF501" s="59"/>
      <c r="AG501" s="17"/>
      <c r="AH501" s="99"/>
      <c r="AI501" s="59"/>
      <c r="AJ501" s="17"/>
      <c r="AK501" s="99"/>
      <c r="AL501" s="101"/>
      <c r="AM501" s="101"/>
      <c r="AN501" s="101"/>
      <c r="AO501" s="101"/>
      <c r="AP501" s="17"/>
      <c r="AQ501" s="101"/>
      <c r="AR501">
        <f>F501 +G501</f>
        <v>2</v>
      </c>
    </row>
    <row r="502" spans="1:44" x14ac:dyDescent="0.25">
      <c r="A502" t="str">
        <f>B502 &amp; " - " &amp;E502</f>
        <v>Stoke City - Bony</v>
      </c>
      <c r="B502" t="s">
        <v>1347</v>
      </c>
      <c r="C502" t="str">
        <f ca="1">IFERROR(VLOOKUP(INDEX(OFFSET(_JOUEURS,0,0,,1),MATCH(A502,OFFSET(_JOUEURS,0,1,,1),0)),_MPG,2,FALSE),"")</f>
        <v/>
      </c>
      <c r="D502" s="23" t="s">
        <v>372</v>
      </c>
      <c r="E502" s="29" t="s">
        <v>1346</v>
      </c>
      <c r="F502" s="25">
        <v>3</v>
      </c>
      <c r="G502" s="77"/>
      <c r="H502" s="56"/>
      <c r="I502" s="27">
        <f>AVERAGE(M502,N502,O502)</f>
        <v>3.6666666666666665</v>
      </c>
      <c r="J502" s="124"/>
      <c r="K502" s="101"/>
      <c r="L502" s="99"/>
      <c r="M502" s="17">
        <v>4</v>
      </c>
      <c r="N502" s="145">
        <v>3</v>
      </c>
      <c r="O502" s="17">
        <v>4</v>
      </c>
      <c r="P502" s="99"/>
      <c r="Q502" s="17"/>
      <c r="R502" s="59"/>
      <c r="S502" s="59"/>
      <c r="T502" s="59"/>
      <c r="U502" s="59"/>
      <c r="V502" s="17"/>
      <c r="W502" s="17"/>
      <c r="X502" s="59"/>
      <c r="Y502" s="59"/>
      <c r="Z502" s="17"/>
      <c r="AA502" s="59"/>
      <c r="AB502" s="59"/>
      <c r="AC502" s="17"/>
      <c r="AD502" s="17"/>
      <c r="AE502" s="17"/>
      <c r="AF502" s="59"/>
      <c r="AG502" s="17"/>
      <c r="AH502" s="99"/>
      <c r="AI502" s="59"/>
      <c r="AJ502" s="17"/>
      <c r="AK502" s="99"/>
      <c r="AL502" s="101"/>
      <c r="AM502" s="101"/>
      <c r="AN502" s="101"/>
      <c r="AO502" s="101"/>
      <c r="AP502" s="17"/>
      <c r="AQ502" s="101"/>
      <c r="AR502">
        <f>F502 +G502</f>
        <v>3</v>
      </c>
    </row>
    <row r="503" spans="1:44" x14ac:dyDescent="0.25">
      <c r="A503" t="str">
        <f>B503 &amp; " - " &amp;E503</f>
        <v xml:space="preserve">Southampton - Long </v>
      </c>
      <c r="B503" t="s">
        <v>1367</v>
      </c>
      <c r="C503" t="str">
        <f ca="1">IFERROR(VLOOKUP(INDEX(OFFSET(_JOUEURS,0,0,,1),MATCH(A503,OFFSET(_JOUEURS,0,1,,1),0)),_MPG,2,FALSE),"")</f>
        <v/>
      </c>
      <c r="D503" s="104" t="s">
        <v>372</v>
      </c>
      <c r="E503" s="29" t="s">
        <v>1363</v>
      </c>
      <c r="F503" s="106">
        <v>3</v>
      </c>
      <c r="G503" s="101">
        <v>3</v>
      </c>
      <c r="H503" s="36"/>
      <c r="I503" s="27">
        <f>AVERAGE(J503,K503,N503)</f>
        <v>4.666666666666667</v>
      </c>
      <c r="J503" s="109">
        <v>4</v>
      </c>
      <c r="K503" s="17">
        <v>5</v>
      </c>
      <c r="L503" s="28" t="s">
        <v>364</v>
      </c>
      <c r="M503" s="28" t="s">
        <v>364</v>
      </c>
      <c r="N503" s="17">
        <v>5</v>
      </c>
      <c r="O503" s="59" t="s">
        <v>364</v>
      </c>
      <c r="P503" s="101"/>
      <c r="Q503" s="17"/>
      <c r="R503" s="17"/>
      <c r="S503" s="17"/>
      <c r="T503" s="17"/>
      <c r="U503" s="17"/>
      <c r="V503" s="17"/>
      <c r="W503" s="17"/>
      <c r="X503" s="17"/>
      <c r="Y503" s="17"/>
      <c r="Z503" s="17"/>
      <c r="AA503" s="17"/>
      <c r="AB503" s="17"/>
      <c r="AC503" s="59"/>
      <c r="AD503" s="17"/>
      <c r="AE503" s="17"/>
      <c r="AF503" s="17"/>
      <c r="AG503" s="17"/>
      <c r="AH503" s="101"/>
      <c r="AI503" s="17"/>
      <c r="AJ503" s="17"/>
      <c r="AK503" s="101"/>
      <c r="AL503" s="101"/>
      <c r="AM503" s="101"/>
      <c r="AN503" s="101"/>
      <c r="AO503" s="101"/>
      <c r="AP503" s="17"/>
      <c r="AQ503" s="101"/>
      <c r="AR503">
        <f>F503 +G503</f>
        <v>6</v>
      </c>
    </row>
    <row r="504" spans="1:44" x14ac:dyDescent="0.25">
      <c r="A504" t="str">
        <f>B504 &amp; " - " &amp;E504</f>
        <v>Watford - Isaac Success</v>
      </c>
      <c r="B504" t="s">
        <v>1393</v>
      </c>
      <c r="C504" t="str">
        <f ca="1">IFERROR(VLOOKUP(INDEX(OFFSET(_JOUEURS,0,0,,1),MATCH(A504,OFFSET(_JOUEURS,0,1,,1),0)),_MPG,2,FALSE),"")</f>
        <v/>
      </c>
      <c r="D504" s="152" t="s">
        <v>372</v>
      </c>
      <c r="E504" s="29" t="s">
        <v>1390</v>
      </c>
      <c r="F504" s="106"/>
      <c r="G504" s="101">
        <v>3</v>
      </c>
      <c r="H504" s="36"/>
      <c r="I504" s="27"/>
      <c r="J504" s="124"/>
      <c r="K504" s="231"/>
      <c r="L504" s="232" t="s">
        <v>364</v>
      </c>
      <c r="M504" s="28" t="s">
        <v>364</v>
      </c>
      <c r="N504" s="28" t="s">
        <v>364</v>
      </c>
      <c r="O504" s="59"/>
      <c r="P504" s="99"/>
      <c r="Q504" s="59"/>
      <c r="R504" s="17"/>
      <c r="S504" s="17"/>
      <c r="T504" s="17"/>
      <c r="U504" s="17"/>
      <c r="V504" s="17"/>
      <c r="W504" s="59"/>
      <c r="X504" s="17"/>
      <c r="Y504" s="17"/>
      <c r="Z504" s="59"/>
      <c r="AA504" s="17"/>
      <c r="AB504" s="17"/>
      <c r="AC504" s="17"/>
      <c r="AD504" s="59"/>
      <c r="AE504" s="17"/>
      <c r="AF504" s="17"/>
      <c r="AG504" s="17"/>
      <c r="AH504" s="101"/>
      <c r="AI504" s="17"/>
      <c r="AJ504" s="17"/>
      <c r="AK504" s="101"/>
      <c r="AL504" s="101"/>
      <c r="AM504" s="99"/>
      <c r="AN504" s="101"/>
      <c r="AO504" s="101"/>
      <c r="AP504" s="59"/>
      <c r="AQ504" s="101"/>
      <c r="AR504">
        <f>F504 +G504</f>
        <v>3</v>
      </c>
    </row>
    <row r="505" spans="1:44" x14ac:dyDescent="0.25">
      <c r="A505" t="str">
        <f>B505 &amp; " - " &amp;E505</f>
        <v>Watford - Okaka</v>
      </c>
      <c r="B505" t="s">
        <v>1393</v>
      </c>
      <c r="C505" t="str">
        <f ca="1">IFERROR(VLOOKUP(INDEX(OFFSET(_JOUEURS,0,0,,1),MATCH(A505,OFFSET(_JOUEURS,0,1,,1),0)),_MPG,2,FALSE),"")</f>
        <v/>
      </c>
      <c r="D505" s="152" t="s">
        <v>372</v>
      </c>
      <c r="E505" s="29" t="s">
        <v>1391</v>
      </c>
      <c r="F505" s="106"/>
      <c r="G505" s="101">
        <v>1</v>
      </c>
      <c r="H505" s="36"/>
      <c r="I505" s="27"/>
      <c r="J505" s="124"/>
      <c r="K505" s="231"/>
      <c r="L505" s="232"/>
      <c r="M505" s="28" t="s">
        <v>364</v>
      </c>
      <c r="N505" s="59"/>
      <c r="O505" s="59"/>
      <c r="P505" s="99"/>
      <c r="Q505" s="59"/>
      <c r="R505" s="17"/>
      <c r="S505" s="17"/>
      <c r="T505" s="17"/>
      <c r="U505" s="17"/>
      <c r="V505" s="17"/>
      <c r="W505" s="59"/>
      <c r="X505" s="17"/>
      <c r="Y505" s="17"/>
      <c r="Z505" s="59"/>
      <c r="AA505" s="17"/>
      <c r="AB505" s="17"/>
      <c r="AC505" s="17"/>
      <c r="AD505" s="59"/>
      <c r="AE505" s="17"/>
      <c r="AF505" s="17"/>
      <c r="AG505" s="17"/>
      <c r="AH505" s="101"/>
      <c r="AI505" s="17"/>
      <c r="AJ505" s="17"/>
      <c r="AK505" s="101"/>
      <c r="AL505" s="101"/>
      <c r="AM505" s="99"/>
      <c r="AN505" s="101"/>
      <c r="AO505" s="101"/>
      <c r="AP505" s="59"/>
      <c r="AQ505" s="101"/>
      <c r="AR505">
        <f>F505 +G505</f>
        <v>1</v>
      </c>
    </row>
    <row r="506" spans="1:44" x14ac:dyDescent="0.25">
      <c r="A506" t="str">
        <f>B506 &amp; " - " &amp;E506</f>
        <v>Watford - Vydra</v>
      </c>
      <c r="B506" t="s">
        <v>1393</v>
      </c>
      <c r="C506" t="str">
        <f ca="1">IFERROR(VLOOKUP(INDEX(OFFSET(_JOUEURS,0,0,,1),MATCH(A506,OFFSET(_JOUEURS,0,1,,1),0)),_MPG,2,FALSE),"")</f>
        <v/>
      </c>
      <c r="D506" s="104" t="s">
        <v>372</v>
      </c>
      <c r="E506" s="29" t="s">
        <v>1392</v>
      </c>
      <c r="F506" s="106"/>
      <c r="G506" s="101">
        <v>1</v>
      </c>
      <c r="H506" s="36"/>
      <c r="I506" s="27"/>
      <c r="J506" s="126"/>
      <c r="K506" s="28" t="s">
        <v>364</v>
      </c>
      <c r="L506" s="59"/>
      <c r="M506" s="59"/>
      <c r="N506" s="59"/>
      <c r="O506" s="59"/>
      <c r="P506" s="101"/>
      <c r="Q506" s="59"/>
      <c r="R506" s="17"/>
      <c r="S506" s="17"/>
      <c r="T506" s="59"/>
      <c r="U506" s="17"/>
      <c r="V506" s="59"/>
      <c r="W506" s="59"/>
      <c r="X506" s="59"/>
      <c r="Y506" s="17"/>
      <c r="Z506" s="59"/>
      <c r="AA506" s="17"/>
      <c r="AB506" s="59"/>
      <c r="AC506" s="17"/>
      <c r="AD506" s="59"/>
      <c r="AE506" s="59"/>
      <c r="AF506" s="17"/>
      <c r="AG506" s="17"/>
      <c r="AH506" s="99"/>
      <c r="AI506" s="59"/>
      <c r="AJ506" s="59"/>
      <c r="AK506" s="101"/>
      <c r="AL506" s="101"/>
      <c r="AM506" s="99"/>
      <c r="AN506" s="101"/>
      <c r="AO506" s="101"/>
      <c r="AP506" s="59"/>
      <c r="AQ506" s="101"/>
      <c r="AR506">
        <f>F506 +G506</f>
        <v>1</v>
      </c>
    </row>
    <row r="507" spans="1:44" hidden="1" x14ac:dyDescent="0.25">
      <c r="A507" t="str">
        <f>B507 &amp; " - " &amp;E507</f>
        <v>Arsenal - Giroud</v>
      </c>
      <c r="B507" t="s">
        <v>1423</v>
      </c>
      <c r="C507" t="str">
        <f ca="1">IFERROR(VLOOKUP(INDEX(OFFSET(_JOUEURS,0,0,,1),MATCH(A507,OFFSET(_JOUEURS,0,1,,1),0)),_MPG,2,FALSE),"")</f>
        <v>Fuck-Tonio FC</v>
      </c>
      <c r="D507" s="80" t="s">
        <v>372</v>
      </c>
      <c r="E507" s="69" t="s">
        <v>1419</v>
      </c>
      <c r="F507" s="137"/>
      <c r="G507" s="123">
        <v>2</v>
      </c>
      <c r="H507" s="81"/>
      <c r="I507" s="27"/>
      <c r="J507" s="70"/>
      <c r="K507" s="28" t="s">
        <v>364</v>
      </c>
      <c r="L507" s="60"/>
      <c r="M507" s="28"/>
      <c r="N507" s="28"/>
      <c r="O507" s="28" t="s">
        <v>364</v>
      </c>
      <c r="P507" s="21"/>
      <c r="Q507" s="28"/>
      <c r="R507" s="28"/>
      <c r="S507" s="16"/>
      <c r="T507" s="18"/>
      <c r="U507" s="18"/>
      <c r="V507" s="18"/>
      <c r="W507" s="28"/>
      <c r="X507" s="28"/>
      <c r="Y507" s="28"/>
      <c r="Z507" s="28"/>
      <c r="AA507" s="28"/>
      <c r="AB507" s="28"/>
      <c r="AC507" s="18"/>
      <c r="AD507" s="28"/>
      <c r="AE507" s="18"/>
      <c r="AF507" s="18"/>
      <c r="AG507" s="18"/>
      <c r="AH507" s="22"/>
      <c r="AI507" s="16"/>
      <c r="AJ507" s="18"/>
      <c r="AK507" s="20"/>
      <c r="AL507" s="101"/>
      <c r="AM507" s="20"/>
      <c r="AN507" s="21"/>
      <c r="AO507" s="21"/>
      <c r="AP507" s="28"/>
      <c r="AQ507" s="20"/>
      <c r="AR507">
        <f>F507 +G507</f>
        <v>2</v>
      </c>
    </row>
    <row r="508" spans="1:44" x14ac:dyDescent="0.25">
      <c r="A508" t="str">
        <f>B508 &amp; " - " &amp;E508</f>
        <v>Arsenal - Lucas Pérez</v>
      </c>
      <c r="B508" t="s">
        <v>1423</v>
      </c>
      <c r="C508" t="str">
        <f ca="1">IFERROR(VLOOKUP(INDEX(OFFSET(_JOUEURS,0,0,,1),MATCH(A508,OFFSET(_JOUEURS,0,1,,1),0)),_MPG,2,FALSE),"")</f>
        <v/>
      </c>
      <c r="D508" s="104" t="s">
        <v>372</v>
      </c>
      <c r="E508" s="29" t="s">
        <v>1420</v>
      </c>
      <c r="F508" s="106">
        <v>1</v>
      </c>
      <c r="G508" s="101">
        <v>1</v>
      </c>
      <c r="H508" s="36"/>
      <c r="I508" s="94">
        <f>AVERAGE(M508)</f>
        <v>4</v>
      </c>
      <c r="J508" s="124"/>
      <c r="K508" s="18"/>
      <c r="L508" s="28"/>
      <c r="M508" s="18">
        <v>4</v>
      </c>
      <c r="N508" s="28" t="s">
        <v>364</v>
      </c>
      <c r="O508" s="28"/>
      <c r="P508" s="20"/>
      <c r="Q508" s="28"/>
      <c r="R508" s="28"/>
      <c r="S508" s="17"/>
      <c r="T508" s="28"/>
      <c r="U508" s="18"/>
      <c r="V508" s="18"/>
      <c r="W508" s="28"/>
      <c r="X508" s="28"/>
      <c r="Y508" s="18"/>
      <c r="Z508" s="28"/>
      <c r="AA508" s="28"/>
      <c r="AB508" s="28"/>
      <c r="AC508" s="28"/>
      <c r="AD508" s="28"/>
      <c r="AE508" s="18"/>
      <c r="AF508" s="18"/>
      <c r="AG508" s="18"/>
      <c r="AH508" s="20"/>
      <c r="AI508" s="18"/>
      <c r="AJ508" s="18"/>
      <c r="AK508" s="20"/>
      <c r="AL508" s="74"/>
      <c r="AM508" s="20"/>
      <c r="AN508" s="20"/>
      <c r="AO508" s="20"/>
      <c r="AP508" s="28"/>
      <c r="AQ508" s="21"/>
      <c r="AR508">
        <f>F508 +G508</f>
        <v>2</v>
      </c>
    </row>
    <row r="509" spans="1:44" x14ac:dyDescent="0.25">
      <c r="A509" t="str">
        <f>B509 &amp; " - " &amp;E509</f>
        <v>Arsenal - Akpom</v>
      </c>
      <c r="B509" t="s">
        <v>1423</v>
      </c>
      <c r="C509" t="str">
        <f ca="1">IFERROR(VLOOKUP(INDEX(OFFSET(_JOUEURS,0,0,,1),MATCH(A509,OFFSET(_JOUEURS,0,1,,1),0)),_MPG,2,FALSE),"")</f>
        <v/>
      </c>
      <c r="D509" s="104" t="s">
        <v>372</v>
      </c>
      <c r="E509" s="109" t="s">
        <v>1421</v>
      </c>
      <c r="F509" s="106"/>
      <c r="G509" s="101"/>
      <c r="H509" s="36"/>
      <c r="I509" s="27"/>
      <c r="J509" s="126"/>
      <c r="K509" s="18"/>
      <c r="L509" s="28"/>
      <c r="M509" s="18"/>
      <c r="N509" s="28"/>
      <c r="O509" s="28"/>
      <c r="P509" s="20"/>
      <c r="Q509" s="28"/>
      <c r="R509" s="28"/>
      <c r="S509" s="17"/>
      <c r="T509" s="28"/>
      <c r="U509" s="18"/>
      <c r="V509" s="18"/>
      <c r="W509" s="28"/>
      <c r="X509" s="28"/>
      <c r="Y509" s="18"/>
      <c r="Z509" s="28"/>
      <c r="AA509" s="28"/>
      <c r="AB509" s="28"/>
      <c r="AC509" s="28"/>
      <c r="AD509" s="28"/>
      <c r="AE509" s="18"/>
      <c r="AF509" s="18"/>
      <c r="AG509" s="18"/>
      <c r="AH509" s="20"/>
      <c r="AI509" s="18"/>
      <c r="AJ509" s="18"/>
      <c r="AK509" s="20"/>
      <c r="AL509" s="74"/>
      <c r="AM509" s="20"/>
      <c r="AN509" s="20"/>
      <c r="AO509" s="20"/>
      <c r="AP509" s="28"/>
      <c r="AQ509" s="21"/>
      <c r="AR509">
        <f>F509 +G509</f>
        <v>0</v>
      </c>
    </row>
    <row r="510" spans="1:44" x14ac:dyDescent="0.25">
      <c r="A510" t="str">
        <f>B510 &amp; " - " &amp;E510</f>
        <v>Arsenal - Sanogo</v>
      </c>
      <c r="B510" t="s">
        <v>1423</v>
      </c>
      <c r="C510" t="str">
        <f ca="1">IFERROR(VLOOKUP(INDEX(OFFSET(_JOUEURS,0,0,,1),MATCH(A510,OFFSET(_JOUEURS,0,1,,1),0)),_MPG,2,FALSE),"")</f>
        <v/>
      </c>
      <c r="D510" s="104" t="s">
        <v>372</v>
      </c>
      <c r="E510" s="109" t="s">
        <v>1422</v>
      </c>
      <c r="F510" s="106"/>
      <c r="G510" s="101"/>
      <c r="H510" s="36"/>
      <c r="I510" s="27"/>
      <c r="J510" s="124"/>
      <c r="K510" s="18"/>
      <c r="L510" s="28"/>
      <c r="M510" s="28"/>
      <c r="N510" s="28"/>
      <c r="O510" s="28"/>
      <c r="P510" s="20"/>
      <c r="Q510" s="28"/>
      <c r="R510" s="28"/>
      <c r="S510" s="17"/>
      <c r="T510" s="28"/>
      <c r="U510" s="18"/>
      <c r="V510" s="18"/>
      <c r="W510" s="28"/>
      <c r="X510" s="28"/>
      <c r="Y510" s="18"/>
      <c r="Z510" s="28"/>
      <c r="AA510" s="28"/>
      <c r="AB510" s="28"/>
      <c r="AC510" s="28"/>
      <c r="AD510" s="28"/>
      <c r="AE510" s="18"/>
      <c r="AF510" s="18"/>
      <c r="AG510" s="18"/>
      <c r="AH510" s="20"/>
      <c r="AI510" s="18"/>
      <c r="AJ510" s="18"/>
      <c r="AK510" s="20"/>
      <c r="AL510" s="74"/>
      <c r="AM510" s="20"/>
      <c r="AN510" s="20"/>
      <c r="AO510" s="20"/>
      <c r="AP510" s="28"/>
      <c r="AQ510" s="21"/>
      <c r="AR510">
        <f>F510 +G510</f>
        <v>0</v>
      </c>
    </row>
    <row r="511" spans="1:44" hidden="1" x14ac:dyDescent="0.25">
      <c r="A511" t="str">
        <f>B511 &amp; " - " &amp;E511</f>
        <v>Liverpool - Origi</v>
      </c>
      <c r="B511" t="s">
        <v>1446</v>
      </c>
      <c r="C511" t="str">
        <f ca="1">IFERROR(VLOOKUP(INDEX(OFFSET(_JOUEURS,0,0,,1),MATCH(A511,OFFSET(_JOUEURS,0,1,,1),0)),_MPG,2,FALSE),"")</f>
        <v>Fuck-Tonio FC</v>
      </c>
      <c r="D511" s="23" t="s">
        <v>372</v>
      </c>
      <c r="E511" s="109" t="s">
        <v>1443</v>
      </c>
      <c r="F511" s="25"/>
      <c r="G511" s="77">
        <v>4</v>
      </c>
      <c r="H511" s="56"/>
      <c r="I511" s="27"/>
      <c r="J511" s="70" t="s">
        <v>364</v>
      </c>
      <c r="K511" s="28" t="s">
        <v>364</v>
      </c>
      <c r="L511" s="28" t="s">
        <v>364</v>
      </c>
      <c r="M511" s="60"/>
      <c r="N511" s="28" t="s">
        <v>364</v>
      </c>
      <c r="O511" s="59"/>
      <c r="P511" s="101"/>
      <c r="Q511" s="59"/>
      <c r="R511" s="17"/>
      <c r="S511" s="17"/>
      <c r="T511" s="17"/>
      <c r="U511" s="17"/>
      <c r="V511" s="17"/>
      <c r="W511" s="59"/>
      <c r="X511" s="17"/>
      <c r="Y511" s="17"/>
      <c r="Z511" s="59"/>
      <c r="AA511" s="17"/>
      <c r="AB511" s="17"/>
      <c r="AC511" s="17"/>
      <c r="AD511" s="59"/>
      <c r="AE511" s="17"/>
      <c r="AF511" s="17"/>
      <c r="AG511" s="59"/>
      <c r="AH511" s="101"/>
      <c r="AI511" s="17"/>
      <c r="AJ511" s="17"/>
      <c r="AK511" s="101"/>
      <c r="AL511" s="101"/>
      <c r="AM511" s="99"/>
      <c r="AN511" s="101"/>
      <c r="AO511" s="101"/>
      <c r="AP511" s="59"/>
      <c r="AQ511" s="101"/>
      <c r="AR511">
        <f>F511 +G511</f>
        <v>4</v>
      </c>
    </row>
    <row r="512" spans="1:44" hidden="1" x14ac:dyDescent="0.25">
      <c r="A512" t="str">
        <f>B512 &amp; " - " &amp;E512</f>
        <v>Liverpool - Sturridge</v>
      </c>
      <c r="B512" t="s">
        <v>1446</v>
      </c>
      <c r="C512" t="str">
        <f ca="1">IFERROR(VLOOKUP(INDEX(OFFSET(_JOUEURS,0,0,,1),MATCH(A512,OFFSET(_JOUEURS,0,1,,1),0)),_MPG,2,FALSE),"")</f>
        <v>Saxe-Gambetta FC</v>
      </c>
      <c r="D512" s="23" t="s">
        <v>372</v>
      </c>
      <c r="E512" s="285" t="s">
        <v>1444</v>
      </c>
      <c r="F512" s="25">
        <v>3</v>
      </c>
      <c r="G512" s="77">
        <v>2</v>
      </c>
      <c r="H512" s="56"/>
      <c r="I512" s="27">
        <f>AVERAGE(K512,M512,N512)</f>
        <v>5</v>
      </c>
      <c r="J512" s="124"/>
      <c r="K512" s="17">
        <v>4</v>
      </c>
      <c r="L512" s="28" t="s">
        <v>364</v>
      </c>
      <c r="M512" s="59">
        <v>6</v>
      </c>
      <c r="N512" s="59">
        <v>5</v>
      </c>
      <c r="O512" s="28" t="s">
        <v>364</v>
      </c>
      <c r="P512" s="101"/>
      <c r="Q512" s="59"/>
      <c r="R512" s="17"/>
      <c r="S512" s="17"/>
      <c r="T512" s="17"/>
      <c r="U512" s="17"/>
      <c r="V512" s="17"/>
      <c r="W512" s="59"/>
      <c r="X512" s="17"/>
      <c r="Y512" s="17"/>
      <c r="Z512" s="59"/>
      <c r="AA512" s="17"/>
      <c r="AB512" s="17"/>
      <c r="AC512" s="17"/>
      <c r="AD512" s="59"/>
      <c r="AE512" s="17"/>
      <c r="AF512" s="17"/>
      <c r="AG512" s="59"/>
      <c r="AH512" s="101"/>
      <c r="AI512" s="17"/>
      <c r="AJ512" s="17"/>
      <c r="AK512" s="101"/>
      <c r="AL512" s="101"/>
      <c r="AM512" s="99"/>
      <c r="AN512" s="101"/>
      <c r="AO512" s="101"/>
      <c r="AP512" s="59"/>
      <c r="AQ512" s="101"/>
      <c r="AR512">
        <f>F512 +G512</f>
        <v>5</v>
      </c>
    </row>
    <row r="513" spans="1:44" x14ac:dyDescent="0.25">
      <c r="A513" t="str">
        <f>B513 &amp; " - " &amp;E513</f>
        <v>Liverpool - Ings</v>
      </c>
      <c r="B513" t="s">
        <v>1446</v>
      </c>
      <c r="C513" t="str">
        <f ca="1">IFERROR(VLOOKUP(INDEX(OFFSET(_JOUEURS,0,0,,1),MATCH(A513,OFFSET(_JOUEURS,0,1,,1),0)),_MPG,2,FALSE),"")</f>
        <v/>
      </c>
      <c r="D513" s="23" t="s">
        <v>372</v>
      </c>
      <c r="E513" s="285" t="s">
        <v>1445</v>
      </c>
      <c r="F513" s="25"/>
      <c r="G513" s="77"/>
      <c r="H513" s="56"/>
      <c r="I513" s="27"/>
      <c r="J513" s="70"/>
      <c r="K513" s="28"/>
      <c r="L513" s="28"/>
      <c r="M513" s="59"/>
      <c r="N513" s="59"/>
      <c r="O513" s="59"/>
      <c r="P513" s="101"/>
      <c r="Q513" s="59"/>
      <c r="R513" s="17"/>
      <c r="S513" s="17"/>
      <c r="T513" s="17"/>
      <c r="U513" s="17"/>
      <c r="V513" s="17"/>
      <c r="W513" s="59"/>
      <c r="X513" s="17"/>
      <c r="Y513" s="17"/>
      <c r="Z513" s="59"/>
      <c r="AA513" s="17"/>
      <c r="AB513" s="17"/>
      <c r="AC513" s="17"/>
      <c r="AD513" s="59"/>
      <c r="AE513" s="17"/>
      <c r="AF513" s="17"/>
      <c r="AG513" s="59"/>
      <c r="AH513" s="101"/>
      <c r="AI513" s="17"/>
      <c r="AJ513" s="17"/>
      <c r="AK513" s="101"/>
      <c r="AL513" s="101"/>
      <c r="AM513" s="99"/>
      <c r="AN513" s="101"/>
      <c r="AO513" s="101"/>
      <c r="AP513" s="59"/>
      <c r="AQ513" s="101"/>
      <c r="AR513">
        <f>F513 +G513</f>
        <v>0</v>
      </c>
    </row>
    <row r="514" spans="1:44" x14ac:dyDescent="0.25">
      <c r="A514" t="str">
        <f>B514 &amp; " - " &amp;E514</f>
        <v>Bournemouth - Ibe</v>
      </c>
      <c r="B514" t="s">
        <v>1474</v>
      </c>
      <c r="C514" t="str">
        <f ca="1">IFERROR(VLOOKUP(INDEX(OFFSET(_JOUEURS,0,0,,1),MATCH(A514,OFFSET(_JOUEURS,0,1,,1),0)),_MPG,2,FALSE),"")</f>
        <v/>
      </c>
      <c r="D514" s="23" t="s">
        <v>372</v>
      </c>
      <c r="E514" s="24" t="s">
        <v>1468</v>
      </c>
      <c r="F514" s="106">
        <v>6</v>
      </c>
      <c r="G514" s="101"/>
      <c r="H514" s="36"/>
      <c r="I514" s="27">
        <f>AVERAGE(J514,K514,L514,M514,N514,O514)</f>
        <v>4.833333333333333</v>
      </c>
      <c r="J514" s="124">
        <v>4</v>
      </c>
      <c r="K514" s="59">
        <v>5</v>
      </c>
      <c r="L514" s="57">
        <v>5</v>
      </c>
      <c r="M514" s="59">
        <v>6</v>
      </c>
      <c r="N514" s="136">
        <v>4</v>
      </c>
      <c r="O514" s="17">
        <v>5</v>
      </c>
      <c r="P514" s="101"/>
      <c r="Q514" s="17"/>
      <c r="R514" s="17"/>
      <c r="S514" s="17"/>
      <c r="T514" s="59"/>
      <c r="U514" s="17"/>
      <c r="V514" s="17"/>
      <c r="W514" s="17"/>
      <c r="X514" s="17"/>
      <c r="Y514" s="17"/>
      <c r="Z514" s="17"/>
      <c r="AA514" s="17"/>
      <c r="AB514" s="17"/>
      <c r="AC514" s="17"/>
      <c r="AD514" s="17"/>
      <c r="AE514" s="17"/>
      <c r="AF514" s="59"/>
      <c r="AG514" s="17"/>
      <c r="AH514" s="101"/>
      <c r="AI514" s="17"/>
      <c r="AJ514" s="17"/>
      <c r="AK514" s="101"/>
      <c r="AL514" s="99"/>
      <c r="AM514" s="101"/>
      <c r="AN514" s="101"/>
      <c r="AO514" s="101"/>
      <c r="AP514" s="59"/>
      <c r="AQ514" s="99"/>
      <c r="AR514">
        <f>F514 +G514</f>
        <v>6</v>
      </c>
    </row>
    <row r="515" spans="1:44" x14ac:dyDescent="0.25">
      <c r="A515" t="str">
        <f>B515 &amp; " - " &amp;E515</f>
        <v>Bournemouth - Afobe</v>
      </c>
      <c r="B515" t="s">
        <v>1474</v>
      </c>
      <c r="C515" t="str">
        <f ca="1">IFERROR(VLOOKUP(INDEX(OFFSET(_JOUEURS,0,0,,1),MATCH(A515,OFFSET(_JOUEURS,0,1,,1),0)),_MPG,2,FALSE),"")</f>
        <v/>
      </c>
      <c r="D515" s="23" t="s">
        <v>372</v>
      </c>
      <c r="E515" s="29" t="s">
        <v>1470</v>
      </c>
      <c r="F515" s="106"/>
      <c r="G515" s="101">
        <v>2</v>
      </c>
      <c r="H515" s="36"/>
      <c r="I515" s="27"/>
      <c r="J515" s="70" t="s">
        <v>364</v>
      </c>
      <c r="K515" s="59"/>
      <c r="L515" s="59"/>
      <c r="M515" s="136"/>
      <c r="N515" s="17"/>
      <c r="O515" s="28" t="s">
        <v>364</v>
      </c>
      <c r="P515" s="99"/>
      <c r="Q515" s="17"/>
      <c r="R515" s="17"/>
      <c r="S515" s="17"/>
      <c r="T515" s="59"/>
      <c r="U515" s="59"/>
      <c r="V515" s="17"/>
      <c r="W515" s="59"/>
      <c r="X515" s="17"/>
      <c r="Y515" s="17"/>
      <c r="Z515" s="17"/>
      <c r="AA515" s="59"/>
      <c r="AB515" s="59"/>
      <c r="AC515" s="17"/>
      <c r="AD515" s="17"/>
      <c r="AE515" s="17"/>
      <c r="AF515" s="17"/>
      <c r="AG515" s="17"/>
      <c r="AH515" s="101"/>
      <c r="AI515" s="17"/>
      <c r="AJ515" s="59"/>
      <c r="AK515" s="99"/>
      <c r="AL515" s="99"/>
      <c r="AM515" s="101"/>
      <c r="AN515" s="101"/>
      <c r="AO515" s="101"/>
      <c r="AP515" s="59"/>
      <c r="AQ515" s="99"/>
      <c r="AR515">
        <f>F515 +G515</f>
        <v>2</v>
      </c>
    </row>
    <row r="516" spans="1:44" x14ac:dyDescent="0.25">
      <c r="A516" t="str">
        <f>B516 &amp; " - " &amp;E516</f>
        <v>Bournemouth - Gradel</v>
      </c>
      <c r="B516" t="s">
        <v>1474</v>
      </c>
      <c r="C516" t="str">
        <f ca="1">IFERROR(VLOOKUP(INDEX(OFFSET(_JOUEURS,0,0,,1),MATCH(A516,OFFSET(_JOUEURS,0,1,,1),0)),_MPG,2,FALSE),"")</f>
        <v/>
      </c>
      <c r="D516" s="23" t="s">
        <v>372</v>
      </c>
      <c r="E516" s="29" t="s">
        <v>1471</v>
      </c>
      <c r="F516" s="106"/>
      <c r="G516" s="101">
        <v>4</v>
      </c>
      <c r="H516" s="36"/>
      <c r="I516" s="27"/>
      <c r="J516" s="70" t="s">
        <v>364</v>
      </c>
      <c r="K516" s="59"/>
      <c r="L516" s="59"/>
      <c r="M516" s="57" t="s">
        <v>364</v>
      </c>
      <c r="N516" s="28" t="s">
        <v>364</v>
      </c>
      <c r="O516" s="28" t="s">
        <v>364</v>
      </c>
      <c r="P516" s="99"/>
      <c r="Q516" s="17"/>
      <c r="R516" s="17"/>
      <c r="S516" s="17"/>
      <c r="T516" s="59"/>
      <c r="U516" s="59"/>
      <c r="V516" s="17"/>
      <c r="W516" s="59"/>
      <c r="X516" s="17"/>
      <c r="Y516" s="17"/>
      <c r="Z516" s="17"/>
      <c r="AA516" s="59"/>
      <c r="AB516" s="59"/>
      <c r="AC516" s="17"/>
      <c r="AD516" s="17"/>
      <c r="AE516" s="17"/>
      <c r="AF516" s="17"/>
      <c r="AG516" s="17"/>
      <c r="AH516" s="101"/>
      <c r="AI516" s="17"/>
      <c r="AJ516" s="59"/>
      <c r="AK516" s="99"/>
      <c r="AL516" s="99"/>
      <c r="AM516" s="101"/>
      <c r="AN516" s="101"/>
      <c r="AO516" s="101"/>
      <c r="AP516" s="59"/>
      <c r="AQ516" s="99"/>
      <c r="AR516">
        <f>F516 +G516</f>
        <v>4</v>
      </c>
    </row>
    <row r="517" spans="1:44" x14ac:dyDescent="0.25">
      <c r="A517" t="str">
        <f>B517 &amp; " - " &amp;E517</f>
        <v>Bournemouth - Mousset</v>
      </c>
      <c r="B517" t="s">
        <v>1474</v>
      </c>
      <c r="C517" t="str">
        <f ca="1">IFERROR(VLOOKUP(INDEX(OFFSET(_JOUEURS,0,0,,1),MATCH(A517,OFFSET(_JOUEURS,0,1,,1),0)),_MPG,2,FALSE),"")</f>
        <v/>
      </c>
      <c r="D517" s="23" t="s">
        <v>372</v>
      </c>
      <c r="E517" s="29" t="s">
        <v>1472</v>
      </c>
      <c r="F517" s="106"/>
      <c r="G517" s="101"/>
      <c r="H517" s="36"/>
      <c r="I517" s="27"/>
      <c r="J517" s="70"/>
      <c r="K517" s="59"/>
      <c r="L517" s="59"/>
      <c r="M517" s="57"/>
      <c r="N517" s="17"/>
      <c r="O517" s="59"/>
      <c r="P517" s="99"/>
      <c r="Q517" s="17"/>
      <c r="R517" s="17"/>
      <c r="S517" s="17"/>
      <c r="T517" s="59"/>
      <c r="U517" s="59"/>
      <c r="V517" s="17"/>
      <c r="W517" s="59"/>
      <c r="X517" s="17"/>
      <c r="Y517" s="17"/>
      <c r="Z517" s="17"/>
      <c r="AA517" s="59"/>
      <c r="AB517" s="59"/>
      <c r="AC517" s="17"/>
      <c r="AD517" s="17"/>
      <c r="AE517" s="17"/>
      <c r="AF517" s="17"/>
      <c r="AG517" s="17"/>
      <c r="AH517" s="101"/>
      <c r="AI517" s="17"/>
      <c r="AJ517" s="59"/>
      <c r="AK517" s="99"/>
      <c r="AL517" s="99"/>
      <c r="AM517" s="101"/>
      <c r="AN517" s="101"/>
      <c r="AO517" s="101"/>
      <c r="AP517" s="59"/>
      <c r="AQ517" s="99"/>
      <c r="AR517">
        <f>F517 +G517</f>
        <v>0</v>
      </c>
    </row>
    <row r="518" spans="1:44" x14ac:dyDescent="0.25">
      <c r="A518" t="str">
        <f>B518 &amp; " - " &amp;E518</f>
        <v>Bournemouth - Grabban</v>
      </c>
      <c r="B518" t="s">
        <v>1474</v>
      </c>
      <c r="C518" t="str">
        <f ca="1">IFERROR(VLOOKUP(INDEX(OFFSET(_JOUEURS,0,0,,1),MATCH(A518,OFFSET(_JOUEURS,0,1,,1),0)),_MPG,2,FALSE),"")</f>
        <v/>
      </c>
      <c r="D518" s="52" t="s">
        <v>372</v>
      </c>
      <c r="E518" s="111" t="s">
        <v>1473</v>
      </c>
      <c r="F518" s="137"/>
      <c r="G518" s="123">
        <v>3</v>
      </c>
      <c r="H518" s="81"/>
      <c r="I518" s="55"/>
      <c r="J518" s="70" t="s">
        <v>364</v>
      </c>
      <c r="K518" s="28" t="s">
        <v>364</v>
      </c>
      <c r="L518" s="28" t="s">
        <v>364</v>
      </c>
      <c r="M518" s="184"/>
      <c r="N518" s="59"/>
      <c r="O518" s="59"/>
      <c r="P518" s="101"/>
      <c r="Q518" s="59"/>
      <c r="R518" s="59"/>
      <c r="S518" s="59"/>
      <c r="T518" s="59"/>
      <c r="U518" s="59"/>
      <c r="V518" s="59"/>
      <c r="W518" s="17"/>
      <c r="X518" s="59"/>
      <c r="Y518" s="59"/>
      <c r="Z518" s="59"/>
      <c r="AA518" s="59"/>
      <c r="AB518" s="59"/>
      <c r="AC518" s="59"/>
      <c r="AD518" s="17"/>
      <c r="AE518" s="17"/>
      <c r="AF518" s="59"/>
      <c r="AG518" s="17"/>
      <c r="AH518" s="101"/>
      <c r="AI518" s="17"/>
      <c r="AJ518" s="17"/>
      <c r="AK518" s="101"/>
      <c r="AL518" s="99"/>
      <c r="AM518" s="99"/>
      <c r="AN518" s="99"/>
      <c r="AO518" s="101"/>
      <c r="AP518" s="17"/>
      <c r="AQ518" s="99"/>
      <c r="AR518">
        <f>F518 +G518</f>
        <v>3</v>
      </c>
    </row>
    <row r="519" spans="1:44" hidden="1" x14ac:dyDescent="0.25">
      <c r="A519" t="str">
        <f>B519 &amp; " - " &amp;E519</f>
        <v>Man. United - Martial</v>
      </c>
      <c r="B519" t="s">
        <v>1497</v>
      </c>
      <c r="C519" t="str">
        <f ca="1">IFERROR(VLOOKUP(INDEX(OFFSET(_JOUEURS,0,0,,1),MATCH(A519,OFFSET(_JOUEURS,0,1,,1),0)),_MPG,2,FALSE),"")</f>
        <v>I speak pas english</v>
      </c>
      <c r="D519" s="104" t="s">
        <v>372</v>
      </c>
      <c r="E519" s="36" t="s">
        <v>1494</v>
      </c>
      <c r="F519" s="106">
        <v>4</v>
      </c>
      <c r="G519" s="101">
        <v>1</v>
      </c>
      <c r="H519" s="36"/>
      <c r="I519" s="27">
        <f>AVERAGE(J519,K519,L519,N519)</f>
        <v>5</v>
      </c>
      <c r="J519" s="70">
        <v>6</v>
      </c>
      <c r="K519" s="17">
        <v>5</v>
      </c>
      <c r="L519" s="59">
        <v>5</v>
      </c>
      <c r="M519" s="28" t="s">
        <v>364</v>
      </c>
      <c r="N519" s="59">
        <v>4</v>
      </c>
      <c r="O519" s="59"/>
      <c r="P519" s="101"/>
      <c r="Q519" s="59"/>
      <c r="R519" s="59"/>
      <c r="S519" s="59"/>
      <c r="T519" s="17"/>
      <c r="U519" s="59"/>
      <c r="V519" s="59"/>
      <c r="W519" s="59"/>
      <c r="X519" s="17"/>
      <c r="Y519" s="59"/>
      <c r="Z519" s="59"/>
      <c r="AA519" s="59"/>
      <c r="AB519" s="17"/>
      <c r="AC519" s="59"/>
      <c r="AD519" s="59"/>
      <c r="AE519" s="17"/>
      <c r="AF519" s="17"/>
      <c r="AG519" s="17"/>
      <c r="AH519" s="101"/>
      <c r="AI519" s="17"/>
      <c r="AJ519" s="17"/>
      <c r="AK519" s="101"/>
      <c r="AL519" s="101"/>
      <c r="AM519" s="99"/>
      <c r="AN519" s="101"/>
      <c r="AO519" s="101"/>
      <c r="AP519" s="59"/>
      <c r="AQ519" s="101"/>
      <c r="AR519">
        <f>F519 +G519</f>
        <v>5</v>
      </c>
    </row>
    <row r="520" spans="1:44" ht="15.75" thickBot="1" x14ac:dyDescent="0.3">
      <c r="A520" t="str">
        <f>B520 &amp; " - " &amp;E520</f>
        <v>Man. United - Depay</v>
      </c>
      <c r="B520" t="s">
        <v>1497</v>
      </c>
      <c r="C520" t="str">
        <f ca="1">IFERROR(VLOOKUP(INDEX(OFFSET(_JOUEURS,0,0,,1),MATCH(A520,OFFSET(_JOUEURS,0,1,,1),0)),_MPG,2,FALSE),"")</f>
        <v/>
      </c>
      <c r="D520" s="186" t="s">
        <v>372</v>
      </c>
      <c r="E520" s="120" t="s">
        <v>1495</v>
      </c>
      <c r="F520" s="118"/>
      <c r="G520" s="119">
        <v>2</v>
      </c>
      <c r="H520" s="120"/>
      <c r="I520" s="92"/>
      <c r="J520" s="70" t="s">
        <v>364</v>
      </c>
      <c r="K520" s="17"/>
      <c r="L520" s="59"/>
      <c r="M520" s="59"/>
      <c r="N520" s="28" t="s">
        <v>364</v>
      </c>
      <c r="O520" s="59"/>
      <c r="P520" s="101"/>
      <c r="Q520" s="59"/>
      <c r="R520" s="59"/>
      <c r="S520" s="59"/>
      <c r="T520" s="17"/>
      <c r="U520" s="59"/>
      <c r="V520" s="59"/>
      <c r="W520" s="59"/>
      <c r="X520" s="17"/>
      <c r="Y520" s="59"/>
      <c r="Z520" s="59"/>
      <c r="AA520" s="59"/>
      <c r="AB520" s="17"/>
      <c r="AC520" s="59"/>
      <c r="AD520" s="59"/>
      <c r="AE520" s="17"/>
      <c r="AF520" s="17"/>
      <c r="AG520" s="17"/>
      <c r="AH520" s="101"/>
      <c r="AI520" s="17"/>
      <c r="AJ520" s="17"/>
      <c r="AK520" s="101"/>
      <c r="AL520" s="101"/>
      <c r="AM520" s="99"/>
      <c r="AN520" s="101"/>
      <c r="AO520" s="101"/>
      <c r="AP520" s="59"/>
      <c r="AQ520" s="101"/>
      <c r="AR520">
        <f>F520 +G520</f>
        <v>2</v>
      </c>
    </row>
    <row r="521" spans="1:44" x14ac:dyDescent="0.25">
      <c r="A521" t="str">
        <f>B521 &amp; " - " &amp;E521</f>
        <v xml:space="preserve"> - </v>
      </c>
      <c r="C521" t="str">
        <f ca="1">IFERROR(VLOOKUP(INDEX(OFFSET(_JOUEURS,0,0,,1),MATCH(A521,OFFSET(_JOUEURS,0,1,,1),0)),_MPG,2,FALSE),"")</f>
        <v/>
      </c>
      <c r="D521" s="23"/>
      <c r="E521" s="109"/>
      <c r="F521" s="194"/>
      <c r="G521" s="21"/>
      <c r="H521" s="163"/>
      <c r="I521" s="27"/>
      <c r="J521" s="105"/>
      <c r="K521" s="28"/>
      <c r="L521" s="62"/>
      <c r="M521" s="59"/>
      <c r="N521" s="17"/>
      <c r="O521" s="17"/>
      <c r="P521" s="101"/>
      <c r="Q521" s="17"/>
      <c r="R521" s="17"/>
      <c r="S521" s="17"/>
      <c r="T521" s="17"/>
      <c r="U521" s="17"/>
      <c r="V521" s="59"/>
      <c r="W521" s="59"/>
      <c r="X521" s="17"/>
      <c r="Y521" s="59"/>
      <c r="Z521" s="17"/>
      <c r="AA521" s="17"/>
      <c r="AB521" s="17"/>
      <c r="AC521" s="17"/>
      <c r="AD521" s="59"/>
      <c r="AE521" s="17"/>
      <c r="AF521" s="17"/>
      <c r="AG521" s="17"/>
      <c r="AH521" s="101"/>
      <c r="AI521" s="59"/>
      <c r="AJ521" s="17"/>
      <c r="AK521" s="101"/>
      <c r="AL521" s="59"/>
      <c r="AM521" s="101"/>
      <c r="AN521" s="101"/>
      <c r="AO521" s="101"/>
      <c r="AP521" s="17"/>
      <c r="AQ521" s="101"/>
      <c r="AR521">
        <f>F521 +G521</f>
        <v>0</v>
      </c>
    </row>
    <row r="522" spans="1:44" x14ac:dyDescent="0.25">
      <c r="A522" t="str">
        <f>B522 &amp; " - " &amp;E522</f>
        <v xml:space="preserve"> - </v>
      </c>
      <c r="C522" t="str">
        <f ca="1">IFERROR(VLOOKUP(INDEX(OFFSET(_JOUEURS,0,0,,1),MATCH(A522,OFFSET(_JOUEURS,0,1,,1),0)),_MPG,2,FALSE),"")</f>
        <v/>
      </c>
      <c r="D522" s="23"/>
      <c r="E522" s="50"/>
      <c r="F522" s="194"/>
      <c r="G522" s="21"/>
      <c r="H522" s="163"/>
      <c r="I522" s="27"/>
      <c r="J522" s="70"/>
      <c r="K522" s="28"/>
      <c r="L522" s="136"/>
      <c r="M522" s="59"/>
      <c r="N522" s="17"/>
      <c r="O522" s="17"/>
      <c r="P522" s="101"/>
      <c r="Q522" s="17"/>
      <c r="R522" s="17"/>
      <c r="S522" s="17"/>
      <c r="T522" s="17"/>
      <c r="U522" s="17"/>
      <c r="V522" s="59"/>
      <c r="W522" s="59"/>
      <c r="X522" s="17"/>
      <c r="Y522" s="59"/>
      <c r="Z522" s="17"/>
      <c r="AA522" s="17"/>
      <c r="AB522" s="59"/>
      <c r="AC522" s="17"/>
      <c r="AD522" s="59"/>
      <c r="AE522" s="17"/>
      <c r="AF522" s="17"/>
      <c r="AG522" s="17"/>
      <c r="AH522" s="101"/>
      <c r="AI522" s="59"/>
      <c r="AJ522" s="17"/>
      <c r="AK522" s="101"/>
      <c r="AL522" s="59"/>
      <c r="AM522" s="101"/>
      <c r="AN522" s="101"/>
      <c r="AO522" s="101"/>
      <c r="AP522" s="17"/>
      <c r="AQ522" s="101"/>
      <c r="AR522">
        <f>F522 +G522</f>
        <v>0</v>
      </c>
    </row>
    <row r="523" spans="1:44" x14ac:dyDescent="0.25">
      <c r="A523" t="str">
        <f>B523 &amp; " - " &amp;E523</f>
        <v xml:space="preserve"> - </v>
      </c>
      <c r="C523" t="str">
        <f ca="1">IFERROR(VLOOKUP(INDEX(OFFSET(_JOUEURS,0,0,,1),MATCH(A523,OFFSET(_JOUEURS,0,1,,1),0)),_MPG,2,FALSE),"")</f>
        <v/>
      </c>
      <c r="D523" s="23"/>
      <c r="E523" s="24"/>
      <c r="F523" s="194"/>
      <c r="G523" s="21"/>
      <c r="H523" s="163"/>
      <c r="I523" s="27"/>
      <c r="J523" s="124"/>
      <c r="K523" s="59"/>
      <c r="L523" s="145"/>
      <c r="M523" s="136"/>
      <c r="N523" s="17"/>
      <c r="O523" s="59"/>
      <c r="P523" s="99"/>
      <c r="Q523" s="17"/>
      <c r="R523" s="17"/>
      <c r="S523" s="17"/>
      <c r="T523" s="59"/>
      <c r="U523" s="59"/>
      <c r="V523" s="17"/>
      <c r="W523" s="59"/>
      <c r="X523" s="17"/>
      <c r="Y523" s="17"/>
      <c r="Z523" s="17"/>
      <c r="AA523" s="59"/>
      <c r="AB523" s="59"/>
      <c r="AC523" s="17"/>
      <c r="AD523" s="17"/>
      <c r="AE523" s="17"/>
      <c r="AF523" s="17"/>
      <c r="AG523" s="17"/>
      <c r="AH523" s="101"/>
      <c r="AI523" s="17"/>
      <c r="AJ523" s="59"/>
      <c r="AK523" s="99"/>
      <c r="AL523" s="59"/>
      <c r="AM523" s="101"/>
      <c r="AN523" s="101"/>
      <c r="AO523" s="101"/>
      <c r="AP523" s="59"/>
      <c r="AQ523" s="99"/>
      <c r="AR523">
        <f>F523 +G523</f>
        <v>0</v>
      </c>
    </row>
    <row r="524" spans="1:44" x14ac:dyDescent="0.25">
      <c r="A524" t="str">
        <f>B524 &amp; " - " &amp;E524</f>
        <v xml:space="preserve"> - </v>
      </c>
      <c r="C524" t="str">
        <f ca="1">IFERROR(VLOOKUP(INDEX(OFFSET(_JOUEURS,0,0,,1),MATCH(A524,OFFSET(_JOUEURS,0,1,,1),0)),_MPG,2,FALSE),"")</f>
        <v/>
      </c>
      <c r="D524" s="104"/>
      <c r="E524" s="29"/>
      <c r="F524" s="106"/>
      <c r="G524" s="101"/>
      <c r="H524" s="36"/>
      <c r="I524" s="135"/>
      <c r="J524" s="124"/>
      <c r="K524" s="17"/>
      <c r="L524" s="28"/>
      <c r="M524" s="17"/>
      <c r="N524" s="59"/>
      <c r="O524" s="59"/>
      <c r="P524" s="101"/>
      <c r="Q524" s="59"/>
      <c r="R524" s="17"/>
      <c r="S524" s="17"/>
      <c r="T524" s="17"/>
      <c r="U524" s="17"/>
      <c r="V524" s="17"/>
      <c r="W524" s="59"/>
      <c r="X524" s="17"/>
      <c r="Y524" s="17"/>
      <c r="Z524" s="59"/>
      <c r="AA524" s="17"/>
      <c r="AB524" s="17"/>
      <c r="AC524" s="17"/>
      <c r="AD524" s="59"/>
      <c r="AE524" s="17"/>
      <c r="AF524" s="17"/>
      <c r="AG524" s="17"/>
      <c r="AH524" s="101"/>
      <c r="AI524" s="17"/>
      <c r="AJ524" s="17"/>
      <c r="AK524" s="101"/>
      <c r="AL524" s="17"/>
      <c r="AM524" s="99"/>
      <c r="AN524" s="101"/>
      <c r="AO524" s="101"/>
      <c r="AP524" s="59"/>
      <c r="AQ524" s="101"/>
      <c r="AR524">
        <f>F524 +G524</f>
        <v>0</v>
      </c>
    </row>
    <row r="525" spans="1:44" x14ac:dyDescent="0.25">
      <c r="A525" t="str">
        <f>B525 &amp; " - " &amp;E525</f>
        <v xml:space="preserve"> - </v>
      </c>
      <c r="C525" t="str">
        <f ca="1">IFERROR(VLOOKUP(INDEX(OFFSET(_JOUEURS,0,0,,1),MATCH(A525,OFFSET(_JOUEURS,0,1,,1),0)),_MPG,2,FALSE),"")</f>
        <v/>
      </c>
      <c r="D525" s="104"/>
      <c r="E525" s="50"/>
      <c r="F525" s="106"/>
      <c r="G525" s="101"/>
      <c r="H525" s="191"/>
      <c r="I525" s="27"/>
      <c r="J525" s="124"/>
      <c r="K525" s="28"/>
      <c r="L525" s="59"/>
      <c r="M525" s="17"/>
      <c r="N525" s="59"/>
      <c r="O525" s="59"/>
      <c r="P525" s="101"/>
      <c r="Q525" s="59"/>
      <c r="R525" s="17"/>
      <c r="S525" s="17"/>
      <c r="T525" s="59"/>
      <c r="U525" s="17"/>
      <c r="V525" s="17"/>
      <c r="W525" s="59"/>
      <c r="X525" s="59"/>
      <c r="Y525" s="17"/>
      <c r="Z525" s="59"/>
      <c r="AA525" s="59"/>
      <c r="AB525" s="17"/>
      <c r="AC525" s="17"/>
      <c r="AD525" s="59"/>
      <c r="AE525" s="59"/>
      <c r="AF525" s="59"/>
      <c r="AG525" s="59"/>
      <c r="AH525" s="99"/>
      <c r="AI525" s="59"/>
      <c r="AJ525" s="17"/>
      <c r="AK525" s="99"/>
      <c r="AL525" s="17"/>
      <c r="AM525" s="99"/>
      <c r="AN525" s="101"/>
      <c r="AO525" s="101"/>
      <c r="AP525" s="59"/>
      <c r="AQ525" s="101"/>
      <c r="AR525">
        <f>F525 +G525</f>
        <v>0</v>
      </c>
    </row>
    <row r="526" spans="1:44" x14ac:dyDescent="0.25">
      <c r="A526" t="str">
        <f>B526 &amp; " - " &amp;E526</f>
        <v xml:space="preserve"> - </v>
      </c>
      <c r="C526" t="str">
        <f ca="1">IFERROR(VLOOKUP(INDEX(OFFSET(_JOUEURS,0,0,,1),MATCH(A526,OFFSET(_JOUEURS,0,1,,1),0)),_MPG,2,FALSE),"")</f>
        <v/>
      </c>
      <c r="D526" s="104"/>
      <c r="E526" s="50"/>
      <c r="F526" s="106"/>
      <c r="G526" s="101"/>
      <c r="H526" s="36"/>
      <c r="I526" s="27"/>
      <c r="J526" s="124"/>
      <c r="K526" s="17"/>
      <c r="L526" s="59"/>
      <c r="M526" s="114"/>
      <c r="N526" s="59"/>
      <c r="O526" s="59"/>
      <c r="P526" s="101"/>
      <c r="Q526" s="59"/>
      <c r="R526" s="17"/>
      <c r="S526" s="17"/>
      <c r="T526" s="17"/>
      <c r="U526" s="17"/>
      <c r="V526" s="59"/>
      <c r="W526" s="59"/>
      <c r="X526" s="17"/>
      <c r="Y526" s="17"/>
      <c r="Z526" s="59"/>
      <c r="AA526" s="17"/>
      <c r="AB526" s="17"/>
      <c r="AC526" s="17"/>
      <c r="AD526" s="59"/>
      <c r="AE526" s="17"/>
      <c r="AF526" s="17"/>
      <c r="AG526" s="17"/>
      <c r="AH526" s="101"/>
      <c r="AI526" s="17"/>
      <c r="AJ526" s="17"/>
      <c r="AK526" s="101"/>
      <c r="AL526" s="17"/>
      <c r="AM526" s="99"/>
      <c r="AN526" s="101"/>
      <c r="AO526" s="101"/>
      <c r="AP526" s="59"/>
      <c r="AQ526" s="101"/>
      <c r="AR526">
        <f>F526 +G526</f>
        <v>0</v>
      </c>
    </row>
    <row r="527" spans="1:44" x14ac:dyDescent="0.25">
      <c r="A527" t="str">
        <f>B527 &amp; " - " &amp;E527</f>
        <v xml:space="preserve"> - </v>
      </c>
      <c r="C527" t="str">
        <f ca="1">IFERROR(VLOOKUP(INDEX(OFFSET(_JOUEURS,0,0,,1),MATCH(A527,OFFSET(_JOUEURS,0,1,,1),0)),_MPG,2,FALSE),"")</f>
        <v/>
      </c>
      <c r="D527" s="104"/>
      <c r="E527" s="29"/>
      <c r="F527" s="106"/>
      <c r="G527" s="101"/>
      <c r="H527" s="36"/>
      <c r="I527" s="27"/>
      <c r="J527" s="124"/>
      <c r="K527" s="17"/>
      <c r="L527" s="59"/>
      <c r="M527" s="114"/>
      <c r="N527" s="59"/>
      <c r="O527" s="59"/>
      <c r="P527" s="101"/>
      <c r="Q527" s="59"/>
      <c r="R527" s="17"/>
      <c r="S527" s="17"/>
      <c r="T527" s="17"/>
      <c r="U527" s="17"/>
      <c r="V527" s="17"/>
      <c r="W527" s="59"/>
      <c r="X527" s="17"/>
      <c r="Y527" s="17"/>
      <c r="Z527" s="59"/>
      <c r="AA527" s="17"/>
      <c r="AB527" s="17"/>
      <c r="AC527" s="17"/>
      <c r="AD527" s="59"/>
      <c r="AE527" s="17"/>
      <c r="AF527" s="17"/>
      <c r="AG527" s="17"/>
      <c r="AH527" s="101"/>
      <c r="AI527" s="17"/>
      <c r="AJ527" s="17"/>
      <c r="AK527" s="101"/>
      <c r="AL527" s="17"/>
      <c r="AM527" s="99"/>
      <c r="AN527" s="101"/>
      <c r="AO527" s="101"/>
      <c r="AP527" s="59"/>
      <c r="AQ527" s="101"/>
      <c r="AR527">
        <f>F527 +G527</f>
        <v>0</v>
      </c>
    </row>
    <row r="528" spans="1:44" x14ac:dyDescent="0.25">
      <c r="A528" t="str">
        <f>B528 &amp; " - " &amp;E528</f>
        <v xml:space="preserve"> - </v>
      </c>
      <c r="C528" t="str">
        <f ca="1">IFERROR(VLOOKUP(INDEX(OFFSET(_JOUEURS,0,0,,1),MATCH(A528,OFFSET(_JOUEURS,0,1,,1),0)),_MPG,2,FALSE),"")</f>
        <v/>
      </c>
      <c r="D528" s="80"/>
      <c r="E528" s="93"/>
      <c r="F528" s="137"/>
      <c r="G528" s="123"/>
      <c r="H528" s="81"/>
      <c r="I528" s="55"/>
      <c r="J528" s="124"/>
      <c r="K528" s="17"/>
      <c r="L528" s="59"/>
      <c r="M528" s="114"/>
      <c r="N528" s="59"/>
      <c r="O528" s="59"/>
      <c r="P528" s="101"/>
      <c r="Q528" s="59"/>
      <c r="R528" s="17"/>
      <c r="S528" s="17"/>
      <c r="T528" s="17"/>
      <c r="U528" s="17"/>
      <c r="V528" s="17"/>
      <c r="W528" s="59"/>
      <c r="X528" s="17"/>
      <c r="Y528" s="17"/>
      <c r="Z528" s="59"/>
      <c r="AA528" s="17"/>
      <c r="AB528" s="17"/>
      <c r="AC528" s="17"/>
      <c r="AD528" s="59"/>
      <c r="AE528" s="17"/>
      <c r="AF528" s="17"/>
      <c r="AG528" s="17"/>
      <c r="AH528" s="101"/>
      <c r="AI528" s="17"/>
      <c r="AJ528" s="17"/>
      <c r="AK528" s="101"/>
      <c r="AL528" s="17"/>
      <c r="AM528" s="99"/>
      <c r="AN528" s="101"/>
      <c r="AO528" s="101"/>
      <c r="AP528" s="59"/>
      <c r="AQ528" s="101"/>
      <c r="AR528">
        <f>F528 +G528</f>
        <v>0</v>
      </c>
    </row>
    <row r="529" spans="1:44" x14ac:dyDescent="0.25">
      <c r="A529" t="str">
        <f>B529 &amp; " - " &amp;E529</f>
        <v xml:space="preserve"> - </v>
      </c>
      <c r="C529" t="str">
        <f ca="1">IFERROR(VLOOKUP(INDEX(OFFSET(_JOUEURS,0,0,,1),MATCH(A529,OFFSET(_JOUEURS,0,1,,1),0)),_MPG,2,FALSE),"")</f>
        <v/>
      </c>
      <c r="D529" s="104"/>
      <c r="E529" s="90"/>
      <c r="F529" s="106"/>
      <c r="G529" s="101"/>
      <c r="H529" s="36"/>
      <c r="I529" s="27"/>
      <c r="J529" s="124"/>
      <c r="K529" s="59"/>
      <c r="L529" s="59"/>
      <c r="M529" s="17"/>
      <c r="N529" s="59"/>
      <c r="O529" s="59"/>
      <c r="P529" s="101"/>
      <c r="Q529" s="59"/>
      <c r="R529" s="17"/>
      <c r="S529" s="17"/>
      <c r="T529" s="17"/>
      <c r="U529" s="17"/>
      <c r="V529" s="17"/>
      <c r="W529" s="59"/>
      <c r="X529" s="17"/>
      <c r="Y529" s="17"/>
      <c r="Z529" s="59"/>
      <c r="AA529" s="17"/>
      <c r="AB529" s="17"/>
      <c r="AC529" s="17"/>
      <c r="AD529" s="59"/>
      <c r="AE529" s="17"/>
      <c r="AF529" s="17"/>
      <c r="AG529" s="17"/>
      <c r="AH529" s="101"/>
      <c r="AI529" s="17"/>
      <c r="AJ529" s="17"/>
      <c r="AK529" s="101"/>
      <c r="AL529" s="17"/>
      <c r="AM529" s="99"/>
      <c r="AN529" s="101"/>
      <c r="AO529" s="101"/>
      <c r="AP529" s="59"/>
      <c r="AQ529" s="101"/>
      <c r="AR529">
        <f>F529 +G529</f>
        <v>0</v>
      </c>
    </row>
    <row r="530" spans="1:44" x14ac:dyDescent="0.25">
      <c r="A530" t="str">
        <f>B530 &amp; " - " &amp;E530</f>
        <v xml:space="preserve"> - </v>
      </c>
      <c r="C530" t="str">
        <f ca="1">IFERROR(VLOOKUP(INDEX(OFFSET(_JOUEURS,0,0,,1),MATCH(A530,OFFSET(_JOUEURS,0,1,,1),0)),_MPG,2,FALSE),"")</f>
        <v/>
      </c>
      <c r="D530" s="104"/>
      <c r="E530" s="90"/>
      <c r="F530" s="106"/>
      <c r="G530" s="101"/>
      <c r="H530" s="191"/>
      <c r="I530" s="135"/>
      <c r="J530" s="124"/>
      <c r="K530" s="17"/>
      <c r="L530" s="59"/>
      <c r="M530" s="114"/>
      <c r="N530" s="59"/>
      <c r="O530" s="59"/>
      <c r="P530" s="101"/>
      <c r="Q530" s="59"/>
      <c r="R530" s="17"/>
      <c r="S530" s="17"/>
      <c r="T530" s="17"/>
      <c r="U530" s="17"/>
      <c r="V530" s="17"/>
      <c r="W530" s="59"/>
      <c r="X530" s="17"/>
      <c r="Y530" s="17"/>
      <c r="Z530" s="59"/>
      <c r="AA530" s="17"/>
      <c r="AB530" s="17"/>
      <c r="AC530" s="17"/>
      <c r="AD530" s="59"/>
      <c r="AE530" s="17"/>
      <c r="AF530" s="17"/>
      <c r="AG530" s="17"/>
      <c r="AH530" s="101"/>
      <c r="AI530" s="17"/>
      <c r="AJ530" s="17"/>
      <c r="AK530" s="99"/>
      <c r="AL530" s="17"/>
      <c r="AM530" s="99"/>
      <c r="AN530" s="101"/>
      <c r="AO530" s="99"/>
      <c r="AP530" s="59"/>
      <c r="AQ530" s="101"/>
      <c r="AR530">
        <f>F530 +G530</f>
        <v>0</v>
      </c>
    </row>
    <row r="531" spans="1:44" x14ac:dyDescent="0.25">
      <c r="A531" t="str">
        <f>B531 &amp; " - " &amp;E531</f>
        <v xml:space="preserve"> - </v>
      </c>
      <c r="C531" t="str">
        <f ca="1">IFERROR(VLOOKUP(INDEX(OFFSET(_JOUEURS,0,0,,1),MATCH(A531,OFFSET(_JOUEURS,0,1,,1),0)),_MPG,2,FALSE),"")</f>
        <v/>
      </c>
      <c r="D531" s="104"/>
      <c r="E531" s="163"/>
      <c r="F531" s="106"/>
      <c r="G531" s="101"/>
      <c r="H531" s="36"/>
      <c r="I531" s="27"/>
      <c r="J531" s="124"/>
      <c r="K531" s="17"/>
      <c r="L531" s="59"/>
      <c r="M531" s="17"/>
      <c r="N531" s="59"/>
      <c r="O531" s="59"/>
      <c r="P531" s="101"/>
      <c r="Q531" s="59"/>
      <c r="R531" s="17"/>
      <c r="S531" s="17"/>
      <c r="T531" s="17"/>
      <c r="U531" s="59"/>
      <c r="V531" s="17"/>
      <c r="W531" s="59"/>
      <c r="X531" s="59"/>
      <c r="Y531" s="17"/>
      <c r="Z531" s="59"/>
      <c r="AA531" s="59"/>
      <c r="AB531" s="59"/>
      <c r="AC531" s="59"/>
      <c r="AD531" s="59"/>
      <c r="AE531" s="17"/>
      <c r="AF531" s="17"/>
      <c r="AG531" s="59"/>
      <c r="AH531" s="99"/>
      <c r="AI531" s="17"/>
      <c r="AJ531" s="59"/>
      <c r="AK531" s="99"/>
      <c r="AL531" s="17"/>
      <c r="AM531" s="99"/>
      <c r="AN531" s="101"/>
      <c r="AO531" s="101"/>
      <c r="AP531" s="59"/>
      <c r="AQ531" s="101"/>
      <c r="AR531">
        <f>F531 +G531</f>
        <v>0</v>
      </c>
    </row>
    <row r="532" spans="1:44" x14ac:dyDescent="0.25">
      <c r="A532" t="str">
        <f>B532 &amp; " - " &amp;E532</f>
        <v xml:space="preserve"> - </v>
      </c>
      <c r="C532" t="str">
        <f ca="1">IFERROR(VLOOKUP(INDEX(OFFSET(_JOUEURS,0,0,,1),MATCH(A532,OFFSET(_JOUEURS,0,1,,1),0)),_MPG,2,FALSE),"")</f>
        <v/>
      </c>
      <c r="D532" s="104"/>
      <c r="E532" s="90"/>
      <c r="F532" s="106"/>
      <c r="G532" s="101"/>
      <c r="H532" s="36"/>
      <c r="I532" s="27"/>
      <c r="J532" s="124"/>
      <c r="K532" s="145"/>
      <c r="L532" s="59"/>
      <c r="M532" s="28"/>
      <c r="N532" s="59"/>
      <c r="O532" s="59"/>
      <c r="P532" s="101"/>
      <c r="Q532" s="59"/>
      <c r="R532" s="17"/>
      <c r="S532" s="17"/>
      <c r="T532" s="17"/>
      <c r="U532" s="17"/>
      <c r="V532" s="59"/>
      <c r="W532" s="59"/>
      <c r="X532" s="17"/>
      <c r="Y532" s="59"/>
      <c r="Z532" s="59"/>
      <c r="AA532" s="17"/>
      <c r="AB532" s="17"/>
      <c r="AC532" s="17"/>
      <c r="AD532" s="59"/>
      <c r="AE532" s="59"/>
      <c r="AF532" s="17"/>
      <c r="AG532" s="59"/>
      <c r="AH532" s="101"/>
      <c r="AI532" s="17"/>
      <c r="AJ532" s="59"/>
      <c r="AK532" s="101"/>
      <c r="AL532" s="59"/>
      <c r="AM532" s="99"/>
      <c r="AN532" s="101"/>
      <c r="AO532" s="99"/>
      <c r="AP532" s="59"/>
      <c r="AQ532" s="101"/>
      <c r="AR532">
        <f>F532 +G532</f>
        <v>0</v>
      </c>
    </row>
    <row r="533" spans="1:44" x14ac:dyDescent="0.25">
      <c r="A533" t="str">
        <f>B533 &amp; " - " &amp;E533</f>
        <v xml:space="preserve"> - </v>
      </c>
      <c r="C533" t="str">
        <f ca="1">IFERROR(VLOOKUP(INDEX(OFFSET(_JOUEURS,0,0,,1),MATCH(A533,OFFSET(_JOUEURS,0,1,,1),0)),_MPG,2,FALSE),"")</f>
        <v/>
      </c>
      <c r="D533" s="23"/>
      <c r="E533" s="90"/>
      <c r="F533" s="25"/>
      <c r="G533" s="77"/>
      <c r="H533" s="56"/>
      <c r="I533" s="27"/>
      <c r="J533" s="124"/>
      <c r="K533" s="18"/>
      <c r="L533" s="28"/>
      <c r="M533" s="18"/>
      <c r="N533" s="28"/>
      <c r="O533" s="59"/>
      <c r="P533" s="20"/>
      <c r="Q533" s="28"/>
      <c r="R533" s="28"/>
      <c r="S533" s="17"/>
      <c r="T533" s="59"/>
      <c r="U533" s="28"/>
      <c r="V533" s="28"/>
      <c r="W533" s="28"/>
      <c r="X533" s="18"/>
      <c r="Y533" s="18"/>
      <c r="Z533" s="59"/>
      <c r="AA533" s="18"/>
      <c r="AB533" s="28"/>
      <c r="AC533" s="18"/>
      <c r="AD533" s="28"/>
      <c r="AE533" s="16"/>
      <c r="AF533" s="18"/>
      <c r="AG533" s="18"/>
      <c r="AH533" s="20"/>
      <c r="AI533" s="18"/>
      <c r="AJ533" s="18"/>
      <c r="AK533" s="20"/>
      <c r="AL533" s="18"/>
      <c r="AM533" s="20"/>
      <c r="AN533" s="21"/>
      <c r="AO533" s="21"/>
      <c r="AP533" s="28"/>
      <c r="AQ533" s="21"/>
      <c r="AR533">
        <f>F533 +G533</f>
        <v>0</v>
      </c>
    </row>
    <row r="534" spans="1:44" ht="15.75" thickBot="1" x14ac:dyDescent="0.3">
      <c r="A534" t="str">
        <f>B534 &amp; " - " &amp;E534</f>
        <v xml:space="preserve"> - </v>
      </c>
      <c r="C534" t="str">
        <f ca="1">IFERROR(VLOOKUP(INDEX(OFFSET(_JOUEURS,0,0,,1),MATCH(A534,OFFSET(_JOUEURS,0,1,,1),0)),_MPG,2,FALSE),"")</f>
        <v/>
      </c>
      <c r="D534" s="128"/>
      <c r="E534" s="209"/>
      <c r="F534" s="118"/>
      <c r="G534" s="119"/>
      <c r="H534" s="120"/>
      <c r="I534" s="92"/>
      <c r="J534" s="70"/>
      <c r="K534" s="17"/>
      <c r="L534" s="145"/>
      <c r="M534" s="59"/>
      <c r="N534" s="59"/>
      <c r="O534" s="59"/>
      <c r="P534" s="101"/>
      <c r="Q534" s="59"/>
      <c r="R534" s="59"/>
      <c r="S534" s="59"/>
      <c r="T534" s="17"/>
      <c r="U534" s="59"/>
      <c r="V534" s="59"/>
      <c r="W534" s="59"/>
      <c r="X534" s="17"/>
      <c r="Y534" s="59"/>
      <c r="Z534" s="59"/>
      <c r="AA534" s="59"/>
      <c r="AB534" s="17"/>
      <c r="AC534" s="59"/>
      <c r="AD534" s="59"/>
      <c r="AE534" s="17"/>
      <c r="AF534" s="17"/>
      <c r="AG534" s="17"/>
      <c r="AH534" s="101"/>
      <c r="AI534" s="17"/>
      <c r="AJ534" s="17"/>
      <c r="AK534" s="101"/>
      <c r="AL534" s="17"/>
      <c r="AM534" s="99"/>
      <c r="AN534" s="101"/>
      <c r="AO534" s="101"/>
      <c r="AP534" s="59"/>
      <c r="AQ534" s="101"/>
      <c r="AR534">
        <f>F534 +G534</f>
        <v>0</v>
      </c>
    </row>
    <row r="535" spans="1:44" x14ac:dyDescent="0.25">
      <c r="A535" t="str">
        <f>B535 &amp; " - " &amp;E535</f>
        <v xml:space="preserve"> - </v>
      </c>
      <c r="C535" t="str">
        <f ca="1">IFERROR(VLOOKUP(INDEX(OFFSET(_JOUEURS,0,0,,1),MATCH(A535,OFFSET(_JOUEURS,0,1,,1),0)),_MPG,2,FALSE),"")</f>
        <v/>
      </c>
      <c r="D535" s="12"/>
      <c r="E535" s="140"/>
      <c r="F535" s="178"/>
      <c r="G535" s="179"/>
      <c r="H535" s="207"/>
      <c r="I535" s="206"/>
      <c r="J535" s="124"/>
      <c r="K535" s="17"/>
      <c r="L535" s="58"/>
      <c r="M535" s="16"/>
      <c r="N535" s="59"/>
      <c r="O535" s="59"/>
      <c r="P535" s="101"/>
      <c r="Q535" s="59"/>
      <c r="R535" s="17"/>
      <c r="S535" s="17"/>
      <c r="T535" s="17"/>
      <c r="U535" s="17"/>
      <c r="V535" s="17"/>
      <c r="W535" s="59"/>
      <c r="X535" s="17"/>
      <c r="Y535" s="101"/>
      <c r="Z535" s="59"/>
      <c r="AA535" s="17"/>
      <c r="AB535" s="17"/>
      <c r="AC535" s="17"/>
      <c r="AD535" s="59"/>
      <c r="AE535" s="17"/>
      <c r="AF535" s="17"/>
      <c r="AG535" s="17"/>
      <c r="AH535" s="101"/>
      <c r="AI535" s="17"/>
      <c r="AJ535" s="17"/>
      <c r="AK535" s="101"/>
      <c r="AL535" s="101"/>
      <c r="AM535" s="99"/>
      <c r="AN535" s="101"/>
      <c r="AO535" s="101"/>
      <c r="AP535" s="59"/>
      <c r="AQ535" s="101"/>
      <c r="AR535">
        <f>F535 +G535</f>
        <v>0</v>
      </c>
    </row>
    <row r="536" spans="1:44" x14ac:dyDescent="0.25">
      <c r="A536" t="str">
        <f>B536 &amp; " - " &amp;E536</f>
        <v xml:space="preserve"> - </v>
      </c>
      <c r="C536" t="str">
        <f ca="1">IFERROR(VLOOKUP(INDEX(OFFSET(_JOUEURS,0,0,,1),MATCH(A536,OFFSET(_JOUEURS,0,1,,1),0)),_MPG,2,FALSE),"")</f>
        <v/>
      </c>
      <c r="D536" s="23"/>
      <c r="E536" s="50"/>
      <c r="F536" s="149"/>
      <c r="G536" s="150"/>
      <c r="H536" s="208"/>
      <c r="I536" s="135"/>
      <c r="J536" s="124"/>
      <c r="K536" s="17"/>
      <c r="L536" s="59"/>
      <c r="M536" s="28"/>
      <c r="N536" s="99"/>
      <c r="O536" s="59"/>
      <c r="P536" s="17"/>
      <c r="Q536" s="59"/>
      <c r="R536" s="17"/>
      <c r="S536" s="17"/>
      <c r="T536" s="17"/>
      <c r="U536" s="17"/>
      <c r="V536" s="17"/>
      <c r="W536" s="59"/>
      <c r="X536" s="17"/>
      <c r="Y536" s="17"/>
      <c r="Z536" s="59"/>
      <c r="AA536" s="17"/>
      <c r="AB536" s="59"/>
      <c r="AC536" s="59"/>
      <c r="AD536" s="59"/>
      <c r="AE536" s="59"/>
      <c r="AF536" s="17"/>
      <c r="AG536" s="17"/>
      <c r="AH536" s="101"/>
      <c r="AI536" s="59"/>
      <c r="AJ536" s="17"/>
      <c r="AK536" s="101"/>
      <c r="AL536" s="101"/>
      <c r="AM536" s="99"/>
      <c r="AN536" s="101"/>
      <c r="AO536" s="101"/>
      <c r="AP536" s="59"/>
      <c r="AQ536" s="101"/>
      <c r="AR536">
        <f>F536 +G536</f>
        <v>0</v>
      </c>
    </row>
    <row r="537" spans="1:44" x14ac:dyDescent="0.25">
      <c r="A537" t="str">
        <f>B537 &amp; " - " &amp;E537</f>
        <v xml:space="preserve"> - </v>
      </c>
      <c r="C537" t="str">
        <f ca="1">IFERROR(VLOOKUP(INDEX(OFFSET(_JOUEURS,0,0,,1),MATCH(A537,OFFSET(_JOUEURS,0,1,,1),0)),_MPG,2,FALSE),"")</f>
        <v/>
      </c>
      <c r="D537" s="52"/>
      <c r="E537" s="69"/>
      <c r="F537" s="180"/>
      <c r="G537" s="181"/>
      <c r="H537" s="110"/>
      <c r="I537" s="138"/>
      <c r="J537" s="124"/>
      <c r="K537" s="17"/>
      <c r="L537" s="59"/>
      <c r="M537" s="66"/>
      <c r="N537" s="59"/>
      <c r="O537" s="59"/>
      <c r="P537" s="101"/>
      <c r="Q537" s="59"/>
      <c r="R537" s="17"/>
      <c r="S537" s="17"/>
      <c r="T537" s="17"/>
      <c r="U537" s="17"/>
      <c r="V537" s="17"/>
      <c r="W537" s="59"/>
      <c r="X537" s="17"/>
      <c r="Y537" s="17"/>
      <c r="Z537" s="59"/>
      <c r="AA537" s="17"/>
      <c r="AB537" s="17"/>
      <c r="AC537" s="17"/>
      <c r="AD537" s="59"/>
      <c r="AE537" s="17"/>
      <c r="AF537" s="17"/>
      <c r="AG537" s="17"/>
      <c r="AH537" s="101"/>
      <c r="AI537" s="17"/>
      <c r="AJ537" s="17"/>
      <c r="AK537" s="101"/>
      <c r="AL537" s="99"/>
      <c r="AM537" s="99"/>
      <c r="AN537" s="101"/>
      <c r="AO537" s="99"/>
      <c r="AP537" s="59"/>
      <c r="AQ537" s="99"/>
      <c r="AR537">
        <f>F537 +G537</f>
        <v>0</v>
      </c>
    </row>
    <row r="538" spans="1:44" x14ac:dyDescent="0.25">
      <c r="A538" t="str">
        <f>B538 &amp; " - " &amp;E538</f>
        <v xml:space="preserve"> - </v>
      </c>
      <c r="C538" t="str">
        <f ca="1">IFERROR(VLOOKUP(INDEX(OFFSET(_JOUEURS,0,0,,1),MATCH(A538,OFFSET(_JOUEURS,0,1,,1),0)),_MPG,2,FALSE),"")</f>
        <v/>
      </c>
      <c r="D538" s="23"/>
      <c r="E538" s="29"/>
      <c r="F538" s="149"/>
      <c r="G538" s="150"/>
      <c r="H538" s="61"/>
      <c r="I538" s="135"/>
      <c r="J538" s="124"/>
      <c r="K538" s="114"/>
      <c r="L538" s="59"/>
      <c r="M538" s="17"/>
      <c r="N538" s="59"/>
      <c r="O538" s="59"/>
      <c r="P538" s="101"/>
      <c r="Q538" s="59"/>
      <c r="R538" s="17"/>
      <c r="S538" s="17"/>
      <c r="T538" s="17"/>
      <c r="U538" s="17"/>
      <c r="V538" s="17"/>
      <c r="W538" s="59"/>
      <c r="X538" s="17"/>
      <c r="Y538" s="17"/>
      <c r="Z538" s="59"/>
      <c r="AA538" s="17"/>
      <c r="AB538" s="17"/>
      <c r="AC538" s="17"/>
      <c r="AD538" s="59"/>
      <c r="AE538" s="17"/>
      <c r="AF538" s="17"/>
      <c r="AG538" s="17"/>
      <c r="AH538" s="101"/>
      <c r="AI538" s="17"/>
      <c r="AJ538" s="17"/>
      <c r="AK538" s="101"/>
      <c r="AL538" s="99"/>
      <c r="AM538" s="99"/>
      <c r="AN538" s="101"/>
      <c r="AO538" s="99"/>
      <c r="AP538" s="59"/>
      <c r="AQ538" s="101"/>
      <c r="AR538">
        <f>F538 +G538</f>
        <v>0</v>
      </c>
    </row>
    <row r="539" spans="1:44" x14ac:dyDescent="0.25">
      <c r="A539" t="str">
        <f>B539 &amp; " - " &amp;E539</f>
        <v xml:space="preserve"> - </v>
      </c>
      <c r="C539" t="str">
        <f ca="1">IFERROR(VLOOKUP(INDEX(OFFSET(_JOUEURS,0,0,,1),MATCH(A539,OFFSET(_JOUEURS,0,1,,1),0)),_MPG,2,FALSE),"")</f>
        <v/>
      </c>
      <c r="D539" s="23"/>
      <c r="E539" s="29"/>
      <c r="F539" s="149"/>
      <c r="G539" s="150"/>
      <c r="H539" s="61"/>
      <c r="I539" s="135"/>
      <c r="J539" s="124"/>
      <c r="K539" s="114"/>
      <c r="L539" s="59"/>
      <c r="M539" s="18"/>
      <c r="N539" s="59"/>
      <c r="O539" s="59"/>
      <c r="P539" s="99"/>
      <c r="Q539" s="59"/>
      <c r="R539" s="59"/>
      <c r="S539" s="17"/>
      <c r="T539" s="59"/>
      <c r="U539" s="17"/>
      <c r="V539" s="17"/>
      <c r="W539" s="59"/>
      <c r="X539" s="17"/>
      <c r="Y539" s="17"/>
      <c r="Z539" s="59"/>
      <c r="AA539" s="59"/>
      <c r="AB539" s="17"/>
      <c r="AC539" s="17"/>
      <c r="AD539" s="59"/>
      <c r="AE539" s="17"/>
      <c r="AF539" s="17"/>
      <c r="AG539" s="17"/>
      <c r="AH539" s="101"/>
      <c r="AI539" s="17"/>
      <c r="AJ539" s="17"/>
      <c r="AK539" s="101"/>
      <c r="AL539" s="101"/>
      <c r="AM539" s="99"/>
      <c r="AN539" s="99"/>
      <c r="AO539" s="101"/>
      <c r="AP539" s="59"/>
      <c r="AQ539" s="101"/>
      <c r="AR539">
        <f>F539 +G539</f>
        <v>0</v>
      </c>
    </row>
    <row r="540" spans="1:44" x14ac:dyDescent="0.25">
      <c r="A540" t="str">
        <f>B540 &amp; " - " &amp;E540</f>
        <v xml:space="preserve"> - </v>
      </c>
      <c r="C540" t="str">
        <f ca="1">IFERROR(VLOOKUP(INDEX(OFFSET(_JOUEURS,0,0,,1),MATCH(A540,OFFSET(_JOUEURS,0,1,,1),0)),_MPG,2,FALSE),"")</f>
        <v/>
      </c>
      <c r="D540" s="23"/>
      <c r="E540" s="29"/>
      <c r="F540" s="149"/>
      <c r="G540" s="150"/>
      <c r="H540" s="61"/>
      <c r="I540" s="135"/>
      <c r="J540" s="124"/>
      <c r="K540" s="99"/>
      <c r="L540" s="99"/>
      <c r="M540" s="59"/>
      <c r="N540" s="59"/>
      <c r="O540" s="59"/>
      <c r="P540" s="101"/>
      <c r="Q540" s="59"/>
      <c r="R540" s="17"/>
      <c r="S540" s="17"/>
      <c r="T540" s="17"/>
      <c r="U540" s="17"/>
      <c r="V540" s="17"/>
      <c r="W540" s="59"/>
      <c r="X540" s="17"/>
      <c r="Y540" s="17"/>
      <c r="Z540" s="59"/>
      <c r="AA540" s="17"/>
      <c r="AB540" s="59"/>
      <c r="AC540" s="17"/>
      <c r="AD540" s="59"/>
      <c r="AE540" s="17"/>
      <c r="AF540" s="17"/>
      <c r="AG540" s="17"/>
      <c r="AH540" s="101"/>
      <c r="AI540" s="17"/>
      <c r="AJ540" s="17"/>
      <c r="AK540" s="101"/>
      <c r="AL540" s="101"/>
      <c r="AM540" s="99"/>
      <c r="AN540" s="101"/>
      <c r="AO540" s="99"/>
      <c r="AP540" s="59"/>
      <c r="AQ540" s="101"/>
      <c r="AR540">
        <f>F540 +G540</f>
        <v>0</v>
      </c>
    </row>
    <row r="541" spans="1:44" x14ac:dyDescent="0.25">
      <c r="A541" t="str">
        <f>B541 &amp; " - " &amp;E541</f>
        <v xml:space="preserve"> - </v>
      </c>
      <c r="C541" t="str">
        <f ca="1">IFERROR(VLOOKUP(INDEX(OFFSET(_JOUEURS,0,0,,1),MATCH(A541,OFFSET(_JOUEURS,0,1,,1),0)),_MPG,2,FALSE),"")</f>
        <v/>
      </c>
      <c r="D541" s="23"/>
      <c r="E541" s="50"/>
      <c r="F541" s="149"/>
      <c r="G541" s="150"/>
      <c r="H541" s="61"/>
      <c r="I541" s="135"/>
      <c r="J541" s="124"/>
      <c r="K541" s="28"/>
      <c r="L541" s="59"/>
      <c r="M541" s="59"/>
      <c r="N541" s="59"/>
      <c r="O541" s="59"/>
      <c r="P541" s="101"/>
      <c r="Q541" s="59"/>
      <c r="R541" s="17"/>
      <c r="S541" s="17"/>
      <c r="T541" s="59"/>
      <c r="U541" s="17"/>
      <c r="V541" s="17"/>
      <c r="W541" s="59"/>
      <c r="X541" s="17"/>
      <c r="Y541" s="59"/>
      <c r="Z541" s="59"/>
      <c r="AA541" s="17"/>
      <c r="AB541" s="17"/>
      <c r="AC541" s="17"/>
      <c r="AD541" s="59"/>
      <c r="AE541" s="17"/>
      <c r="AF541" s="17"/>
      <c r="AG541" s="17"/>
      <c r="AH541" s="101"/>
      <c r="AI541" s="17"/>
      <c r="AJ541" s="59"/>
      <c r="AK541" s="101"/>
      <c r="AL541" s="99"/>
      <c r="AM541" s="99"/>
      <c r="AN541" s="101"/>
      <c r="AO541" s="101"/>
      <c r="AP541" s="59"/>
      <c r="AQ541" s="99"/>
      <c r="AR541">
        <f>F541 +G541</f>
        <v>0</v>
      </c>
    </row>
    <row r="542" spans="1:44" x14ac:dyDescent="0.25">
      <c r="A542" t="str">
        <f>B542 &amp; " - " &amp;E542</f>
        <v xml:space="preserve"> - </v>
      </c>
      <c r="C542" t="str">
        <f ca="1">IFERROR(VLOOKUP(INDEX(OFFSET(_JOUEURS,0,0,,1),MATCH(A542,OFFSET(_JOUEURS,0,1,,1),0)),_MPG,2,FALSE),"")</f>
        <v/>
      </c>
      <c r="D542" s="23"/>
      <c r="E542" s="29"/>
      <c r="F542" s="149"/>
      <c r="G542" s="150"/>
      <c r="H542" s="61"/>
      <c r="I542" s="135"/>
      <c r="J542" s="124"/>
      <c r="K542" s="145"/>
      <c r="L542" s="59"/>
      <c r="M542" s="59"/>
      <c r="N542" s="59"/>
      <c r="O542" s="59"/>
      <c r="P542" s="99"/>
      <c r="Q542" s="59"/>
      <c r="R542" s="59"/>
      <c r="S542" s="59"/>
      <c r="T542" s="17"/>
      <c r="U542" s="17"/>
      <c r="V542" s="17"/>
      <c r="W542" s="59"/>
      <c r="X542" s="59"/>
      <c r="Y542" s="59"/>
      <c r="Z542" s="59"/>
      <c r="AA542" s="59"/>
      <c r="AB542" s="59"/>
      <c r="AC542" s="17"/>
      <c r="AD542" s="59"/>
      <c r="AE542" s="17"/>
      <c r="AF542" s="59"/>
      <c r="AG542" s="59"/>
      <c r="AH542" s="101"/>
      <c r="AI542" s="59"/>
      <c r="AJ542" s="17"/>
      <c r="AK542" s="101"/>
      <c r="AL542" s="99"/>
      <c r="AM542" s="99"/>
      <c r="AN542" s="99"/>
      <c r="AO542" s="99"/>
      <c r="AP542" s="59"/>
      <c r="AQ542" s="101"/>
      <c r="AR542">
        <f>F542 +G542</f>
        <v>0</v>
      </c>
    </row>
    <row r="543" spans="1:44" x14ac:dyDescent="0.25">
      <c r="A543" t="str">
        <f>B543 &amp; " - " &amp;E543</f>
        <v xml:space="preserve"> - </v>
      </c>
      <c r="C543" t="str">
        <f ca="1">IFERROR(VLOOKUP(INDEX(OFFSET(_JOUEURS,0,0,,1),MATCH(A543,OFFSET(_JOUEURS,0,1,,1),0)),_MPG,2,FALSE),"")</f>
        <v/>
      </c>
      <c r="D543" s="23"/>
      <c r="E543" s="50"/>
      <c r="F543" s="149"/>
      <c r="G543" s="150"/>
      <c r="H543" s="61"/>
      <c r="I543" s="135"/>
      <c r="J543" s="70"/>
      <c r="K543" s="28"/>
      <c r="L543" s="28"/>
      <c r="M543" s="59"/>
      <c r="N543" s="59"/>
      <c r="O543" s="59"/>
      <c r="P543" s="99"/>
      <c r="Q543" s="59"/>
      <c r="R543" s="59"/>
      <c r="S543" s="59"/>
      <c r="T543" s="17"/>
      <c r="U543" s="17"/>
      <c r="V543" s="17"/>
      <c r="W543" s="59"/>
      <c r="X543" s="59"/>
      <c r="Y543" s="59"/>
      <c r="Z543" s="59"/>
      <c r="AA543" s="59"/>
      <c r="AB543" s="59"/>
      <c r="AC543" s="17"/>
      <c r="AD543" s="59"/>
      <c r="AE543" s="17"/>
      <c r="AF543" s="59"/>
      <c r="AG543" s="59"/>
      <c r="AH543" s="101"/>
      <c r="AI543" s="59"/>
      <c r="AJ543" s="17"/>
      <c r="AK543" s="101"/>
      <c r="AL543" s="99"/>
      <c r="AM543" s="99"/>
      <c r="AN543" s="99"/>
      <c r="AO543" s="99"/>
      <c r="AP543" s="59"/>
      <c r="AQ543" s="101"/>
      <c r="AR543">
        <f>F543 +G543</f>
        <v>0</v>
      </c>
    </row>
    <row r="544" spans="1:44" x14ac:dyDescent="0.25">
      <c r="A544" t="str">
        <f>B544 &amp; " - " &amp;E544</f>
        <v xml:space="preserve"> - </v>
      </c>
      <c r="C544" t="str">
        <f ca="1">IFERROR(VLOOKUP(INDEX(OFFSET(_JOUEURS,0,0,,1),MATCH(A544,OFFSET(_JOUEURS,0,1,,1),0)),_MPG,2,FALSE),"")</f>
        <v/>
      </c>
      <c r="D544" s="23"/>
      <c r="E544" s="109"/>
      <c r="F544" s="149"/>
      <c r="G544" s="150"/>
      <c r="H544" s="61"/>
      <c r="I544" s="135"/>
      <c r="J544" s="70"/>
      <c r="K544" s="59"/>
      <c r="L544" s="59"/>
      <c r="M544" s="59"/>
      <c r="N544" s="59"/>
      <c r="O544" s="59"/>
      <c r="P544" s="99"/>
      <c r="Q544" s="59"/>
      <c r="R544" s="59"/>
      <c r="S544" s="59"/>
      <c r="T544" s="17"/>
      <c r="U544" s="17"/>
      <c r="V544" s="17"/>
      <c r="W544" s="59"/>
      <c r="X544" s="59"/>
      <c r="Y544" s="59"/>
      <c r="Z544" s="59"/>
      <c r="AA544" s="59"/>
      <c r="AB544" s="59"/>
      <c r="AC544" s="17"/>
      <c r="AD544" s="59"/>
      <c r="AE544" s="17"/>
      <c r="AF544" s="59"/>
      <c r="AG544" s="59"/>
      <c r="AH544" s="101"/>
      <c r="AI544" s="59"/>
      <c r="AJ544" s="17"/>
      <c r="AK544" s="101"/>
      <c r="AL544" s="99"/>
      <c r="AM544" s="99"/>
      <c r="AN544" s="99"/>
      <c r="AO544" s="99"/>
      <c r="AP544" s="59"/>
      <c r="AQ544" s="101"/>
      <c r="AR544">
        <f>F544 +G544</f>
        <v>0</v>
      </c>
    </row>
    <row r="545" spans="1:44" x14ac:dyDescent="0.25">
      <c r="A545" t="str">
        <f>B545 &amp; " - " &amp;E545</f>
        <v xml:space="preserve"> - </v>
      </c>
      <c r="C545" t="str">
        <f ca="1">IFERROR(VLOOKUP(INDEX(OFFSET(_JOUEURS,0,0,,1),MATCH(A545,OFFSET(_JOUEURS,0,1,,1),0)),_MPG,2,FALSE),"")</f>
        <v/>
      </c>
      <c r="D545" s="30"/>
      <c r="E545" s="213"/>
      <c r="F545" s="32"/>
      <c r="G545" s="143"/>
      <c r="H545" s="31"/>
      <c r="I545" s="63"/>
      <c r="J545" s="157"/>
      <c r="K545" s="40"/>
      <c r="L545" s="46"/>
      <c r="M545" s="44"/>
      <c r="N545" s="46"/>
      <c r="O545" s="46"/>
      <c r="P545" s="48"/>
      <c r="Q545" s="46"/>
      <c r="R545" s="40"/>
      <c r="S545" s="40"/>
      <c r="T545" s="40"/>
      <c r="U545" s="40"/>
      <c r="V545" s="40"/>
      <c r="W545" s="46"/>
      <c r="X545" s="40"/>
      <c r="Y545" s="40"/>
      <c r="Z545" s="46"/>
      <c r="AA545" s="40"/>
      <c r="AB545" s="40"/>
      <c r="AC545" s="40"/>
      <c r="AD545" s="46"/>
      <c r="AE545" s="40"/>
      <c r="AF545" s="40"/>
      <c r="AG545" s="40"/>
      <c r="AH545" s="48"/>
      <c r="AI545" s="40"/>
      <c r="AJ545" s="40"/>
      <c r="AK545" s="48"/>
      <c r="AL545" s="48"/>
      <c r="AM545" s="47"/>
      <c r="AN545" s="48"/>
      <c r="AO545" s="48"/>
      <c r="AP545" s="46"/>
      <c r="AQ545" s="48"/>
      <c r="AR545">
        <f>F545 +G545</f>
        <v>0</v>
      </c>
    </row>
    <row r="546" spans="1:44" x14ac:dyDescent="0.25">
      <c r="A546" t="str">
        <f>B546 &amp; " - " &amp;E546</f>
        <v xml:space="preserve"> - </v>
      </c>
      <c r="C546" t="str">
        <f ca="1">IFERROR(VLOOKUP(INDEX(OFFSET(_JOUEURS,0,0,,1),MATCH(A546,OFFSET(_JOUEURS,0,1,,1),0)),_MPG,2,FALSE),"")</f>
        <v/>
      </c>
      <c r="D546" s="23"/>
      <c r="E546" s="24"/>
      <c r="F546" s="25"/>
      <c r="G546" s="77"/>
      <c r="H546" s="56"/>
      <c r="I546" s="94"/>
      <c r="J546" s="126"/>
      <c r="K546" s="18"/>
      <c r="L546" s="28"/>
      <c r="M546" s="18"/>
      <c r="N546" s="28"/>
      <c r="O546" s="28"/>
      <c r="P546" s="21"/>
      <c r="Q546" s="28"/>
      <c r="R546" s="18"/>
      <c r="S546" s="17"/>
      <c r="T546" s="18"/>
      <c r="U546" s="18"/>
      <c r="V546" s="18"/>
      <c r="W546" s="28"/>
      <c r="X546" s="18"/>
      <c r="Y546" s="18"/>
      <c r="Z546" s="28"/>
      <c r="AA546" s="18"/>
      <c r="AB546" s="18"/>
      <c r="AC546" s="18"/>
      <c r="AD546" s="28"/>
      <c r="AE546" s="18"/>
      <c r="AF546" s="18"/>
      <c r="AG546" s="65"/>
      <c r="AH546" s="21"/>
      <c r="AI546" s="18"/>
      <c r="AJ546" s="18"/>
      <c r="AK546" s="21"/>
      <c r="AL546" s="21"/>
      <c r="AM546" s="20"/>
      <c r="AN546" s="21"/>
      <c r="AO546" s="21"/>
      <c r="AP546" s="28"/>
      <c r="AQ546" s="21"/>
      <c r="AR546">
        <f>F546 +G546</f>
        <v>0</v>
      </c>
    </row>
    <row r="547" spans="1:44" x14ac:dyDescent="0.25">
      <c r="A547" t="str">
        <f>B547 &amp; " - " &amp;E547</f>
        <v xml:space="preserve"> - </v>
      </c>
      <c r="C547" t="str">
        <f ca="1">IFERROR(VLOOKUP(INDEX(OFFSET(_JOUEURS,0,0,,1),MATCH(A547,OFFSET(_JOUEURS,0,1,,1),0)),_MPG,2,FALSE),"")</f>
        <v/>
      </c>
      <c r="D547" s="37"/>
      <c r="E547" s="38"/>
      <c r="F547" s="39"/>
      <c r="G547" s="48"/>
      <c r="H547" s="103"/>
      <c r="I547" s="63"/>
      <c r="J547" s="157"/>
      <c r="K547" s="40"/>
      <c r="L547" s="46"/>
      <c r="M547" s="40"/>
      <c r="N547" s="46"/>
      <c r="O547" s="46"/>
      <c r="P547" s="48"/>
      <c r="Q547" s="46"/>
      <c r="R547" s="40"/>
      <c r="S547" s="40"/>
      <c r="T547" s="40"/>
      <c r="U547" s="40"/>
      <c r="V547" s="40"/>
      <c r="W547" s="46"/>
      <c r="X547" s="40"/>
      <c r="Y547" s="40"/>
      <c r="Z547" s="46"/>
      <c r="AA547" s="40"/>
      <c r="AB547" s="44"/>
      <c r="AC547" s="40"/>
      <c r="AD547" s="46"/>
      <c r="AE547" s="40"/>
      <c r="AF547" s="40"/>
      <c r="AG547" s="40"/>
      <c r="AH547" s="48"/>
      <c r="AI547" s="40"/>
      <c r="AJ547" s="40"/>
      <c r="AK547" s="48"/>
      <c r="AL547" s="48"/>
      <c r="AM547" s="47"/>
      <c r="AN547" s="48"/>
      <c r="AO547" s="48"/>
      <c r="AP547" s="46"/>
      <c r="AQ547" s="48"/>
      <c r="AR547">
        <f>F547 +G547</f>
        <v>0</v>
      </c>
    </row>
    <row r="548" spans="1:44" x14ac:dyDescent="0.25">
      <c r="A548" t="str">
        <f>B548 &amp; " - " &amp;E548</f>
        <v xml:space="preserve"> - </v>
      </c>
      <c r="C548" t="str">
        <f ca="1">IFERROR(VLOOKUP(INDEX(OFFSET(_JOUEURS,0,0,,1),MATCH(A548,OFFSET(_JOUEURS,0,1,,1),0)),_MPG,2,FALSE),"")</f>
        <v/>
      </c>
      <c r="D548" s="23"/>
      <c r="E548" s="109"/>
      <c r="F548" s="25"/>
      <c r="G548" s="77"/>
      <c r="H548" s="56"/>
      <c r="I548" s="27"/>
      <c r="J548" s="124"/>
      <c r="K548" s="18"/>
      <c r="L548" s="28"/>
      <c r="M548" s="18"/>
      <c r="N548" s="28"/>
      <c r="O548" s="28"/>
      <c r="P548" s="21"/>
      <c r="Q548" s="28"/>
      <c r="R548" s="18"/>
      <c r="S548" s="17"/>
      <c r="T548" s="18"/>
      <c r="U548" s="18"/>
      <c r="V548" s="28"/>
      <c r="W548" s="28"/>
      <c r="X548" s="18"/>
      <c r="Y548" s="18"/>
      <c r="Z548" s="28"/>
      <c r="AA548" s="18"/>
      <c r="AB548" s="18"/>
      <c r="AC548" s="18"/>
      <c r="AD548" s="28"/>
      <c r="AE548" s="18"/>
      <c r="AF548" s="18"/>
      <c r="AG548" s="18"/>
      <c r="AH548" s="21"/>
      <c r="AI548" s="18"/>
      <c r="AJ548" s="18"/>
      <c r="AK548" s="21"/>
      <c r="AL548" s="21"/>
      <c r="AM548" s="156"/>
      <c r="AN548" s="21"/>
      <c r="AO548" s="21"/>
      <c r="AP548" s="28"/>
      <c r="AQ548" s="21"/>
      <c r="AR548">
        <f>F548 +G548</f>
        <v>0</v>
      </c>
    </row>
    <row r="549" spans="1:44" x14ac:dyDescent="0.25">
      <c r="A549" t="str">
        <f>B549 &amp; " - " &amp;E549</f>
        <v xml:space="preserve"> - </v>
      </c>
      <c r="C549" t="str">
        <f ca="1">IFERROR(VLOOKUP(INDEX(OFFSET(_JOUEURS,0,0,,1),MATCH(A549,OFFSET(_JOUEURS,0,1,,1),0)),_MPG,2,FALSE),"")</f>
        <v/>
      </c>
      <c r="D549" s="23"/>
      <c r="E549" s="50"/>
      <c r="F549" s="25"/>
      <c r="G549" s="77"/>
      <c r="H549" s="56"/>
      <c r="I549" s="27"/>
      <c r="J549" s="124"/>
      <c r="K549" s="59"/>
      <c r="L549" s="59"/>
      <c r="M549" s="18"/>
      <c r="N549" s="28"/>
      <c r="O549" s="28"/>
      <c r="P549" s="21"/>
      <c r="Q549" s="28"/>
      <c r="R549" s="18"/>
      <c r="S549" s="17"/>
      <c r="T549" s="18"/>
      <c r="U549" s="18"/>
      <c r="V549" s="18"/>
      <c r="W549" s="28"/>
      <c r="X549" s="18"/>
      <c r="Y549" s="18"/>
      <c r="Z549" s="28"/>
      <c r="AA549" s="18"/>
      <c r="AB549" s="18"/>
      <c r="AC549" s="18"/>
      <c r="AD549" s="28"/>
      <c r="AE549" s="16"/>
      <c r="AF549" s="18"/>
      <c r="AG549" s="18"/>
      <c r="AH549" s="21"/>
      <c r="AI549" s="18"/>
      <c r="AJ549" s="18"/>
      <c r="AK549" s="21"/>
      <c r="AL549" s="21"/>
      <c r="AM549" s="20"/>
      <c r="AN549" s="21"/>
      <c r="AO549" s="21"/>
      <c r="AP549" s="28"/>
      <c r="AQ549" s="21"/>
      <c r="AR549">
        <f>F549 +G549</f>
        <v>0</v>
      </c>
    </row>
    <row r="550" spans="1:44" x14ac:dyDescent="0.25">
      <c r="A550" t="str">
        <f>B550 &amp; " - " &amp;E550</f>
        <v xml:space="preserve"> - </v>
      </c>
      <c r="C550" t="str">
        <f ca="1">IFERROR(VLOOKUP(INDEX(OFFSET(_JOUEURS,0,0,,1),MATCH(A550,OFFSET(_JOUEURS,0,1,,1),0)),_MPG,2,FALSE),"")</f>
        <v/>
      </c>
      <c r="D550" s="30"/>
      <c r="E550" s="142"/>
      <c r="F550" s="32"/>
      <c r="G550" s="143"/>
      <c r="H550" s="31"/>
      <c r="I550" s="160"/>
      <c r="J550" s="107"/>
      <c r="K550" s="40"/>
      <c r="L550" s="46"/>
      <c r="M550" s="40"/>
      <c r="N550" s="46"/>
      <c r="O550" s="46"/>
      <c r="P550" s="48"/>
      <c r="Q550" s="46"/>
      <c r="R550" s="40"/>
      <c r="S550" s="40"/>
      <c r="T550" s="40"/>
      <c r="U550" s="40"/>
      <c r="V550" s="40"/>
      <c r="W550" s="46"/>
      <c r="X550" s="40"/>
      <c r="Y550" s="40"/>
      <c r="Z550" s="46"/>
      <c r="AA550" s="40"/>
      <c r="AB550" s="40"/>
      <c r="AC550" s="33"/>
      <c r="AD550" s="64"/>
      <c r="AE550" s="33"/>
      <c r="AF550" s="33"/>
      <c r="AG550" s="33"/>
      <c r="AH550" s="34"/>
      <c r="AI550" s="33"/>
      <c r="AJ550" s="33"/>
      <c r="AK550" s="42"/>
      <c r="AL550" s="34"/>
      <c r="AM550" s="42"/>
      <c r="AN550" s="34"/>
      <c r="AO550" s="42"/>
      <c r="AP550" s="41"/>
      <c r="AQ550" s="34"/>
      <c r="AR550">
        <f>F550 +G550</f>
        <v>0</v>
      </c>
    </row>
    <row r="551" spans="1:44" x14ac:dyDescent="0.25">
      <c r="A551" t="str">
        <f>B551 &amp; " - " &amp;E551</f>
        <v xml:space="preserve"> - </v>
      </c>
      <c r="C551" t="str">
        <f ca="1">IFERROR(VLOOKUP(INDEX(OFFSET(_JOUEURS,0,0,,1),MATCH(A551,OFFSET(_JOUEURS,0,1,,1),0)),_MPG,2,FALSE),"")</f>
        <v/>
      </c>
      <c r="D551" s="23"/>
      <c r="E551" s="36"/>
      <c r="F551" s="25"/>
      <c r="G551" s="77"/>
      <c r="H551" s="56"/>
      <c r="I551" s="27"/>
      <c r="J551" s="124"/>
      <c r="K551" s="18"/>
      <c r="L551" s="28"/>
      <c r="M551" s="18"/>
      <c r="N551" s="121"/>
      <c r="O551" s="28"/>
      <c r="P551" s="21"/>
      <c r="Q551" s="28"/>
      <c r="R551" s="18"/>
      <c r="S551" s="17"/>
      <c r="T551" s="18"/>
      <c r="U551" s="18"/>
      <c r="V551" s="18"/>
      <c r="W551" s="28"/>
      <c r="X551" s="18"/>
      <c r="Y551" s="16"/>
      <c r="Z551" s="28"/>
      <c r="AA551" s="18"/>
      <c r="AB551" s="18"/>
      <c r="AC551" s="18"/>
      <c r="AD551" s="60"/>
      <c r="AE551" s="18"/>
      <c r="AF551" s="18"/>
      <c r="AG551" s="65"/>
      <c r="AH551" s="21"/>
      <c r="AI551" s="59"/>
      <c r="AJ551" s="18"/>
      <c r="AK551" s="20"/>
      <c r="AL551" s="21"/>
      <c r="AM551" s="20"/>
      <c r="AN551" s="21"/>
      <c r="AO551" s="20"/>
      <c r="AP551" s="28"/>
      <c r="AQ551" s="21"/>
      <c r="AR551">
        <f>F551 +G551</f>
        <v>0</v>
      </c>
    </row>
    <row r="552" spans="1:44" x14ac:dyDescent="0.25">
      <c r="A552" t="str">
        <f>B552 &amp; " - " &amp;E552</f>
        <v xml:space="preserve"> - </v>
      </c>
      <c r="C552" t="str">
        <f ca="1">IFERROR(VLOOKUP(INDEX(OFFSET(_JOUEURS,0,0,,1),MATCH(A552,OFFSET(_JOUEURS,0,1,,1),0)),_MPG,2,FALSE),"")</f>
        <v/>
      </c>
      <c r="D552" s="23"/>
      <c r="E552" s="90"/>
      <c r="F552" s="25"/>
      <c r="G552" s="77"/>
      <c r="H552" s="56"/>
      <c r="I552" s="27"/>
      <c r="J552" s="124"/>
      <c r="K552" s="18"/>
      <c r="L552" s="28"/>
      <c r="M552" s="18"/>
      <c r="N552" s="28"/>
      <c r="O552" s="28"/>
      <c r="P552" s="21"/>
      <c r="Q552" s="28"/>
      <c r="R552" s="18"/>
      <c r="S552" s="17"/>
      <c r="T552" s="59"/>
      <c r="U552" s="18"/>
      <c r="V552" s="18"/>
      <c r="W552" s="28"/>
      <c r="X552" s="18"/>
      <c r="Y552" s="16"/>
      <c r="Z552" s="28"/>
      <c r="AA552" s="18"/>
      <c r="AB552" s="51"/>
      <c r="AC552" s="65"/>
      <c r="AD552" s="145"/>
      <c r="AE552" s="51"/>
      <c r="AF552" s="18"/>
      <c r="AG552" s="65"/>
      <c r="AH552" s="21"/>
      <c r="AI552" s="18"/>
      <c r="AJ552" s="18"/>
      <c r="AK552" s="20"/>
      <c r="AL552" s="21"/>
      <c r="AM552" s="156"/>
      <c r="AN552" s="21"/>
      <c r="AO552" s="20"/>
      <c r="AP552" s="28"/>
      <c r="AQ552" s="21"/>
      <c r="AR552">
        <f>F552 +G552</f>
        <v>0</v>
      </c>
    </row>
    <row r="553" spans="1:44" x14ac:dyDescent="0.25">
      <c r="A553" t="str">
        <f>B553 &amp; " - " &amp;E553</f>
        <v xml:space="preserve"> - </v>
      </c>
      <c r="C553" t="str">
        <f ca="1">IFERROR(VLOOKUP(INDEX(OFFSET(_JOUEURS,0,0,,1),MATCH(A553,OFFSET(_JOUEURS,0,1,,1),0)),_MPG,2,FALSE),"")</f>
        <v/>
      </c>
      <c r="D553" s="23"/>
      <c r="E553" s="36"/>
      <c r="F553" s="25"/>
      <c r="G553" s="77"/>
      <c r="H553" s="56"/>
      <c r="I553" s="27"/>
      <c r="J553" s="124"/>
      <c r="K553" s="18"/>
      <c r="L553" s="28"/>
      <c r="M553" s="18"/>
      <c r="N553" s="28"/>
      <c r="O553" s="28"/>
      <c r="P553" s="21"/>
      <c r="Q553" s="28"/>
      <c r="R553" s="18"/>
      <c r="S553" s="17"/>
      <c r="T553" s="18"/>
      <c r="U553" s="18"/>
      <c r="V553" s="18"/>
      <c r="W553" s="28"/>
      <c r="X553" s="28"/>
      <c r="Y553" s="17"/>
      <c r="Z553" s="28"/>
      <c r="AA553" s="18"/>
      <c r="AB553" s="18"/>
      <c r="AC553" s="65"/>
      <c r="AD553" s="145"/>
      <c r="AE553" s="18"/>
      <c r="AF553" s="18"/>
      <c r="AG553" s="18"/>
      <c r="AH553" s="21"/>
      <c r="AI553" s="18"/>
      <c r="AJ553" s="18"/>
      <c r="AK553" s="20"/>
      <c r="AL553" s="21"/>
      <c r="AM553" s="156"/>
      <c r="AN553" s="21"/>
      <c r="AO553" s="20"/>
      <c r="AP553" s="28"/>
      <c r="AQ553" s="20"/>
      <c r="AR553">
        <f>F553 +G553</f>
        <v>0</v>
      </c>
    </row>
    <row r="554" spans="1:44" x14ac:dyDescent="0.25">
      <c r="A554" t="str">
        <f>B554 &amp; " - " &amp;E554</f>
        <v xml:space="preserve"> - </v>
      </c>
      <c r="C554" t="str">
        <f ca="1">IFERROR(VLOOKUP(INDEX(OFFSET(_JOUEURS,0,0,,1),MATCH(A554,OFFSET(_JOUEURS,0,1,,1),0)),_MPG,2,FALSE),"")</f>
        <v/>
      </c>
      <c r="D554" s="23"/>
      <c r="E554" s="36"/>
      <c r="F554" s="25"/>
      <c r="G554" s="77"/>
      <c r="H554" s="56"/>
      <c r="I554" s="27"/>
      <c r="J554" s="124"/>
      <c r="K554" s="18"/>
      <c r="L554" s="28"/>
      <c r="M554" s="18"/>
      <c r="N554" s="28"/>
      <c r="O554" s="28"/>
      <c r="P554" s="21"/>
      <c r="Q554" s="28"/>
      <c r="R554" s="18"/>
      <c r="S554" s="17"/>
      <c r="T554" s="18"/>
      <c r="U554" s="18"/>
      <c r="V554" s="18"/>
      <c r="W554" s="28"/>
      <c r="X554" s="18"/>
      <c r="Y554" s="17"/>
      <c r="Z554" s="28"/>
      <c r="AA554" s="18"/>
      <c r="AB554" s="18"/>
      <c r="AC554" s="18"/>
      <c r="AD554" s="60"/>
      <c r="AE554" s="18"/>
      <c r="AF554" s="18"/>
      <c r="AG554" s="18"/>
      <c r="AH554" s="21"/>
      <c r="AI554" s="18"/>
      <c r="AJ554" s="18"/>
      <c r="AK554" s="20"/>
      <c r="AL554" s="21"/>
      <c r="AM554" s="20"/>
      <c r="AN554" s="21"/>
      <c r="AO554" s="20"/>
      <c r="AP554" s="28"/>
      <c r="AQ554" s="21"/>
      <c r="AR554">
        <f>F554 +G554</f>
        <v>0</v>
      </c>
    </row>
    <row r="555" spans="1:44" x14ac:dyDescent="0.25">
      <c r="A555" t="str">
        <f>B555 &amp; " - " &amp;E555</f>
        <v xml:space="preserve"> - </v>
      </c>
      <c r="C555" t="str">
        <f ca="1">IFERROR(VLOOKUP(INDEX(OFFSET(_JOUEURS,0,0,,1),MATCH(A555,OFFSET(_JOUEURS,0,1,,1),0)),_MPG,2,FALSE),"")</f>
        <v/>
      </c>
      <c r="D555" s="23"/>
      <c r="E555" s="90"/>
      <c r="F555" s="25"/>
      <c r="G555" s="77"/>
      <c r="H555" s="56"/>
      <c r="I555" s="27"/>
      <c r="J555" s="124"/>
      <c r="K555" s="18"/>
      <c r="L555" s="28"/>
      <c r="M555" s="18"/>
      <c r="N555" s="28"/>
      <c r="O555" s="28"/>
      <c r="P555" s="21"/>
      <c r="Q555" s="28"/>
      <c r="R555" s="18"/>
      <c r="S555" s="17"/>
      <c r="T555" s="18"/>
      <c r="U555" s="18"/>
      <c r="V555" s="18"/>
      <c r="W555" s="28"/>
      <c r="X555" s="18"/>
      <c r="Y555" s="17"/>
      <c r="Z555" s="28"/>
      <c r="AA555" s="18"/>
      <c r="AB555" s="18"/>
      <c r="AC555" s="18"/>
      <c r="AD555" s="60"/>
      <c r="AE555" s="51"/>
      <c r="AF555" s="18"/>
      <c r="AG555" s="65"/>
      <c r="AH555" s="21"/>
      <c r="AI555" s="18"/>
      <c r="AJ555" s="18"/>
      <c r="AK555" s="20"/>
      <c r="AL555" s="21"/>
      <c r="AM555" s="20"/>
      <c r="AN555" s="21"/>
      <c r="AO555" s="20"/>
      <c r="AP555" s="28"/>
      <c r="AQ555" s="21"/>
      <c r="AR555">
        <f>F555 +G555</f>
        <v>0</v>
      </c>
    </row>
    <row r="556" spans="1:44" x14ac:dyDescent="0.25">
      <c r="A556" t="str">
        <f>B556 &amp; " - " &amp;E556</f>
        <v xml:space="preserve"> - </v>
      </c>
      <c r="C556" t="str">
        <f ca="1">IFERROR(VLOOKUP(INDEX(OFFSET(_JOUEURS,0,0,,1),MATCH(A556,OFFSET(_JOUEURS,0,1,,1),0)),_MPG,2,FALSE),"")</f>
        <v/>
      </c>
      <c r="D556" s="23"/>
      <c r="E556" s="36"/>
      <c r="F556" s="25"/>
      <c r="G556" s="77"/>
      <c r="H556" s="56"/>
      <c r="I556" s="27"/>
      <c r="J556" s="70"/>
      <c r="K556" s="51"/>
      <c r="L556" s="59"/>
      <c r="M556" s="18"/>
      <c r="N556" s="28"/>
      <c r="O556" s="28"/>
      <c r="P556" s="21"/>
      <c r="Q556" s="28"/>
      <c r="R556" s="28"/>
      <c r="S556" s="17"/>
      <c r="T556" s="59"/>
      <c r="U556" s="18"/>
      <c r="V556" s="18"/>
      <c r="W556" s="28"/>
      <c r="X556" s="18"/>
      <c r="Y556" s="18"/>
      <c r="Z556" s="28"/>
      <c r="AA556" s="28"/>
      <c r="AB556" s="59"/>
      <c r="AC556" s="28"/>
      <c r="AD556" s="28"/>
      <c r="AE556" s="18"/>
      <c r="AF556" s="18"/>
      <c r="AG556" s="65"/>
      <c r="AH556" s="101"/>
      <c r="AI556" s="17"/>
      <c r="AJ556" s="18"/>
      <c r="AK556" s="21"/>
      <c r="AL556" s="22"/>
      <c r="AM556" s="20"/>
      <c r="AN556" s="21"/>
      <c r="AO556" s="20"/>
      <c r="AP556" s="28"/>
      <c r="AQ556" s="21"/>
      <c r="AR556">
        <f>F556 +G556</f>
        <v>0</v>
      </c>
    </row>
    <row r="557" spans="1:44" ht="15.75" thickBot="1" x14ac:dyDescent="0.3">
      <c r="A557" t="str">
        <f>B557 &amp; " - " &amp;E557</f>
        <v xml:space="preserve"> - </v>
      </c>
      <c r="C557" t="str">
        <f ca="1">IFERROR(VLOOKUP(INDEX(OFFSET(_JOUEURS,0,0,,1),MATCH(A557,OFFSET(_JOUEURS,0,1,,1),0)),_MPG,2,FALSE),"")</f>
        <v/>
      </c>
      <c r="D557" s="71"/>
      <c r="E557" s="117"/>
      <c r="F557" s="73"/>
      <c r="G557" s="91"/>
      <c r="H557" s="72"/>
      <c r="I557" s="92"/>
      <c r="J557" s="124"/>
      <c r="K557" s="18"/>
      <c r="L557" s="28"/>
      <c r="M557" s="18"/>
      <c r="N557" s="28"/>
      <c r="O557" s="28"/>
      <c r="P557" s="21"/>
      <c r="Q557" s="28"/>
      <c r="R557" s="18"/>
      <c r="S557" s="17"/>
      <c r="T557" s="18"/>
      <c r="U557" s="28"/>
      <c r="V557" s="18"/>
      <c r="W557" s="28"/>
      <c r="X557" s="28"/>
      <c r="Y557" s="18"/>
      <c r="Z557" s="28"/>
      <c r="AA557" s="28"/>
      <c r="AB557" s="59"/>
      <c r="AC557" s="28"/>
      <c r="AD557" s="28"/>
      <c r="AE557" s="16"/>
      <c r="AF557" s="16"/>
      <c r="AG557" s="59"/>
      <c r="AH557" s="99"/>
      <c r="AI557" s="16"/>
      <c r="AJ557" s="28"/>
      <c r="AK557" s="20"/>
      <c r="AL557" s="21"/>
      <c r="AM557" s="20"/>
      <c r="AN557" s="21"/>
      <c r="AO557" s="21"/>
      <c r="AP557" s="28"/>
      <c r="AQ557" s="21"/>
      <c r="AR557">
        <f>F557 +G557</f>
        <v>0</v>
      </c>
    </row>
    <row r="558" spans="1:44" x14ac:dyDescent="0.25">
      <c r="A558" t="str">
        <f>B558 &amp; " - " &amp;E558</f>
        <v xml:space="preserve"> - </v>
      </c>
      <c r="C558" t="str">
        <f ca="1">IFERROR(VLOOKUP(INDEX(OFFSET(_JOUEURS,0,0,,1),MATCH(A558,OFFSET(_JOUEURS,0,1,,1),0)),_MPG,2,FALSE),"")</f>
        <v/>
      </c>
      <c r="D558" s="24"/>
      <c r="E558" s="50"/>
      <c r="F558" s="25"/>
      <c r="G558" s="77"/>
      <c r="H558" s="56"/>
      <c r="I558" s="27"/>
      <c r="J558" s="124"/>
      <c r="K558" s="60"/>
      <c r="L558" s="28"/>
      <c r="M558" s="28"/>
      <c r="N558" s="28"/>
      <c r="O558" s="28"/>
      <c r="P558" s="21"/>
      <c r="Q558" s="28"/>
      <c r="R558" s="18"/>
      <c r="S558" s="17"/>
      <c r="T558" s="18"/>
      <c r="U558" s="18"/>
      <c r="V558" s="18"/>
      <c r="W558" s="28"/>
      <c r="X558" s="18"/>
      <c r="Y558" s="18"/>
      <c r="Z558" s="28"/>
      <c r="AA558" s="18"/>
      <c r="AB558" s="18"/>
      <c r="AC558" s="18"/>
      <c r="AD558" s="28"/>
      <c r="AE558" s="18"/>
      <c r="AF558" s="18"/>
      <c r="AG558" s="18"/>
      <c r="AH558" s="21"/>
      <c r="AI558" s="18"/>
      <c r="AJ558" s="18"/>
      <c r="AK558" s="21"/>
      <c r="AL558" s="18"/>
      <c r="AM558" s="20"/>
      <c r="AN558" s="21"/>
      <c r="AO558" s="21"/>
      <c r="AP558" s="28"/>
      <c r="AQ558" s="21"/>
      <c r="AR558">
        <f>F558 +G558</f>
        <v>0</v>
      </c>
    </row>
    <row r="559" spans="1:44" x14ac:dyDescent="0.25">
      <c r="A559" t="str">
        <f>B559 &amp; " - " &amp;E559</f>
        <v xml:space="preserve"> - </v>
      </c>
      <c r="C559" t="str">
        <f ca="1">IFERROR(VLOOKUP(INDEX(OFFSET(_JOUEURS,0,0,,1),MATCH(A559,OFFSET(_JOUEURS,0,1,,1),0)),_MPG,2,FALSE),"")</f>
        <v/>
      </c>
      <c r="D559" s="109"/>
      <c r="E559" s="50"/>
      <c r="F559" s="106"/>
      <c r="G559" s="101"/>
      <c r="H559" s="36"/>
      <c r="I559" s="27"/>
      <c r="J559" s="126"/>
      <c r="K559" s="18"/>
      <c r="L559" s="28"/>
      <c r="M559" s="18"/>
      <c r="N559" s="28"/>
      <c r="O559" s="59"/>
      <c r="P559" s="21"/>
      <c r="Q559" s="28"/>
      <c r="R559" s="18"/>
      <c r="S559" s="17"/>
      <c r="T559" s="16"/>
      <c r="U559" s="18"/>
      <c r="V559" s="16"/>
      <c r="W559" s="28"/>
      <c r="X559" s="16"/>
      <c r="Y559" s="28"/>
      <c r="Z559" s="60"/>
      <c r="AA559" s="18"/>
      <c r="AB559" s="18"/>
      <c r="AC559" s="18"/>
      <c r="AD559" s="28"/>
      <c r="AE559" s="28"/>
      <c r="AF559" s="18"/>
      <c r="AG559" s="18"/>
      <c r="AH559" s="21"/>
      <c r="AI559" s="18"/>
      <c r="AJ559" s="28"/>
      <c r="AK559" s="21"/>
      <c r="AL559" s="18"/>
      <c r="AM559" s="20"/>
      <c r="AN559" s="21"/>
      <c r="AO559" s="21"/>
      <c r="AP559" s="28"/>
      <c r="AQ559" s="21"/>
      <c r="AR559">
        <f>F559 +G559</f>
        <v>0</v>
      </c>
    </row>
    <row r="560" spans="1:44" x14ac:dyDescent="0.25">
      <c r="A560" t="str">
        <f>B560 &amp; " - " &amp;E560</f>
        <v xml:space="preserve"> - </v>
      </c>
      <c r="C560" t="str">
        <f ca="1">IFERROR(VLOOKUP(INDEX(OFFSET(_JOUEURS,0,0,,1),MATCH(A560,OFFSET(_JOUEURS,0,1,,1),0)),_MPG,2,FALSE),"")</f>
        <v/>
      </c>
      <c r="D560" s="111"/>
      <c r="E560" s="93"/>
      <c r="F560" s="137"/>
      <c r="G560" s="123"/>
      <c r="H560" s="81"/>
      <c r="I560" s="27"/>
      <c r="J560" s="124"/>
      <c r="K560" s="85"/>
      <c r="L560" s="84"/>
      <c r="M560" s="84"/>
      <c r="N560" s="59"/>
      <c r="O560" s="59"/>
      <c r="P560" s="86"/>
      <c r="Q560" s="84"/>
      <c r="R560" s="84"/>
      <c r="S560" s="59"/>
      <c r="T560" s="85"/>
      <c r="U560" s="84"/>
      <c r="V560" s="59"/>
      <c r="W560" s="84"/>
      <c r="X560" s="85"/>
      <c r="Y560" s="59"/>
      <c r="Z560" s="84"/>
      <c r="AA560" s="84"/>
      <c r="AB560" s="85"/>
      <c r="AC560" s="84"/>
      <c r="AD560" s="84"/>
      <c r="AE560" s="85"/>
      <c r="AF560" s="85"/>
      <c r="AG560" s="85"/>
      <c r="AH560" s="86"/>
      <c r="AI560" s="85"/>
      <c r="AJ560" s="85"/>
      <c r="AK560" s="86"/>
      <c r="AL560" s="85"/>
      <c r="AM560" s="125"/>
      <c r="AN560" s="86"/>
      <c r="AO560" s="86"/>
      <c r="AP560" s="84"/>
      <c r="AQ560" s="86"/>
      <c r="AR560">
        <f>F560 +G560</f>
        <v>0</v>
      </c>
    </row>
    <row r="561" spans="1:44" x14ac:dyDescent="0.25">
      <c r="A561" t="str">
        <f>B561 &amp; " - " &amp;E561</f>
        <v xml:space="preserve"> - </v>
      </c>
      <c r="C561" t="str">
        <f ca="1">IFERROR(VLOOKUP(INDEX(OFFSET(_JOUEURS,0,0,,1),MATCH(A561,OFFSET(_JOUEURS,0,1,,1),0)),_MPG,2,FALSE),"")</f>
        <v/>
      </c>
      <c r="D561" s="24"/>
      <c r="E561" s="50"/>
      <c r="F561" s="25"/>
      <c r="G561" s="77"/>
      <c r="H561" s="56"/>
      <c r="I561" s="94"/>
      <c r="J561" s="124"/>
      <c r="K561" s="18"/>
      <c r="L561" s="28"/>
      <c r="M561" s="18"/>
      <c r="N561" s="28"/>
      <c r="O561" s="59"/>
      <c r="P561" s="20"/>
      <c r="Q561" s="28"/>
      <c r="R561" s="28"/>
      <c r="S561" s="17"/>
      <c r="T561" s="59"/>
      <c r="U561" s="28"/>
      <c r="V561" s="28"/>
      <c r="W561" s="28"/>
      <c r="X561" s="18"/>
      <c r="Y561" s="18"/>
      <c r="Z561" s="59"/>
      <c r="AA561" s="18"/>
      <c r="AB561" s="28"/>
      <c r="AC561" s="18"/>
      <c r="AD561" s="28"/>
      <c r="AE561" s="16"/>
      <c r="AF561" s="18"/>
      <c r="AG561" s="18"/>
      <c r="AH561" s="147"/>
      <c r="AI561" s="18"/>
      <c r="AJ561" s="18"/>
      <c r="AK561" s="20"/>
      <c r="AL561" s="18"/>
      <c r="AM561" s="20"/>
      <c r="AN561" s="21"/>
      <c r="AO561" s="21"/>
      <c r="AP561" s="28"/>
      <c r="AQ561" s="21"/>
      <c r="AR561">
        <f>F561 +G561</f>
        <v>0</v>
      </c>
    </row>
    <row r="562" spans="1:44" x14ac:dyDescent="0.25">
      <c r="A562" t="str">
        <f>B562 &amp; " - " &amp;E562</f>
        <v xml:space="preserve"> - </v>
      </c>
      <c r="C562" t="str">
        <f ca="1">IFERROR(VLOOKUP(INDEX(OFFSET(_JOUEURS,0,0,,1),MATCH(A562,OFFSET(_JOUEURS,0,1,,1),0)),_MPG,2,FALSE),"")</f>
        <v/>
      </c>
      <c r="D562" s="24"/>
      <c r="E562" s="127"/>
      <c r="F562" s="25"/>
      <c r="G562" s="77"/>
      <c r="H562" s="56"/>
      <c r="I562" s="27"/>
      <c r="J562" s="126"/>
      <c r="K562" s="18"/>
      <c r="L562" s="28"/>
      <c r="M562" s="18"/>
      <c r="N562" s="67"/>
      <c r="O562" s="28"/>
      <c r="P562" s="21"/>
      <c r="Q562" s="67"/>
      <c r="R562" s="18"/>
      <c r="S562" s="17"/>
      <c r="T562" s="18"/>
      <c r="U562" s="16"/>
      <c r="V562" s="18"/>
      <c r="W562" s="28"/>
      <c r="X562" s="18"/>
      <c r="Y562" s="26"/>
      <c r="Z562" s="28"/>
      <c r="AA562" s="18"/>
      <c r="AB562" s="18"/>
      <c r="AC562" s="18"/>
      <c r="AD562" s="28"/>
      <c r="AE562" s="18"/>
      <c r="AF562" s="18"/>
      <c r="AG562" s="18"/>
      <c r="AH562" s="22"/>
      <c r="AI562" s="65"/>
      <c r="AJ562" s="18"/>
      <c r="AK562" s="77"/>
      <c r="AL562" s="18"/>
      <c r="AM562" s="98"/>
      <c r="AN562" s="21"/>
      <c r="AO562" s="21"/>
      <c r="AP562" s="60"/>
      <c r="AQ562" s="21"/>
      <c r="AR562">
        <f>F562 +G562</f>
        <v>0</v>
      </c>
    </row>
    <row r="563" spans="1:44" x14ac:dyDescent="0.25">
      <c r="A563" t="str">
        <f>B563 &amp; " - " &amp;E563</f>
        <v xml:space="preserve"> - </v>
      </c>
      <c r="C563" t="str">
        <f ca="1">IFERROR(VLOOKUP(INDEX(OFFSET(_JOUEURS,0,0,,1),MATCH(A563,OFFSET(_JOUEURS,0,1,,1),0)),_MPG,2,FALSE),"")</f>
        <v/>
      </c>
      <c r="E563" s="50"/>
      <c r="F563" s="25"/>
      <c r="G563" s="77"/>
      <c r="H563" s="56"/>
      <c r="I563" s="27"/>
      <c r="J563" s="124"/>
      <c r="K563" s="18"/>
      <c r="L563" s="28"/>
      <c r="M563" s="18"/>
      <c r="N563" s="28"/>
      <c r="O563" s="60"/>
      <c r="P563" s="21"/>
      <c r="Q563" s="28"/>
      <c r="R563" s="18"/>
      <c r="S563" s="17"/>
      <c r="T563" s="18"/>
      <c r="U563" s="16"/>
      <c r="V563" s="18"/>
      <c r="W563" s="28"/>
      <c r="X563" s="18"/>
      <c r="Y563" s="18"/>
      <c r="Z563" s="28"/>
      <c r="AA563" s="18"/>
      <c r="AB563" s="18"/>
      <c r="AC563" s="18"/>
      <c r="AD563" s="28"/>
      <c r="AE563" s="18"/>
      <c r="AF563" s="18"/>
      <c r="AG563" s="18"/>
      <c r="AH563" s="21"/>
      <c r="AI563" s="18"/>
      <c r="AJ563" s="18"/>
      <c r="AK563" s="21"/>
      <c r="AL563" s="18"/>
      <c r="AM563" s="20"/>
      <c r="AN563" s="21"/>
      <c r="AO563" s="21"/>
      <c r="AP563" s="28"/>
      <c r="AQ563" s="21"/>
      <c r="AR563">
        <f>F563 +G563</f>
        <v>0</v>
      </c>
    </row>
    <row r="564" spans="1:44" x14ac:dyDescent="0.25">
      <c r="A564" t="str">
        <f>B564 &amp; " - " &amp;E564</f>
        <v xml:space="preserve"> - </v>
      </c>
      <c r="C564" t="str">
        <f ca="1">IFERROR(VLOOKUP(INDEX(OFFSET(_JOUEURS,0,0,,1),MATCH(A564,OFFSET(_JOUEURS,0,1,,1),0)),_MPG,2,FALSE),"")</f>
        <v/>
      </c>
      <c r="D564" s="24"/>
      <c r="E564" s="127"/>
      <c r="F564" s="25"/>
      <c r="G564" s="77"/>
      <c r="H564" s="56"/>
      <c r="I564" s="27"/>
      <c r="J564" s="126"/>
      <c r="K564" s="18"/>
      <c r="L564" s="28"/>
      <c r="M564" s="18"/>
      <c r="N564" s="60"/>
      <c r="O564" s="18"/>
      <c r="P564" s="20"/>
      <c r="Q564" s="18"/>
      <c r="R564" s="18"/>
      <c r="S564" s="17"/>
      <c r="T564" s="18"/>
      <c r="U564" s="16"/>
      <c r="V564" s="18"/>
      <c r="W564" s="28"/>
      <c r="X564" s="18"/>
      <c r="Y564" s="19"/>
      <c r="Z564" s="28"/>
      <c r="AA564" s="18"/>
      <c r="AB564" s="18"/>
      <c r="AC564" s="18"/>
      <c r="AD564" s="28"/>
      <c r="AE564" s="18"/>
      <c r="AF564" s="18"/>
      <c r="AG564" s="18"/>
      <c r="AH564" s="21"/>
      <c r="AI564" s="18"/>
      <c r="AJ564" s="18"/>
      <c r="AK564" s="77"/>
      <c r="AL564" s="18"/>
      <c r="AM564" s="20"/>
      <c r="AN564" s="21"/>
      <c r="AO564" s="21"/>
      <c r="AP564" s="28"/>
      <c r="AQ564" s="21"/>
      <c r="AR564">
        <f>F564 +G564</f>
        <v>0</v>
      </c>
    </row>
    <row r="565" spans="1:44" x14ac:dyDescent="0.25">
      <c r="A565" t="str">
        <f>B565 &amp; " - " &amp;E565</f>
        <v xml:space="preserve"> - </v>
      </c>
      <c r="C565" t="str">
        <f ca="1">IFERROR(VLOOKUP(INDEX(OFFSET(_JOUEURS,0,0,,1),MATCH(A565,OFFSET(_JOUEURS,0,1,,1),0)),_MPG,2,FALSE),"")</f>
        <v/>
      </c>
      <c r="D565" s="49"/>
      <c r="E565" s="43"/>
      <c r="F565" s="39"/>
      <c r="G565" s="48"/>
      <c r="H565" s="103"/>
      <c r="I565" s="63"/>
      <c r="J565" s="157"/>
      <c r="K565" s="40"/>
      <c r="L565" s="46"/>
      <c r="M565" s="40"/>
      <c r="N565" s="46"/>
      <c r="O565" s="46"/>
      <c r="P565" s="48"/>
      <c r="Q565" s="46"/>
      <c r="R565" s="40"/>
      <c r="S565" s="44"/>
      <c r="T565" s="40"/>
      <c r="U565" s="40"/>
      <c r="V565" s="40"/>
      <c r="W565" s="46"/>
      <c r="X565" s="40"/>
      <c r="Y565" s="40"/>
      <c r="Z565" s="46"/>
      <c r="AA565" s="40"/>
      <c r="AB565" s="64"/>
      <c r="AC565" s="40"/>
      <c r="AD565" s="46"/>
      <c r="AE565" s="44"/>
      <c r="AF565" s="44"/>
      <c r="AG565" s="44"/>
      <c r="AH565" s="48"/>
      <c r="AI565" s="44"/>
      <c r="AJ565" s="40"/>
      <c r="AK565" s="48"/>
      <c r="AL565" s="40"/>
      <c r="AM565" s="47"/>
      <c r="AN565" s="48"/>
      <c r="AO565" s="48"/>
      <c r="AP565" s="46"/>
      <c r="AQ565" s="48"/>
      <c r="AR565">
        <f>F565 +G565</f>
        <v>0</v>
      </c>
    </row>
    <row r="566" spans="1:44" x14ac:dyDescent="0.25">
      <c r="A566" t="str">
        <f>B566 &amp; " - " &amp;E566</f>
        <v xml:space="preserve"> - </v>
      </c>
      <c r="C566" t="str">
        <f ca="1">IFERROR(VLOOKUP(INDEX(OFFSET(_JOUEURS,0,0,,1),MATCH(A566,OFFSET(_JOUEURS,0,1,,1),0)),_MPG,2,FALSE),"")</f>
        <v/>
      </c>
      <c r="D566" s="24"/>
      <c r="E566" s="127"/>
      <c r="F566" s="25"/>
      <c r="G566" s="77"/>
      <c r="H566" s="56"/>
      <c r="I566" s="27"/>
      <c r="J566" s="108"/>
      <c r="K566" s="18"/>
      <c r="L566" s="28"/>
      <c r="M566" s="18"/>
      <c r="N566" s="28"/>
      <c r="O566" s="28"/>
      <c r="P566" s="21"/>
      <c r="Q566" s="28"/>
      <c r="R566" s="18"/>
      <c r="S566" s="17"/>
      <c r="T566" s="18"/>
      <c r="U566" s="18"/>
      <c r="V566" s="18"/>
      <c r="W566" s="28"/>
      <c r="X566" s="18"/>
      <c r="Y566" s="17"/>
      <c r="Z566" s="28"/>
      <c r="AA566" s="18"/>
      <c r="AB566" s="18"/>
      <c r="AC566" s="18"/>
      <c r="AD566" s="28"/>
      <c r="AE566" s="18"/>
      <c r="AF566" s="18"/>
      <c r="AG566" s="18"/>
      <c r="AH566" s="21"/>
      <c r="AI566" s="18"/>
      <c r="AJ566" s="18"/>
      <c r="AK566" s="77"/>
      <c r="AL566" s="18"/>
      <c r="AM566" s="20"/>
      <c r="AN566" s="21"/>
      <c r="AO566" s="21"/>
      <c r="AP566" s="28"/>
      <c r="AQ566" s="21"/>
      <c r="AR566">
        <f>F566 +G566</f>
        <v>0</v>
      </c>
    </row>
    <row r="567" spans="1:44" x14ac:dyDescent="0.25">
      <c r="A567" t="str">
        <f>B567 &amp; " - " &amp;E567</f>
        <v xml:space="preserve"> - </v>
      </c>
      <c r="C567" t="str">
        <f ca="1">IFERROR(VLOOKUP(INDEX(OFFSET(_JOUEURS,0,0,,1),MATCH(A567,OFFSET(_JOUEURS,0,1,,1),0)),_MPG,2,FALSE),"")</f>
        <v/>
      </c>
      <c r="D567" s="24"/>
      <c r="E567" s="109"/>
      <c r="F567" s="25"/>
      <c r="G567" s="77"/>
      <c r="H567" s="56"/>
      <c r="I567" s="27"/>
      <c r="J567" s="124"/>
      <c r="K567" s="18"/>
      <c r="L567" s="28"/>
      <c r="M567" s="18"/>
      <c r="N567" s="28"/>
      <c r="O567" s="28"/>
      <c r="P567" s="21"/>
      <c r="Q567" s="28"/>
      <c r="R567" s="17"/>
      <c r="S567" s="17"/>
      <c r="T567" s="18"/>
      <c r="U567" s="18"/>
      <c r="V567" s="18"/>
      <c r="W567" s="28"/>
      <c r="X567" s="18"/>
      <c r="Y567" s="18"/>
      <c r="Z567" s="28"/>
      <c r="AA567" s="18"/>
      <c r="AB567" s="18"/>
      <c r="AC567" s="18"/>
      <c r="AD567" s="28"/>
      <c r="AE567" s="18"/>
      <c r="AF567" s="18"/>
      <c r="AG567" s="18"/>
      <c r="AH567" s="21"/>
      <c r="AI567" s="18"/>
      <c r="AJ567" s="18"/>
      <c r="AK567" s="77"/>
      <c r="AL567" s="18"/>
      <c r="AM567" s="20"/>
      <c r="AN567" s="21"/>
      <c r="AO567" s="21"/>
      <c r="AP567" s="28"/>
      <c r="AQ567" s="21"/>
      <c r="AR567">
        <f>F567 +G567</f>
        <v>0</v>
      </c>
    </row>
    <row r="568" spans="1:44" x14ac:dyDescent="0.25">
      <c r="A568" t="str">
        <f>B568 &amp; " - " &amp;E568</f>
        <v xml:space="preserve"> - </v>
      </c>
      <c r="C568" t="str">
        <f ca="1">IFERROR(VLOOKUP(INDEX(OFFSET(_JOUEURS,0,0,,1),MATCH(A568,OFFSET(_JOUEURS,0,1,,1),0)),_MPG,2,FALSE),"")</f>
        <v/>
      </c>
      <c r="D568" s="24"/>
      <c r="E568" s="109"/>
      <c r="F568" s="25"/>
      <c r="G568" s="77"/>
      <c r="H568" s="56"/>
      <c r="I568" s="27"/>
      <c r="J568" s="124"/>
      <c r="K568" s="59"/>
      <c r="L568" s="59"/>
      <c r="M568" s="18"/>
      <c r="N568" s="28"/>
      <c r="O568" s="28"/>
      <c r="P568" s="21"/>
      <c r="Q568" s="28"/>
      <c r="R568" s="18"/>
      <c r="S568" s="17"/>
      <c r="T568" s="18"/>
      <c r="U568" s="18"/>
      <c r="V568" s="18"/>
      <c r="W568" s="28"/>
      <c r="X568" s="18"/>
      <c r="Y568" s="18"/>
      <c r="Z568" s="28"/>
      <c r="AA568" s="18"/>
      <c r="AB568" s="18"/>
      <c r="AC568" s="18"/>
      <c r="AD568" s="28"/>
      <c r="AE568" s="17"/>
      <c r="AF568" s="18"/>
      <c r="AG568" s="18"/>
      <c r="AH568" s="99"/>
      <c r="AI568" s="59"/>
      <c r="AJ568" s="18"/>
      <c r="AK568" s="77"/>
      <c r="AL568" s="18"/>
      <c r="AM568" s="132"/>
      <c r="AN568" s="21"/>
      <c r="AO568" s="21"/>
      <c r="AP568" s="28"/>
      <c r="AQ568" s="21"/>
      <c r="AR568">
        <f>F568 +G568</f>
        <v>0</v>
      </c>
    </row>
    <row r="569" spans="1:44" x14ac:dyDescent="0.25">
      <c r="A569" t="str">
        <f>B569 &amp; " - " &amp;E569</f>
        <v xml:space="preserve"> - </v>
      </c>
      <c r="C569" t="str">
        <f ca="1">IFERROR(VLOOKUP(INDEX(OFFSET(_JOUEURS,0,0,,1),MATCH(A569,OFFSET(_JOUEURS,0,1,,1),0)),_MPG,2,FALSE),"")</f>
        <v/>
      </c>
      <c r="D569" s="24"/>
      <c r="E569" s="109"/>
      <c r="F569" s="25"/>
      <c r="G569" s="77"/>
      <c r="H569" s="56"/>
      <c r="I569" s="27"/>
      <c r="J569" s="124"/>
      <c r="K569" s="18"/>
      <c r="L569" s="28"/>
      <c r="M569" s="18"/>
      <c r="N569" s="28"/>
      <c r="O569" s="28"/>
      <c r="P569" s="21"/>
      <c r="Q569" s="28"/>
      <c r="R569" s="18"/>
      <c r="S569" s="17"/>
      <c r="T569" s="18"/>
      <c r="U569" s="18"/>
      <c r="V569" s="18"/>
      <c r="W569" s="28"/>
      <c r="X569" s="18"/>
      <c r="Y569" s="17"/>
      <c r="Z569" s="28"/>
      <c r="AA569" s="18"/>
      <c r="AB569" s="18"/>
      <c r="AC569" s="18"/>
      <c r="AD569" s="59"/>
      <c r="AE569" s="18"/>
      <c r="AF569" s="18"/>
      <c r="AG569" s="65"/>
      <c r="AH569" s="21"/>
      <c r="AI569" s="18"/>
      <c r="AJ569" s="18"/>
      <c r="AK569" s="77"/>
      <c r="AL569" s="67"/>
      <c r="AM569" s="20"/>
      <c r="AN569" s="21"/>
      <c r="AO569" s="20"/>
      <c r="AP569" s="28"/>
      <c r="AQ569" s="21"/>
      <c r="AR569">
        <f>F569 +G569</f>
        <v>0</v>
      </c>
    </row>
    <row r="570" spans="1:44" x14ac:dyDescent="0.25">
      <c r="A570" t="str">
        <f>B570 &amp; " - " &amp;E570</f>
        <v xml:space="preserve"> - </v>
      </c>
      <c r="C570" t="str">
        <f ca="1">IFERROR(VLOOKUP(INDEX(OFFSET(_JOUEURS,0,0,,1),MATCH(A570,OFFSET(_JOUEURS,0,1,,1),0)),_MPG,2,FALSE),"")</f>
        <v/>
      </c>
      <c r="D570" s="142"/>
      <c r="E570" s="142"/>
      <c r="F570" s="32"/>
      <c r="G570" s="143"/>
      <c r="H570" s="158"/>
      <c r="I570" s="27"/>
      <c r="J570" s="159"/>
      <c r="K570" s="33"/>
      <c r="L570" s="41"/>
      <c r="M570" s="33"/>
      <c r="N570" s="41"/>
      <c r="O570" s="41"/>
      <c r="P570" s="34"/>
      <c r="Q570" s="41"/>
      <c r="R570" s="33"/>
      <c r="S570" s="144"/>
      <c r="T570" s="33"/>
      <c r="U570" s="33"/>
      <c r="V570" s="33"/>
      <c r="W570" s="41"/>
      <c r="X570" s="33"/>
      <c r="Y570" s="33"/>
      <c r="Z570" s="41"/>
      <c r="AA570" s="33"/>
      <c r="AB570" s="33"/>
      <c r="AC570" s="33"/>
      <c r="AD570" s="41"/>
      <c r="AE570" s="33"/>
      <c r="AF570" s="33"/>
      <c r="AG570" s="33"/>
      <c r="AH570" s="34"/>
      <c r="AI570" s="33"/>
      <c r="AJ570" s="33"/>
      <c r="AK570" s="34"/>
      <c r="AL570" s="33"/>
      <c r="AM570" s="42"/>
      <c r="AN570" s="34"/>
      <c r="AO570" s="34"/>
      <c r="AP570" s="41"/>
      <c r="AQ570" s="34"/>
      <c r="AR570">
        <f>F570 +G570</f>
        <v>0</v>
      </c>
    </row>
    <row r="571" spans="1:44" x14ac:dyDescent="0.25">
      <c r="A571" t="str">
        <f>B571 &amp; " - " &amp;E571</f>
        <v xml:space="preserve"> - </v>
      </c>
      <c r="C571" t="str">
        <f ca="1">IFERROR(VLOOKUP(INDEX(OFFSET(_JOUEURS,0,0,,1),MATCH(A571,OFFSET(_JOUEURS,0,1,,1),0)),_MPG,2,FALSE),"")</f>
        <v/>
      </c>
      <c r="D571" s="24"/>
      <c r="E571" s="50"/>
      <c r="F571" s="25"/>
      <c r="G571" s="77"/>
      <c r="H571" s="56"/>
      <c r="I571" s="94"/>
      <c r="J571" s="70"/>
      <c r="K571" s="18"/>
      <c r="L571" s="60"/>
      <c r="M571" s="18"/>
      <c r="N571" s="28"/>
      <c r="O571" s="28"/>
      <c r="P571" s="20"/>
      <c r="Q571" s="28"/>
      <c r="R571" s="28"/>
      <c r="S571" s="16"/>
      <c r="T571" s="28"/>
      <c r="U571" s="18"/>
      <c r="V571" s="18"/>
      <c r="W571" s="28"/>
      <c r="X571" s="18"/>
      <c r="Y571" s="18"/>
      <c r="Z571" s="28"/>
      <c r="AA571" s="28"/>
      <c r="AB571" s="18"/>
      <c r="AC571" s="18"/>
      <c r="AD571" s="28"/>
      <c r="AE571" s="18"/>
      <c r="AF571" s="18"/>
      <c r="AG571" s="18"/>
      <c r="AH571" s="101"/>
      <c r="AI571" s="16"/>
      <c r="AJ571" s="18"/>
      <c r="AK571" s="77"/>
      <c r="AL571" s="18"/>
      <c r="AM571" s="20"/>
      <c r="AN571" s="20"/>
      <c r="AO571" s="21"/>
      <c r="AP571" s="28"/>
      <c r="AQ571" s="21"/>
      <c r="AR571">
        <f>F571 +G571</f>
        <v>0</v>
      </c>
    </row>
    <row r="572" spans="1:44" x14ac:dyDescent="0.25">
      <c r="A572" t="str">
        <f>B572 &amp; " - " &amp;E572</f>
        <v xml:space="preserve"> - </v>
      </c>
      <c r="C572" t="str">
        <f ca="1">IFERROR(VLOOKUP(INDEX(OFFSET(_JOUEURS,0,0,,1),MATCH(A572,OFFSET(_JOUEURS,0,1,,1),0)),_MPG,2,FALSE),"")</f>
        <v/>
      </c>
      <c r="D572" s="24"/>
      <c r="E572" s="109"/>
      <c r="F572" s="25"/>
      <c r="G572" s="77"/>
      <c r="H572" s="56"/>
      <c r="I572" s="27"/>
      <c r="J572" s="124"/>
      <c r="K572" s="59"/>
      <c r="L572" s="59"/>
      <c r="M572" s="28"/>
      <c r="N572" s="28"/>
      <c r="O572" s="28"/>
      <c r="P572" s="21"/>
      <c r="Q572" s="28"/>
      <c r="R572" s="18"/>
      <c r="S572" s="17"/>
      <c r="T572" s="28"/>
      <c r="U572" s="18"/>
      <c r="V572" s="18"/>
      <c r="W572" s="28"/>
      <c r="X572" s="18"/>
      <c r="Y572" s="28"/>
      <c r="Z572" s="28"/>
      <c r="AA572" s="18"/>
      <c r="AB572" s="18"/>
      <c r="AC572" s="18"/>
      <c r="AD572" s="28"/>
      <c r="AE572" s="18"/>
      <c r="AF572" s="65"/>
      <c r="AG572" s="18"/>
      <c r="AH572" s="21"/>
      <c r="AI572" s="18"/>
      <c r="AJ572" s="28"/>
      <c r="AK572" s="77"/>
      <c r="AL572" s="28"/>
      <c r="AM572" s="20"/>
      <c r="AN572" s="21"/>
      <c r="AO572" s="21"/>
      <c r="AP572" s="28"/>
      <c r="AQ572" s="20"/>
      <c r="AR572">
        <f>F572 +G572</f>
        <v>0</v>
      </c>
    </row>
    <row r="573" spans="1:44" x14ac:dyDescent="0.25">
      <c r="A573" t="str">
        <f>B573 &amp; " - " &amp;E573</f>
        <v xml:space="preserve"> - </v>
      </c>
      <c r="C573" t="str">
        <f ca="1">IFERROR(VLOOKUP(INDEX(OFFSET(_JOUEURS,0,0,,1),MATCH(A573,OFFSET(_JOUEURS,0,1,,1),0)),_MPG,2,FALSE),"")</f>
        <v/>
      </c>
      <c r="D573" s="24"/>
      <c r="E573" s="50"/>
      <c r="F573" s="25"/>
      <c r="G573" s="77"/>
      <c r="H573" s="56"/>
      <c r="I573" s="27"/>
      <c r="J573" s="124"/>
      <c r="K573" s="21"/>
      <c r="L573" s="20"/>
      <c r="M573" s="18"/>
      <c r="N573" s="28"/>
      <c r="O573" s="28"/>
      <c r="P573" s="21"/>
      <c r="Q573" s="28"/>
      <c r="R573" s="18"/>
      <c r="S573" s="17"/>
      <c r="T573" s="18"/>
      <c r="U573" s="18"/>
      <c r="V573" s="18"/>
      <c r="W573" s="28"/>
      <c r="X573" s="28"/>
      <c r="Y573" s="51"/>
      <c r="Z573" s="28"/>
      <c r="AA573" s="18"/>
      <c r="AB573" s="18"/>
      <c r="AC573" s="28"/>
      <c r="AD573" s="28"/>
      <c r="AE573" s="28"/>
      <c r="AF573" s="59"/>
      <c r="AG573" s="65"/>
      <c r="AH573" s="21"/>
      <c r="AI573" s="18"/>
      <c r="AJ573" s="18"/>
      <c r="AK573" s="77"/>
      <c r="AL573" s="18"/>
      <c r="AM573" s="20"/>
      <c r="AN573" s="21"/>
      <c r="AO573" s="21"/>
      <c r="AP573" s="28"/>
      <c r="AQ573" s="21"/>
      <c r="AR573">
        <f>F573 +G573</f>
        <v>0</v>
      </c>
    </row>
    <row r="574" spans="1:44" x14ac:dyDescent="0.25">
      <c r="A574" t="str">
        <f>B574 &amp; " - " &amp;E574</f>
        <v xml:space="preserve"> - </v>
      </c>
      <c r="C574" t="str">
        <f ca="1">IFERROR(VLOOKUP(INDEX(OFFSET(_JOUEURS,0,0,,1),MATCH(A574,OFFSET(_JOUEURS,0,1,,1),0)),_MPG,2,FALSE),"")</f>
        <v/>
      </c>
      <c r="E574" s="109"/>
      <c r="F574" s="25"/>
      <c r="G574" s="77"/>
      <c r="H574" s="56"/>
      <c r="I574" s="27"/>
      <c r="J574" s="126"/>
      <c r="K574" s="59"/>
      <c r="L574" s="60"/>
      <c r="M574" s="18"/>
      <c r="N574" s="28"/>
      <c r="O574" s="28"/>
      <c r="P574" s="21"/>
      <c r="Q574" s="28"/>
      <c r="R574" s="18"/>
      <c r="S574" s="17"/>
      <c r="T574" s="18"/>
      <c r="U574" s="18"/>
      <c r="V574" s="18"/>
      <c r="W574" s="28"/>
      <c r="X574" s="18"/>
      <c r="Y574" s="28"/>
      <c r="Z574" s="28"/>
      <c r="AA574" s="18"/>
      <c r="AB574" s="18"/>
      <c r="AC574" s="18"/>
      <c r="AD574" s="28"/>
      <c r="AE574" s="18"/>
      <c r="AF574" s="18"/>
      <c r="AG574" s="18"/>
      <c r="AH574" s="21"/>
      <c r="AI574" s="18"/>
      <c r="AJ574" s="18"/>
      <c r="AK574" s="21"/>
      <c r="AL574" s="18"/>
      <c r="AM574" s="20"/>
      <c r="AN574" s="21"/>
      <c r="AO574" s="21"/>
      <c r="AP574" s="28"/>
      <c r="AQ574" s="21"/>
      <c r="AR574">
        <f>F574 +G574</f>
        <v>0</v>
      </c>
    </row>
    <row r="575" spans="1:44" x14ac:dyDescent="0.25">
      <c r="A575" t="str">
        <f>B575 &amp; " - " &amp;E575</f>
        <v xml:space="preserve"> - </v>
      </c>
      <c r="C575" t="str">
        <f ca="1">IFERROR(VLOOKUP(INDEX(OFFSET(_JOUEURS,0,0,,1),MATCH(A575,OFFSET(_JOUEURS,0,1,,1),0)),_MPG,2,FALSE),"")</f>
        <v/>
      </c>
      <c r="D575" s="24"/>
      <c r="E575" s="50"/>
      <c r="F575" s="25"/>
      <c r="G575" s="77"/>
      <c r="H575" s="56"/>
      <c r="I575" s="27"/>
      <c r="J575" s="124"/>
      <c r="K575" s="28"/>
      <c r="L575" s="28"/>
      <c r="M575" s="28"/>
      <c r="N575" s="28"/>
      <c r="O575" s="60"/>
      <c r="P575" s="21"/>
      <c r="Q575" s="28"/>
      <c r="R575" s="28"/>
      <c r="S575" s="59"/>
      <c r="T575" s="17"/>
      <c r="U575" s="18"/>
      <c r="V575" s="28"/>
      <c r="W575" s="28"/>
      <c r="X575" s="28"/>
      <c r="Y575" s="60"/>
      <c r="Z575" s="60"/>
      <c r="AA575" s="28"/>
      <c r="AB575" s="28"/>
      <c r="AC575" s="16"/>
      <c r="AD575" s="28"/>
      <c r="AE575" s="17"/>
      <c r="AF575" s="18"/>
      <c r="AG575" s="28"/>
      <c r="AH575" s="21"/>
      <c r="AI575" s="18"/>
      <c r="AJ575" s="18"/>
      <c r="AK575" s="131"/>
      <c r="AL575" s="18"/>
      <c r="AM575" s="20"/>
      <c r="AN575" s="20"/>
      <c r="AO575" s="21"/>
      <c r="AP575" s="28"/>
      <c r="AQ575" s="21"/>
      <c r="AR575">
        <f>F575 +G575</f>
        <v>0</v>
      </c>
    </row>
    <row r="576" spans="1:44" x14ac:dyDescent="0.25">
      <c r="A576" t="str">
        <f>B576 &amp; " - " &amp;E576</f>
        <v xml:space="preserve"> - </v>
      </c>
      <c r="C576" t="str">
        <f ca="1">IFERROR(VLOOKUP(INDEX(OFFSET(_JOUEURS,0,0,,1),MATCH(A576,OFFSET(_JOUEURS,0,1,,1),0)),_MPG,2,FALSE),"")</f>
        <v/>
      </c>
      <c r="D576" s="49"/>
      <c r="E576" s="43"/>
      <c r="F576" s="39"/>
      <c r="G576" s="48"/>
      <c r="H576" s="103"/>
      <c r="I576" s="63"/>
      <c r="J576" s="157"/>
      <c r="K576" s="40"/>
      <c r="L576" s="46"/>
      <c r="M576" s="40"/>
      <c r="N576" s="46"/>
      <c r="O576" s="46"/>
      <c r="P576" s="48"/>
      <c r="Q576" s="46"/>
      <c r="R576" s="40"/>
      <c r="S576" s="44"/>
      <c r="T576" s="40"/>
      <c r="U576" s="40"/>
      <c r="V576" s="40"/>
      <c r="W576" s="46"/>
      <c r="X576" s="40"/>
      <c r="Y576" s="40"/>
      <c r="Z576" s="46"/>
      <c r="AA576" s="40"/>
      <c r="AB576" s="64"/>
      <c r="AC576" s="40"/>
      <c r="AD576" s="46"/>
      <c r="AE576" s="44"/>
      <c r="AF576" s="44"/>
      <c r="AG576" s="44"/>
      <c r="AH576" s="48"/>
      <c r="AI576" s="44"/>
      <c r="AJ576" s="40"/>
      <c r="AK576" s="48"/>
      <c r="AL576" s="40"/>
      <c r="AM576" s="47"/>
      <c r="AN576" s="48"/>
      <c r="AO576" s="48"/>
      <c r="AP576" s="46"/>
      <c r="AQ576" s="48"/>
      <c r="AR576">
        <f>F576 +G576</f>
        <v>0</v>
      </c>
    </row>
    <row r="577" spans="1:44" x14ac:dyDescent="0.25">
      <c r="A577" t="str">
        <f>B577 &amp; " - " &amp;E577</f>
        <v xml:space="preserve"> - </v>
      </c>
      <c r="C577" t="str">
        <f ca="1">IFERROR(VLOOKUP(INDEX(OFFSET(_JOUEURS,0,0,,1),MATCH(A577,OFFSET(_JOUEURS,0,1,,1),0)),_MPG,2,FALSE),"")</f>
        <v/>
      </c>
      <c r="D577" s="43"/>
      <c r="E577" s="43"/>
      <c r="F577" s="39"/>
      <c r="G577" s="48"/>
      <c r="H577" s="103"/>
      <c r="I577" s="63"/>
      <c r="J577" s="107"/>
      <c r="K577" s="46"/>
      <c r="L577" s="46"/>
      <c r="M577" s="46"/>
      <c r="N577" s="46"/>
      <c r="O577" s="46"/>
      <c r="P577" s="48"/>
      <c r="Q577" s="46"/>
      <c r="R577" s="46"/>
      <c r="S577" s="40"/>
      <c r="T577" s="40"/>
      <c r="U577" s="46"/>
      <c r="V577" s="46"/>
      <c r="W577" s="46"/>
      <c r="X577" s="46"/>
      <c r="Y577" s="40"/>
      <c r="Z577" s="46"/>
      <c r="AA577" s="40"/>
      <c r="AB577" s="46"/>
      <c r="AC577" s="40"/>
      <c r="AD577" s="64"/>
      <c r="AE577" s="44"/>
      <c r="AF577" s="40"/>
      <c r="AG577" s="44"/>
      <c r="AH577" s="48"/>
      <c r="AI577" s="40"/>
      <c r="AJ577" s="46"/>
      <c r="AK577" s="48"/>
      <c r="AL577" s="44"/>
      <c r="AM577" s="47"/>
      <c r="AN577" s="48"/>
      <c r="AO577" s="48"/>
      <c r="AP577" s="46"/>
      <c r="AQ577" s="47"/>
      <c r="AR577">
        <f>F577 +G577</f>
        <v>0</v>
      </c>
    </row>
    <row r="578" spans="1:44" x14ac:dyDescent="0.25">
      <c r="A578" t="str">
        <f>B578 &amp; " - " &amp;E578</f>
        <v xml:space="preserve"> - </v>
      </c>
      <c r="C578" t="str">
        <f ca="1">IFERROR(VLOOKUP(INDEX(OFFSET(_JOUEURS,0,0,,1),MATCH(A578,OFFSET(_JOUEURS,0,1,,1),0)),_MPG,2,FALSE),"")</f>
        <v/>
      </c>
      <c r="D578" s="49"/>
      <c r="E578" s="49"/>
      <c r="F578" s="39"/>
      <c r="G578" s="48"/>
      <c r="H578" s="103"/>
      <c r="I578" s="63"/>
      <c r="J578" s="157"/>
      <c r="K578" s="44"/>
      <c r="L578" s="64"/>
      <c r="M578" s="40"/>
      <c r="N578" s="46"/>
      <c r="O578" s="64"/>
      <c r="P578" s="115"/>
      <c r="Q578" s="46"/>
      <c r="R578" s="44"/>
      <c r="S578" s="40"/>
      <c r="T578" s="44"/>
      <c r="U578" s="40"/>
      <c r="V578" s="40"/>
      <c r="W578" s="64"/>
      <c r="X578" s="44"/>
      <c r="Y578" s="44"/>
      <c r="Z578" s="64"/>
      <c r="AA578" s="40"/>
      <c r="AB578" s="40"/>
      <c r="AC578" s="40"/>
      <c r="AD578" s="46"/>
      <c r="AE578" s="40"/>
      <c r="AF578" s="40"/>
      <c r="AG578" s="40"/>
      <c r="AH578" s="48"/>
      <c r="AI578" s="40"/>
      <c r="AJ578" s="40"/>
      <c r="AK578" s="48"/>
      <c r="AL578" s="40"/>
      <c r="AM578" s="47"/>
      <c r="AN578" s="48"/>
      <c r="AO578" s="48"/>
      <c r="AP578" s="46"/>
      <c r="AQ578" s="48"/>
      <c r="AR578">
        <f>F578 +G578</f>
        <v>0</v>
      </c>
    </row>
    <row r="579" spans="1:44" x14ac:dyDescent="0.25">
      <c r="A579" t="str">
        <f>B579 &amp; " - " &amp;E579</f>
        <v xml:space="preserve"> - </v>
      </c>
      <c r="C579" t="str">
        <f ca="1">IFERROR(VLOOKUP(INDEX(OFFSET(_JOUEURS,0,0,,1),MATCH(A579,OFFSET(_JOUEURS,0,1,,1),0)),_MPG,2,FALSE),"")</f>
        <v/>
      </c>
      <c r="D579" s="29"/>
      <c r="E579" s="95"/>
      <c r="F579" s="25"/>
      <c r="G579" s="77"/>
      <c r="H579" s="56"/>
      <c r="I579" s="27"/>
      <c r="J579" s="126"/>
      <c r="K579" s="16"/>
      <c r="L579" s="60"/>
      <c r="M579" s="18"/>
      <c r="N579" s="28"/>
      <c r="O579" s="60"/>
      <c r="P579" s="22"/>
      <c r="Q579" s="28"/>
      <c r="R579" s="16"/>
      <c r="S579" s="17"/>
      <c r="T579" s="16"/>
      <c r="U579" s="18"/>
      <c r="V579" s="18"/>
      <c r="W579" s="60"/>
      <c r="X579" s="16"/>
      <c r="Y579" s="60"/>
      <c r="Z579" s="60"/>
      <c r="AA579" s="18"/>
      <c r="AB579" s="18"/>
      <c r="AC579" s="18"/>
      <c r="AD579" s="28"/>
      <c r="AE579" s="18"/>
      <c r="AF579" s="18"/>
      <c r="AG579" s="18"/>
      <c r="AH579" s="21"/>
      <c r="AI579" s="18"/>
      <c r="AJ579" s="18"/>
      <c r="AK579" s="21"/>
      <c r="AL579" s="16"/>
      <c r="AM579" s="20"/>
      <c r="AN579" s="21"/>
      <c r="AO579" s="21"/>
      <c r="AP579" s="28"/>
      <c r="AQ579" s="21"/>
      <c r="AR579">
        <f>F579 +G579</f>
        <v>0</v>
      </c>
    </row>
    <row r="580" spans="1:44" x14ac:dyDescent="0.25">
      <c r="A580" t="str">
        <f>B580 &amp; " - " &amp;E580</f>
        <v xml:space="preserve"> - </v>
      </c>
      <c r="C580" t="str">
        <f ca="1">IFERROR(VLOOKUP(INDEX(OFFSET(_JOUEURS,0,0,,1),MATCH(A580,OFFSET(_JOUEURS,0,1,,1),0)),_MPG,2,FALSE),"")</f>
        <v/>
      </c>
      <c r="D580" s="24"/>
      <c r="E580" s="127"/>
      <c r="F580" s="25"/>
      <c r="G580" s="77"/>
      <c r="H580" s="56"/>
      <c r="I580" s="27"/>
      <c r="J580" s="126"/>
      <c r="K580" s="18"/>
      <c r="L580" s="28"/>
      <c r="M580" s="18"/>
      <c r="N580" s="28"/>
      <c r="O580" s="28"/>
      <c r="P580" s="21"/>
      <c r="Q580" s="28"/>
      <c r="R580" s="18"/>
      <c r="S580" s="17"/>
      <c r="T580" s="18"/>
      <c r="U580" s="18"/>
      <c r="V580" s="18"/>
      <c r="W580" s="28"/>
      <c r="X580" s="18"/>
      <c r="Y580" s="18"/>
      <c r="Z580" s="28"/>
      <c r="AA580" s="18"/>
      <c r="AB580" s="18"/>
      <c r="AC580" s="16"/>
      <c r="AD580" s="28"/>
      <c r="AE580" s="65"/>
      <c r="AF580" s="19"/>
      <c r="AG580" s="18"/>
      <c r="AH580" s="147"/>
      <c r="AI580" s="18"/>
      <c r="AJ580" s="18"/>
      <c r="AK580" s="21"/>
      <c r="AL580" s="16"/>
      <c r="AM580" s="20"/>
      <c r="AN580" s="21"/>
      <c r="AO580" s="153"/>
      <c r="AP580" s="60"/>
      <c r="AQ580" s="21"/>
      <c r="AR580">
        <f>F580 +G580</f>
        <v>0</v>
      </c>
    </row>
    <row r="581" spans="1:44" x14ac:dyDescent="0.25">
      <c r="A581" t="str">
        <f>B581 &amp; " - " &amp;E581</f>
        <v xml:space="preserve"> - </v>
      </c>
      <c r="C581" t="str">
        <f ca="1">IFERROR(VLOOKUP(INDEX(OFFSET(_JOUEURS,0,0,,1),MATCH(A581,OFFSET(_JOUEURS,0,1,,1),0)),_MPG,2,FALSE),"")</f>
        <v/>
      </c>
      <c r="E581" s="109"/>
      <c r="F581" s="25"/>
      <c r="G581" s="77"/>
      <c r="H581" s="56"/>
      <c r="I581" s="27"/>
      <c r="J581" s="124"/>
      <c r="K581" s="18"/>
      <c r="L581" s="28"/>
      <c r="M581" s="18"/>
      <c r="N581" s="28"/>
      <c r="O581" s="28"/>
      <c r="P581" s="21"/>
      <c r="Q581" s="28"/>
      <c r="R581" s="18"/>
      <c r="S581" s="17"/>
      <c r="T581" s="28"/>
      <c r="U581" s="18"/>
      <c r="V581" s="18"/>
      <c r="W581" s="28"/>
      <c r="X581" s="28"/>
      <c r="Y581" s="18"/>
      <c r="Z581" s="28"/>
      <c r="AA581" s="28"/>
      <c r="AB581" s="18"/>
      <c r="AC581" s="18"/>
      <c r="AD581" s="28"/>
      <c r="AE581" s="28"/>
      <c r="AF581" s="28"/>
      <c r="AG581" s="28"/>
      <c r="AH581" s="156"/>
      <c r="AI581" s="28"/>
      <c r="AJ581" s="65"/>
      <c r="AK581" s="20"/>
      <c r="AL581" s="18"/>
      <c r="AM581" s="20"/>
      <c r="AN581" s="21"/>
      <c r="AO581" s="21"/>
      <c r="AP581" s="28"/>
      <c r="AQ581" s="21"/>
      <c r="AR581">
        <f>F581 +G581</f>
        <v>0</v>
      </c>
    </row>
    <row r="582" spans="1:44" x14ac:dyDescent="0.25">
      <c r="A582" t="str">
        <f>B582 &amp; " - " &amp;E582</f>
        <v xml:space="preserve"> - </v>
      </c>
      <c r="C582" t="str">
        <f ca="1">IFERROR(VLOOKUP(INDEX(OFFSET(_JOUEURS,0,0,,1),MATCH(A582,OFFSET(_JOUEURS,0,1,,1),0)),_MPG,2,FALSE),"")</f>
        <v/>
      </c>
      <c r="E582" s="50"/>
      <c r="F582" s="25"/>
      <c r="G582" s="77"/>
      <c r="H582" s="56"/>
      <c r="I582" s="27"/>
      <c r="J582" s="124"/>
      <c r="K582" s="28"/>
      <c r="L582" s="28"/>
      <c r="M582" s="18"/>
      <c r="N582" s="28"/>
      <c r="O582" s="60"/>
      <c r="P582" s="21"/>
      <c r="Q582" s="28"/>
      <c r="R582" s="18"/>
      <c r="S582" s="17"/>
      <c r="T582" s="16"/>
      <c r="U582" s="18"/>
      <c r="V582" s="28"/>
      <c r="W582" s="28"/>
      <c r="X582" s="18"/>
      <c r="Y582" s="18"/>
      <c r="Z582" s="60"/>
      <c r="AA582" s="18"/>
      <c r="AB582" s="28"/>
      <c r="AC582" s="28"/>
      <c r="AD582" s="28"/>
      <c r="AE582" s="16"/>
      <c r="AF582" s="28"/>
      <c r="AG582" s="28"/>
      <c r="AH582" s="99"/>
      <c r="AI582" s="16"/>
      <c r="AJ582" s="59"/>
      <c r="AK582" s="21"/>
      <c r="AL582" s="28"/>
      <c r="AM582" s="20"/>
      <c r="AN582" s="74"/>
      <c r="AO582" s="21"/>
      <c r="AP582" s="28"/>
      <c r="AQ582" s="21"/>
      <c r="AR582">
        <f>F582 +G582</f>
        <v>0</v>
      </c>
    </row>
    <row r="583" spans="1:44" x14ac:dyDescent="0.25">
      <c r="A583" t="str">
        <f>B583 &amp; " - " &amp;E583</f>
        <v xml:space="preserve"> - </v>
      </c>
      <c r="C583" t="str">
        <f ca="1">IFERROR(VLOOKUP(INDEX(OFFSET(_JOUEURS,0,0,,1),MATCH(A583,OFFSET(_JOUEURS,0,1,,1),0)),_MPG,2,FALSE),"")</f>
        <v/>
      </c>
      <c r="E583" s="109"/>
      <c r="F583" s="25"/>
      <c r="G583" s="77"/>
      <c r="H583" s="56"/>
      <c r="I583" s="27"/>
      <c r="J583" s="124"/>
      <c r="K583" s="18"/>
      <c r="L583" s="28"/>
      <c r="M583" s="18"/>
      <c r="N583" s="28"/>
      <c r="O583" s="28"/>
      <c r="P583" s="21"/>
      <c r="Q583" s="28"/>
      <c r="R583" s="18"/>
      <c r="S583" s="17"/>
      <c r="T583" s="18"/>
      <c r="U583" s="18"/>
      <c r="V583" s="18"/>
      <c r="W583" s="28"/>
      <c r="X583" s="18"/>
      <c r="Y583" s="17"/>
      <c r="Z583" s="28"/>
      <c r="AA583" s="18"/>
      <c r="AB583" s="18"/>
      <c r="AC583" s="18"/>
      <c r="AD583" s="59"/>
      <c r="AE583" s="65"/>
      <c r="AF583" s="18"/>
      <c r="AG583" s="18"/>
      <c r="AH583" s="21"/>
      <c r="AI583" s="18"/>
      <c r="AJ583" s="18"/>
      <c r="AK583" s="20"/>
      <c r="AL583" s="18"/>
      <c r="AM583" s="20"/>
      <c r="AN583" s="21"/>
      <c r="AO583" s="20"/>
      <c r="AP583" s="28"/>
      <c r="AQ583" s="21"/>
      <c r="AR583">
        <f>F583 +G583</f>
        <v>0</v>
      </c>
    </row>
    <row r="584" spans="1:44" x14ac:dyDescent="0.25">
      <c r="C584" t="str">
        <f ca="1">IFERROR(VLOOKUP(INDEX(OFFSET(_JOUEURS,0,0,,1),MATCH(A584,OFFSET(_JOUEURS,0,1,,1),0)),_MPG,2,FALSE),"")</f>
        <v/>
      </c>
      <c r="D584" s="68"/>
      <c r="E584" s="93"/>
      <c r="F584" s="54"/>
      <c r="G584" s="88"/>
      <c r="H584" s="53"/>
      <c r="I584" s="55"/>
      <c r="J584" s="124"/>
      <c r="K584" s="18"/>
      <c r="L584" s="28"/>
      <c r="M584" s="28"/>
      <c r="N584" s="28"/>
      <c r="O584" s="28"/>
      <c r="P584" s="21"/>
      <c r="Q584" s="28"/>
      <c r="R584" s="18"/>
      <c r="S584" s="17"/>
      <c r="T584" s="18"/>
      <c r="U584" s="18"/>
      <c r="V584" s="18"/>
      <c r="W584" s="28"/>
      <c r="X584" s="18"/>
      <c r="Y584" s="18"/>
      <c r="Z584" s="28"/>
      <c r="AA584" s="18"/>
      <c r="AB584" s="18"/>
      <c r="AC584" s="18"/>
      <c r="AD584" s="28"/>
      <c r="AE584" s="18"/>
      <c r="AF584" s="18"/>
      <c r="AG584" s="28"/>
      <c r="AH584" s="21"/>
      <c r="AI584" s="18"/>
      <c r="AJ584" s="18"/>
      <c r="AK584" s="21"/>
      <c r="AL584" s="18"/>
      <c r="AM584" s="20"/>
      <c r="AN584" s="21"/>
      <c r="AO584" s="21"/>
      <c r="AP584" s="28"/>
      <c r="AQ584" s="21"/>
    </row>
    <row r="585" spans="1:44" x14ac:dyDescent="0.25">
      <c r="A585" t="str">
        <f>B585 &amp; " - " &amp;E585</f>
        <v xml:space="preserve"> - </v>
      </c>
      <c r="C585" t="str">
        <f ca="1">IFERROR(VLOOKUP(INDEX(OFFSET(_JOUEURS,0,0,,1),MATCH(A585,OFFSET(_JOUEURS,0,1,,1),0)),_MPG,2,FALSE),"")</f>
        <v/>
      </c>
      <c r="E585" s="90"/>
      <c r="F585" s="25"/>
      <c r="G585" s="77"/>
      <c r="H585" s="56"/>
      <c r="I585" s="27"/>
      <c r="J585" s="124"/>
      <c r="K585" s="18"/>
      <c r="L585" s="28"/>
      <c r="M585" s="18"/>
      <c r="N585" s="28"/>
      <c r="O585" s="28"/>
      <c r="P585" s="21"/>
      <c r="Q585" s="28"/>
      <c r="R585" s="18"/>
      <c r="S585" s="17"/>
      <c r="T585" s="18"/>
      <c r="U585" s="18"/>
      <c r="V585" s="18"/>
      <c r="W585" s="28"/>
      <c r="X585" s="18"/>
      <c r="Y585" s="18"/>
      <c r="Z585" s="28"/>
      <c r="AA585" s="18"/>
      <c r="AB585" s="18"/>
      <c r="AC585" s="18"/>
      <c r="AD585" s="121"/>
      <c r="AE585" s="65"/>
      <c r="AF585" s="18"/>
      <c r="AG585" s="18"/>
      <c r="AH585" s="21"/>
      <c r="AI585" s="18"/>
      <c r="AJ585" s="18"/>
      <c r="AK585" s="21"/>
      <c r="AL585" s="18"/>
      <c r="AM585" s="156"/>
      <c r="AN585" s="21"/>
      <c r="AO585" s="21"/>
      <c r="AP585" s="28"/>
      <c r="AQ585" s="21"/>
      <c r="AR585">
        <f>F585 +G585</f>
        <v>0</v>
      </c>
    </row>
    <row r="586" spans="1:44" x14ac:dyDescent="0.25">
      <c r="A586" t="str">
        <f>B586 &amp; " - " &amp;E586</f>
        <v xml:space="preserve"> - </v>
      </c>
      <c r="C586" t="str">
        <f ca="1">IFERROR(VLOOKUP(INDEX(OFFSET(_JOUEURS,0,0,,1),MATCH(A586,OFFSET(_JOUEURS,0,1,,1),0)),_MPG,2,FALSE),"")</f>
        <v/>
      </c>
      <c r="E586" s="90"/>
      <c r="F586" s="25"/>
      <c r="G586" s="77"/>
      <c r="H586" s="56"/>
      <c r="I586" s="27"/>
      <c r="J586" s="124"/>
      <c r="K586" s="18"/>
      <c r="L586" s="28"/>
      <c r="M586" s="18"/>
      <c r="N586" s="28"/>
      <c r="O586" s="28"/>
      <c r="P586" s="21"/>
      <c r="Q586" s="28"/>
      <c r="R586" s="18"/>
      <c r="S586" s="59"/>
      <c r="T586" s="18"/>
      <c r="U586" s="18"/>
      <c r="V586" s="18"/>
      <c r="W586" s="28"/>
      <c r="X586" s="18"/>
      <c r="Y586" s="18"/>
      <c r="Z586" s="28"/>
      <c r="AA586" s="18"/>
      <c r="AB586" s="18"/>
      <c r="AC586" s="18"/>
      <c r="AD586" s="28"/>
      <c r="AE586" s="18"/>
      <c r="AF586" s="18"/>
      <c r="AG586" s="18"/>
      <c r="AH586" s="21"/>
      <c r="AI586" s="18"/>
      <c r="AJ586" s="18"/>
      <c r="AK586" s="21"/>
      <c r="AL586" s="18"/>
      <c r="AM586" s="20"/>
      <c r="AN586" s="21"/>
      <c r="AO586" s="21"/>
      <c r="AP586" s="28"/>
      <c r="AQ586" s="21"/>
      <c r="AR586">
        <f>F586 +G586</f>
        <v>0</v>
      </c>
    </row>
    <row r="587" spans="1:44" x14ac:dyDescent="0.25">
      <c r="A587" t="str">
        <f>B587 &amp; " - " &amp;E587</f>
        <v xml:space="preserve"> - </v>
      </c>
      <c r="C587" t="str">
        <f ca="1">IFERROR(VLOOKUP(INDEX(OFFSET(_JOUEURS,0,0,,1),MATCH(A587,OFFSET(_JOUEURS,0,1,,1),0)),_MPG,2,FALSE),"")</f>
        <v/>
      </c>
      <c r="E587" s="50"/>
      <c r="F587" s="25"/>
      <c r="G587" s="77"/>
      <c r="H587" s="56"/>
      <c r="I587" s="27"/>
      <c r="J587" s="70"/>
      <c r="K587" s="18"/>
      <c r="L587" s="60"/>
      <c r="M587" s="18"/>
      <c r="N587" s="28"/>
      <c r="O587" s="28"/>
      <c r="P587" s="21"/>
      <c r="Q587" s="28"/>
      <c r="R587" s="28"/>
      <c r="S587" s="17"/>
      <c r="T587" s="18"/>
      <c r="U587" s="18"/>
      <c r="V587" s="18"/>
      <c r="W587" s="28"/>
      <c r="X587" s="28"/>
      <c r="Y587" s="18"/>
      <c r="Z587" s="28"/>
      <c r="AA587" s="28"/>
      <c r="AB587" s="28"/>
      <c r="AC587" s="18"/>
      <c r="AD587" s="28"/>
      <c r="AE587" s="18"/>
      <c r="AF587" s="18"/>
      <c r="AG587" s="18"/>
      <c r="AH587" s="22"/>
      <c r="AI587" s="16"/>
      <c r="AJ587" s="18"/>
      <c r="AK587" s="21"/>
      <c r="AL587" s="59"/>
      <c r="AM587" s="20"/>
      <c r="AN587" s="99"/>
      <c r="AO587" s="21"/>
      <c r="AP587" s="28"/>
      <c r="AQ587" s="21"/>
      <c r="AR587">
        <f>F587 +G587</f>
        <v>0</v>
      </c>
    </row>
    <row r="588" spans="1:44" x14ac:dyDescent="0.25">
      <c r="C588" t="str">
        <f ca="1">IFERROR(VLOOKUP(INDEX(OFFSET(_JOUEURS,0,0,,1),MATCH(A588,OFFSET(_JOUEURS,0,1,,1),0)),_MPG,2,FALSE),"")</f>
        <v/>
      </c>
      <c r="D588" s="49"/>
      <c r="E588" s="43"/>
      <c r="F588" s="39"/>
      <c r="G588" s="48"/>
      <c r="H588" s="103"/>
      <c r="I588" s="63"/>
      <c r="J588" s="157"/>
      <c r="K588" s="40"/>
      <c r="L588" s="46"/>
      <c r="M588" s="40"/>
      <c r="N588" s="46"/>
      <c r="O588" s="46"/>
      <c r="P588" s="48"/>
      <c r="Q588" s="46"/>
      <c r="R588" s="40"/>
      <c r="S588" s="44"/>
      <c r="T588" s="40"/>
      <c r="U588" s="40"/>
      <c r="V588" s="40"/>
      <c r="W588" s="46"/>
      <c r="X588" s="40"/>
      <c r="Y588" s="40"/>
      <c r="Z588" s="46"/>
      <c r="AA588" s="40"/>
      <c r="AB588" s="64"/>
      <c r="AC588" s="40"/>
      <c r="AD588" s="46"/>
      <c r="AE588" s="44"/>
      <c r="AF588" s="44"/>
      <c r="AG588" s="44"/>
      <c r="AH588" s="48"/>
      <c r="AI588" s="44"/>
      <c r="AJ588" s="40"/>
      <c r="AK588" s="48"/>
      <c r="AL588" s="40"/>
      <c r="AM588" s="47"/>
      <c r="AN588" s="48"/>
      <c r="AO588" s="48"/>
      <c r="AP588" s="46"/>
      <c r="AQ588" s="48"/>
    </row>
    <row r="589" spans="1:44" x14ac:dyDescent="0.25">
      <c r="A589" t="str">
        <f>B589 &amp; " - " &amp;E589</f>
        <v xml:space="preserve"> - </v>
      </c>
      <c r="C589" t="str">
        <f ca="1">IFERROR(VLOOKUP(INDEX(OFFSET(_JOUEURS,0,0,,1),MATCH(A589,OFFSET(_JOUEURS,0,1,,1),0)),_MPG,2,FALSE),"")</f>
        <v/>
      </c>
      <c r="E589" s="50"/>
      <c r="F589" s="25"/>
      <c r="G589" s="77"/>
      <c r="H589" s="56"/>
      <c r="I589" s="27"/>
      <c r="J589" s="124"/>
      <c r="K589" s="28"/>
      <c r="L589" s="28"/>
      <c r="M589" s="18"/>
      <c r="N589" s="28"/>
      <c r="O589" s="60"/>
      <c r="P589" s="21"/>
      <c r="Q589" s="28"/>
      <c r="R589" s="18"/>
      <c r="S589" s="17"/>
      <c r="T589" s="16"/>
      <c r="U589" s="18"/>
      <c r="V589" s="28"/>
      <c r="W589" s="28"/>
      <c r="X589" s="18"/>
      <c r="Y589" s="18"/>
      <c r="Z589" s="60"/>
      <c r="AA589" s="18"/>
      <c r="AB589" s="28"/>
      <c r="AC589" s="28"/>
      <c r="AD589" s="28"/>
      <c r="AE589" s="16"/>
      <c r="AF589" s="28"/>
      <c r="AG589" s="28"/>
      <c r="AH589" s="99"/>
      <c r="AI589" s="16"/>
      <c r="AJ589" s="59"/>
      <c r="AK589" s="21"/>
      <c r="AL589" s="28"/>
      <c r="AM589" s="20"/>
      <c r="AN589" s="74"/>
      <c r="AO589" s="21"/>
      <c r="AP589" s="28"/>
      <c r="AQ589" s="21"/>
      <c r="AR589">
        <f>F589 +G589</f>
        <v>0</v>
      </c>
    </row>
    <row r="590" spans="1:44" x14ac:dyDescent="0.25">
      <c r="C590" t="str">
        <f ca="1">IFERROR(VLOOKUP(INDEX(OFFSET(_JOUEURS,0,0,,1),MATCH(A590,OFFSET(_JOUEURS,0,1,,1),0)),_MPG,2,FALSE),"")</f>
        <v/>
      </c>
      <c r="E590" s="90"/>
      <c r="F590" s="25"/>
      <c r="G590" s="77"/>
      <c r="H590" s="56"/>
      <c r="I590" s="27"/>
      <c r="J590" s="124"/>
      <c r="K590" s="18"/>
      <c r="L590" s="28"/>
      <c r="M590" s="28"/>
      <c r="N590" s="28"/>
      <c r="O590" s="59"/>
      <c r="P590" s="21"/>
      <c r="Q590" s="28"/>
      <c r="R590" s="28"/>
      <c r="S590" s="59"/>
      <c r="T590" s="59"/>
      <c r="U590" s="28"/>
      <c r="V590" s="28"/>
      <c r="W590" s="28"/>
      <c r="X590" s="18"/>
      <c r="Y590" s="18"/>
      <c r="Z590" s="60"/>
      <c r="AA590" s="18"/>
      <c r="AB590" s="28"/>
      <c r="AC590" s="18"/>
      <c r="AD590" s="28"/>
      <c r="AE590" s="16"/>
      <c r="AF590" s="28"/>
      <c r="AG590" s="18"/>
      <c r="AH590" s="21"/>
      <c r="AI590" s="18"/>
      <c r="AJ590" s="18"/>
      <c r="AK590" s="21"/>
      <c r="AL590" s="18"/>
      <c r="AM590" s="20"/>
      <c r="AN590" s="21"/>
      <c r="AO590" s="20"/>
      <c r="AP590" s="28"/>
      <c r="AQ590" s="21"/>
    </row>
    <row r="591" spans="1:44" ht="15.75" thickBot="1" x14ac:dyDescent="0.3">
      <c r="C591" t="str">
        <f ca="1">IFERROR(VLOOKUP(INDEX(OFFSET(_JOUEURS,0,0,,1),MATCH(A591,OFFSET(_JOUEURS,0,1,,1),0)),_MPG,2,FALSE),"")</f>
        <v/>
      </c>
      <c r="D591" s="100"/>
      <c r="E591" s="117"/>
      <c r="F591" s="73"/>
      <c r="G591" s="91"/>
      <c r="H591" s="72"/>
      <c r="I591" s="92"/>
      <c r="J591" s="124"/>
      <c r="K591" s="28"/>
      <c r="L591" s="67"/>
      <c r="M591" s="28"/>
      <c r="N591" s="28"/>
      <c r="O591" s="59"/>
      <c r="P591" s="21"/>
      <c r="Q591" s="28"/>
      <c r="R591" s="18"/>
      <c r="S591" s="17"/>
      <c r="T591" s="17"/>
      <c r="U591" s="18"/>
      <c r="V591" s="28"/>
      <c r="W591" s="28"/>
      <c r="X591" s="18"/>
      <c r="Y591" s="18"/>
      <c r="Z591" s="60"/>
      <c r="AA591" s="18"/>
      <c r="AB591" s="28"/>
      <c r="AC591" s="18"/>
      <c r="AD591" s="28"/>
      <c r="AE591" s="16"/>
      <c r="AF591" s="28"/>
      <c r="AG591" s="18"/>
      <c r="AH591" s="22"/>
      <c r="AI591" s="16"/>
      <c r="AJ591" s="16"/>
      <c r="AK591" s="21"/>
      <c r="AL591" s="28"/>
      <c r="AM591" s="20"/>
      <c r="AN591" s="74"/>
      <c r="AO591" s="21"/>
      <c r="AP591" s="28"/>
      <c r="AQ591" s="21"/>
    </row>
  </sheetData>
  <autoFilter ref="A15:AR591">
    <filterColumn colId="2">
      <filters blank="1"/>
    </filterColumn>
    <sortState ref="A16:AR591">
      <sortCondition descending="1" ref="H15:H591"/>
    </sortState>
  </autoFilter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euil3.faireTotal">
                <anchor moveWithCells="1" sizeWithCells="1">
                  <from>
                    <xdr:col>6</xdr:col>
                    <xdr:colOff>371475</xdr:colOff>
                    <xdr:row>0</xdr:row>
                    <xdr:rowOff>47625</xdr:rowOff>
                  </from>
                  <to>
                    <xdr:col>8</xdr:col>
                    <xdr:colOff>361950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S26"/>
  <sheetViews>
    <sheetView topLeftCell="E1" workbookViewId="0">
      <selection activeCell="Q16" sqref="Q16"/>
    </sheetView>
  </sheetViews>
  <sheetFormatPr baseColWidth="10" defaultColWidth="9.25" defaultRowHeight="15" x14ac:dyDescent="0.25"/>
  <cols>
    <col min="2" max="2" width="13" customWidth="1"/>
    <col min="6" max="6" width="13" customWidth="1"/>
    <col min="10" max="10" width="13" customWidth="1"/>
    <col min="14" max="14" width="13" customWidth="1"/>
  </cols>
  <sheetData>
    <row r="1" spans="2:19" ht="15.75" thickBot="1" x14ac:dyDescent="0.3"/>
    <row r="2" spans="2:19" ht="15.75" thickBot="1" x14ac:dyDescent="0.3">
      <c r="B2" s="166" t="s">
        <v>360</v>
      </c>
      <c r="C2" s="167" t="s">
        <v>575</v>
      </c>
      <c r="D2" s="167" t="s">
        <v>576</v>
      </c>
      <c r="E2" s="168" t="s">
        <v>15</v>
      </c>
      <c r="F2" s="166" t="s">
        <v>363</v>
      </c>
      <c r="G2" s="167" t="s">
        <v>575</v>
      </c>
      <c r="H2" s="167" t="s">
        <v>576</v>
      </c>
      <c r="I2" s="168" t="s">
        <v>15</v>
      </c>
      <c r="J2" s="166" t="s">
        <v>369</v>
      </c>
      <c r="K2" s="167" t="s">
        <v>575</v>
      </c>
      <c r="L2" s="167" t="s">
        <v>576</v>
      </c>
      <c r="M2" s="168" t="s">
        <v>15</v>
      </c>
      <c r="N2" s="166" t="s">
        <v>372</v>
      </c>
      <c r="O2" s="167" t="s">
        <v>575</v>
      </c>
      <c r="P2" s="167" t="s">
        <v>576</v>
      </c>
      <c r="Q2" s="168" t="s">
        <v>15</v>
      </c>
    </row>
    <row r="3" spans="2:19" x14ac:dyDescent="0.25">
      <c r="B3" s="23" t="s">
        <v>1120</v>
      </c>
      <c r="C3" s="24">
        <v>12</v>
      </c>
      <c r="D3" s="24"/>
      <c r="E3" s="56">
        <v>13</v>
      </c>
      <c r="F3" s="23" t="s">
        <v>1170</v>
      </c>
      <c r="G3" s="24">
        <v>15</v>
      </c>
      <c r="H3" s="24"/>
      <c r="I3" s="24">
        <v>21</v>
      </c>
      <c r="J3" s="23" t="s">
        <v>1382</v>
      </c>
      <c r="K3" s="24">
        <v>16</v>
      </c>
      <c r="L3" s="24"/>
      <c r="M3" s="24">
        <v>33</v>
      </c>
      <c r="N3" s="12" t="s">
        <v>1276</v>
      </c>
      <c r="O3" s="219">
        <v>12</v>
      </c>
      <c r="P3" s="219"/>
      <c r="Q3" s="216"/>
    </row>
    <row r="4" spans="2:19" x14ac:dyDescent="0.25">
      <c r="B4" s="23" t="s">
        <v>1121</v>
      </c>
      <c r="C4" s="24">
        <v>6</v>
      </c>
      <c r="D4" s="24"/>
      <c r="E4" s="56">
        <v>7</v>
      </c>
      <c r="F4" s="23" t="s">
        <v>1098</v>
      </c>
      <c r="G4" s="24">
        <v>17</v>
      </c>
      <c r="H4" s="24"/>
      <c r="I4" s="24">
        <v>24</v>
      </c>
      <c r="J4" s="23" t="s">
        <v>1156</v>
      </c>
      <c r="K4" s="24">
        <v>19</v>
      </c>
      <c r="L4" s="24"/>
      <c r="M4" s="24">
        <v>24</v>
      </c>
      <c r="N4" s="23" t="s">
        <v>1518</v>
      </c>
      <c r="O4" s="29">
        <v>37</v>
      </c>
      <c r="P4" s="29"/>
      <c r="Q4" s="163"/>
    </row>
    <row r="5" spans="2:19" x14ac:dyDescent="0.25">
      <c r="B5" s="23"/>
      <c r="C5" s="24"/>
      <c r="D5" s="24"/>
      <c r="E5" s="56"/>
      <c r="F5" s="23" t="s">
        <v>1307</v>
      </c>
      <c r="G5" s="29">
        <v>12</v>
      </c>
      <c r="H5" s="24"/>
      <c r="I5" s="29">
        <v>14</v>
      </c>
      <c r="J5" s="23" t="s">
        <v>1084</v>
      </c>
      <c r="K5" s="29">
        <v>15</v>
      </c>
      <c r="L5" s="29"/>
      <c r="M5" s="29">
        <v>22</v>
      </c>
      <c r="N5" s="23" t="s">
        <v>1165</v>
      </c>
      <c r="O5" s="29">
        <v>32</v>
      </c>
      <c r="P5" s="29"/>
      <c r="Q5" s="163"/>
    </row>
    <row r="6" spans="2:19" x14ac:dyDescent="0.25">
      <c r="B6" s="23"/>
      <c r="C6" s="24"/>
      <c r="D6" s="24"/>
      <c r="E6" s="56"/>
      <c r="F6" s="23" t="s">
        <v>1051</v>
      </c>
      <c r="G6" s="29">
        <v>3</v>
      </c>
      <c r="H6" s="29"/>
      <c r="I6" s="29">
        <v>5</v>
      </c>
      <c r="J6" s="23" t="s">
        <v>1434</v>
      </c>
      <c r="K6" s="29">
        <v>17</v>
      </c>
      <c r="L6" s="29"/>
      <c r="M6" s="29">
        <v>21</v>
      </c>
      <c r="N6" s="23" t="s">
        <v>1469</v>
      </c>
      <c r="O6" s="29">
        <v>11</v>
      </c>
      <c r="P6" s="29"/>
      <c r="Q6" s="56">
        <v>13</v>
      </c>
    </row>
    <row r="7" spans="2:19" x14ac:dyDescent="0.25">
      <c r="B7" s="23"/>
      <c r="C7" s="24"/>
      <c r="D7" s="24"/>
      <c r="E7" s="56"/>
      <c r="F7" s="23" t="s">
        <v>1076</v>
      </c>
      <c r="G7" s="29">
        <v>12</v>
      </c>
      <c r="H7" s="29"/>
      <c r="I7" s="29">
        <v>13</v>
      </c>
      <c r="J7" s="23" t="s">
        <v>1103</v>
      </c>
      <c r="K7" s="29">
        <v>13</v>
      </c>
      <c r="L7" s="29"/>
      <c r="M7" s="56">
        <v>15</v>
      </c>
      <c r="N7" s="23" t="s">
        <v>1388</v>
      </c>
      <c r="O7" s="29">
        <v>17</v>
      </c>
      <c r="P7" s="29"/>
      <c r="Q7" s="56">
        <v>22</v>
      </c>
    </row>
    <row r="8" spans="2:19" x14ac:dyDescent="0.25">
      <c r="B8" s="23"/>
      <c r="C8" s="24"/>
      <c r="D8" s="24"/>
      <c r="E8" s="56"/>
      <c r="F8" s="23" t="s">
        <v>1152</v>
      </c>
      <c r="G8" s="29">
        <v>16</v>
      </c>
      <c r="H8" s="29"/>
      <c r="I8" s="29"/>
      <c r="J8" s="23" t="s">
        <v>1200</v>
      </c>
      <c r="K8" s="29">
        <v>11</v>
      </c>
      <c r="L8" s="29"/>
      <c r="M8" s="56">
        <v>12</v>
      </c>
      <c r="N8" s="23"/>
      <c r="O8" s="29"/>
      <c r="P8" s="29"/>
      <c r="Q8" s="56"/>
    </row>
    <row r="9" spans="2:19" x14ac:dyDescent="0.25">
      <c r="B9" s="23"/>
      <c r="C9" s="24"/>
      <c r="D9" s="24"/>
      <c r="E9" s="56"/>
      <c r="F9" s="23" t="s">
        <v>1124</v>
      </c>
      <c r="G9" s="29">
        <v>14</v>
      </c>
      <c r="H9" s="29"/>
      <c r="I9" s="56">
        <v>16</v>
      </c>
      <c r="J9" s="152" t="s">
        <v>1192</v>
      </c>
      <c r="K9" s="29">
        <v>9</v>
      </c>
      <c r="M9" s="163">
        <v>25</v>
      </c>
      <c r="N9" s="23"/>
      <c r="O9" s="29"/>
      <c r="P9" s="29"/>
      <c r="Q9" s="56"/>
    </row>
    <row r="10" spans="2:19" x14ac:dyDescent="0.25">
      <c r="B10" s="23"/>
      <c r="C10" s="24"/>
      <c r="D10" s="24"/>
      <c r="E10" s="56"/>
      <c r="F10" s="23"/>
      <c r="G10" s="29"/>
      <c r="H10" s="29"/>
      <c r="I10" s="56"/>
      <c r="J10" s="152" t="s">
        <v>1231</v>
      </c>
      <c r="K10" s="29">
        <v>16</v>
      </c>
      <c r="M10" s="163">
        <v>24</v>
      </c>
      <c r="N10" s="23"/>
      <c r="O10" s="24"/>
      <c r="P10" s="24"/>
      <c r="Q10" s="56"/>
    </row>
    <row r="11" spans="2:19" ht="15.75" thickBot="1" x14ac:dyDescent="0.3">
      <c r="B11" s="71"/>
      <c r="C11" s="100"/>
      <c r="D11" s="100"/>
      <c r="E11" s="72"/>
      <c r="F11" s="71"/>
      <c r="G11" s="100"/>
      <c r="H11" s="100"/>
      <c r="I11" s="72"/>
      <c r="J11" s="71"/>
      <c r="K11" s="100"/>
      <c r="L11" s="100"/>
      <c r="M11" s="72"/>
      <c r="N11" s="71"/>
      <c r="O11" s="100"/>
      <c r="P11" s="100"/>
      <c r="Q11" s="72"/>
    </row>
    <row r="12" spans="2:19" x14ac:dyDescent="0.25">
      <c r="D12">
        <f>COUNT(E3:E11)</f>
        <v>2</v>
      </c>
      <c r="E12">
        <f>SUM(E3:E11)</f>
        <v>20</v>
      </c>
      <c r="H12">
        <f>COUNT(I3:I11)</f>
        <v>6</v>
      </c>
      <c r="I12">
        <f>SUM(I3:I11)</f>
        <v>93</v>
      </c>
      <c r="L12">
        <f>COUNT(M3:M11)</f>
        <v>8</v>
      </c>
      <c r="M12">
        <f>SUM(M3:M11)</f>
        <v>176</v>
      </c>
      <c r="P12">
        <f>COUNT(Q3:Q11)</f>
        <v>2</v>
      </c>
      <c r="Q12">
        <f>SUM(Q3:Q11)</f>
        <v>35</v>
      </c>
      <c r="R12">
        <f>SUM(Q12,E12,I12,M12,)</f>
        <v>324</v>
      </c>
      <c r="S12">
        <f>500-R12</f>
        <v>176</v>
      </c>
    </row>
    <row r="13" spans="2:19" x14ac:dyDescent="0.25">
      <c r="D13">
        <v>2</v>
      </c>
      <c r="H13">
        <v>6</v>
      </c>
      <c r="L13">
        <v>6</v>
      </c>
      <c r="P13">
        <v>4</v>
      </c>
      <c r="R13">
        <f>SUM(P12,D12,H12,L12,)</f>
        <v>18</v>
      </c>
    </row>
    <row r="14" spans="2:19" ht="15.75" thickBot="1" x14ac:dyDescent="0.3"/>
    <row r="15" spans="2:19" ht="15.75" thickBot="1" x14ac:dyDescent="0.3">
      <c r="B15" s="166" t="s">
        <v>360</v>
      </c>
      <c r="C15" s="167" t="s">
        <v>575</v>
      </c>
      <c r="D15" s="167" t="s">
        <v>576</v>
      </c>
      <c r="E15" s="168" t="s">
        <v>15</v>
      </c>
      <c r="F15" s="166" t="s">
        <v>363</v>
      </c>
      <c r="G15" s="167" t="s">
        <v>575</v>
      </c>
      <c r="H15" s="167" t="s">
        <v>576</v>
      </c>
      <c r="I15" s="168" t="s">
        <v>15</v>
      </c>
      <c r="J15" s="166" t="s">
        <v>369</v>
      </c>
      <c r="K15" s="167" t="s">
        <v>575</v>
      </c>
      <c r="L15" s="167" t="s">
        <v>576</v>
      </c>
      <c r="M15" s="168" t="s">
        <v>15</v>
      </c>
      <c r="N15" s="166" t="s">
        <v>372</v>
      </c>
      <c r="O15" s="167" t="s">
        <v>575</v>
      </c>
      <c r="P15" s="167" t="s">
        <v>576</v>
      </c>
      <c r="Q15" s="168" t="s">
        <v>15</v>
      </c>
    </row>
    <row r="16" spans="2:19" x14ac:dyDescent="0.25">
      <c r="B16" s="23"/>
      <c r="C16" s="24"/>
      <c r="D16" s="24"/>
      <c r="E16" s="56"/>
      <c r="F16" s="23" t="s">
        <v>1160</v>
      </c>
      <c r="G16" s="24">
        <v>15</v>
      </c>
      <c r="H16" s="24"/>
      <c r="I16" s="56">
        <v>24</v>
      </c>
      <c r="J16" s="23"/>
      <c r="K16" s="24"/>
      <c r="L16" s="24"/>
      <c r="M16" s="56"/>
      <c r="N16" s="23" t="s">
        <v>1256</v>
      </c>
      <c r="O16" s="29">
        <v>25</v>
      </c>
      <c r="P16" s="29"/>
      <c r="Q16" s="56">
        <v>36</v>
      </c>
    </row>
    <row r="17" spans="2:19" x14ac:dyDescent="0.25">
      <c r="B17" s="23"/>
      <c r="C17" s="24"/>
      <c r="D17" s="24"/>
      <c r="E17" s="56"/>
      <c r="F17" s="23" t="s">
        <v>1148</v>
      </c>
      <c r="G17" s="24">
        <v>16</v>
      </c>
      <c r="H17" s="24"/>
      <c r="I17" s="56">
        <v>24</v>
      </c>
      <c r="J17" s="23"/>
      <c r="K17" s="24"/>
      <c r="L17" s="24"/>
      <c r="M17" s="56"/>
      <c r="N17" s="23" t="s">
        <v>1187</v>
      </c>
      <c r="O17" s="29">
        <v>9</v>
      </c>
      <c r="P17" s="29"/>
      <c r="Q17" s="56">
        <v>16</v>
      </c>
    </row>
    <row r="18" spans="2:19" x14ac:dyDescent="0.25">
      <c r="B18" s="23"/>
      <c r="C18" s="24"/>
      <c r="D18" s="24"/>
      <c r="E18" s="56"/>
      <c r="H18" s="24"/>
      <c r="I18" s="56"/>
      <c r="J18" s="23"/>
      <c r="K18" s="29"/>
      <c r="L18" s="24"/>
      <c r="M18" s="56"/>
      <c r="N18" s="23" t="s">
        <v>1299</v>
      </c>
      <c r="O18" s="29">
        <v>29</v>
      </c>
      <c r="P18" s="29"/>
      <c r="Q18" s="56">
        <v>48</v>
      </c>
    </row>
    <row r="19" spans="2:19" x14ac:dyDescent="0.25">
      <c r="B19" s="23"/>
      <c r="C19" s="24"/>
      <c r="D19" s="24"/>
      <c r="E19" s="56"/>
      <c r="F19" s="23"/>
      <c r="G19" s="29"/>
      <c r="H19" s="24"/>
      <c r="I19" s="56"/>
      <c r="J19" s="23"/>
      <c r="K19" s="29"/>
      <c r="L19" s="29"/>
      <c r="M19" s="56"/>
      <c r="N19" s="23" t="s">
        <v>411</v>
      </c>
      <c r="O19" s="29">
        <v>16</v>
      </c>
      <c r="P19" s="29"/>
      <c r="Q19" s="56">
        <v>28</v>
      </c>
    </row>
    <row r="20" spans="2:19" x14ac:dyDescent="0.25">
      <c r="B20" s="23"/>
      <c r="C20" s="24"/>
      <c r="D20" s="24"/>
      <c r="E20" s="56"/>
      <c r="F20" s="23"/>
      <c r="G20" s="29"/>
      <c r="H20" s="29"/>
      <c r="I20" s="56"/>
      <c r="J20" s="23"/>
      <c r="K20" s="29"/>
      <c r="L20" s="29"/>
      <c r="M20" s="56"/>
      <c r="N20" s="23"/>
      <c r="O20" s="29"/>
      <c r="P20" s="29"/>
      <c r="Q20" s="56"/>
    </row>
    <row r="21" spans="2:19" x14ac:dyDescent="0.25">
      <c r="B21" s="23"/>
      <c r="C21" s="24"/>
      <c r="D21" s="24"/>
      <c r="E21" s="56"/>
      <c r="F21" s="23"/>
      <c r="G21" s="29"/>
      <c r="H21" s="29"/>
      <c r="I21" s="56"/>
      <c r="J21" s="23"/>
      <c r="K21" s="29"/>
      <c r="L21" s="29"/>
      <c r="M21" s="56"/>
      <c r="N21" s="23"/>
      <c r="O21" s="29"/>
      <c r="P21" s="29"/>
      <c r="Q21" s="56"/>
    </row>
    <row r="22" spans="2:19" x14ac:dyDescent="0.25">
      <c r="B22" s="23"/>
      <c r="C22" s="24"/>
      <c r="D22" s="24"/>
      <c r="E22" s="56"/>
      <c r="F22" s="23"/>
      <c r="G22" s="29"/>
      <c r="H22" s="29"/>
      <c r="I22" s="56"/>
      <c r="J22" s="23"/>
      <c r="K22" s="29"/>
      <c r="L22" s="29"/>
      <c r="M22" s="56"/>
      <c r="N22" s="23"/>
      <c r="O22" s="29"/>
      <c r="P22" s="29"/>
      <c r="Q22" s="56"/>
    </row>
    <row r="23" spans="2:19" x14ac:dyDescent="0.25">
      <c r="B23" s="23"/>
      <c r="C23" s="24"/>
      <c r="D23" s="24"/>
      <c r="E23" s="56"/>
      <c r="F23" s="23"/>
      <c r="G23" s="29"/>
      <c r="H23" s="29"/>
      <c r="I23" s="56"/>
      <c r="N23" s="23"/>
      <c r="O23" s="24"/>
      <c r="P23" s="24"/>
      <c r="Q23" s="56"/>
    </row>
    <row r="24" spans="2:19" ht="15.75" thickBot="1" x14ac:dyDescent="0.3">
      <c r="B24" s="71"/>
      <c r="C24" s="100"/>
      <c r="D24" s="100"/>
      <c r="E24" s="72"/>
      <c r="F24" s="71"/>
      <c r="G24" s="100"/>
      <c r="H24" s="100"/>
      <c r="I24" s="72"/>
      <c r="J24" s="71"/>
      <c r="K24" s="100"/>
      <c r="L24" s="100"/>
      <c r="M24" s="72"/>
      <c r="N24" s="71"/>
      <c r="O24" s="100"/>
      <c r="P24" s="100"/>
      <c r="Q24" s="72"/>
    </row>
    <row r="25" spans="2:19" x14ac:dyDescent="0.25">
      <c r="D25">
        <f>COUNT(E16:E24)</f>
        <v>0</v>
      </c>
      <c r="E25">
        <f>SUM(E16:E24)</f>
        <v>0</v>
      </c>
      <c r="H25">
        <f>COUNT(I16:I24)</f>
        <v>2</v>
      </c>
      <c r="I25">
        <f>SUM(I16:I24)</f>
        <v>48</v>
      </c>
      <c r="L25">
        <f>COUNT(M16:M24)</f>
        <v>0</v>
      </c>
      <c r="M25">
        <f>SUM(M16:M24)</f>
        <v>0</v>
      </c>
      <c r="P25">
        <f>COUNT(Q16:Q24)</f>
        <v>4</v>
      </c>
      <c r="Q25">
        <f>SUM(Q16:Q24)</f>
        <v>128</v>
      </c>
      <c r="R25">
        <f>SUM(Q25,E25,I25,M25,)</f>
        <v>176</v>
      </c>
      <c r="S25">
        <f>S12-R25</f>
        <v>0</v>
      </c>
    </row>
    <row r="26" spans="2:19" x14ac:dyDescent="0.25">
      <c r="D26">
        <v>2</v>
      </c>
      <c r="H26">
        <v>6</v>
      </c>
      <c r="L26">
        <v>6</v>
      </c>
      <c r="P26">
        <v>4</v>
      </c>
      <c r="R26">
        <f>SUM(P25,D25,H25,L25,)</f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I564"/>
  <sheetViews>
    <sheetView topLeftCell="B1" workbookViewId="0">
      <selection activeCell="E2" sqref="E2"/>
    </sheetView>
  </sheetViews>
  <sheetFormatPr baseColWidth="10" defaultRowHeight="15" x14ac:dyDescent="0.25"/>
  <cols>
    <col min="1" max="1" width="0" hidden="1" customWidth="1"/>
    <col min="2" max="2" width="19.625" bestFit="1" customWidth="1"/>
    <col min="3" max="3" width="19" bestFit="1" customWidth="1"/>
    <col min="4" max="4" width="12.75" bestFit="1" customWidth="1"/>
  </cols>
  <sheetData>
    <row r="1" spans="1:8" x14ac:dyDescent="0.25">
      <c r="A1" t="s">
        <v>542</v>
      </c>
      <c r="B1" t="s">
        <v>51</v>
      </c>
      <c r="C1" t="s">
        <v>52</v>
      </c>
      <c r="D1" t="s">
        <v>59</v>
      </c>
      <c r="E1" t="s">
        <v>577</v>
      </c>
      <c r="F1" t="s">
        <v>0</v>
      </c>
    </row>
    <row r="2" spans="1:8" x14ac:dyDescent="0.25">
      <c r="A2" t="str">
        <f t="shared" ref="A2:A65" si="0">D2 &amp; " - " &amp; B2</f>
        <v>Toulouse - Moubandje</v>
      </c>
      <c r="B2" t="s">
        <v>578</v>
      </c>
      <c r="C2" t="s">
        <v>579</v>
      </c>
      <c r="D2" t="s">
        <v>41</v>
      </c>
      <c r="E2">
        <v>10</v>
      </c>
      <c r="F2" t="s">
        <v>8</v>
      </c>
      <c r="G2" t="e">
        <f t="shared" ref="G2:G65" si="1">IF(VLOOKUP(VLOOKUP($A2,_JOUEURS,2,FALSE),_DATA,8,FALSE)=0,"",VLOOKUP(VLOOKUP($A2,_JOUEURS,2,FALSE),_DATA,8,FALSE))</f>
        <v>#N/A</v>
      </c>
    </row>
    <row r="3" spans="1:8" x14ac:dyDescent="0.25">
      <c r="A3" t="str">
        <f t="shared" si="0"/>
        <v>Dijon - Rüfli</v>
      </c>
      <c r="B3" t="s">
        <v>580</v>
      </c>
      <c r="C3" t="s">
        <v>87</v>
      </c>
      <c r="D3" t="s">
        <v>581</v>
      </c>
      <c r="E3">
        <v>7</v>
      </c>
      <c r="F3" t="s">
        <v>8</v>
      </c>
      <c r="G3" t="e">
        <f t="shared" si="1"/>
        <v>#N/A</v>
      </c>
    </row>
    <row r="4" spans="1:8" x14ac:dyDescent="0.25">
      <c r="A4" t="str">
        <f t="shared" si="0"/>
        <v>Angers - Jonas Pessalli</v>
      </c>
      <c r="B4" t="s">
        <v>582</v>
      </c>
      <c r="C4" t="s">
        <v>583</v>
      </c>
      <c r="D4" t="s">
        <v>174</v>
      </c>
      <c r="E4">
        <v>1</v>
      </c>
      <c r="F4" t="s">
        <v>6</v>
      </c>
      <c r="G4" t="e">
        <f t="shared" si="1"/>
        <v>#N/A</v>
      </c>
    </row>
    <row r="5" spans="1:8" x14ac:dyDescent="0.25">
      <c r="A5" t="str">
        <f t="shared" si="0"/>
        <v>Saint Etienne - Selnaes</v>
      </c>
      <c r="B5" t="s">
        <v>570</v>
      </c>
      <c r="C5" t="s">
        <v>584</v>
      </c>
      <c r="D5" t="s">
        <v>585</v>
      </c>
      <c r="E5">
        <v>5</v>
      </c>
      <c r="F5" t="s">
        <v>6</v>
      </c>
      <c r="G5" t="e">
        <f t="shared" si="1"/>
        <v>#N/A</v>
      </c>
      <c r="H5" t="s">
        <v>1040</v>
      </c>
    </row>
    <row r="6" spans="1:8" x14ac:dyDescent="0.25">
      <c r="A6" t="str">
        <f t="shared" si="0"/>
        <v>Toulouse - Somália</v>
      </c>
      <c r="B6" t="s">
        <v>586</v>
      </c>
      <c r="C6" t="s">
        <v>583</v>
      </c>
      <c r="D6" t="s">
        <v>41</v>
      </c>
      <c r="E6">
        <v>9</v>
      </c>
      <c r="F6" t="s">
        <v>6</v>
      </c>
      <c r="G6" t="e">
        <f t="shared" si="1"/>
        <v>#N/A</v>
      </c>
    </row>
    <row r="7" spans="1:8" x14ac:dyDescent="0.25">
      <c r="A7" t="str">
        <f t="shared" si="0"/>
        <v>Guingamp - Kerbrat</v>
      </c>
      <c r="B7" t="s">
        <v>523</v>
      </c>
      <c r="C7" t="s">
        <v>84</v>
      </c>
      <c r="D7" t="s">
        <v>50</v>
      </c>
      <c r="E7">
        <v>9</v>
      </c>
      <c r="F7" t="s">
        <v>8</v>
      </c>
      <c r="G7" t="e">
        <f t="shared" si="1"/>
        <v>#N/A</v>
      </c>
    </row>
    <row r="8" spans="1:8" x14ac:dyDescent="0.25">
      <c r="A8" t="str">
        <f t="shared" si="0"/>
        <v>Guingamp - Sankoh</v>
      </c>
      <c r="B8" t="s">
        <v>521</v>
      </c>
      <c r="C8" t="s">
        <v>587</v>
      </c>
      <c r="D8" t="s">
        <v>50</v>
      </c>
      <c r="E8">
        <v>3</v>
      </c>
      <c r="F8" t="s">
        <v>8</v>
      </c>
      <c r="G8" t="e">
        <f t="shared" si="1"/>
        <v>#N/A</v>
      </c>
    </row>
    <row r="9" spans="1:8" x14ac:dyDescent="0.25">
      <c r="A9" t="str">
        <f t="shared" si="0"/>
        <v>Monaco - Sidibe</v>
      </c>
      <c r="B9" t="s">
        <v>352</v>
      </c>
      <c r="C9" t="s">
        <v>127</v>
      </c>
      <c r="D9" t="s">
        <v>22</v>
      </c>
      <c r="E9">
        <v>17</v>
      </c>
      <c r="F9" t="s">
        <v>8</v>
      </c>
      <c r="G9" t="e">
        <f t="shared" si="1"/>
        <v>#N/A</v>
      </c>
    </row>
    <row r="10" spans="1:8" x14ac:dyDescent="0.25">
      <c r="A10" t="str">
        <f t="shared" si="0"/>
        <v>Marseille - Sarr</v>
      </c>
      <c r="B10" t="s">
        <v>370</v>
      </c>
      <c r="C10" t="s">
        <v>588</v>
      </c>
      <c r="D10" t="s">
        <v>25</v>
      </c>
      <c r="E10">
        <v>13</v>
      </c>
      <c r="F10" t="s">
        <v>6</v>
      </c>
      <c r="G10" t="e">
        <f t="shared" si="1"/>
        <v>#N/A</v>
      </c>
    </row>
    <row r="11" spans="1:8" x14ac:dyDescent="0.25">
      <c r="A11" t="str">
        <f t="shared" si="0"/>
        <v>Bastia - Raspentino</v>
      </c>
      <c r="B11" t="s">
        <v>482</v>
      </c>
      <c r="C11" t="s">
        <v>589</v>
      </c>
      <c r="D11" t="s">
        <v>81</v>
      </c>
      <c r="E11">
        <v>5</v>
      </c>
      <c r="F11" t="s">
        <v>5</v>
      </c>
      <c r="G11" t="e">
        <f t="shared" si="1"/>
        <v>#N/A</v>
      </c>
    </row>
    <row r="12" spans="1:8" x14ac:dyDescent="0.25">
      <c r="A12" t="str">
        <f t="shared" si="0"/>
        <v>Nantes - Djidji</v>
      </c>
      <c r="B12" t="s">
        <v>501</v>
      </c>
      <c r="C12" t="s">
        <v>590</v>
      </c>
      <c r="D12" t="s">
        <v>24</v>
      </c>
      <c r="E12">
        <v>5</v>
      </c>
      <c r="F12" t="s">
        <v>8</v>
      </c>
      <c r="G12" t="e">
        <f t="shared" si="1"/>
        <v>#N/A</v>
      </c>
    </row>
    <row r="13" spans="1:8" x14ac:dyDescent="0.25">
      <c r="A13" t="str">
        <f t="shared" si="0"/>
        <v>Monaco - Mendy</v>
      </c>
      <c r="B13" t="s">
        <v>317</v>
      </c>
      <c r="C13" t="s">
        <v>39</v>
      </c>
      <c r="D13" t="s">
        <v>22</v>
      </c>
      <c r="E13">
        <v>16</v>
      </c>
      <c r="F13" t="s">
        <v>8</v>
      </c>
      <c r="G13" t="e">
        <f t="shared" si="1"/>
        <v>#N/A</v>
      </c>
    </row>
    <row r="14" spans="1:8" x14ac:dyDescent="0.25">
      <c r="A14" t="str">
        <f t="shared" si="0"/>
        <v>Angers - Michel</v>
      </c>
      <c r="B14" t="s">
        <v>642</v>
      </c>
      <c r="C14" t="s">
        <v>43</v>
      </c>
      <c r="D14" t="s">
        <v>174</v>
      </c>
      <c r="E14">
        <v>10</v>
      </c>
      <c r="F14" t="s">
        <v>7</v>
      </c>
      <c r="G14" t="e">
        <f t="shared" si="1"/>
        <v>#N/A</v>
      </c>
    </row>
    <row r="15" spans="1:8" x14ac:dyDescent="0.25">
      <c r="A15" t="str">
        <f t="shared" si="0"/>
        <v>Marseille - Rekik</v>
      </c>
      <c r="B15" t="s">
        <v>368</v>
      </c>
      <c r="C15" t="s">
        <v>592</v>
      </c>
      <c r="D15" t="s">
        <v>25</v>
      </c>
      <c r="E15">
        <v>10</v>
      </c>
      <c r="F15" t="s">
        <v>8</v>
      </c>
      <c r="G15" t="e">
        <f t="shared" si="1"/>
        <v>#N/A</v>
      </c>
    </row>
    <row r="16" spans="1:8" x14ac:dyDescent="0.25">
      <c r="A16" t="str">
        <f t="shared" si="0"/>
        <v>Nantes - Sala</v>
      </c>
      <c r="B16" t="s">
        <v>239</v>
      </c>
      <c r="C16" t="s">
        <v>240</v>
      </c>
      <c r="D16" t="s">
        <v>24</v>
      </c>
      <c r="E16">
        <v>14</v>
      </c>
      <c r="F16" t="s">
        <v>5</v>
      </c>
      <c r="G16" t="e">
        <f t="shared" si="1"/>
        <v>#N/A</v>
      </c>
    </row>
    <row r="17" spans="1:8" x14ac:dyDescent="0.25">
      <c r="A17" t="str">
        <f t="shared" si="0"/>
        <v>Lille - Soumaoro</v>
      </c>
      <c r="B17" t="s">
        <v>417</v>
      </c>
      <c r="C17" t="s">
        <v>593</v>
      </c>
      <c r="D17" t="s">
        <v>34</v>
      </c>
      <c r="E17">
        <v>8</v>
      </c>
      <c r="F17" t="s">
        <v>8</v>
      </c>
      <c r="G17" t="e">
        <f t="shared" si="1"/>
        <v>#N/A</v>
      </c>
    </row>
    <row r="18" spans="1:8" x14ac:dyDescent="0.25">
      <c r="A18" t="str">
        <f t="shared" si="0"/>
        <v>Toulouse - Akpa-Akpro</v>
      </c>
      <c r="B18" t="s">
        <v>464</v>
      </c>
      <c r="C18" t="s">
        <v>594</v>
      </c>
      <c r="D18" t="s">
        <v>41</v>
      </c>
      <c r="E18">
        <v>12</v>
      </c>
      <c r="F18" t="s">
        <v>8</v>
      </c>
      <c r="G18" t="e">
        <f t="shared" si="1"/>
        <v>#N/A</v>
      </c>
    </row>
    <row r="19" spans="1:8" x14ac:dyDescent="0.25">
      <c r="A19" t="str">
        <f t="shared" si="0"/>
        <v>Toulouse - Yago</v>
      </c>
      <c r="B19" t="s">
        <v>465</v>
      </c>
      <c r="C19" t="s">
        <v>595</v>
      </c>
      <c r="D19" t="s">
        <v>41</v>
      </c>
      <c r="E19">
        <v>8</v>
      </c>
      <c r="F19" t="s">
        <v>8</v>
      </c>
      <c r="G19" t="e">
        <f t="shared" si="1"/>
        <v>#N/A</v>
      </c>
    </row>
    <row r="20" spans="1:8" x14ac:dyDescent="0.25">
      <c r="A20" t="str">
        <f t="shared" si="0"/>
        <v>Bastia - Nangis</v>
      </c>
      <c r="B20" t="s">
        <v>424</v>
      </c>
      <c r="C20" t="s">
        <v>596</v>
      </c>
      <c r="D20" t="s">
        <v>81</v>
      </c>
      <c r="E20">
        <v>8</v>
      </c>
      <c r="F20" t="s">
        <v>6</v>
      </c>
      <c r="G20" t="e">
        <f t="shared" si="1"/>
        <v>#N/A</v>
      </c>
    </row>
    <row r="21" spans="1:8" x14ac:dyDescent="0.25">
      <c r="A21" t="str">
        <f t="shared" si="0"/>
        <v>Dijon - Abdelhamid</v>
      </c>
      <c r="B21" t="s">
        <v>597</v>
      </c>
      <c r="C21" t="s">
        <v>598</v>
      </c>
      <c r="D21" t="s">
        <v>581</v>
      </c>
      <c r="E21">
        <v>3</v>
      </c>
      <c r="F21" t="s">
        <v>8</v>
      </c>
      <c r="G21" t="e">
        <f t="shared" si="1"/>
        <v>#N/A</v>
      </c>
      <c r="H21" t="s">
        <v>1040</v>
      </c>
    </row>
    <row r="22" spans="1:8" x14ac:dyDescent="0.25">
      <c r="A22" t="str">
        <f t="shared" si="0"/>
        <v>Bordeaux - Thelin</v>
      </c>
      <c r="B22" t="s">
        <v>305</v>
      </c>
      <c r="C22" t="s">
        <v>306</v>
      </c>
      <c r="D22" t="s">
        <v>31</v>
      </c>
      <c r="E22">
        <v>6</v>
      </c>
      <c r="F22" t="s">
        <v>5</v>
      </c>
      <c r="G22" t="e">
        <f t="shared" si="1"/>
        <v>#N/A</v>
      </c>
    </row>
    <row r="23" spans="1:8" x14ac:dyDescent="0.25">
      <c r="A23" t="str">
        <f t="shared" si="0"/>
        <v>Rennes - Prcic</v>
      </c>
      <c r="B23" t="s">
        <v>494</v>
      </c>
      <c r="C23" t="s">
        <v>599</v>
      </c>
      <c r="D23" t="s">
        <v>42</v>
      </c>
      <c r="E23">
        <v>7</v>
      </c>
      <c r="F23" t="s">
        <v>6</v>
      </c>
      <c r="G23" t="e">
        <f t="shared" si="1"/>
        <v>#N/A</v>
      </c>
    </row>
    <row r="24" spans="1:8" x14ac:dyDescent="0.25">
      <c r="A24" t="str">
        <f t="shared" si="0"/>
        <v>Rennes - Pedro Mendes</v>
      </c>
      <c r="B24" t="s">
        <v>489</v>
      </c>
      <c r="C24" t="s">
        <v>583</v>
      </c>
      <c r="D24" t="s">
        <v>42</v>
      </c>
      <c r="E24">
        <v>12</v>
      </c>
      <c r="F24" t="s">
        <v>8</v>
      </c>
      <c r="G24" t="e">
        <f t="shared" si="1"/>
        <v>#N/A</v>
      </c>
    </row>
    <row r="25" spans="1:8" x14ac:dyDescent="0.25">
      <c r="A25" t="str">
        <f t="shared" si="0"/>
        <v>Montpellier - Saint-Ruf</v>
      </c>
      <c r="B25" t="s">
        <v>600</v>
      </c>
      <c r="C25" t="s">
        <v>66</v>
      </c>
      <c r="D25" t="s">
        <v>21</v>
      </c>
      <c r="E25">
        <v>3</v>
      </c>
      <c r="F25" t="s">
        <v>8</v>
      </c>
      <c r="G25" t="e">
        <f t="shared" si="1"/>
        <v>#N/A</v>
      </c>
    </row>
    <row r="26" spans="1:8" x14ac:dyDescent="0.25">
      <c r="A26" t="str">
        <f t="shared" si="0"/>
        <v>Angers - Mandrea</v>
      </c>
      <c r="B26" t="s">
        <v>730</v>
      </c>
      <c r="C26" t="s">
        <v>70</v>
      </c>
      <c r="D26" t="s">
        <v>174</v>
      </c>
      <c r="E26">
        <v>5</v>
      </c>
      <c r="F26" t="s">
        <v>7</v>
      </c>
      <c r="G26" t="e">
        <f t="shared" si="1"/>
        <v>#N/A</v>
      </c>
    </row>
    <row r="27" spans="1:8" x14ac:dyDescent="0.25">
      <c r="A27" t="str">
        <f t="shared" si="0"/>
        <v>Lyon - Ferri</v>
      </c>
      <c r="B27" t="s">
        <v>105</v>
      </c>
      <c r="C27" t="s">
        <v>78</v>
      </c>
      <c r="D27" t="s">
        <v>28</v>
      </c>
      <c r="E27">
        <v>9</v>
      </c>
      <c r="F27" t="s">
        <v>6</v>
      </c>
      <c r="G27" t="e">
        <f t="shared" si="1"/>
        <v>#N/A</v>
      </c>
    </row>
    <row r="28" spans="1:8" x14ac:dyDescent="0.25">
      <c r="A28" t="str">
        <f t="shared" si="0"/>
        <v>Nantes - Stepinski</v>
      </c>
      <c r="B28" t="s">
        <v>601</v>
      </c>
      <c r="C28" t="s">
        <v>602</v>
      </c>
      <c r="D28" t="s">
        <v>24</v>
      </c>
      <c r="E28">
        <v>3</v>
      </c>
      <c r="F28" t="s">
        <v>5</v>
      </c>
      <c r="G28" t="e">
        <f t="shared" si="1"/>
        <v>#N/A</v>
      </c>
      <c r="H28" t="s">
        <v>1040</v>
      </c>
    </row>
    <row r="29" spans="1:8" x14ac:dyDescent="0.25">
      <c r="A29" t="str">
        <f t="shared" si="0"/>
        <v>Nice - Pléa</v>
      </c>
      <c r="B29" t="s">
        <v>399</v>
      </c>
      <c r="C29" t="s">
        <v>603</v>
      </c>
      <c r="D29" t="s">
        <v>40</v>
      </c>
      <c r="E29">
        <v>15</v>
      </c>
      <c r="F29" t="s">
        <v>5</v>
      </c>
      <c r="G29" t="e">
        <f t="shared" si="1"/>
        <v>#N/A</v>
      </c>
    </row>
    <row r="30" spans="1:8" x14ac:dyDescent="0.25">
      <c r="A30" t="str">
        <f t="shared" si="0"/>
        <v>Metz - Falette</v>
      </c>
      <c r="B30" t="s">
        <v>604</v>
      </c>
      <c r="C30" t="s">
        <v>605</v>
      </c>
      <c r="D30" t="s">
        <v>606</v>
      </c>
      <c r="E30">
        <v>8</v>
      </c>
      <c r="F30" t="s">
        <v>8</v>
      </c>
      <c r="G30" t="e">
        <f t="shared" si="1"/>
        <v>#N/A</v>
      </c>
    </row>
    <row r="31" spans="1:8" x14ac:dyDescent="0.25">
      <c r="A31" t="str">
        <f t="shared" si="0"/>
        <v>Marseille - Sakai</v>
      </c>
      <c r="B31" t="s">
        <v>607</v>
      </c>
      <c r="C31" t="s">
        <v>608</v>
      </c>
      <c r="D31" t="s">
        <v>25</v>
      </c>
      <c r="E31">
        <v>7</v>
      </c>
      <c r="F31" t="s">
        <v>8</v>
      </c>
      <c r="G31" t="e">
        <f t="shared" si="1"/>
        <v>#N/A</v>
      </c>
    </row>
    <row r="32" spans="1:8" x14ac:dyDescent="0.25">
      <c r="A32" t="str">
        <f t="shared" si="0"/>
        <v>Montpellier - Camara</v>
      </c>
      <c r="B32" t="s">
        <v>96</v>
      </c>
      <c r="C32" t="s">
        <v>97</v>
      </c>
      <c r="D32" t="s">
        <v>21</v>
      </c>
      <c r="E32">
        <v>10</v>
      </c>
      <c r="F32" t="s">
        <v>5</v>
      </c>
      <c r="G32" t="e">
        <f t="shared" si="1"/>
        <v>#N/A</v>
      </c>
    </row>
    <row r="33" spans="1:7" x14ac:dyDescent="0.25">
      <c r="A33" t="str">
        <f t="shared" si="0"/>
        <v>Lille - Rony Lopes</v>
      </c>
      <c r="B33" t="s">
        <v>609</v>
      </c>
      <c r="C33" t="s">
        <v>583</v>
      </c>
      <c r="D33" t="s">
        <v>34</v>
      </c>
      <c r="E33">
        <v>10</v>
      </c>
      <c r="F33" t="s">
        <v>6</v>
      </c>
      <c r="G33" t="e">
        <f t="shared" si="1"/>
        <v>#N/A</v>
      </c>
    </row>
    <row r="34" spans="1:7" x14ac:dyDescent="0.25">
      <c r="A34" t="str">
        <f t="shared" si="0"/>
        <v>Angers - Petitgenet</v>
      </c>
      <c r="B34" t="s">
        <v>838</v>
      </c>
      <c r="C34" t="s">
        <v>839</v>
      </c>
      <c r="D34" t="s">
        <v>174</v>
      </c>
      <c r="E34">
        <v>1</v>
      </c>
      <c r="F34" t="s">
        <v>7</v>
      </c>
      <c r="G34" t="e">
        <f t="shared" si="1"/>
        <v>#N/A</v>
      </c>
    </row>
    <row r="35" spans="1:7" x14ac:dyDescent="0.25">
      <c r="A35" t="str">
        <f t="shared" si="0"/>
        <v>Dijon - Bernard</v>
      </c>
      <c r="B35" t="s">
        <v>611</v>
      </c>
      <c r="C35" t="s">
        <v>612</v>
      </c>
      <c r="D35" t="s">
        <v>581</v>
      </c>
      <c r="E35">
        <v>3</v>
      </c>
      <c r="F35" t="s">
        <v>8</v>
      </c>
      <c r="G35" t="e">
        <f t="shared" si="1"/>
        <v>#N/A</v>
      </c>
    </row>
    <row r="36" spans="1:7" x14ac:dyDescent="0.25">
      <c r="A36" t="str">
        <f t="shared" si="0"/>
        <v>Nice - Bosetti</v>
      </c>
      <c r="B36" t="s">
        <v>401</v>
      </c>
      <c r="C36" t="s">
        <v>613</v>
      </c>
      <c r="D36" t="s">
        <v>40</v>
      </c>
      <c r="E36">
        <v>6</v>
      </c>
      <c r="F36" t="s">
        <v>6</v>
      </c>
      <c r="G36" t="e">
        <f t="shared" si="1"/>
        <v>#N/A</v>
      </c>
    </row>
    <row r="37" spans="1:7" x14ac:dyDescent="0.25">
      <c r="A37" t="str">
        <f t="shared" si="0"/>
        <v>Rennes - Zeffane</v>
      </c>
      <c r="B37" t="s">
        <v>148</v>
      </c>
      <c r="C37" t="s">
        <v>146</v>
      </c>
      <c r="D37" t="s">
        <v>42</v>
      </c>
      <c r="E37">
        <v>9</v>
      </c>
      <c r="F37" t="s">
        <v>8</v>
      </c>
      <c r="G37" t="e">
        <f t="shared" si="1"/>
        <v>#N/A</v>
      </c>
    </row>
    <row r="38" spans="1:7" x14ac:dyDescent="0.25">
      <c r="A38" t="str">
        <f t="shared" si="0"/>
        <v>Dijon - Tavares</v>
      </c>
      <c r="B38" t="s">
        <v>614</v>
      </c>
      <c r="C38" t="s">
        <v>615</v>
      </c>
      <c r="D38" t="s">
        <v>581</v>
      </c>
      <c r="E38">
        <v>11</v>
      </c>
      <c r="F38" t="s">
        <v>5</v>
      </c>
      <c r="G38" t="e">
        <f t="shared" si="1"/>
        <v>#N/A</v>
      </c>
    </row>
    <row r="39" spans="1:7" x14ac:dyDescent="0.25">
      <c r="A39" t="str">
        <f t="shared" si="0"/>
        <v>Guingamp - Marçal</v>
      </c>
      <c r="B39" t="s">
        <v>616</v>
      </c>
      <c r="C39" t="s">
        <v>617</v>
      </c>
      <c r="D39" t="s">
        <v>50</v>
      </c>
      <c r="E39">
        <v>7</v>
      </c>
      <c r="F39" t="s">
        <v>8</v>
      </c>
      <c r="G39" t="e">
        <f t="shared" si="1"/>
        <v>#N/A</v>
      </c>
    </row>
    <row r="40" spans="1:7" x14ac:dyDescent="0.25">
      <c r="A40" t="str">
        <f t="shared" si="0"/>
        <v>Metz - Vion</v>
      </c>
      <c r="B40" t="s">
        <v>618</v>
      </c>
      <c r="C40" t="s">
        <v>619</v>
      </c>
      <c r="D40" t="s">
        <v>606</v>
      </c>
      <c r="E40">
        <v>2</v>
      </c>
      <c r="F40" t="s">
        <v>5</v>
      </c>
      <c r="G40" t="e">
        <f t="shared" si="1"/>
        <v>#N/A</v>
      </c>
    </row>
    <row r="41" spans="1:7" x14ac:dyDescent="0.25">
      <c r="A41" t="str">
        <f t="shared" si="0"/>
        <v>Rennes - Henrique</v>
      </c>
      <c r="B41" t="s">
        <v>158</v>
      </c>
      <c r="C41" t="s">
        <v>159</v>
      </c>
      <c r="D41" t="s">
        <v>42</v>
      </c>
      <c r="E41">
        <v>12</v>
      </c>
      <c r="F41" t="s">
        <v>6</v>
      </c>
      <c r="G41" t="e">
        <f t="shared" si="1"/>
        <v>#N/A</v>
      </c>
    </row>
    <row r="42" spans="1:7" x14ac:dyDescent="0.25">
      <c r="A42" t="str">
        <f t="shared" si="0"/>
        <v>Nice - Ricardo Pereira</v>
      </c>
      <c r="B42" t="s">
        <v>396</v>
      </c>
      <c r="C42" t="s">
        <v>583</v>
      </c>
      <c r="D42" t="s">
        <v>40</v>
      </c>
      <c r="E42">
        <v>9</v>
      </c>
      <c r="F42" t="s">
        <v>8</v>
      </c>
      <c r="G42" t="e">
        <f t="shared" si="1"/>
        <v>#N/A</v>
      </c>
    </row>
    <row r="43" spans="1:7" x14ac:dyDescent="0.25">
      <c r="A43" t="str">
        <f t="shared" si="0"/>
        <v>Saint Etienne - Polomat</v>
      </c>
      <c r="B43" t="s">
        <v>407</v>
      </c>
      <c r="C43" t="s">
        <v>620</v>
      </c>
      <c r="D43" t="s">
        <v>585</v>
      </c>
      <c r="E43">
        <v>2</v>
      </c>
      <c r="F43" t="s">
        <v>8</v>
      </c>
      <c r="G43" t="e">
        <f t="shared" si="1"/>
        <v>#N/A</v>
      </c>
    </row>
    <row r="44" spans="1:7" x14ac:dyDescent="0.25">
      <c r="A44" t="str">
        <f t="shared" si="0"/>
        <v>Angers - Capelle</v>
      </c>
      <c r="B44" t="s">
        <v>540</v>
      </c>
      <c r="C44" t="s">
        <v>621</v>
      </c>
      <c r="D44" t="s">
        <v>174</v>
      </c>
      <c r="E44">
        <v>5</v>
      </c>
      <c r="F44" t="s">
        <v>6</v>
      </c>
      <c r="G44" t="e">
        <f t="shared" si="1"/>
        <v>#N/A</v>
      </c>
    </row>
    <row r="45" spans="1:7" x14ac:dyDescent="0.25">
      <c r="A45" t="str">
        <f t="shared" si="0"/>
        <v>Lille - Junior Tallo</v>
      </c>
      <c r="B45" t="s">
        <v>622</v>
      </c>
      <c r="C45" t="s">
        <v>583</v>
      </c>
      <c r="D45" t="s">
        <v>34</v>
      </c>
      <c r="E45">
        <v>9</v>
      </c>
      <c r="F45" t="s">
        <v>5</v>
      </c>
      <c r="G45" t="e">
        <f t="shared" si="1"/>
        <v>#N/A</v>
      </c>
    </row>
    <row r="46" spans="1:7" x14ac:dyDescent="0.25">
      <c r="A46" t="str">
        <f t="shared" si="0"/>
        <v>Toulouse - Jullien</v>
      </c>
      <c r="B46" t="s">
        <v>623</v>
      </c>
      <c r="C46" t="s">
        <v>624</v>
      </c>
      <c r="D46" t="s">
        <v>41</v>
      </c>
      <c r="E46">
        <v>9</v>
      </c>
      <c r="F46" t="s">
        <v>8</v>
      </c>
      <c r="G46" t="e">
        <f t="shared" si="1"/>
        <v>#N/A</v>
      </c>
    </row>
    <row r="47" spans="1:7" x14ac:dyDescent="0.25">
      <c r="A47" t="str">
        <f t="shared" si="0"/>
        <v>Paris - Motta</v>
      </c>
      <c r="B47" t="s">
        <v>625</v>
      </c>
      <c r="C47" t="s">
        <v>535</v>
      </c>
      <c r="D47" t="s">
        <v>47</v>
      </c>
      <c r="E47">
        <v>14</v>
      </c>
      <c r="F47" t="s">
        <v>6</v>
      </c>
      <c r="G47" t="e">
        <f t="shared" si="1"/>
        <v>#N/A</v>
      </c>
    </row>
    <row r="48" spans="1:7" x14ac:dyDescent="0.25">
      <c r="A48" t="str">
        <f t="shared" si="0"/>
        <v>Angers - Petric</v>
      </c>
      <c r="B48" t="s">
        <v>532</v>
      </c>
      <c r="C48" t="s">
        <v>914</v>
      </c>
      <c r="D48" t="s">
        <v>174</v>
      </c>
      <c r="E48">
        <v>10</v>
      </c>
      <c r="F48" t="s">
        <v>7</v>
      </c>
      <c r="G48" t="e">
        <f t="shared" si="1"/>
        <v>#N/A</v>
      </c>
    </row>
    <row r="49" spans="1:7" x14ac:dyDescent="0.25">
      <c r="A49" t="str">
        <f t="shared" si="0"/>
        <v>Nice - Constant</v>
      </c>
      <c r="B49" t="s">
        <v>402</v>
      </c>
      <c r="C49" t="s">
        <v>626</v>
      </c>
      <c r="D49" t="s">
        <v>40</v>
      </c>
      <c r="E49">
        <v>6</v>
      </c>
      <c r="F49" t="s">
        <v>6</v>
      </c>
      <c r="G49" t="e">
        <f t="shared" si="1"/>
        <v>#N/A</v>
      </c>
    </row>
    <row r="50" spans="1:7" x14ac:dyDescent="0.25">
      <c r="A50" t="str">
        <f t="shared" si="0"/>
        <v>Saint Etienne - Karamoko</v>
      </c>
      <c r="B50" t="s">
        <v>290</v>
      </c>
      <c r="C50" t="s">
        <v>39</v>
      </c>
      <c r="D50" t="s">
        <v>585</v>
      </c>
      <c r="E50">
        <v>6</v>
      </c>
      <c r="F50" t="s">
        <v>8</v>
      </c>
      <c r="G50" t="e">
        <f t="shared" si="1"/>
        <v>#N/A</v>
      </c>
    </row>
    <row r="51" spans="1:7" x14ac:dyDescent="0.25">
      <c r="A51" t="str">
        <f t="shared" si="0"/>
        <v>Bastia - Charruau</v>
      </c>
      <c r="B51" t="s">
        <v>610</v>
      </c>
      <c r="C51" t="s">
        <v>137</v>
      </c>
      <c r="D51" t="s">
        <v>81</v>
      </c>
      <c r="E51">
        <v>5</v>
      </c>
      <c r="F51" t="s">
        <v>7</v>
      </c>
      <c r="G51" t="e">
        <f t="shared" si="1"/>
        <v>#N/A</v>
      </c>
    </row>
    <row r="52" spans="1:7" x14ac:dyDescent="0.25">
      <c r="A52" t="str">
        <f t="shared" si="0"/>
        <v>Lyon - Ghezzal</v>
      </c>
      <c r="B52" t="s">
        <v>381</v>
      </c>
      <c r="C52" t="s">
        <v>628</v>
      </c>
      <c r="D52" t="s">
        <v>28</v>
      </c>
      <c r="E52">
        <v>16</v>
      </c>
      <c r="F52" t="s">
        <v>6</v>
      </c>
      <c r="G52" t="e">
        <f t="shared" si="1"/>
        <v>#N/A</v>
      </c>
    </row>
    <row r="53" spans="1:7" x14ac:dyDescent="0.25">
      <c r="A53" t="str">
        <f t="shared" si="0"/>
        <v>Nantes - Thomasson</v>
      </c>
      <c r="B53" t="s">
        <v>507</v>
      </c>
      <c r="C53" t="s">
        <v>629</v>
      </c>
      <c r="D53" t="s">
        <v>24</v>
      </c>
      <c r="E53">
        <v>3</v>
      </c>
      <c r="F53" t="s">
        <v>6</v>
      </c>
      <c r="G53" t="e">
        <f t="shared" si="1"/>
        <v>#N/A</v>
      </c>
    </row>
    <row r="54" spans="1:7" x14ac:dyDescent="0.25">
      <c r="A54" t="str">
        <f t="shared" si="0"/>
        <v>Paris - Marquinhos</v>
      </c>
      <c r="B54" t="s">
        <v>386</v>
      </c>
      <c r="C54" t="s">
        <v>583</v>
      </c>
      <c r="D54" t="s">
        <v>47</v>
      </c>
      <c r="E54">
        <v>14</v>
      </c>
      <c r="F54" t="s">
        <v>8</v>
      </c>
      <c r="G54" t="e">
        <f t="shared" si="1"/>
        <v>#N/A</v>
      </c>
    </row>
    <row r="55" spans="1:7" x14ac:dyDescent="0.25">
      <c r="A55" t="str">
        <f t="shared" si="0"/>
        <v>Bordeaux - Pablo</v>
      </c>
      <c r="B55" t="s">
        <v>265</v>
      </c>
      <c r="C55" t="s">
        <v>583</v>
      </c>
      <c r="D55" t="s">
        <v>31</v>
      </c>
      <c r="E55">
        <v>2</v>
      </c>
      <c r="F55" t="s">
        <v>8</v>
      </c>
      <c r="G55" t="e">
        <f t="shared" si="1"/>
        <v>#N/A</v>
      </c>
    </row>
    <row r="56" spans="1:7" x14ac:dyDescent="0.25">
      <c r="A56" t="str">
        <f t="shared" si="0"/>
        <v>Nantes - Lucas Lima</v>
      </c>
      <c r="B56" t="s">
        <v>630</v>
      </c>
      <c r="C56" t="s">
        <v>583</v>
      </c>
      <c r="D56" t="s">
        <v>24</v>
      </c>
      <c r="E56">
        <v>8</v>
      </c>
      <c r="F56" t="s">
        <v>8</v>
      </c>
      <c r="G56" t="e">
        <f t="shared" si="1"/>
        <v>#N/A</v>
      </c>
    </row>
    <row r="57" spans="1:7" x14ac:dyDescent="0.25">
      <c r="A57" t="str">
        <f t="shared" si="0"/>
        <v>Metz - Mollet</v>
      </c>
      <c r="B57" t="s">
        <v>631</v>
      </c>
      <c r="C57" t="s">
        <v>632</v>
      </c>
      <c r="D57" t="s">
        <v>606</v>
      </c>
      <c r="E57">
        <v>7</v>
      </c>
      <c r="F57" t="s">
        <v>6</v>
      </c>
      <c r="G57" t="e">
        <f t="shared" si="1"/>
        <v>#N/A</v>
      </c>
    </row>
    <row r="58" spans="1:7" x14ac:dyDescent="0.25">
      <c r="A58" t="str">
        <f t="shared" si="0"/>
        <v>Lille - Benzia</v>
      </c>
      <c r="B58" t="s">
        <v>273</v>
      </c>
      <c r="C58" t="s">
        <v>274</v>
      </c>
      <c r="D58" t="s">
        <v>34</v>
      </c>
      <c r="E58">
        <v>13</v>
      </c>
      <c r="F58" t="s">
        <v>5</v>
      </c>
      <c r="G58" t="e">
        <f t="shared" si="1"/>
        <v>#N/A</v>
      </c>
    </row>
    <row r="59" spans="1:7" x14ac:dyDescent="0.25">
      <c r="A59" t="str">
        <f t="shared" si="0"/>
        <v>Monaco - Fabinho</v>
      </c>
      <c r="B59" t="s">
        <v>13</v>
      </c>
      <c r="C59" t="s">
        <v>583</v>
      </c>
      <c r="D59" t="s">
        <v>22</v>
      </c>
      <c r="E59">
        <v>21</v>
      </c>
      <c r="F59" t="s">
        <v>8</v>
      </c>
      <c r="G59" t="e">
        <f t="shared" si="1"/>
        <v>#N/A</v>
      </c>
    </row>
    <row r="60" spans="1:7" x14ac:dyDescent="0.25">
      <c r="A60" t="str">
        <f t="shared" si="0"/>
        <v>Metz - Philipps</v>
      </c>
      <c r="B60" t="s">
        <v>633</v>
      </c>
      <c r="C60" t="s">
        <v>634</v>
      </c>
      <c r="D60" t="s">
        <v>606</v>
      </c>
      <c r="E60">
        <v>6</v>
      </c>
      <c r="F60" t="s">
        <v>8</v>
      </c>
      <c r="G60" t="e">
        <f t="shared" si="1"/>
        <v>#N/A</v>
      </c>
    </row>
    <row r="61" spans="1:7" x14ac:dyDescent="0.25">
      <c r="A61" t="str">
        <f t="shared" si="0"/>
        <v>Marseille - Doria</v>
      </c>
      <c r="B61" t="s">
        <v>365</v>
      </c>
      <c r="C61" t="s">
        <v>583</v>
      </c>
      <c r="D61" t="s">
        <v>25</v>
      </c>
      <c r="E61">
        <v>8</v>
      </c>
      <c r="F61" t="s">
        <v>8</v>
      </c>
      <c r="G61" t="e">
        <f t="shared" si="1"/>
        <v>#N/A</v>
      </c>
    </row>
    <row r="62" spans="1:7" x14ac:dyDescent="0.25">
      <c r="A62" t="str">
        <f t="shared" si="0"/>
        <v>Caen - N'Kololo</v>
      </c>
      <c r="B62" t="s">
        <v>635</v>
      </c>
      <c r="C62" t="s">
        <v>78</v>
      </c>
      <c r="D62" t="s">
        <v>37</v>
      </c>
      <c r="E62">
        <v>3</v>
      </c>
      <c r="F62" t="s">
        <v>6</v>
      </c>
      <c r="G62" t="e">
        <f t="shared" si="1"/>
        <v>#N/A</v>
      </c>
    </row>
    <row r="63" spans="1:7" x14ac:dyDescent="0.25">
      <c r="A63" t="str">
        <f t="shared" si="0"/>
        <v>Dijon - Chafik</v>
      </c>
      <c r="B63" t="s">
        <v>636</v>
      </c>
      <c r="C63" t="s">
        <v>637</v>
      </c>
      <c r="D63" t="s">
        <v>581</v>
      </c>
      <c r="E63">
        <v>7</v>
      </c>
      <c r="F63" t="s">
        <v>8</v>
      </c>
      <c r="G63" t="e">
        <f t="shared" si="1"/>
        <v>#N/A</v>
      </c>
    </row>
    <row r="64" spans="1:7" x14ac:dyDescent="0.25">
      <c r="A64" t="str">
        <f t="shared" si="0"/>
        <v>Caen - Adeoti</v>
      </c>
      <c r="B64" t="s">
        <v>638</v>
      </c>
      <c r="C64" t="s">
        <v>78</v>
      </c>
      <c r="D64" t="s">
        <v>37</v>
      </c>
      <c r="E64">
        <v>3</v>
      </c>
      <c r="F64" t="s">
        <v>8</v>
      </c>
      <c r="G64" t="e">
        <f t="shared" si="1"/>
        <v>#N/A</v>
      </c>
    </row>
    <row r="65" spans="1:7" x14ac:dyDescent="0.25">
      <c r="A65" t="str">
        <f t="shared" si="0"/>
        <v>Metz - Sido</v>
      </c>
      <c r="B65" t="s">
        <v>639</v>
      </c>
      <c r="C65" t="s">
        <v>640</v>
      </c>
      <c r="D65" t="s">
        <v>606</v>
      </c>
      <c r="E65">
        <v>3</v>
      </c>
      <c r="F65" t="s">
        <v>6</v>
      </c>
      <c r="G65" t="e">
        <f t="shared" si="1"/>
        <v>#N/A</v>
      </c>
    </row>
    <row r="66" spans="1:7" x14ac:dyDescent="0.25">
      <c r="A66" t="str">
        <f t="shared" ref="A66:A129" si="2">D66 &amp; " - " &amp; B66</f>
        <v>Nantes - Iloki</v>
      </c>
      <c r="B66" t="s">
        <v>509</v>
      </c>
      <c r="C66" t="s">
        <v>641</v>
      </c>
      <c r="D66" t="s">
        <v>24</v>
      </c>
      <c r="E66">
        <v>9</v>
      </c>
      <c r="F66" t="s">
        <v>6</v>
      </c>
      <c r="G66" t="e">
        <f t="shared" ref="G66:G129" si="3">IF(VLOOKUP(VLOOKUP($A66,_JOUEURS,2,FALSE),_DATA,8,FALSE)=0,"",VLOOKUP(VLOOKUP($A66,_JOUEURS,2,FALSE),_DATA,8,FALSE))</f>
        <v>#N/A</v>
      </c>
    </row>
    <row r="67" spans="1:7" x14ac:dyDescent="0.25">
      <c r="A67" t="str">
        <f t="shared" si="2"/>
        <v>Bastia - Leca</v>
      </c>
      <c r="B67" t="s">
        <v>248</v>
      </c>
      <c r="C67" t="s">
        <v>249</v>
      </c>
      <c r="D67" t="s">
        <v>81</v>
      </c>
      <c r="E67">
        <v>10</v>
      </c>
      <c r="F67" t="s">
        <v>7</v>
      </c>
      <c r="G67" t="e">
        <f t="shared" si="3"/>
        <v>#N/A</v>
      </c>
    </row>
    <row r="68" spans="1:7" x14ac:dyDescent="0.25">
      <c r="A68" t="str">
        <f t="shared" si="2"/>
        <v>Angers - Kalifa Traoré</v>
      </c>
      <c r="B68" t="s">
        <v>643</v>
      </c>
      <c r="C68" t="s">
        <v>583</v>
      </c>
      <c r="D68" t="s">
        <v>174</v>
      </c>
      <c r="E68">
        <v>1</v>
      </c>
      <c r="F68" t="s">
        <v>8</v>
      </c>
      <c r="G68" t="e">
        <f t="shared" si="3"/>
        <v>#N/A</v>
      </c>
    </row>
    <row r="69" spans="1:7" x14ac:dyDescent="0.25">
      <c r="A69" t="str">
        <f t="shared" si="2"/>
        <v>Bordeaux - Plasil</v>
      </c>
      <c r="B69" t="s">
        <v>433</v>
      </c>
      <c r="C69" t="s">
        <v>644</v>
      </c>
      <c r="D69" t="s">
        <v>31</v>
      </c>
      <c r="E69">
        <v>13</v>
      </c>
      <c r="F69" t="s">
        <v>6</v>
      </c>
      <c r="G69" t="e">
        <f t="shared" si="3"/>
        <v>#N/A</v>
      </c>
    </row>
    <row r="70" spans="1:7" x14ac:dyDescent="0.25">
      <c r="A70" t="str">
        <f t="shared" si="2"/>
        <v>Paris - Rabiot</v>
      </c>
      <c r="B70" t="s">
        <v>388</v>
      </c>
      <c r="C70" t="s">
        <v>629</v>
      </c>
      <c r="D70" t="s">
        <v>47</v>
      </c>
      <c r="E70">
        <v>13</v>
      </c>
      <c r="F70" t="s">
        <v>6</v>
      </c>
      <c r="G70" t="e">
        <f t="shared" si="3"/>
        <v>#N/A</v>
      </c>
    </row>
    <row r="71" spans="1:7" x14ac:dyDescent="0.25">
      <c r="A71" t="str">
        <f t="shared" si="2"/>
        <v>Bastia - Vincensini</v>
      </c>
      <c r="B71" t="s">
        <v>475</v>
      </c>
      <c r="C71" t="s">
        <v>30</v>
      </c>
      <c r="D71" t="s">
        <v>81</v>
      </c>
      <c r="E71">
        <v>1</v>
      </c>
      <c r="F71" t="s">
        <v>7</v>
      </c>
      <c r="G71" t="e">
        <f t="shared" si="3"/>
        <v>#N/A</v>
      </c>
    </row>
    <row r="72" spans="1:7" x14ac:dyDescent="0.25">
      <c r="A72" t="str">
        <f t="shared" si="2"/>
        <v>Toulouse - Musavu-King</v>
      </c>
      <c r="B72" t="s">
        <v>571</v>
      </c>
      <c r="C72" t="s">
        <v>645</v>
      </c>
      <c r="D72" t="s">
        <v>41</v>
      </c>
      <c r="E72">
        <v>3</v>
      </c>
      <c r="F72" t="s">
        <v>8</v>
      </c>
      <c r="G72" t="e">
        <f t="shared" si="3"/>
        <v>#N/A</v>
      </c>
    </row>
    <row r="73" spans="1:7" x14ac:dyDescent="0.25">
      <c r="A73" t="str">
        <f t="shared" si="2"/>
        <v>Dijon - Belmonte</v>
      </c>
      <c r="B73" t="s">
        <v>646</v>
      </c>
      <c r="C73" t="s">
        <v>70</v>
      </c>
      <c r="D73" t="s">
        <v>581</v>
      </c>
      <c r="E73">
        <v>3</v>
      </c>
      <c r="F73" t="s">
        <v>6</v>
      </c>
      <c r="G73" t="e">
        <f t="shared" si="3"/>
        <v>#N/A</v>
      </c>
    </row>
    <row r="74" spans="1:7" x14ac:dyDescent="0.25">
      <c r="A74" t="str">
        <f t="shared" si="2"/>
        <v>Bordeaux - Poundje</v>
      </c>
      <c r="B74" t="s">
        <v>647</v>
      </c>
      <c r="C74" t="s">
        <v>90</v>
      </c>
      <c r="D74" t="s">
        <v>31</v>
      </c>
      <c r="E74">
        <v>9</v>
      </c>
      <c r="F74" t="s">
        <v>8</v>
      </c>
      <c r="G74" t="e">
        <f t="shared" si="3"/>
        <v>#N/A</v>
      </c>
    </row>
    <row r="75" spans="1:7" x14ac:dyDescent="0.25">
      <c r="A75" t="str">
        <f t="shared" si="2"/>
        <v>Bastia - Ngando</v>
      </c>
      <c r="B75" t="s">
        <v>481</v>
      </c>
      <c r="C75" t="s">
        <v>648</v>
      </c>
      <c r="D75" t="s">
        <v>81</v>
      </c>
      <c r="E75">
        <v>1</v>
      </c>
      <c r="F75" t="s">
        <v>6</v>
      </c>
      <c r="G75" t="e">
        <f t="shared" si="3"/>
        <v>#N/A</v>
      </c>
    </row>
    <row r="76" spans="1:7" x14ac:dyDescent="0.25">
      <c r="A76" t="str">
        <f t="shared" si="2"/>
        <v>Bordeaux - Prior</v>
      </c>
      <c r="B76" t="s">
        <v>426</v>
      </c>
      <c r="C76" t="s">
        <v>332</v>
      </c>
      <c r="D76" t="s">
        <v>31</v>
      </c>
      <c r="E76">
        <v>10</v>
      </c>
      <c r="F76" t="s">
        <v>7</v>
      </c>
      <c r="G76" t="e">
        <f t="shared" si="3"/>
        <v>#N/A</v>
      </c>
    </row>
    <row r="77" spans="1:7" x14ac:dyDescent="0.25">
      <c r="A77" t="str">
        <f t="shared" si="2"/>
        <v>Guingamp - Didot</v>
      </c>
      <c r="B77" t="s">
        <v>358</v>
      </c>
      <c r="C77" t="s">
        <v>650</v>
      </c>
      <c r="D77" t="s">
        <v>50</v>
      </c>
      <c r="E77">
        <v>3</v>
      </c>
      <c r="F77" t="s">
        <v>6</v>
      </c>
      <c r="G77" t="e">
        <f t="shared" si="3"/>
        <v>#N/A</v>
      </c>
    </row>
    <row r="78" spans="1:7" x14ac:dyDescent="0.25">
      <c r="A78" t="str">
        <f t="shared" si="2"/>
        <v>Montpellier - Sanson</v>
      </c>
      <c r="B78" t="s">
        <v>460</v>
      </c>
      <c r="C78" t="s">
        <v>651</v>
      </c>
      <c r="D78" t="s">
        <v>21</v>
      </c>
      <c r="E78">
        <v>14</v>
      </c>
      <c r="F78" t="s">
        <v>6</v>
      </c>
      <c r="G78" t="e">
        <f t="shared" si="3"/>
        <v>#N/A</v>
      </c>
    </row>
    <row r="79" spans="1:7" x14ac:dyDescent="0.25">
      <c r="A79" t="str">
        <f t="shared" si="2"/>
        <v>Metz - Signorino</v>
      </c>
      <c r="B79" t="s">
        <v>155</v>
      </c>
      <c r="C79" t="s">
        <v>93</v>
      </c>
      <c r="D79" t="s">
        <v>606</v>
      </c>
      <c r="E79">
        <v>9</v>
      </c>
      <c r="F79" t="s">
        <v>8</v>
      </c>
      <c r="G79" t="e">
        <f t="shared" si="3"/>
        <v>#N/A</v>
      </c>
    </row>
    <row r="80" spans="1:7" x14ac:dyDescent="0.25">
      <c r="A80" t="str">
        <f t="shared" si="2"/>
        <v>Metz - Nguette</v>
      </c>
      <c r="B80" t="s">
        <v>652</v>
      </c>
      <c r="C80" t="s">
        <v>653</v>
      </c>
      <c r="D80" t="s">
        <v>606</v>
      </c>
      <c r="E80">
        <v>7</v>
      </c>
      <c r="F80" t="s">
        <v>6</v>
      </c>
      <c r="G80" t="e">
        <f t="shared" si="3"/>
        <v>#N/A</v>
      </c>
    </row>
    <row r="81" spans="1:7" x14ac:dyDescent="0.25">
      <c r="A81" t="str">
        <f t="shared" si="2"/>
        <v>Saint Etienne - Tannane</v>
      </c>
      <c r="B81" t="s">
        <v>554</v>
      </c>
      <c r="C81" t="s">
        <v>654</v>
      </c>
      <c r="D81" t="s">
        <v>585</v>
      </c>
      <c r="E81">
        <v>11</v>
      </c>
      <c r="F81" t="s">
        <v>5</v>
      </c>
      <c r="G81" t="e">
        <f t="shared" si="3"/>
        <v>#N/A</v>
      </c>
    </row>
    <row r="82" spans="1:7" x14ac:dyDescent="0.25">
      <c r="A82" t="str">
        <f t="shared" si="2"/>
        <v>Bordeaux - Toulalan</v>
      </c>
      <c r="B82" t="s">
        <v>515</v>
      </c>
      <c r="C82" t="s">
        <v>49</v>
      </c>
      <c r="D82" t="s">
        <v>31</v>
      </c>
      <c r="E82">
        <v>14</v>
      </c>
      <c r="F82" t="s">
        <v>6</v>
      </c>
      <c r="G82" t="e">
        <f t="shared" si="3"/>
        <v>#N/A</v>
      </c>
    </row>
    <row r="83" spans="1:7" x14ac:dyDescent="0.25">
      <c r="A83" t="str">
        <f t="shared" si="2"/>
        <v>Monaco - Jean</v>
      </c>
      <c r="B83" t="s">
        <v>82</v>
      </c>
      <c r="C83" t="s">
        <v>142</v>
      </c>
      <c r="D83" t="s">
        <v>22</v>
      </c>
      <c r="E83">
        <v>10</v>
      </c>
      <c r="F83" t="s">
        <v>5</v>
      </c>
      <c r="G83" t="e">
        <f t="shared" si="3"/>
        <v>#N/A</v>
      </c>
    </row>
    <row r="84" spans="1:7" x14ac:dyDescent="0.25">
      <c r="A84" t="str">
        <f t="shared" si="2"/>
        <v>Lille - Beria</v>
      </c>
      <c r="B84" t="s">
        <v>655</v>
      </c>
      <c r="C84" t="s">
        <v>93</v>
      </c>
      <c r="D84" t="s">
        <v>34</v>
      </c>
      <c r="E84">
        <v>6</v>
      </c>
      <c r="F84" t="s">
        <v>8</v>
      </c>
      <c r="G84" t="e">
        <f t="shared" si="3"/>
        <v>#N/A</v>
      </c>
    </row>
    <row r="85" spans="1:7" x14ac:dyDescent="0.25">
      <c r="A85" t="str">
        <f t="shared" si="2"/>
        <v>Lille - Amadou</v>
      </c>
      <c r="B85" t="s">
        <v>418</v>
      </c>
      <c r="C85" t="s">
        <v>656</v>
      </c>
      <c r="D85" t="s">
        <v>34</v>
      </c>
      <c r="E85">
        <v>9</v>
      </c>
      <c r="F85" t="s">
        <v>8</v>
      </c>
      <c r="G85" t="e">
        <f t="shared" si="3"/>
        <v>#N/A</v>
      </c>
    </row>
    <row r="86" spans="1:7" x14ac:dyDescent="0.25">
      <c r="A86" t="str">
        <f t="shared" si="2"/>
        <v>Caen - Yahia</v>
      </c>
      <c r="B86" t="s">
        <v>268</v>
      </c>
      <c r="C86" t="s">
        <v>269</v>
      </c>
      <c r="D86" t="s">
        <v>37</v>
      </c>
      <c r="E86">
        <v>7</v>
      </c>
      <c r="F86" t="s">
        <v>8</v>
      </c>
      <c r="G86" t="e">
        <f t="shared" si="3"/>
        <v>#N/A</v>
      </c>
    </row>
    <row r="87" spans="1:7" x14ac:dyDescent="0.25">
      <c r="A87" t="str">
        <f t="shared" si="2"/>
        <v>Guingamp - Ikoko</v>
      </c>
      <c r="B87" t="s">
        <v>657</v>
      </c>
      <c r="C87" t="s">
        <v>78</v>
      </c>
      <c r="D87" t="s">
        <v>50</v>
      </c>
      <c r="E87">
        <v>7</v>
      </c>
      <c r="F87" t="s">
        <v>8</v>
      </c>
      <c r="G87" t="e">
        <f t="shared" si="3"/>
        <v>#N/A</v>
      </c>
    </row>
    <row r="88" spans="1:7" x14ac:dyDescent="0.25">
      <c r="A88" t="str">
        <f t="shared" si="2"/>
        <v>Paris - Kimpembe</v>
      </c>
      <c r="B88" t="s">
        <v>658</v>
      </c>
      <c r="C88" t="s">
        <v>659</v>
      </c>
      <c r="D88" t="s">
        <v>47</v>
      </c>
      <c r="E88">
        <v>12</v>
      </c>
      <c r="F88" t="s">
        <v>8</v>
      </c>
      <c r="G88" t="e">
        <f t="shared" si="3"/>
        <v>#N/A</v>
      </c>
    </row>
    <row r="89" spans="1:7" x14ac:dyDescent="0.25">
      <c r="A89" t="str">
        <f t="shared" si="2"/>
        <v>Bordeaux - Carrasso</v>
      </c>
      <c r="B89" t="s">
        <v>425</v>
      </c>
      <c r="C89" t="s">
        <v>75</v>
      </c>
      <c r="D89" t="s">
        <v>31</v>
      </c>
      <c r="E89">
        <v>12</v>
      </c>
      <c r="F89" t="s">
        <v>7</v>
      </c>
      <c r="G89" t="e">
        <f t="shared" si="3"/>
        <v>#N/A</v>
      </c>
    </row>
    <row r="90" spans="1:7" x14ac:dyDescent="0.25">
      <c r="A90" t="str">
        <f t="shared" si="2"/>
        <v>Paris - Ongenda</v>
      </c>
      <c r="B90" t="s">
        <v>390</v>
      </c>
      <c r="C90" t="s">
        <v>661</v>
      </c>
      <c r="D90" t="s">
        <v>47</v>
      </c>
      <c r="E90">
        <v>5</v>
      </c>
      <c r="F90" t="s">
        <v>5</v>
      </c>
      <c r="G90" t="e">
        <f t="shared" si="3"/>
        <v>#N/A</v>
      </c>
    </row>
    <row r="91" spans="1:7" x14ac:dyDescent="0.25">
      <c r="A91" t="str">
        <f t="shared" si="2"/>
        <v>Lorient - Fofana</v>
      </c>
      <c r="B91" t="s">
        <v>446</v>
      </c>
      <c r="C91" t="s">
        <v>662</v>
      </c>
      <c r="D91" t="s">
        <v>38</v>
      </c>
      <c r="E91">
        <v>8</v>
      </c>
      <c r="F91" t="s">
        <v>6</v>
      </c>
      <c r="G91" t="e">
        <f t="shared" si="3"/>
        <v>#N/A</v>
      </c>
    </row>
    <row r="92" spans="1:7" x14ac:dyDescent="0.25">
      <c r="A92" t="str">
        <f t="shared" si="2"/>
        <v>Caen - Reulet</v>
      </c>
      <c r="B92" t="s">
        <v>279</v>
      </c>
      <c r="C92" t="s">
        <v>137</v>
      </c>
      <c r="D92" t="s">
        <v>37</v>
      </c>
      <c r="E92">
        <v>5</v>
      </c>
      <c r="F92" t="s">
        <v>7</v>
      </c>
      <c r="G92" t="e">
        <f t="shared" si="3"/>
        <v>#N/A</v>
      </c>
    </row>
    <row r="93" spans="1:7" x14ac:dyDescent="0.25">
      <c r="A93" t="str">
        <f t="shared" si="2"/>
        <v>Marseille - Andonian</v>
      </c>
      <c r="B93" t="s">
        <v>366</v>
      </c>
      <c r="C93" t="s">
        <v>289</v>
      </c>
      <c r="D93" t="s">
        <v>25</v>
      </c>
      <c r="E93">
        <v>3</v>
      </c>
      <c r="F93" t="s">
        <v>8</v>
      </c>
      <c r="G93" t="e">
        <f t="shared" si="3"/>
        <v>#N/A</v>
      </c>
    </row>
    <row r="94" spans="1:7" x14ac:dyDescent="0.25">
      <c r="A94" t="str">
        <f t="shared" si="2"/>
        <v>Caen - Deschateaux</v>
      </c>
      <c r="B94" t="s">
        <v>277</v>
      </c>
      <c r="C94" t="s">
        <v>278</v>
      </c>
      <c r="D94" t="s">
        <v>37</v>
      </c>
      <c r="E94">
        <v>1</v>
      </c>
      <c r="F94" t="s">
        <v>7</v>
      </c>
      <c r="G94" t="e">
        <f t="shared" si="3"/>
        <v>#N/A</v>
      </c>
    </row>
    <row r="95" spans="1:7" x14ac:dyDescent="0.25">
      <c r="A95" t="str">
        <f t="shared" si="2"/>
        <v>Marseille - Fanni</v>
      </c>
      <c r="B95" t="s">
        <v>664</v>
      </c>
      <c r="C95" t="s">
        <v>665</v>
      </c>
      <c r="D95" t="s">
        <v>25</v>
      </c>
      <c r="E95">
        <v>11</v>
      </c>
      <c r="F95" t="s">
        <v>8</v>
      </c>
      <c r="G95" t="e">
        <f t="shared" si="3"/>
        <v>#N/A</v>
      </c>
    </row>
    <row r="96" spans="1:7" x14ac:dyDescent="0.25">
      <c r="A96" t="str">
        <f t="shared" si="2"/>
        <v>Metz - Milan</v>
      </c>
      <c r="B96" t="s">
        <v>666</v>
      </c>
      <c r="C96" t="s">
        <v>667</v>
      </c>
      <c r="D96" t="s">
        <v>606</v>
      </c>
      <c r="E96">
        <v>11</v>
      </c>
      <c r="F96" t="s">
        <v>8</v>
      </c>
      <c r="G96" t="e">
        <f t="shared" si="3"/>
        <v>#N/A</v>
      </c>
    </row>
    <row r="97" spans="1:9" x14ac:dyDescent="0.25">
      <c r="A97" t="str">
        <f t="shared" si="2"/>
        <v>Nice - Rafetraniaina</v>
      </c>
      <c r="B97" t="s">
        <v>400</v>
      </c>
      <c r="C97" t="s">
        <v>668</v>
      </c>
      <c r="D97" t="s">
        <v>40</v>
      </c>
      <c r="E97">
        <v>3</v>
      </c>
      <c r="F97" t="s">
        <v>8</v>
      </c>
      <c r="G97" t="e">
        <f t="shared" si="3"/>
        <v>#N/A</v>
      </c>
    </row>
    <row r="98" spans="1:9" x14ac:dyDescent="0.25">
      <c r="A98" t="str">
        <f t="shared" si="2"/>
        <v>Bastia - Squillaci</v>
      </c>
      <c r="B98" t="s">
        <v>131</v>
      </c>
      <c r="C98" t="s">
        <v>95</v>
      </c>
      <c r="D98" t="s">
        <v>81</v>
      </c>
      <c r="E98">
        <v>11</v>
      </c>
      <c r="F98" t="s">
        <v>8</v>
      </c>
      <c r="G98" t="e">
        <f t="shared" si="3"/>
        <v>#N/A</v>
      </c>
    </row>
    <row r="99" spans="1:9" x14ac:dyDescent="0.25">
      <c r="A99" t="str">
        <f t="shared" si="2"/>
        <v>Dijon - Bela</v>
      </c>
      <c r="B99" t="s">
        <v>669</v>
      </c>
      <c r="C99" t="s">
        <v>307</v>
      </c>
      <c r="D99" t="s">
        <v>581</v>
      </c>
      <c r="E99">
        <v>4</v>
      </c>
      <c r="F99" t="s">
        <v>6</v>
      </c>
      <c r="G99" t="e">
        <f t="shared" si="3"/>
        <v>#N/A</v>
      </c>
    </row>
    <row r="100" spans="1:9" x14ac:dyDescent="0.25">
      <c r="A100" t="str">
        <f t="shared" si="2"/>
        <v>Dijon - Varrault</v>
      </c>
      <c r="B100" t="s">
        <v>670</v>
      </c>
      <c r="C100" t="s">
        <v>671</v>
      </c>
      <c r="D100" t="s">
        <v>581</v>
      </c>
      <c r="E100">
        <v>10</v>
      </c>
      <c r="F100" t="s">
        <v>8</v>
      </c>
      <c r="G100" t="e">
        <f t="shared" si="3"/>
        <v>#N/A</v>
      </c>
    </row>
    <row r="101" spans="1:9" x14ac:dyDescent="0.25">
      <c r="A101" t="str">
        <f t="shared" si="2"/>
        <v>Lorient - Moreira</v>
      </c>
      <c r="B101" t="s">
        <v>487</v>
      </c>
      <c r="C101" t="s">
        <v>672</v>
      </c>
      <c r="D101" t="s">
        <v>38</v>
      </c>
      <c r="E101">
        <v>8</v>
      </c>
      <c r="F101" t="s">
        <v>8</v>
      </c>
      <c r="G101" t="e">
        <f t="shared" si="3"/>
        <v>#N/A</v>
      </c>
    </row>
    <row r="102" spans="1:9" x14ac:dyDescent="0.25">
      <c r="A102" t="str">
        <f t="shared" si="2"/>
        <v>Nice - Lloris</v>
      </c>
      <c r="B102" t="s">
        <v>549</v>
      </c>
      <c r="C102" t="s">
        <v>673</v>
      </c>
      <c r="D102" t="s">
        <v>40</v>
      </c>
      <c r="E102">
        <v>2</v>
      </c>
      <c r="F102" t="s">
        <v>6</v>
      </c>
      <c r="G102" t="e">
        <f t="shared" si="3"/>
        <v>#N/A</v>
      </c>
    </row>
    <row r="103" spans="1:9" x14ac:dyDescent="0.25">
      <c r="A103" t="str">
        <f t="shared" si="2"/>
        <v>Bastia - Djiku</v>
      </c>
      <c r="B103" t="s">
        <v>477</v>
      </c>
      <c r="C103" t="s">
        <v>674</v>
      </c>
      <c r="D103" t="s">
        <v>81</v>
      </c>
      <c r="E103">
        <v>5</v>
      </c>
      <c r="F103" t="s">
        <v>8</v>
      </c>
      <c r="G103" t="e">
        <f t="shared" si="3"/>
        <v>#N/A</v>
      </c>
    </row>
    <row r="104" spans="1:9" x14ac:dyDescent="0.25">
      <c r="A104" t="str">
        <f t="shared" si="2"/>
        <v>Marseille - N'Jie</v>
      </c>
      <c r="B104" t="s">
        <v>675</v>
      </c>
      <c r="C104" t="s">
        <v>676</v>
      </c>
      <c r="D104" t="s">
        <v>25</v>
      </c>
      <c r="E104">
        <v>16</v>
      </c>
      <c r="F104" t="s">
        <v>5</v>
      </c>
      <c r="G104" t="e">
        <f t="shared" si="3"/>
        <v>#N/A</v>
      </c>
    </row>
    <row r="105" spans="1:9" x14ac:dyDescent="0.25">
      <c r="A105" t="str">
        <f t="shared" si="2"/>
        <v>Toulouse - Sylla</v>
      </c>
      <c r="B105" t="s">
        <v>266</v>
      </c>
      <c r="C105" t="s">
        <v>267</v>
      </c>
      <c r="D105" t="s">
        <v>41</v>
      </c>
      <c r="E105">
        <v>10</v>
      </c>
      <c r="F105" t="s">
        <v>8</v>
      </c>
      <c r="G105" t="e">
        <f t="shared" si="3"/>
        <v>#N/A</v>
      </c>
    </row>
    <row r="106" spans="1:9" x14ac:dyDescent="0.25">
      <c r="A106" t="str">
        <f t="shared" si="2"/>
        <v>Nice - Vercauteren</v>
      </c>
      <c r="B106" t="s">
        <v>398</v>
      </c>
      <c r="C106" t="s">
        <v>45</v>
      </c>
      <c r="D106" t="s">
        <v>40</v>
      </c>
      <c r="E106">
        <v>3</v>
      </c>
      <c r="F106" t="s">
        <v>5</v>
      </c>
      <c r="G106" t="e">
        <f t="shared" si="3"/>
        <v>#N/A</v>
      </c>
    </row>
    <row r="107" spans="1:9" x14ac:dyDescent="0.25">
      <c r="A107" t="str">
        <f t="shared" si="2"/>
        <v>Bastia - Keita</v>
      </c>
      <c r="B107" t="s">
        <v>677</v>
      </c>
      <c r="C107" t="s">
        <v>678</v>
      </c>
      <c r="D107" t="s">
        <v>81</v>
      </c>
      <c r="E107">
        <v>1</v>
      </c>
      <c r="F107" t="s">
        <v>6</v>
      </c>
      <c r="G107" t="e">
        <f t="shared" si="3"/>
        <v>#N/A</v>
      </c>
    </row>
    <row r="108" spans="1:9" x14ac:dyDescent="0.25">
      <c r="A108" t="str">
        <f t="shared" si="2"/>
        <v>Dijon - Diony</v>
      </c>
      <c r="B108" t="s">
        <v>679</v>
      </c>
      <c r="C108" t="s">
        <v>680</v>
      </c>
      <c r="D108" t="s">
        <v>581</v>
      </c>
      <c r="E108">
        <v>7</v>
      </c>
      <c r="F108" t="s">
        <v>5</v>
      </c>
      <c r="G108" t="e">
        <f t="shared" si="3"/>
        <v>#N/A</v>
      </c>
    </row>
    <row r="109" spans="1:9" x14ac:dyDescent="0.25">
      <c r="A109" t="str">
        <f t="shared" si="2"/>
        <v>Bordeaux - Rolan</v>
      </c>
      <c r="B109" t="s">
        <v>71</v>
      </c>
      <c r="C109" t="s">
        <v>72</v>
      </c>
      <c r="D109" t="s">
        <v>31</v>
      </c>
      <c r="E109">
        <v>16</v>
      </c>
      <c r="F109" t="s">
        <v>5</v>
      </c>
      <c r="G109" t="e">
        <f t="shared" si="3"/>
        <v>#N/A</v>
      </c>
    </row>
    <row r="110" spans="1:9" x14ac:dyDescent="0.25">
      <c r="A110" t="str">
        <f t="shared" si="2"/>
        <v>Nantes - Aristeguieta</v>
      </c>
      <c r="B110" t="s">
        <v>508</v>
      </c>
      <c r="C110" t="s">
        <v>617</v>
      </c>
      <c r="D110" t="s">
        <v>24</v>
      </c>
      <c r="E110">
        <v>7</v>
      </c>
      <c r="F110" t="s">
        <v>5</v>
      </c>
      <c r="G110" t="e">
        <f t="shared" si="3"/>
        <v>#N/A</v>
      </c>
    </row>
    <row r="111" spans="1:9" x14ac:dyDescent="0.25">
      <c r="A111" t="str">
        <f t="shared" si="2"/>
        <v>Lyon - Cornet</v>
      </c>
      <c r="B111" t="s">
        <v>189</v>
      </c>
      <c r="C111" t="s">
        <v>681</v>
      </c>
      <c r="D111" t="s">
        <v>28</v>
      </c>
      <c r="E111">
        <v>12</v>
      </c>
      <c r="F111" t="s">
        <v>5</v>
      </c>
      <c r="G111" t="e">
        <f t="shared" si="3"/>
        <v>#N/A</v>
      </c>
    </row>
    <row r="112" spans="1:9" x14ac:dyDescent="0.25">
      <c r="A112" t="str">
        <f t="shared" si="2"/>
        <v>Angers - Diedhiou</v>
      </c>
      <c r="B112" t="s">
        <v>682</v>
      </c>
      <c r="C112" t="s">
        <v>683</v>
      </c>
      <c r="D112" t="s">
        <v>174</v>
      </c>
      <c r="E112">
        <v>10</v>
      </c>
      <c r="F112" t="s">
        <v>5</v>
      </c>
      <c r="G112" t="e">
        <f t="shared" si="3"/>
        <v>#N/A</v>
      </c>
      <c r="I112" t="s">
        <v>1037</v>
      </c>
    </row>
    <row r="113" spans="1:8" x14ac:dyDescent="0.25">
      <c r="A113" t="str">
        <f t="shared" si="2"/>
        <v>Lorient - Philippoteaux</v>
      </c>
      <c r="B113" t="s">
        <v>165</v>
      </c>
      <c r="C113" t="s">
        <v>85</v>
      </c>
      <c r="D113" t="s">
        <v>38</v>
      </c>
      <c r="E113">
        <v>8</v>
      </c>
      <c r="F113" t="s">
        <v>6</v>
      </c>
      <c r="G113" t="e">
        <f t="shared" si="3"/>
        <v>#N/A</v>
      </c>
    </row>
    <row r="114" spans="1:8" x14ac:dyDescent="0.25">
      <c r="A114" t="str">
        <f t="shared" si="2"/>
        <v>Nice - Cyprien</v>
      </c>
      <c r="B114" t="s">
        <v>684</v>
      </c>
      <c r="C114" t="s">
        <v>685</v>
      </c>
      <c r="D114" t="s">
        <v>40</v>
      </c>
      <c r="E114">
        <v>10</v>
      </c>
      <c r="F114" t="s">
        <v>6</v>
      </c>
      <c r="G114" t="e">
        <f t="shared" si="3"/>
        <v>#N/A</v>
      </c>
    </row>
    <row r="115" spans="1:8" x14ac:dyDescent="0.25">
      <c r="A115" t="str">
        <f t="shared" si="2"/>
        <v>Lorient - Cabot</v>
      </c>
      <c r="B115" t="s">
        <v>270</v>
      </c>
      <c r="C115" t="s">
        <v>195</v>
      </c>
      <c r="D115" t="s">
        <v>38</v>
      </c>
      <c r="E115">
        <v>3</v>
      </c>
      <c r="F115" t="s">
        <v>6</v>
      </c>
      <c r="G115" t="e">
        <f t="shared" si="3"/>
        <v>#N/A</v>
      </c>
      <c r="H115" t="s">
        <v>1040</v>
      </c>
    </row>
    <row r="116" spans="1:8" x14ac:dyDescent="0.25">
      <c r="A116" t="str">
        <f t="shared" si="2"/>
        <v>Nancy - Badila</v>
      </c>
      <c r="B116" t="s">
        <v>686</v>
      </c>
      <c r="C116" t="s">
        <v>687</v>
      </c>
      <c r="D116" t="s">
        <v>688</v>
      </c>
      <c r="E116">
        <v>2</v>
      </c>
      <c r="F116" t="s">
        <v>8</v>
      </c>
      <c r="G116" t="e">
        <f t="shared" si="3"/>
        <v>#N/A</v>
      </c>
    </row>
    <row r="117" spans="1:8" x14ac:dyDescent="0.25">
      <c r="A117" t="str">
        <f t="shared" si="2"/>
        <v>Dijon - Marié</v>
      </c>
      <c r="B117" t="s">
        <v>689</v>
      </c>
      <c r="C117" t="s">
        <v>78</v>
      </c>
      <c r="D117" t="s">
        <v>581</v>
      </c>
      <c r="E117">
        <v>8</v>
      </c>
      <c r="F117" t="s">
        <v>8</v>
      </c>
      <c r="G117" t="e">
        <f t="shared" si="3"/>
        <v>#N/A</v>
      </c>
    </row>
    <row r="118" spans="1:8" x14ac:dyDescent="0.25">
      <c r="A118" t="str">
        <f t="shared" si="2"/>
        <v>Angers - Bourillon</v>
      </c>
      <c r="B118" t="s">
        <v>499</v>
      </c>
      <c r="C118" t="s">
        <v>690</v>
      </c>
      <c r="D118" t="s">
        <v>174</v>
      </c>
      <c r="E118">
        <v>7</v>
      </c>
      <c r="F118" t="s">
        <v>6</v>
      </c>
      <c r="G118" t="e">
        <f t="shared" si="3"/>
        <v>#N/A</v>
      </c>
    </row>
    <row r="119" spans="1:8" x14ac:dyDescent="0.25">
      <c r="A119" t="str">
        <f t="shared" si="2"/>
        <v>Nice - Walter</v>
      </c>
      <c r="B119" t="s">
        <v>552</v>
      </c>
      <c r="C119" t="s">
        <v>691</v>
      </c>
      <c r="D119" t="s">
        <v>40</v>
      </c>
      <c r="E119">
        <v>11</v>
      </c>
      <c r="F119" t="s">
        <v>6</v>
      </c>
      <c r="G119" t="e">
        <f t="shared" si="3"/>
        <v>#N/A</v>
      </c>
    </row>
    <row r="120" spans="1:8" x14ac:dyDescent="0.25">
      <c r="A120" t="str">
        <f t="shared" si="2"/>
        <v>Angers - Tait</v>
      </c>
      <c r="B120" t="s">
        <v>692</v>
      </c>
      <c r="C120" t="s">
        <v>693</v>
      </c>
      <c r="D120" t="s">
        <v>174</v>
      </c>
      <c r="E120">
        <v>4</v>
      </c>
      <c r="F120" t="s">
        <v>6</v>
      </c>
      <c r="G120" t="e">
        <f t="shared" si="3"/>
        <v>#N/A</v>
      </c>
    </row>
    <row r="121" spans="1:8" x14ac:dyDescent="0.25">
      <c r="A121" t="str">
        <f t="shared" si="2"/>
        <v>Nancy - Coulibaly</v>
      </c>
      <c r="B121" t="s">
        <v>483</v>
      </c>
      <c r="C121" t="s">
        <v>694</v>
      </c>
      <c r="D121" t="s">
        <v>688</v>
      </c>
      <c r="E121">
        <v>9</v>
      </c>
      <c r="F121" t="s">
        <v>6</v>
      </c>
      <c r="G121" t="e">
        <f t="shared" si="3"/>
        <v>#N/A</v>
      </c>
    </row>
    <row r="122" spans="1:8" x14ac:dyDescent="0.25">
      <c r="A122" t="str">
        <f t="shared" si="2"/>
        <v>Caen - Sane</v>
      </c>
      <c r="B122" t="s">
        <v>695</v>
      </c>
      <c r="C122" t="s">
        <v>696</v>
      </c>
      <c r="D122" t="s">
        <v>37</v>
      </c>
      <c r="E122">
        <v>2</v>
      </c>
      <c r="F122" t="s">
        <v>5</v>
      </c>
      <c r="G122" t="e">
        <f t="shared" si="3"/>
        <v>#N/A</v>
      </c>
    </row>
    <row r="123" spans="1:8" x14ac:dyDescent="0.25">
      <c r="A123" t="str">
        <f t="shared" si="2"/>
        <v>Nantes - Abdoulaye Touré</v>
      </c>
      <c r="B123" t="s">
        <v>697</v>
      </c>
      <c r="C123" t="s">
        <v>583</v>
      </c>
      <c r="D123" t="s">
        <v>24</v>
      </c>
      <c r="E123">
        <v>4</v>
      </c>
      <c r="F123" t="s">
        <v>6</v>
      </c>
      <c r="G123" t="e">
        <f t="shared" si="3"/>
        <v>#N/A</v>
      </c>
    </row>
    <row r="124" spans="1:8" x14ac:dyDescent="0.25">
      <c r="A124" t="str">
        <f t="shared" si="2"/>
        <v>Metz - Ikaunieks</v>
      </c>
      <c r="B124" t="s">
        <v>698</v>
      </c>
      <c r="C124" t="s">
        <v>699</v>
      </c>
      <c r="D124" t="s">
        <v>606</v>
      </c>
      <c r="E124">
        <v>3</v>
      </c>
      <c r="F124" t="s">
        <v>6</v>
      </c>
      <c r="G124" t="e">
        <f t="shared" si="3"/>
        <v>#N/A</v>
      </c>
    </row>
    <row r="125" spans="1:8" x14ac:dyDescent="0.25">
      <c r="A125" t="str">
        <f t="shared" si="2"/>
        <v>Monaco - Raggi</v>
      </c>
      <c r="B125" t="s">
        <v>512</v>
      </c>
      <c r="C125" t="s">
        <v>700</v>
      </c>
      <c r="D125" t="s">
        <v>22</v>
      </c>
      <c r="E125">
        <v>12</v>
      </c>
      <c r="F125" t="s">
        <v>8</v>
      </c>
      <c r="G125" t="e">
        <f t="shared" si="3"/>
        <v>#N/A</v>
      </c>
    </row>
    <row r="126" spans="1:8" x14ac:dyDescent="0.25">
      <c r="A126" t="str">
        <f t="shared" si="2"/>
        <v>Rennes - Said</v>
      </c>
      <c r="B126" t="s">
        <v>701</v>
      </c>
      <c r="C126" t="s">
        <v>145</v>
      </c>
      <c r="D126" t="s">
        <v>42</v>
      </c>
      <c r="E126">
        <v>10</v>
      </c>
      <c r="F126" t="s">
        <v>5</v>
      </c>
      <c r="G126" t="e">
        <f t="shared" si="3"/>
        <v>#N/A</v>
      </c>
    </row>
    <row r="127" spans="1:8" x14ac:dyDescent="0.25">
      <c r="A127" t="str">
        <f t="shared" si="2"/>
        <v>Rennes - Hunou</v>
      </c>
      <c r="B127" t="s">
        <v>492</v>
      </c>
      <c r="C127" t="s">
        <v>629</v>
      </c>
      <c r="D127" t="s">
        <v>42</v>
      </c>
      <c r="E127">
        <v>8</v>
      </c>
      <c r="F127" t="s">
        <v>6</v>
      </c>
      <c r="G127" t="e">
        <f t="shared" si="3"/>
        <v>#N/A</v>
      </c>
    </row>
    <row r="128" spans="1:8" x14ac:dyDescent="0.25">
      <c r="A128" t="str">
        <f t="shared" si="2"/>
        <v>Monaco - Jemerson</v>
      </c>
      <c r="B128" t="s">
        <v>573</v>
      </c>
      <c r="C128" t="s">
        <v>583</v>
      </c>
      <c r="D128" t="s">
        <v>22</v>
      </c>
      <c r="E128">
        <v>10</v>
      </c>
      <c r="F128" t="s">
        <v>8</v>
      </c>
      <c r="G128" t="e">
        <f t="shared" si="3"/>
        <v>#N/A</v>
      </c>
    </row>
    <row r="129" spans="1:7" x14ac:dyDescent="0.25">
      <c r="A129" t="str">
        <f t="shared" si="2"/>
        <v>Bordeaux - Sabaly</v>
      </c>
      <c r="B129" t="s">
        <v>243</v>
      </c>
      <c r="C129" t="s">
        <v>244</v>
      </c>
      <c r="D129" t="s">
        <v>31</v>
      </c>
      <c r="E129">
        <v>11</v>
      </c>
      <c r="F129" t="s">
        <v>8</v>
      </c>
      <c r="G129" t="e">
        <f t="shared" si="3"/>
        <v>#N/A</v>
      </c>
    </row>
    <row r="130" spans="1:7" x14ac:dyDescent="0.25">
      <c r="A130" t="str">
        <f t="shared" ref="A130:A193" si="4">D130 &amp; " - " &amp; B130</f>
        <v>Caen - Dreyer</v>
      </c>
      <c r="B130" t="s">
        <v>533</v>
      </c>
      <c r="C130" t="s">
        <v>245</v>
      </c>
      <c r="D130" t="s">
        <v>37</v>
      </c>
      <c r="E130">
        <v>1</v>
      </c>
      <c r="F130" t="s">
        <v>7</v>
      </c>
      <c r="G130" t="e">
        <f t="shared" ref="G130:G193" si="5">IF(VLOOKUP(VLOOKUP($A130,_JOUEURS,2,FALSE),_DATA,8,FALSE)=0,"",VLOOKUP(VLOOKUP($A130,_JOUEURS,2,FALSE),_DATA,8,FALSE))</f>
        <v>#N/A</v>
      </c>
    </row>
    <row r="131" spans="1:7" x14ac:dyDescent="0.25">
      <c r="A131" t="str">
        <f t="shared" si="4"/>
        <v>Lyon - Kemen</v>
      </c>
      <c r="B131" t="s">
        <v>385</v>
      </c>
      <c r="C131" t="s">
        <v>703</v>
      </c>
      <c r="D131" t="s">
        <v>28</v>
      </c>
      <c r="E131">
        <v>3</v>
      </c>
      <c r="F131" t="s">
        <v>6</v>
      </c>
      <c r="G131" t="e">
        <f t="shared" si="5"/>
        <v>#N/A</v>
      </c>
    </row>
    <row r="132" spans="1:7" x14ac:dyDescent="0.25">
      <c r="A132" t="str">
        <f t="shared" si="4"/>
        <v>Nantes - Diego Carlos</v>
      </c>
      <c r="B132" t="s">
        <v>704</v>
      </c>
      <c r="C132" t="s">
        <v>583</v>
      </c>
      <c r="D132" t="s">
        <v>24</v>
      </c>
      <c r="E132">
        <v>10</v>
      </c>
      <c r="F132" t="s">
        <v>8</v>
      </c>
      <c r="G132" t="e">
        <f t="shared" si="5"/>
        <v>#N/A</v>
      </c>
    </row>
    <row r="133" spans="1:7" x14ac:dyDescent="0.25">
      <c r="A133" t="str">
        <f t="shared" si="4"/>
        <v>Monaco - Bernardo Silva</v>
      </c>
      <c r="B133" t="s">
        <v>230</v>
      </c>
      <c r="C133" t="s">
        <v>583</v>
      </c>
      <c r="D133" t="s">
        <v>22</v>
      </c>
      <c r="E133">
        <v>16</v>
      </c>
      <c r="F133" t="s">
        <v>6</v>
      </c>
      <c r="G133" t="e">
        <f t="shared" si="5"/>
        <v>#N/A</v>
      </c>
    </row>
    <row r="134" spans="1:7" x14ac:dyDescent="0.25">
      <c r="A134" t="str">
        <f t="shared" si="4"/>
        <v>Lorient - Cafú</v>
      </c>
      <c r="B134" t="s">
        <v>705</v>
      </c>
      <c r="C134" t="s">
        <v>583</v>
      </c>
      <c r="D134" t="s">
        <v>38</v>
      </c>
      <c r="E134">
        <v>6</v>
      </c>
      <c r="F134" t="s">
        <v>6</v>
      </c>
      <c r="G134" t="e">
        <f t="shared" si="5"/>
        <v>#N/A</v>
      </c>
    </row>
    <row r="135" spans="1:7" x14ac:dyDescent="0.25">
      <c r="A135" t="str">
        <f t="shared" si="4"/>
        <v>Lyon - Fekir</v>
      </c>
      <c r="B135" t="s">
        <v>235</v>
      </c>
      <c r="C135" t="s">
        <v>271</v>
      </c>
      <c r="D135" t="s">
        <v>28</v>
      </c>
      <c r="E135">
        <v>24</v>
      </c>
      <c r="F135" t="s">
        <v>6</v>
      </c>
      <c r="G135" t="e">
        <f t="shared" si="5"/>
        <v>#N/A</v>
      </c>
    </row>
    <row r="136" spans="1:7" x14ac:dyDescent="0.25">
      <c r="A136" t="str">
        <f t="shared" si="4"/>
        <v>Caen - Santini</v>
      </c>
      <c r="B136" t="s">
        <v>962</v>
      </c>
      <c r="C136" t="s">
        <v>963</v>
      </c>
      <c r="D136" t="s">
        <v>37</v>
      </c>
      <c r="E136">
        <v>13</v>
      </c>
      <c r="F136" t="s">
        <v>7</v>
      </c>
      <c r="G136" t="e">
        <f t="shared" si="5"/>
        <v>#N/A</v>
      </c>
    </row>
    <row r="137" spans="1:7" x14ac:dyDescent="0.25">
      <c r="A137" t="str">
        <f t="shared" si="4"/>
        <v>Bordeaux - Laborde</v>
      </c>
      <c r="B137" t="s">
        <v>439</v>
      </c>
      <c r="C137" t="s">
        <v>708</v>
      </c>
      <c r="D137" t="s">
        <v>31</v>
      </c>
      <c r="E137">
        <v>4</v>
      </c>
      <c r="F137" t="s">
        <v>5</v>
      </c>
      <c r="G137" t="e">
        <f t="shared" si="5"/>
        <v>#N/A</v>
      </c>
    </row>
    <row r="138" spans="1:7" x14ac:dyDescent="0.25">
      <c r="A138" t="str">
        <f t="shared" si="4"/>
        <v>Monaco - Lemar</v>
      </c>
      <c r="B138" t="s">
        <v>138</v>
      </c>
      <c r="C138" t="s">
        <v>30</v>
      </c>
      <c r="D138" t="s">
        <v>22</v>
      </c>
      <c r="E138">
        <v>14</v>
      </c>
      <c r="F138" t="s">
        <v>6</v>
      </c>
      <c r="G138" t="e">
        <f t="shared" si="5"/>
        <v>#N/A</v>
      </c>
    </row>
    <row r="139" spans="1:7" x14ac:dyDescent="0.25">
      <c r="A139" t="str">
        <f t="shared" si="4"/>
        <v>Angers - Ndoye</v>
      </c>
      <c r="B139" t="s">
        <v>256</v>
      </c>
      <c r="C139" t="s">
        <v>181</v>
      </c>
      <c r="D139" t="s">
        <v>174</v>
      </c>
      <c r="E139">
        <v>18</v>
      </c>
      <c r="F139" t="s">
        <v>6</v>
      </c>
      <c r="G139" t="e">
        <f t="shared" si="5"/>
        <v>#N/A</v>
      </c>
    </row>
    <row r="140" spans="1:7" x14ac:dyDescent="0.25">
      <c r="A140" t="str">
        <f t="shared" si="4"/>
        <v>Toulouse - Pi</v>
      </c>
      <c r="B140" t="s">
        <v>536</v>
      </c>
      <c r="C140" t="s">
        <v>293</v>
      </c>
      <c r="D140" t="s">
        <v>41</v>
      </c>
      <c r="E140">
        <v>8</v>
      </c>
      <c r="F140" t="s">
        <v>6</v>
      </c>
      <c r="G140" t="e">
        <f t="shared" si="5"/>
        <v>#N/A</v>
      </c>
    </row>
    <row r="141" spans="1:7" x14ac:dyDescent="0.25">
      <c r="A141" t="str">
        <f t="shared" si="4"/>
        <v>Lyon - Tolisso</v>
      </c>
      <c r="B141" t="s">
        <v>383</v>
      </c>
      <c r="C141" t="s">
        <v>142</v>
      </c>
      <c r="D141" t="s">
        <v>28</v>
      </c>
      <c r="E141">
        <v>16</v>
      </c>
      <c r="F141" t="s">
        <v>6</v>
      </c>
      <c r="G141" t="e">
        <f t="shared" si="5"/>
        <v>#N/A</v>
      </c>
    </row>
    <row r="142" spans="1:7" x14ac:dyDescent="0.25">
      <c r="A142" t="str">
        <f t="shared" si="4"/>
        <v>Angers - Santamaria</v>
      </c>
      <c r="B142" t="s">
        <v>709</v>
      </c>
      <c r="C142" t="s">
        <v>710</v>
      </c>
      <c r="D142" t="s">
        <v>174</v>
      </c>
      <c r="E142">
        <v>8</v>
      </c>
      <c r="F142" t="s">
        <v>6</v>
      </c>
      <c r="G142" t="e">
        <f t="shared" si="5"/>
        <v>#N/A</v>
      </c>
    </row>
    <row r="143" spans="1:7" x14ac:dyDescent="0.25">
      <c r="A143" t="str">
        <f t="shared" si="4"/>
        <v>Lyon - Darder</v>
      </c>
      <c r="B143" t="s">
        <v>192</v>
      </c>
      <c r="C143" t="s">
        <v>193</v>
      </c>
      <c r="D143" t="s">
        <v>28</v>
      </c>
      <c r="E143">
        <v>14</v>
      </c>
      <c r="F143" t="s">
        <v>6</v>
      </c>
      <c r="G143" t="e">
        <f t="shared" si="5"/>
        <v>#N/A</v>
      </c>
    </row>
    <row r="144" spans="1:7" x14ac:dyDescent="0.25">
      <c r="A144" t="str">
        <f t="shared" si="4"/>
        <v>Rennes - Cavare</v>
      </c>
      <c r="B144" t="s">
        <v>711</v>
      </c>
      <c r="C144" t="s">
        <v>712</v>
      </c>
      <c r="D144" t="s">
        <v>42</v>
      </c>
      <c r="E144">
        <v>2</v>
      </c>
      <c r="F144" t="s">
        <v>8</v>
      </c>
      <c r="G144" t="e">
        <f t="shared" si="5"/>
        <v>#N/A</v>
      </c>
    </row>
    <row r="145" spans="1:7" x14ac:dyDescent="0.25">
      <c r="A145" t="str">
        <f t="shared" si="4"/>
        <v>Monaco - Bakayoko</v>
      </c>
      <c r="B145" t="s">
        <v>513</v>
      </c>
      <c r="C145" t="s">
        <v>713</v>
      </c>
      <c r="D145" t="s">
        <v>22</v>
      </c>
      <c r="E145">
        <v>14</v>
      </c>
      <c r="F145" t="s">
        <v>6</v>
      </c>
      <c r="G145" t="e">
        <f t="shared" si="5"/>
        <v>#N/A</v>
      </c>
    </row>
    <row r="146" spans="1:7" x14ac:dyDescent="0.25">
      <c r="A146" t="str">
        <f t="shared" si="4"/>
        <v>Montpellier - Mounie</v>
      </c>
      <c r="B146" t="s">
        <v>714</v>
      </c>
      <c r="C146" t="s">
        <v>330</v>
      </c>
      <c r="D146" t="s">
        <v>21</v>
      </c>
      <c r="E146">
        <v>13</v>
      </c>
      <c r="F146" t="s">
        <v>5</v>
      </c>
      <c r="G146" t="e">
        <f t="shared" si="5"/>
        <v>#N/A</v>
      </c>
    </row>
    <row r="147" spans="1:7" x14ac:dyDescent="0.25">
      <c r="A147" t="str">
        <f t="shared" si="4"/>
        <v>Marseille - Khaoui</v>
      </c>
      <c r="B147" t="s">
        <v>715</v>
      </c>
      <c r="C147" t="s">
        <v>716</v>
      </c>
      <c r="D147" t="s">
        <v>25</v>
      </c>
      <c r="E147">
        <v>6</v>
      </c>
      <c r="F147" t="s">
        <v>6</v>
      </c>
      <c r="G147" t="e">
        <f t="shared" si="5"/>
        <v>#N/A</v>
      </c>
    </row>
    <row r="148" spans="1:7" x14ac:dyDescent="0.25">
      <c r="A148" t="str">
        <f t="shared" si="4"/>
        <v>Nancy - Cabaco</v>
      </c>
      <c r="B148" t="s">
        <v>717</v>
      </c>
      <c r="C148" t="s">
        <v>718</v>
      </c>
      <c r="D148" t="s">
        <v>688</v>
      </c>
      <c r="E148">
        <v>8</v>
      </c>
      <c r="F148" t="s">
        <v>8</v>
      </c>
      <c r="G148" t="e">
        <f t="shared" si="5"/>
        <v>#N/A</v>
      </c>
    </row>
    <row r="149" spans="1:7" x14ac:dyDescent="0.25">
      <c r="A149" t="str">
        <f t="shared" si="4"/>
        <v>Nancy - Diagne</v>
      </c>
      <c r="B149" t="s">
        <v>486</v>
      </c>
      <c r="C149" t="s">
        <v>719</v>
      </c>
      <c r="D149" t="s">
        <v>688</v>
      </c>
      <c r="E149">
        <v>7</v>
      </c>
      <c r="F149" t="s">
        <v>8</v>
      </c>
      <c r="G149" t="e">
        <f t="shared" si="5"/>
        <v>#N/A</v>
      </c>
    </row>
    <row r="150" spans="1:7" x14ac:dyDescent="0.25">
      <c r="A150" t="str">
        <f t="shared" si="4"/>
        <v>Bastia - Saint-Maximin</v>
      </c>
      <c r="B150" t="s">
        <v>720</v>
      </c>
      <c r="C150" t="s">
        <v>721</v>
      </c>
      <c r="D150" t="s">
        <v>81</v>
      </c>
      <c r="E150">
        <v>10</v>
      </c>
      <c r="F150" t="s">
        <v>6</v>
      </c>
      <c r="G150" t="e">
        <f t="shared" si="5"/>
        <v>#N/A</v>
      </c>
    </row>
    <row r="151" spans="1:7" x14ac:dyDescent="0.25">
      <c r="A151" t="str">
        <f t="shared" si="4"/>
        <v>Nice - Seri</v>
      </c>
      <c r="B151" t="s">
        <v>259</v>
      </c>
      <c r="C151" t="s">
        <v>722</v>
      </c>
      <c r="D151" t="s">
        <v>40</v>
      </c>
      <c r="E151">
        <v>13</v>
      </c>
      <c r="F151" t="s">
        <v>6</v>
      </c>
      <c r="G151" t="e">
        <f t="shared" si="5"/>
        <v>#N/A</v>
      </c>
    </row>
    <row r="152" spans="1:7" x14ac:dyDescent="0.25">
      <c r="A152" t="str">
        <f t="shared" si="4"/>
        <v>Nancy - Lenglet</v>
      </c>
      <c r="B152" t="s">
        <v>723</v>
      </c>
      <c r="C152" t="s">
        <v>724</v>
      </c>
      <c r="D152" t="s">
        <v>688</v>
      </c>
      <c r="E152">
        <v>8</v>
      </c>
      <c r="F152" t="s">
        <v>8</v>
      </c>
      <c r="G152" t="e">
        <f t="shared" si="5"/>
        <v>#N/A</v>
      </c>
    </row>
    <row r="153" spans="1:7" x14ac:dyDescent="0.25">
      <c r="A153" t="str">
        <f t="shared" si="4"/>
        <v>Bordeaux - Arambarri</v>
      </c>
      <c r="B153" t="s">
        <v>557</v>
      </c>
      <c r="C153" t="s">
        <v>663</v>
      </c>
      <c r="D153" t="s">
        <v>31</v>
      </c>
      <c r="E153">
        <v>3</v>
      </c>
      <c r="F153" t="s">
        <v>6</v>
      </c>
      <c r="G153" t="e">
        <f t="shared" si="5"/>
        <v>#N/A</v>
      </c>
    </row>
    <row r="154" spans="1:7" x14ac:dyDescent="0.25">
      <c r="A154" t="str">
        <f t="shared" si="4"/>
        <v>Nice - Benrahma</v>
      </c>
      <c r="B154" t="s">
        <v>404</v>
      </c>
      <c r="C154" t="s">
        <v>701</v>
      </c>
      <c r="D154" t="s">
        <v>40</v>
      </c>
      <c r="E154">
        <v>2</v>
      </c>
      <c r="F154" t="s">
        <v>5</v>
      </c>
      <c r="G154" t="e">
        <f t="shared" si="5"/>
        <v>#N/A</v>
      </c>
    </row>
    <row r="155" spans="1:7" x14ac:dyDescent="0.25">
      <c r="A155" t="str">
        <f t="shared" si="4"/>
        <v>Bordeaux - Kaabouni</v>
      </c>
      <c r="B155" t="s">
        <v>438</v>
      </c>
      <c r="C155" t="s">
        <v>725</v>
      </c>
      <c r="D155" t="s">
        <v>31</v>
      </c>
      <c r="E155">
        <v>2</v>
      </c>
      <c r="F155" t="s">
        <v>6</v>
      </c>
      <c r="G155" t="e">
        <f t="shared" si="5"/>
        <v>#N/A</v>
      </c>
    </row>
    <row r="156" spans="1:7" x14ac:dyDescent="0.25">
      <c r="A156" t="str">
        <f t="shared" si="4"/>
        <v>Monaco - Boschilia</v>
      </c>
      <c r="B156" t="s">
        <v>514</v>
      </c>
      <c r="C156" t="s">
        <v>583</v>
      </c>
      <c r="D156" t="s">
        <v>22</v>
      </c>
      <c r="E156">
        <v>7</v>
      </c>
      <c r="F156" t="s">
        <v>6</v>
      </c>
      <c r="G156" t="e">
        <f t="shared" si="5"/>
        <v>#N/A</v>
      </c>
    </row>
    <row r="157" spans="1:7" x14ac:dyDescent="0.25">
      <c r="A157" t="str">
        <f t="shared" si="4"/>
        <v>Lyon - Mammana</v>
      </c>
      <c r="B157" t="s">
        <v>726</v>
      </c>
      <c r="C157" t="s">
        <v>727</v>
      </c>
      <c r="D157" t="s">
        <v>28</v>
      </c>
      <c r="E157">
        <v>7</v>
      </c>
      <c r="F157" t="s">
        <v>8</v>
      </c>
      <c r="G157" t="e">
        <f t="shared" si="5"/>
        <v>#N/A</v>
      </c>
    </row>
    <row r="158" spans="1:7" x14ac:dyDescent="0.25">
      <c r="A158" t="str">
        <f t="shared" si="4"/>
        <v>Saint Etienne - Maiga</v>
      </c>
      <c r="B158" t="s">
        <v>728</v>
      </c>
      <c r="C158" t="s">
        <v>729</v>
      </c>
      <c r="D158" t="s">
        <v>585</v>
      </c>
      <c r="E158">
        <v>2</v>
      </c>
      <c r="F158" t="s">
        <v>6</v>
      </c>
      <c r="G158" t="e">
        <f t="shared" si="5"/>
        <v>#N/A</v>
      </c>
    </row>
    <row r="159" spans="1:7" x14ac:dyDescent="0.25">
      <c r="A159" t="str">
        <f t="shared" si="4"/>
        <v>Caen - Vercoutre</v>
      </c>
      <c r="B159" t="s">
        <v>88</v>
      </c>
      <c r="C159" t="s">
        <v>69</v>
      </c>
      <c r="D159" t="s">
        <v>37</v>
      </c>
      <c r="E159">
        <v>12</v>
      </c>
      <c r="F159" t="s">
        <v>7</v>
      </c>
      <c r="G159" t="e">
        <f t="shared" si="5"/>
        <v>#N/A</v>
      </c>
    </row>
    <row r="160" spans="1:7" x14ac:dyDescent="0.25">
      <c r="A160" t="str">
        <f t="shared" si="4"/>
        <v>Dijon - Leroy</v>
      </c>
      <c r="B160" t="s">
        <v>994</v>
      </c>
      <c r="C160" t="s">
        <v>39</v>
      </c>
      <c r="D160" t="s">
        <v>581</v>
      </c>
      <c r="E160">
        <v>5</v>
      </c>
      <c r="F160" t="s">
        <v>7</v>
      </c>
      <c r="G160" t="e">
        <f t="shared" si="5"/>
        <v>#N/A</v>
      </c>
    </row>
    <row r="161" spans="1:8" x14ac:dyDescent="0.25">
      <c r="A161" t="str">
        <f t="shared" si="4"/>
        <v>Bordeaux - Gajic</v>
      </c>
      <c r="B161" t="s">
        <v>430</v>
      </c>
      <c r="C161" t="s">
        <v>666</v>
      </c>
      <c r="D161" t="s">
        <v>31</v>
      </c>
      <c r="E161">
        <v>5</v>
      </c>
      <c r="F161" t="s">
        <v>6</v>
      </c>
      <c r="G161" t="e">
        <f t="shared" si="5"/>
        <v>#N/A</v>
      </c>
    </row>
    <row r="162" spans="1:8" x14ac:dyDescent="0.25">
      <c r="A162" t="str">
        <f t="shared" si="4"/>
        <v>Marseille - Tuiloma</v>
      </c>
      <c r="B162" t="s">
        <v>367</v>
      </c>
      <c r="C162" t="s">
        <v>732</v>
      </c>
      <c r="D162" t="s">
        <v>25</v>
      </c>
      <c r="E162">
        <v>3</v>
      </c>
      <c r="F162" t="s">
        <v>6</v>
      </c>
      <c r="G162" t="e">
        <f t="shared" si="5"/>
        <v>#N/A</v>
      </c>
    </row>
    <row r="163" spans="1:8" x14ac:dyDescent="0.25">
      <c r="A163" t="str">
        <f t="shared" si="4"/>
        <v>Nancy - Bauchet</v>
      </c>
      <c r="B163" t="s">
        <v>733</v>
      </c>
      <c r="C163" t="s">
        <v>85</v>
      </c>
      <c r="D163" t="s">
        <v>688</v>
      </c>
      <c r="E163">
        <v>3</v>
      </c>
      <c r="F163" t="s">
        <v>5</v>
      </c>
      <c r="G163" t="e">
        <f t="shared" si="5"/>
        <v>#N/A</v>
      </c>
    </row>
    <row r="164" spans="1:8" x14ac:dyDescent="0.25">
      <c r="A164" t="str">
        <f t="shared" si="4"/>
        <v>Bordeaux - Touré</v>
      </c>
      <c r="B164" t="s">
        <v>29</v>
      </c>
      <c r="C164" t="s">
        <v>30</v>
      </c>
      <c r="D164" t="s">
        <v>31</v>
      </c>
      <c r="E164">
        <v>11</v>
      </c>
      <c r="F164" t="s">
        <v>5</v>
      </c>
      <c r="G164" t="e">
        <f t="shared" si="5"/>
        <v>#N/A</v>
      </c>
    </row>
    <row r="165" spans="1:8" x14ac:dyDescent="0.25">
      <c r="A165" t="str">
        <f t="shared" si="4"/>
        <v>Bordeaux - Pellenard</v>
      </c>
      <c r="B165" t="s">
        <v>431</v>
      </c>
      <c r="C165" t="s">
        <v>734</v>
      </c>
      <c r="D165" t="s">
        <v>31</v>
      </c>
      <c r="E165">
        <v>1</v>
      </c>
      <c r="F165" t="s">
        <v>8</v>
      </c>
      <c r="G165" t="e">
        <f t="shared" si="5"/>
        <v>#N/A</v>
      </c>
    </row>
    <row r="166" spans="1:8" x14ac:dyDescent="0.25">
      <c r="A166" t="str">
        <f t="shared" si="4"/>
        <v>Monaco - Diallo</v>
      </c>
      <c r="B166" t="s">
        <v>480</v>
      </c>
      <c r="C166" t="s">
        <v>735</v>
      </c>
      <c r="D166" t="s">
        <v>22</v>
      </c>
      <c r="E166">
        <v>3</v>
      </c>
      <c r="F166" t="s">
        <v>8</v>
      </c>
      <c r="G166" t="e">
        <f t="shared" si="5"/>
        <v>#N/A</v>
      </c>
    </row>
    <row r="167" spans="1:8" x14ac:dyDescent="0.25">
      <c r="A167" t="str">
        <f t="shared" si="4"/>
        <v>Bastia - Crivelli</v>
      </c>
      <c r="B167" t="s">
        <v>132</v>
      </c>
      <c r="C167" t="s">
        <v>133</v>
      </c>
      <c r="D167" t="s">
        <v>81</v>
      </c>
      <c r="E167">
        <v>12</v>
      </c>
      <c r="F167" t="s">
        <v>5</v>
      </c>
      <c r="G167" t="e">
        <f t="shared" si="5"/>
        <v>#N/A</v>
      </c>
    </row>
    <row r="168" spans="1:8" x14ac:dyDescent="0.25">
      <c r="A168" t="str">
        <f t="shared" si="4"/>
        <v>Lille - Kone</v>
      </c>
      <c r="B168" t="s">
        <v>736</v>
      </c>
      <c r="C168" t="s">
        <v>244</v>
      </c>
      <c r="D168" t="s">
        <v>34</v>
      </c>
      <c r="E168">
        <v>3</v>
      </c>
      <c r="F168" t="s">
        <v>6</v>
      </c>
      <c r="G168" t="e">
        <f t="shared" si="5"/>
        <v>#N/A</v>
      </c>
    </row>
    <row r="169" spans="1:8" x14ac:dyDescent="0.25">
      <c r="A169" t="str">
        <f t="shared" si="4"/>
        <v>Bordeaux - Malcom</v>
      </c>
      <c r="B169" t="s">
        <v>558</v>
      </c>
      <c r="C169" t="s">
        <v>583</v>
      </c>
      <c r="D169" t="s">
        <v>31</v>
      </c>
      <c r="E169">
        <v>8</v>
      </c>
      <c r="F169" t="s">
        <v>6</v>
      </c>
      <c r="G169" t="e">
        <f t="shared" si="5"/>
        <v>#N/A</v>
      </c>
    </row>
    <row r="170" spans="1:8" x14ac:dyDescent="0.25">
      <c r="A170" t="str">
        <f t="shared" si="4"/>
        <v>Dijon - Reynet</v>
      </c>
      <c r="B170" t="s">
        <v>1024</v>
      </c>
      <c r="C170" t="s">
        <v>710</v>
      </c>
      <c r="D170" t="s">
        <v>581</v>
      </c>
      <c r="E170">
        <v>10</v>
      </c>
      <c r="F170" t="s">
        <v>7</v>
      </c>
      <c r="G170" t="e">
        <f t="shared" si="5"/>
        <v>#N/A</v>
      </c>
    </row>
    <row r="171" spans="1:8" x14ac:dyDescent="0.25">
      <c r="A171" t="str">
        <f t="shared" si="4"/>
        <v>Nantes - Dubois</v>
      </c>
      <c r="B171" t="s">
        <v>502</v>
      </c>
      <c r="C171" t="s">
        <v>737</v>
      </c>
      <c r="D171" t="s">
        <v>24</v>
      </c>
      <c r="E171">
        <v>8</v>
      </c>
      <c r="F171" t="s">
        <v>8</v>
      </c>
      <c r="G171" t="e">
        <f t="shared" si="5"/>
        <v>#N/A</v>
      </c>
    </row>
    <row r="172" spans="1:8" x14ac:dyDescent="0.25">
      <c r="A172" t="str">
        <f t="shared" si="4"/>
        <v>Caen - Karamoh</v>
      </c>
      <c r="B172" t="s">
        <v>738</v>
      </c>
      <c r="C172" t="s">
        <v>739</v>
      </c>
      <c r="D172" t="s">
        <v>37</v>
      </c>
      <c r="E172">
        <v>1</v>
      </c>
      <c r="F172" t="s">
        <v>5</v>
      </c>
      <c r="G172" t="e">
        <f t="shared" si="5"/>
        <v>#N/A</v>
      </c>
      <c r="H172" t="s">
        <v>1040</v>
      </c>
    </row>
    <row r="173" spans="1:8" x14ac:dyDescent="0.25">
      <c r="A173" t="str">
        <f t="shared" si="4"/>
        <v>Montpellier - N'Diaye</v>
      </c>
      <c r="B173" t="s">
        <v>453</v>
      </c>
      <c r="C173" t="s">
        <v>315</v>
      </c>
      <c r="D173" t="s">
        <v>21</v>
      </c>
      <c r="E173">
        <v>3</v>
      </c>
      <c r="F173" t="s">
        <v>8</v>
      </c>
      <c r="G173" t="e">
        <f t="shared" si="5"/>
        <v>#N/A</v>
      </c>
    </row>
    <row r="174" spans="1:8" x14ac:dyDescent="0.25">
      <c r="A174" t="str">
        <f t="shared" si="4"/>
        <v>Marseille - Leya Iseka</v>
      </c>
      <c r="B174" t="s">
        <v>740</v>
      </c>
      <c r="C174" t="s">
        <v>741</v>
      </c>
      <c r="D174" t="s">
        <v>25</v>
      </c>
      <c r="E174">
        <v>6</v>
      </c>
      <c r="F174" t="s">
        <v>5</v>
      </c>
      <c r="G174" t="e">
        <f t="shared" si="5"/>
        <v>#N/A</v>
      </c>
    </row>
    <row r="175" spans="1:8" x14ac:dyDescent="0.25">
      <c r="A175" t="str">
        <f t="shared" si="4"/>
        <v>Angers - Mangani</v>
      </c>
      <c r="B175" t="s">
        <v>254</v>
      </c>
      <c r="C175" t="s">
        <v>30</v>
      </c>
      <c r="D175" t="s">
        <v>174</v>
      </c>
      <c r="E175">
        <v>10</v>
      </c>
      <c r="F175" t="s">
        <v>6</v>
      </c>
      <c r="G175" t="e">
        <f t="shared" si="5"/>
        <v>#N/A</v>
      </c>
    </row>
    <row r="176" spans="1:8" x14ac:dyDescent="0.25">
      <c r="A176" t="str">
        <f t="shared" si="4"/>
        <v>Bordeaux - Maurice-Belay</v>
      </c>
      <c r="B176" t="s">
        <v>742</v>
      </c>
      <c r="C176" t="s">
        <v>66</v>
      </c>
      <c r="D176" t="s">
        <v>31</v>
      </c>
      <c r="E176">
        <v>9</v>
      </c>
      <c r="F176" t="s">
        <v>5</v>
      </c>
      <c r="G176" t="e">
        <f t="shared" si="5"/>
        <v>#N/A</v>
      </c>
    </row>
    <row r="177" spans="1:7" x14ac:dyDescent="0.25">
      <c r="A177" t="str">
        <f t="shared" si="4"/>
        <v>Saint Etienne - Clément</v>
      </c>
      <c r="B177" t="s">
        <v>104</v>
      </c>
      <c r="C177" t="s">
        <v>49</v>
      </c>
      <c r="D177" t="s">
        <v>585</v>
      </c>
      <c r="E177">
        <v>12</v>
      </c>
      <c r="F177" t="s">
        <v>6</v>
      </c>
      <c r="G177" t="e">
        <f t="shared" si="5"/>
        <v>#N/A</v>
      </c>
    </row>
    <row r="178" spans="1:7" x14ac:dyDescent="0.25">
      <c r="A178" t="str">
        <f t="shared" si="4"/>
        <v>Montpellier - Vanden Borre</v>
      </c>
      <c r="B178" t="s">
        <v>743</v>
      </c>
      <c r="C178" t="s">
        <v>70</v>
      </c>
      <c r="D178" t="s">
        <v>21</v>
      </c>
      <c r="E178">
        <v>8</v>
      </c>
      <c r="F178" t="s">
        <v>8</v>
      </c>
      <c r="G178" t="e">
        <f t="shared" si="5"/>
        <v>#N/A</v>
      </c>
    </row>
    <row r="179" spans="1:7" x14ac:dyDescent="0.25">
      <c r="A179" t="str">
        <f t="shared" si="4"/>
        <v>Paris - Ben Arfa</v>
      </c>
      <c r="B179" t="s">
        <v>179</v>
      </c>
      <c r="C179" t="s">
        <v>180</v>
      </c>
      <c r="D179" t="s">
        <v>47</v>
      </c>
      <c r="E179">
        <v>19</v>
      </c>
      <c r="F179" t="s">
        <v>6</v>
      </c>
      <c r="G179" t="e">
        <f t="shared" si="5"/>
        <v>#N/A</v>
      </c>
    </row>
    <row r="180" spans="1:7" x14ac:dyDescent="0.25">
      <c r="A180" t="str">
        <f t="shared" si="4"/>
        <v>Lille - Mavuba</v>
      </c>
      <c r="B180" t="s">
        <v>422</v>
      </c>
      <c r="C180" t="s">
        <v>744</v>
      </c>
      <c r="D180" t="s">
        <v>34</v>
      </c>
      <c r="E180">
        <v>10</v>
      </c>
      <c r="F180" t="s">
        <v>6</v>
      </c>
      <c r="G180" t="e">
        <f t="shared" si="5"/>
        <v>#N/A</v>
      </c>
    </row>
    <row r="181" spans="1:7" x14ac:dyDescent="0.25">
      <c r="A181" t="str">
        <f t="shared" si="4"/>
        <v>Guingamp - Mendy</v>
      </c>
      <c r="B181" t="s">
        <v>317</v>
      </c>
      <c r="C181" t="s">
        <v>27</v>
      </c>
      <c r="D181" t="s">
        <v>50</v>
      </c>
      <c r="E181">
        <v>2</v>
      </c>
      <c r="F181" t="s">
        <v>6</v>
      </c>
      <c r="G181" t="e">
        <f t="shared" si="5"/>
        <v>#N/A</v>
      </c>
    </row>
    <row r="182" spans="1:7" x14ac:dyDescent="0.25">
      <c r="A182" t="str">
        <f t="shared" si="4"/>
        <v>Rennes - Afonso Figueiredo</v>
      </c>
      <c r="B182" t="s">
        <v>745</v>
      </c>
      <c r="C182" t="s">
        <v>583</v>
      </c>
      <c r="D182" t="s">
        <v>42</v>
      </c>
      <c r="E182">
        <v>2</v>
      </c>
      <c r="F182" t="s">
        <v>8</v>
      </c>
      <c r="G182" t="e">
        <f t="shared" si="5"/>
        <v>#N/A</v>
      </c>
    </row>
    <row r="183" spans="1:7" x14ac:dyDescent="0.25">
      <c r="A183" t="str">
        <f t="shared" si="4"/>
        <v>Rennes - Bensebaini</v>
      </c>
      <c r="B183" t="s">
        <v>454</v>
      </c>
      <c r="C183" t="s">
        <v>746</v>
      </c>
      <c r="D183" t="s">
        <v>42</v>
      </c>
      <c r="E183">
        <v>9</v>
      </c>
      <c r="F183" t="s">
        <v>8</v>
      </c>
      <c r="G183" t="e">
        <f t="shared" si="5"/>
        <v>#N/A</v>
      </c>
    </row>
    <row r="184" spans="1:7" x14ac:dyDescent="0.25">
      <c r="A184" t="str">
        <f t="shared" si="4"/>
        <v>Dijon - Bahamboula</v>
      </c>
      <c r="B184" t="s">
        <v>747</v>
      </c>
      <c r="C184" t="s">
        <v>748</v>
      </c>
      <c r="D184" t="s">
        <v>581</v>
      </c>
      <c r="E184">
        <v>10</v>
      </c>
      <c r="F184" t="s">
        <v>6</v>
      </c>
      <c r="G184" t="e">
        <f t="shared" si="5"/>
        <v>#N/A</v>
      </c>
    </row>
    <row r="185" spans="1:7" x14ac:dyDescent="0.25">
      <c r="A185" t="str">
        <f t="shared" si="4"/>
        <v>Guingamp - Guivarch</v>
      </c>
      <c r="B185" t="s">
        <v>353</v>
      </c>
      <c r="C185" t="s">
        <v>354</v>
      </c>
      <c r="D185" t="s">
        <v>50</v>
      </c>
      <c r="E185">
        <v>1</v>
      </c>
      <c r="F185" t="s">
        <v>7</v>
      </c>
      <c r="G185" t="e">
        <f t="shared" si="5"/>
        <v>#N/A</v>
      </c>
    </row>
    <row r="186" spans="1:7" x14ac:dyDescent="0.25">
      <c r="A186" t="str">
        <f t="shared" si="4"/>
        <v>Monaco - Touré</v>
      </c>
      <c r="B186" t="s">
        <v>29</v>
      </c>
      <c r="C186" t="s">
        <v>344</v>
      </c>
      <c r="D186" t="s">
        <v>22</v>
      </c>
      <c r="E186">
        <v>6</v>
      </c>
      <c r="F186" t="s">
        <v>8</v>
      </c>
      <c r="G186" t="e">
        <f t="shared" si="5"/>
        <v>#N/A</v>
      </c>
    </row>
    <row r="187" spans="1:7" x14ac:dyDescent="0.25">
      <c r="A187" t="str">
        <f t="shared" si="4"/>
        <v>Nantes - Bammou</v>
      </c>
      <c r="B187" t="s">
        <v>301</v>
      </c>
      <c r="C187" t="s">
        <v>302</v>
      </c>
      <c r="D187" t="s">
        <v>24</v>
      </c>
      <c r="E187">
        <v>12</v>
      </c>
      <c r="F187" t="s">
        <v>5</v>
      </c>
      <c r="G187" t="e">
        <f t="shared" si="5"/>
        <v>#N/A</v>
      </c>
    </row>
    <row r="188" spans="1:7" x14ac:dyDescent="0.25">
      <c r="A188" t="str">
        <f t="shared" si="4"/>
        <v>Nice - Lusamba</v>
      </c>
      <c r="B188" t="s">
        <v>751</v>
      </c>
      <c r="C188" t="s">
        <v>752</v>
      </c>
      <c r="D188" t="s">
        <v>40</v>
      </c>
      <c r="E188">
        <v>5</v>
      </c>
      <c r="F188" t="s">
        <v>6</v>
      </c>
      <c r="G188" t="e">
        <f t="shared" si="5"/>
        <v>#N/A</v>
      </c>
    </row>
    <row r="189" spans="1:7" x14ac:dyDescent="0.25">
      <c r="A189" t="str">
        <f t="shared" si="4"/>
        <v>Angers - Toko Ekambi</v>
      </c>
      <c r="B189" t="s">
        <v>753</v>
      </c>
      <c r="C189" t="s">
        <v>754</v>
      </c>
      <c r="D189" t="s">
        <v>174</v>
      </c>
      <c r="E189">
        <v>9</v>
      </c>
      <c r="F189" t="s">
        <v>6</v>
      </c>
      <c r="G189" t="e">
        <f t="shared" si="5"/>
        <v>#N/A</v>
      </c>
    </row>
    <row r="190" spans="1:7" x14ac:dyDescent="0.25">
      <c r="A190" t="str">
        <f t="shared" si="4"/>
        <v>Bordeaux - Kamano</v>
      </c>
      <c r="B190" t="s">
        <v>286</v>
      </c>
      <c r="C190" t="s">
        <v>287</v>
      </c>
      <c r="D190" t="s">
        <v>31</v>
      </c>
      <c r="E190">
        <v>5</v>
      </c>
      <c r="F190" t="s">
        <v>6</v>
      </c>
      <c r="G190" t="e">
        <f t="shared" si="5"/>
        <v>#N/A</v>
      </c>
    </row>
    <row r="191" spans="1:7" x14ac:dyDescent="0.25">
      <c r="A191" t="str">
        <f t="shared" si="4"/>
        <v>Nantes - Rongier</v>
      </c>
      <c r="B191" t="s">
        <v>505</v>
      </c>
      <c r="C191" t="s">
        <v>134</v>
      </c>
      <c r="D191" t="s">
        <v>24</v>
      </c>
      <c r="E191">
        <v>8</v>
      </c>
      <c r="F191" t="s">
        <v>6</v>
      </c>
      <c r="G191" t="e">
        <f t="shared" si="5"/>
        <v>#N/A</v>
      </c>
    </row>
    <row r="192" spans="1:7" x14ac:dyDescent="0.25">
      <c r="A192" t="str">
        <f t="shared" si="4"/>
        <v>Nice - Koziello</v>
      </c>
      <c r="B192" t="s">
        <v>285</v>
      </c>
      <c r="C192" t="s">
        <v>87</v>
      </c>
      <c r="D192" t="s">
        <v>40</v>
      </c>
      <c r="E192">
        <v>13</v>
      </c>
      <c r="F192" t="s">
        <v>5</v>
      </c>
      <c r="G192" t="e">
        <f t="shared" si="5"/>
        <v>#N/A</v>
      </c>
    </row>
    <row r="193" spans="1:7" x14ac:dyDescent="0.25">
      <c r="A193" t="str">
        <f t="shared" si="4"/>
        <v>Rennes - Ribelin</v>
      </c>
      <c r="B193" t="s">
        <v>455</v>
      </c>
      <c r="C193" t="s">
        <v>70</v>
      </c>
      <c r="D193" t="s">
        <v>42</v>
      </c>
      <c r="E193">
        <v>3</v>
      </c>
      <c r="F193" t="s">
        <v>6</v>
      </c>
      <c r="G193" t="e">
        <f t="shared" si="5"/>
        <v>#N/A</v>
      </c>
    </row>
    <row r="194" spans="1:7" x14ac:dyDescent="0.25">
      <c r="A194" t="str">
        <f t="shared" ref="A194:A257" si="6">D194 &amp; " - " &amp; B194</f>
        <v>Marseille - Porsan-Clemente</v>
      </c>
      <c r="B194" t="s">
        <v>755</v>
      </c>
      <c r="C194" t="s">
        <v>756</v>
      </c>
      <c r="D194" t="s">
        <v>25</v>
      </c>
      <c r="E194">
        <v>3</v>
      </c>
      <c r="F194" t="s">
        <v>5</v>
      </c>
      <c r="G194" t="e">
        <f t="shared" ref="G194:G257" si="7">IF(VLOOKUP(VLOOKUP($A194,_JOUEURS,2,FALSE),_DATA,8,FALSE)=0,"",VLOOKUP(VLOOKUP($A194,_JOUEURS,2,FALSE),_DATA,8,FALSE))</f>
        <v>#N/A</v>
      </c>
    </row>
    <row r="195" spans="1:7" x14ac:dyDescent="0.25">
      <c r="A195" t="str">
        <f t="shared" si="6"/>
        <v>Toulouse - Bodiger</v>
      </c>
      <c r="B195" t="s">
        <v>470</v>
      </c>
      <c r="C195" t="s">
        <v>739</v>
      </c>
      <c r="D195" t="s">
        <v>41</v>
      </c>
      <c r="E195">
        <v>7</v>
      </c>
      <c r="F195" t="s">
        <v>5</v>
      </c>
      <c r="G195" t="e">
        <f t="shared" si="7"/>
        <v>#N/A</v>
      </c>
    </row>
    <row r="196" spans="1:7" x14ac:dyDescent="0.25">
      <c r="A196" t="str">
        <f t="shared" si="6"/>
        <v>Bordeaux - Menez</v>
      </c>
      <c r="B196" t="s">
        <v>757</v>
      </c>
      <c r="C196" t="s">
        <v>49</v>
      </c>
      <c r="D196" t="s">
        <v>31</v>
      </c>
      <c r="E196">
        <v>19</v>
      </c>
      <c r="F196" t="s">
        <v>6</v>
      </c>
      <c r="G196" t="e">
        <f t="shared" si="7"/>
        <v>#N/A</v>
      </c>
    </row>
    <row r="197" spans="1:7" x14ac:dyDescent="0.25">
      <c r="A197" t="str">
        <f t="shared" si="6"/>
        <v>Metz - Erdinc</v>
      </c>
      <c r="B197" t="s">
        <v>758</v>
      </c>
      <c r="C197" t="s">
        <v>759</v>
      </c>
      <c r="D197" t="s">
        <v>606</v>
      </c>
      <c r="E197">
        <v>17</v>
      </c>
      <c r="F197" t="s">
        <v>5</v>
      </c>
      <c r="G197" t="e">
        <f t="shared" si="7"/>
        <v>#N/A</v>
      </c>
    </row>
    <row r="198" spans="1:7" x14ac:dyDescent="0.25">
      <c r="A198" t="str">
        <f t="shared" si="6"/>
        <v>Montpellier - Skhiri</v>
      </c>
      <c r="B198" t="s">
        <v>459</v>
      </c>
      <c r="C198" t="s">
        <v>760</v>
      </c>
      <c r="D198" t="s">
        <v>21</v>
      </c>
      <c r="E198">
        <v>9</v>
      </c>
      <c r="F198" t="s">
        <v>6</v>
      </c>
      <c r="G198" t="e">
        <f t="shared" si="7"/>
        <v>#N/A</v>
      </c>
    </row>
    <row r="199" spans="1:7" x14ac:dyDescent="0.25">
      <c r="A199" t="str">
        <f t="shared" si="6"/>
        <v>Angers - Pepe</v>
      </c>
      <c r="B199" t="s">
        <v>761</v>
      </c>
      <c r="C199" t="s">
        <v>66</v>
      </c>
      <c r="D199" t="s">
        <v>174</v>
      </c>
      <c r="E199">
        <v>4</v>
      </c>
      <c r="F199" t="s">
        <v>6</v>
      </c>
      <c r="G199" t="e">
        <f t="shared" si="7"/>
        <v>#N/A</v>
      </c>
    </row>
    <row r="200" spans="1:7" x14ac:dyDescent="0.25">
      <c r="A200" t="str">
        <f t="shared" si="6"/>
        <v>Bordeaux - Vada</v>
      </c>
      <c r="B200" t="s">
        <v>436</v>
      </c>
      <c r="C200" t="s">
        <v>134</v>
      </c>
      <c r="D200" t="s">
        <v>31</v>
      </c>
      <c r="E200">
        <v>8</v>
      </c>
      <c r="F200" t="s">
        <v>8</v>
      </c>
      <c r="G200" t="e">
        <f t="shared" si="7"/>
        <v>#N/A</v>
      </c>
    </row>
    <row r="201" spans="1:7" x14ac:dyDescent="0.25">
      <c r="A201" t="str">
        <f t="shared" si="6"/>
        <v>Monaco - João Moutinho</v>
      </c>
      <c r="B201" t="s">
        <v>233</v>
      </c>
      <c r="C201" t="s">
        <v>583</v>
      </c>
      <c r="D201" t="s">
        <v>22</v>
      </c>
      <c r="E201">
        <v>15</v>
      </c>
      <c r="F201" t="s">
        <v>5</v>
      </c>
      <c r="G201" t="e">
        <f t="shared" si="7"/>
        <v>#N/A</v>
      </c>
    </row>
    <row r="202" spans="1:7" x14ac:dyDescent="0.25">
      <c r="A202" t="str">
        <f t="shared" si="6"/>
        <v>Saint Etienne - Perrin</v>
      </c>
      <c r="B202" t="s">
        <v>110</v>
      </c>
      <c r="C202" t="s">
        <v>762</v>
      </c>
      <c r="D202" t="s">
        <v>585</v>
      </c>
      <c r="E202">
        <v>12</v>
      </c>
      <c r="F202" t="s">
        <v>6</v>
      </c>
      <c r="G202" t="e">
        <f t="shared" si="7"/>
        <v>#N/A</v>
      </c>
    </row>
    <row r="203" spans="1:7" x14ac:dyDescent="0.25">
      <c r="A203" t="str">
        <f t="shared" si="6"/>
        <v>Guingamp - Salin</v>
      </c>
      <c r="B203" t="s">
        <v>902</v>
      </c>
      <c r="C203" t="s">
        <v>85</v>
      </c>
      <c r="D203" t="s">
        <v>50</v>
      </c>
      <c r="E203">
        <v>5</v>
      </c>
      <c r="F203" t="s">
        <v>7</v>
      </c>
      <c r="G203" t="e">
        <f t="shared" si="7"/>
        <v>#N/A</v>
      </c>
    </row>
    <row r="204" spans="1:7" x14ac:dyDescent="0.25">
      <c r="A204" t="str">
        <f t="shared" si="6"/>
        <v>Monaco - Adama Traoré</v>
      </c>
      <c r="B204" t="s">
        <v>765</v>
      </c>
      <c r="C204" t="s">
        <v>583</v>
      </c>
      <c r="D204" t="s">
        <v>22</v>
      </c>
      <c r="E204">
        <v>8</v>
      </c>
      <c r="F204" t="s">
        <v>6</v>
      </c>
      <c r="G204" t="e">
        <f t="shared" si="7"/>
        <v>#N/A</v>
      </c>
    </row>
    <row r="205" spans="1:7" x14ac:dyDescent="0.25">
      <c r="A205" t="str">
        <f t="shared" si="6"/>
        <v>Lorient - Koffi</v>
      </c>
      <c r="B205" t="s">
        <v>590</v>
      </c>
      <c r="C205" t="s">
        <v>766</v>
      </c>
      <c r="D205" t="s">
        <v>38</v>
      </c>
      <c r="E205">
        <v>3</v>
      </c>
      <c r="F205" t="s">
        <v>5</v>
      </c>
      <c r="G205" t="e">
        <f t="shared" si="7"/>
        <v>#N/A</v>
      </c>
    </row>
    <row r="206" spans="1:7" x14ac:dyDescent="0.25">
      <c r="A206" t="str">
        <f t="shared" si="6"/>
        <v>Paris - Augustin</v>
      </c>
      <c r="B206" t="s">
        <v>229</v>
      </c>
      <c r="C206" t="s">
        <v>281</v>
      </c>
      <c r="D206" t="s">
        <v>47</v>
      </c>
      <c r="E206">
        <v>7</v>
      </c>
      <c r="F206" t="s">
        <v>6</v>
      </c>
      <c r="G206" t="e">
        <f t="shared" si="7"/>
        <v>#N/A</v>
      </c>
    </row>
    <row r="207" spans="1:7" x14ac:dyDescent="0.25">
      <c r="A207" t="str">
        <f t="shared" si="6"/>
        <v>Paris - Georgen</v>
      </c>
      <c r="B207" t="s">
        <v>767</v>
      </c>
      <c r="C207" t="s">
        <v>768</v>
      </c>
      <c r="D207" t="s">
        <v>47</v>
      </c>
      <c r="E207">
        <v>2</v>
      </c>
      <c r="F207" t="s">
        <v>8</v>
      </c>
      <c r="G207" t="e">
        <f t="shared" si="7"/>
        <v>#N/A</v>
      </c>
    </row>
    <row r="208" spans="1:7" x14ac:dyDescent="0.25">
      <c r="A208" t="str">
        <f t="shared" si="6"/>
        <v>Caen - Makengo</v>
      </c>
      <c r="B208" t="s">
        <v>333</v>
      </c>
      <c r="C208" t="s">
        <v>334</v>
      </c>
      <c r="D208" t="s">
        <v>37</v>
      </c>
      <c r="E208">
        <v>1</v>
      </c>
      <c r="F208" t="s">
        <v>6</v>
      </c>
      <c r="G208" t="e">
        <f t="shared" si="7"/>
        <v>#N/A</v>
      </c>
    </row>
    <row r="209" spans="1:8" x14ac:dyDescent="0.25">
      <c r="A209" t="str">
        <f t="shared" si="6"/>
        <v>Toulouse - Edouard</v>
      </c>
      <c r="B209" t="s">
        <v>769</v>
      </c>
      <c r="C209" t="s">
        <v>770</v>
      </c>
      <c r="D209" t="s">
        <v>41</v>
      </c>
      <c r="E209">
        <v>9</v>
      </c>
      <c r="F209" t="s">
        <v>5</v>
      </c>
      <c r="G209" t="e">
        <f t="shared" si="7"/>
        <v>#N/A</v>
      </c>
    </row>
    <row r="210" spans="1:8" x14ac:dyDescent="0.25">
      <c r="A210" t="str">
        <f t="shared" si="6"/>
        <v>Paris - Jonathan Ikone</v>
      </c>
      <c r="B210" t="s">
        <v>771</v>
      </c>
      <c r="C210" t="s">
        <v>583</v>
      </c>
      <c r="D210" t="s">
        <v>47</v>
      </c>
      <c r="E210">
        <v>7</v>
      </c>
      <c r="F210" t="s">
        <v>6</v>
      </c>
      <c r="G210" t="e">
        <f t="shared" si="7"/>
        <v>#N/A</v>
      </c>
    </row>
    <row r="211" spans="1:8" x14ac:dyDescent="0.25">
      <c r="A211" t="str">
        <f t="shared" si="6"/>
        <v>Guingamp - Johnsson</v>
      </c>
      <c r="B211" t="s">
        <v>968</v>
      </c>
      <c r="C211" t="s">
        <v>969</v>
      </c>
      <c r="D211" t="s">
        <v>50</v>
      </c>
      <c r="E211">
        <v>10</v>
      </c>
      <c r="F211" t="s">
        <v>7</v>
      </c>
      <c r="G211" t="e">
        <f t="shared" si="7"/>
        <v>#N/A</v>
      </c>
    </row>
    <row r="212" spans="1:8" x14ac:dyDescent="0.25">
      <c r="A212" t="str">
        <f t="shared" si="6"/>
        <v>Bordeaux - Bernardoni</v>
      </c>
      <c r="B212" t="s">
        <v>534</v>
      </c>
      <c r="C212" t="s">
        <v>137</v>
      </c>
      <c r="D212" t="s">
        <v>31</v>
      </c>
      <c r="E212">
        <v>4</v>
      </c>
      <c r="F212" t="s">
        <v>8</v>
      </c>
      <c r="G212" t="e">
        <f t="shared" si="7"/>
        <v>#N/A</v>
      </c>
    </row>
    <row r="213" spans="1:8" x14ac:dyDescent="0.25">
      <c r="A213" t="str">
        <f t="shared" si="6"/>
        <v>Toulouse - Blin</v>
      </c>
      <c r="B213" t="s">
        <v>473</v>
      </c>
      <c r="C213" t="s">
        <v>773</v>
      </c>
      <c r="D213" t="s">
        <v>41</v>
      </c>
      <c r="E213">
        <v>8</v>
      </c>
      <c r="F213" t="s">
        <v>6</v>
      </c>
      <c r="G213" t="e">
        <f t="shared" si="7"/>
        <v>#N/A</v>
      </c>
    </row>
    <row r="214" spans="1:8" x14ac:dyDescent="0.25">
      <c r="A214" t="str">
        <f t="shared" si="6"/>
        <v>Lille - Maignan</v>
      </c>
      <c r="B214" t="s">
        <v>415</v>
      </c>
      <c r="C214" t="s">
        <v>660</v>
      </c>
      <c r="D214" t="s">
        <v>34</v>
      </c>
      <c r="E214">
        <v>5</v>
      </c>
      <c r="F214" t="s">
        <v>7</v>
      </c>
      <c r="G214" t="e">
        <f t="shared" si="7"/>
        <v>#N/A</v>
      </c>
    </row>
    <row r="215" spans="1:8" x14ac:dyDescent="0.25">
      <c r="A215" t="str">
        <f t="shared" si="6"/>
        <v>Guingamp - Coco</v>
      </c>
      <c r="B215" t="s">
        <v>525</v>
      </c>
      <c r="C215" t="s">
        <v>774</v>
      </c>
      <c r="D215" t="s">
        <v>50</v>
      </c>
      <c r="E215">
        <v>2</v>
      </c>
      <c r="F215" t="s">
        <v>6</v>
      </c>
      <c r="G215" t="e">
        <f t="shared" si="7"/>
        <v>#N/A</v>
      </c>
      <c r="H215" t="s">
        <v>1040</v>
      </c>
    </row>
    <row r="216" spans="1:8" x14ac:dyDescent="0.25">
      <c r="A216" t="str">
        <f t="shared" si="6"/>
        <v>Marseille - Sane</v>
      </c>
      <c r="B216" t="s">
        <v>695</v>
      </c>
      <c r="C216" t="s">
        <v>775</v>
      </c>
      <c r="D216" t="s">
        <v>25</v>
      </c>
      <c r="E216">
        <v>2</v>
      </c>
      <c r="F216" t="s">
        <v>8</v>
      </c>
      <c r="G216" t="e">
        <f t="shared" si="7"/>
        <v>#N/A</v>
      </c>
    </row>
    <row r="217" spans="1:8" x14ac:dyDescent="0.25">
      <c r="A217" t="str">
        <f t="shared" si="6"/>
        <v>Lorient - Selemani</v>
      </c>
      <c r="B217" t="s">
        <v>776</v>
      </c>
      <c r="C217" t="s">
        <v>777</v>
      </c>
      <c r="D217" t="s">
        <v>38</v>
      </c>
      <c r="E217">
        <v>3</v>
      </c>
      <c r="F217" t="s">
        <v>6</v>
      </c>
      <c r="G217" t="e">
        <f t="shared" si="7"/>
        <v>#N/A</v>
      </c>
    </row>
    <row r="218" spans="1:8" x14ac:dyDescent="0.25">
      <c r="A218" t="str">
        <f t="shared" si="6"/>
        <v>Bastia - Benhaim</v>
      </c>
      <c r="B218" t="s">
        <v>778</v>
      </c>
      <c r="C218" t="s">
        <v>45</v>
      </c>
      <c r="D218" t="s">
        <v>81</v>
      </c>
      <c r="E218">
        <v>1</v>
      </c>
      <c r="F218" t="s">
        <v>8</v>
      </c>
      <c r="G218" t="e">
        <f t="shared" si="7"/>
        <v>#N/A</v>
      </c>
    </row>
    <row r="219" spans="1:8" x14ac:dyDescent="0.25">
      <c r="A219" t="str">
        <f t="shared" si="6"/>
        <v>Bordeaux - Soni</v>
      </c>
      <c r="B219" t="s">
        <v>437</v>
      </c>
      <c r="C219" t="s">
        <v>99</v>
      </c>
      <c r="D219" t="s">
        <v>31</v>
      </c>
      <c r="E219">
        <v>1</v>
      </c>
      <c r="F219" t="s">
        <v>6</v>
      </c>
      <c r="G219" t="e">
        <f t="shared" si="7"/>
        <v>#N/A</v>
      </c>
    </row>
    <row r="220" spans="1:8" x14ac:dyDescent="0.25">
      <c r="A220" t="str">
        <f t="shared" si="6"/>
        <v>Lyon - Tousart</v>
      </c>
      <c r="B220" t="s">
        <v>384</v>
      </c>
      <c r="C220" t="s">
        <v>106</v>
      </c>
      <c r="D220" t="s">
        <v>28</v>
      </c>
      <c r="E220">
        <v>3</v>
      </c>
      <c r="F220" t="s">
        <v>6</v>
      </c>
      <c r="G220" t="e">
        <f t="shared" si="7"/>
        <v>#N/A</v>
      </c>
    </row>
    <row r="221" spans="1:8" x14ac:dyDescent="0.25">
      <c r="A221" t="str">
        <f t="shared" si="6"/>
        <v>Bordeaux - Guilbert</v>
      </c>
      <c r="B221" t="s">
        <v>429</v>
      </c>
      <c r="C221" t="s">
        <v>779</v>
      </c>
      <c r="D221" t="s">
        <v>31</v>
      </c>
      <c r="E221">
        <v>3</v>
      </c>
      <c r="F221" t="s">
        <v>6</v>
      </c>
      <c r="G221" t="e">
        <f t="shared" si="7"/>
        <v>#N/A</v>
      </c>
    </row>
    <row r="222" spans="1:8" x14ac:dyDescent="0.25">
      <c r="A222" t="str">
        <f t="shared" si="6"/>
        <v>Marseille - Zambo Anguissa</v>
      </c>
      <c r="B222" t="s">
        <v>371</v>
      </c>
      <c r="C222" t="s">
        <v>780</v>
      </c>
      <c r="D222" t="s">
        <v>25</v>
      </c>
      <c r="E222">
        <v>6</v>
      </c>
      <c r="F222" t="s">
        <v>6</v>
      </c>
      <c r="G222" t="e">
        <f t="shared" si="7"/>
        <v>#N/A</v>
      </c>
    </row>
    <row r="223" spans="1:8" x14ac:dyDescent="0.25">
      <c r="A223" t="str">
        <f t="shared" si="6"/>
        <v>Nice - Boscagli</v>
      </c>
      <c r="B223" t="s">
        <v>393</v>
      </c>
      <c r="C223" t="s">
        <v>703</v>
      </c>
      <c r="D223" t="s">
        <v>40</v>
      </c>
      <c r="E223">
        <v>6</v>
      </c>
      <c r="F223" t="s">
        <v>8</v>
      </c>
      <c r="G223" t="e">
        <f t="shared" si="7"/>
        <v>#N/A</v>
      </c>
    </row>
    <row r="224" spans="1:8" x14ac:dyDescent="0.25">
      <c r="A224" t="str">
        <f t="shared" si="6"/>
        <v>Nice - Donis</v>
      </c>
      <c r="B224" t="s">
        <v>781</v>
      </c>
      <c r="C224" t="s">
        <v>782</v>
      </c>
      <c r="D224" t="s">
        <v>40</v>
      </c>
      <c r="E224">
        <v>5</v>
      </c>
      <c r="F224" t="s">
        <v>5</v>
      </c>
      <c r="G224" t="e">
        <f t="shared" si="7"/>
        <v>#N/A</v>
      </c>
    </row>
    <row r="225" spans="1:7" x14ac:dyDescent="0.25">
      <c r="A225" t="str">
        <f t="shared" si="6"/>
        <v>Marseille - Lass Diarra</v>
      </c>
      <c r="B225" t="s">
        <v>164</v>
      </c>
      <c r="C225" t="s">
        <v>583</v>
      </c>
      <c r="D225" t="s">
        <v>25</v>
      </c>
      <c r="E225">
        <v>19</v>
      </c>
      <c r="F225" t="s">
        <v>6</v>
      </c>
      <c r="G225" t="e">
        <f t="shared" si="7"/>
        <v>#N/A</v>
      </c>
    </row>
    <row r="226" spans="1:7" x14ac:dyDescent="0.25">
      <c r="A226" t="str">
        <f t="shared" si="6"/>
        <v>Nice - Sarr</v>
      </c>
      <c r="B226" t="s">
        <v>370</v>
      </c>
      <c r="C226" t="s">
        <v>783</v>
      </c>
      <c r="D226" t="s">
        <v>40</v>
      </c>
      <c r="E226">
        <v>5</v>
      </c>
      <c r="F226" t="s">
        <v>8</v>
      </c>
      <c r="G226" t="e">
        <f t="shared" si="7"/>
        <v>#N/A</v>
      </c>
    </row>
    <row r="227" spans="1:7" x14ac:dyDescent="0.25">
      <c r="A227" t="str">
        <f t="shared" si="6"/>
        <v>Lille - Enyeama</v>
      </c>
      <c r="B227" t="s">
        <v>86</v>
      </c>
      <c r="C227" t="s">
        <v>87</v>
      </c>
      <c r="D227" t="s">
        <v>34</v>
      </c>
      <c r="E227">
        <v>15</v>
      </c>
      <c r="F227" t="s">
        <v>7</v>
      </c>
      <c r="G227" t="e">
        <f t="shared" si="7"/>
        <v>#N/A</v>
      </c>
    </row>
    <row r="228" spans="1:7" x14ac:dyDescent="0.25">
      <c r="A228" t="str">
        <f t="shared" si="6"/>
        <v>Nancy - Mabella</v>
      </c>
      <c r="B228" t="s">
        <v>785</v>
      </c>
      <c r="C228" t="s">
        <v>739</v>
      </c>
      <c r="D228" t="s">
        <v>688</v>
      </c>
      <c r="E228">
        <v>1</v>
      </c>
      <c r="F228" t="s">
        <v>5</v>
      </c>
      <c r="G228" t="e">
        <f t="shared" si="7"/>
        <v>#N/A</v>
      </c>
    </row>
    <row r="229" spans="1:7" x14ac:dyDescent="0.25">
      <c r="A229" t="str">
        <f t="shared" si="6"/>
        <v>Guingamp - Correia</v>
      </c>
      <c r="B229" t="s">
        <v>395</v>
      </c>
      <c r="C229" t="s">
        <v>260</v>
      </c>
      <c r="D229" t="s">
        <v>50</v>
      </c>
      <c r="E229">
        <v>3</v>
      </c>
      <c r="F229" t="s">
        <v>6</v>
      </c>
      <c r="G229" t="e">
        <f t="shared" si="7"/>
        <v>#N/A</v>
      </c>
    </row>
    <row r="230" spans="1:7" x14ac:dyDescent="0.25">
      <c r="A230" t="str">
        <f t="shared" si="6"/>
        <v>Lille - Butez</v>
      </c>
      <c r="B230" t="s">
        <v>416</v>
      </c>
      <c r="C230" t="s">
        <v>82</v>
      </c>
      <c r="D230" t="s">
        <v>34</v>
      </c>
      <c r="E230">
        <v>1</v>
      </c>
      <c r="F230" t="s">
        <v>7</v>
      </c>
      <c r="G230" t="e">
        <f t="shared" si="7"/>
        <v>#N/A</v>
      </c>
    </row>
    <row r="231" spans="1:7" x14ac:dyDescent="0.25">
      <c r="A231" t="str">
        <f t="shared" si="6"/>
        <v>Lyon - Diakhaby</v>
      </c>
      <c r="B231" t="s">
        <v>787</v>
      </c>
      <c r="C231" t="s">
        <v>788</v>
      </c>
      <c r="D231" t="s">
        <v>28</v>
      </c>
      <c r="E231">
        <v>3</v>
      </c>
      <c r="F231" t="s">
        <v>8</v>
      </c>
      <c r="G231" t="e">
        <f t="shared" si="7"/>
        <v>#N/A</v>
      </c>
    </row>
    <row r="232" spans="1:7" x14ac:dyDescent="0.25">
      <c r="A232" t="str">
        <f t="shared" si="6"/>
        <v>Lille - Arcus</v>
      </c>
      <c r="B232" t="s">
        <v>789</v>
      </c>
      <c r="C232" t="s">
        <v>790</v>
      </c>
      <c r="D232" t="s">
        <v>34</v>
      </c>
      <c r="E232">
        <v>2</v>
      </c>
      <c r="F232" t="s">
        <v>8</v>
      </c>
      <c r="G232" t="e">
        <f t="shared" si="7"/>
        <v>#N/A</v>
      </c>
    </row>
    <row r="233" spans="1:7" x14ac:dyDescent="0.25">
      <c r="A233" t="str">
        <f t="shared" si="6"/>
        <v>Nancy - Marchetti</v>
      </c>
      <c r="B233" t="s">
        <v>791</v>
      </c>
      <c r="C233" t="s">
        <v>87</v>
      </c>
      <c r="D233" t="s">
        <v>688</v>
      </c>
      <c r="E233">
        <v>2</v>
      </c>
      <c r="F233" t="s">
        <v>6</v>
      </c>
      <c r="G233" t="e">
        <f t="shared" si="7"/>
        <v>#N/A</v>
      </c>
    </row>
    <row r="234" spans="1:7" x14ac:dyDescent="0.25">
      <c r="A234" t="str">
        <f t="shared" si="6"/>
        <v>Marseille - Machach</v>
      </c>
      <c r="B234" t="s">
        <v>474</v>
      </c>
      <c r="C234" t="s">
        <v>792</v>
      </c>
      <c r="D234" t="s">
        <v>25</v>
      </c>
      <c r="E234">
        <v>6</v>
      </c>
      <c r="F234" t="s">
        <v>6</v>
      </c>
      <c r="G234" t="e">
        <f t="shared" si="7"/>
        <v>#N/A</v>
      </c>
    </row>
    <row r="235" spans="1:7" x14ac:dyDescent="0.25">
      <c r="A235" t="str">
        <f t="shared" si="6"/>
        <v>Nancy - N'Guessan</v>
      </c>
      <c r="B235" t="s">
        <v>793</v>
      </c>
      <c r="C235" t="s">
        <v>23</v>
      </c>
      <c r="D235" t="s">
        <v>688</v>
      </c>
      <c r="E235">
        <v>5</v>
      </c>
      <c r="F235" t="s">
        <v>6</v>
      </c>
      <c r="G235" t="e">
        <f t="shared" si="7"/>
        <v>#N/A</v>
      </c>
    </row>
    <row r="236" spans="1:7" x14ac:dyDescent="0.25">
      <c r="A236" t="str">
        <f t="shared" si="6"/>
        <v>Toulouse - Sangare</v>
      </c>
      <c r="B236" t="s">
        <v>794</v>
      </c>
      <c r="C236" t="s">
        <v>656</v>
      </c>
      <c r="D236" t="s">
        <v>41</v>
      </c>
      <c r="E236">
        <v>2</v>
      </c>
      <c r="F236" t="s">
        <v>6</v>
      </c>
      <c r="G236" t="e">
        <f t="shared" si="7"/>
        <v>#N/A</v>
      </c>
    </row>
    <row r="237" spans="1:7" x14ac:dyDescent="0.25">
      <c r="A237" t="str">
        <f t="shared" si="6"/>
        <v>Dijon - Lees-Melou</v>
      </c>
      <c r="B237" t="s">
        <v>795</v>
      </c>
      <c r="C237" t="s">
        <v>796</v>
      </c>
      <c r="D237" t="s">
        <v>581</v>
      </c>
      <c r="E237">
        <v>7</v>
      </c>
      <c r="F237" t="s">
        <v>6</v>
      </c>
      <c r="G237" t="e">
        <f t="shared" si="7"/>
        <v>#N/A</v>
      </c>
    </row>
    <row r="238" spans="1:7" x14ac:dyDescent="0.25">
      <c r="A238" t="str">
        <f t="shared" si="6"/>
        <v>Angers - Serin</v>
      </c>
      <c r="B238" t="s">
        <v>541</v>
      </c>
      <c r="C238" t="s">
        <v>797</v>
      </c>
      <c r="D238" t="s">
        <v>174</v>
      </c>
      <c r="E238">
        <v>1</v>
      </c>
      <c r="F238" t="s">
        <v>6</v>
      </c>
      <c r="G238" t="e">
        <f t="shared" si="7"/>
        <v>#N/A</v>
      </c>
    </row>
    <row r="239" spans="1:7" x14ac:dyDescent="0.25">
      <c r="A239" t="str">
        <f t="shared" si="6"/>
        <v>Nice - Dalbert</v>
      </c>
      <c r="B239" t="s">
        <v>798</v>
      </c>
      <c r="C239" t="s">
        <v>583</v>
      </c>
      <c r="D239" t="s">
        <v>40</v>
      </c>
      <c r="E239">
        <v>8</v>
      </c>
      <c r="F239" t="s">
        <v>8</v>
      </c>
      <c r="G239" t="e">
        <f t="shared" si="7"/>
        <v>#N/A</v>
      </c>
    </row>
    <row r="240" spans="1:7" x14ac:dyDescent="0.25">
      <c r="A240" t="str">
        <f t="shared" si="6"/>
        <v>Lille - Petrel</v>
      </c>
      <c r="B240" t="s">
        <v>869</v>
      </c>
      <c r="C240" t="s">
        <v>724</v>
      </c>
      <c r="D240" t="s">
        <v>34</v>
      </c>
      <c r="E240">
        <v>1</v>
      </c>
      <c r="F240" t="s">
        <v>7</v>
      </c>
      <c r="G240" t="e">
        <f t="shared" si="7"/>
        <v>#N/A</v>
      </c>
    </row>
    <row r="241" spans="1:7" x14ac:dyDescent="0.25">
      <c r="A241" t="str">
        <f t="shared" si="6"/>
        <v>Paris - Nkunku</v>
      </c>
      <c r="B241" t="s">
        <v>569</v>
      </c>
      <c r="C241" t="s">
        <v>624</v>
      </c>
      <c r="D241" t="s">
        <v>47</v>
      </c>
      <c r="E241">
        <v>2</v>
      </c>
      <c r="F241" t="s">
        <v>6</v>
      </c>
      <c r="G241" t="e">
        <f t="shared" si="7"/>
        <v>#N/A</v>
      </c>
    </row>
    <row r="242" spans="1:7" x14ac:dyDescent="0.25">
      <c r="A242" t="str">
        <f t="shared" si="6"/>
        <v>Lorient - Lamonge</v>
      </c>
      <c r="B242" t="s">
        <v>832</v>
      </c>
      <c r="C242" t="s">
        <v>70</v>
      </c>
      <c r="D242" t="s">
        <v>38</v>
      </c>
      <c r="E242">
        <v>1</v>
      </c>
      <c r="F242" t="s">
        <v>7</v>
      </c>
      <c r="G242" t="e">
        <f t="shared" si="7"/>
        <v>#N/A</v>
      </c>
    </row>
    <row r="243" spans="1:7" x14ac:dyDescent="0.25">
      <c r="A243" t="str">
        <f t="shared" si="6"/>
        <v>Caen - Leborgne</v>
      </c>
      <c r="B243" t="s">
        <v>531</v>
      </c>
      <c r="C243" t="s">
        <v>78</v>
      </c>
      <c r="D243" t="s">
        <v>37</v>
      </c>
      <c r="E243">
        <v>1</v>
      </c>
      <c r="F243" t="s">
        <v>6</v>
      </c>
      <c r="G243" t="e">
        <f t="shared" si="7"/>
        <v>#N/A</v>
      </c>
    </row>
    <row r="244" spans="1:7" x14ac:dyDescent="0.25">
      <c r="A244" t="str">
        <f t="shared" si="6"/>
        <v>Lyon - D'Arpino</v>
      </c>
      <c r="B244" t="s">
        <v>801</v>
      </c>
      <c r="C244" t="s">
        <v>90</v>
      </c>
      <c r="D244" t="s">
        <v>28</v>
      </c>
      <c r="E244">
        <v>2</v>
      </c>
      <c r="F244" t="s">
        <v>6</v>
      </c>
      <c r="G244" t="e">
        <f t="shared" si="7"/>
        <v>#N/A</v>
      </c>
    </row>
    <row r="245" spans="1:7" x14ac:dyDescent="0.25">
      <c r="A245" t="str">
        <f t="shared" si="6"/>
        <v>Lyon - Kalulu</v>
      </c>
      <c r="B245" t="s">
        <v>171</v>
      </c>
      <c r="C245" t="s">
        <v>140</v>
      </c>
      <c r="D245" t="s">
        <v>28</v>
      </c>
      <c r="E245">
        <v>3</v>
      </c>
      <c r="F245" t="s">
        <v>5</v>
      </c>
      <c r="G245" t="e">
        <f t="shared" si="7"/>
        <v>#N/A</v>
      </c>
    </row>
    <row r="246" spans="1:7" x14ac:dyDescent="0.25">
      <c r="A246" t="str">
        <f t="shared" si="6"/>
        <v>Lorient - Lecomte</v>
      </c>
      <c r="B246" t="s">
        <v>118</v>
      </c>
      <c r="C246" t="s">
        <v>39</v>
      </c>
      <c r="D246" t="s">
        <v>38</v>
      </c>
      <c r="E246">
        <v>11</v>
      </c>
      <c r="F246" t="s">
        <v>7</v>
      </c>
      <c r="G246" t="e">
        <f t="shared" si="7"/>
        <v>#N/A</v>
      </c>
    </row>
    <row r="247" spans="1:7" x14ac:dyDescent="0.25">
      <c r="A247" t="str">
        <f t="shared" si="6"/>
        <v>Guingamp - Blas</v>
      </c>
      <c r="B247" t="s">
        <v>526</v>
      </c>
      <c r="C247" t="s">
        <v>802</v>
      </c>
      <c r="D247" t="s">
        <v>50</v>
      </c>
      <c r="E247">
        <v>5</v>
      </c>
      <c r="F247" t="s">
        <v>6</v>
      </c>
      <c r="G247" t="e">
        <f t="shared" si="7"/>
        <v>#N/A</v>
      </c>
    </row>
    <row r="248" spans="1:7" x14ac:dyDescent="0.25">
      <c r="A248" t="str">
        <f t="shared" si="6"/>
        <v>Marseille - Lopez</v>
      </c>
      <c r="B248" t="s">
        <v>803</v>
      </c>
      <c r="C248" t="s">
        <v>90</v>
      </c>
      <c r="D248" t="s">
        <v>25</v>
      </c>
      <c r="E248">
        <v>7</v>
      </c>
      <c r="F248" t="s">
        <v>6</v>
      </c>
      <c r="G248" t="e">
        <f t="shared" si="7"/>
        <v>#N/A</v>
      </c>
    </row>
    <row r="249" spans="1:7" x14ac:dyDescent="0.25">
      <c r="A249" t="str">
        <f t="shared" si="6"/>
        <v>Lyon - Mocio</v>
      </c>
      <c r="B249" t="s">
        <v>375</v>
      </c>
      <c r="C249" t="s">
        <v>106</v>
      </c>
      <c r="D249" t="s">
        <v>28</v>
      </c>
      <c r="E249">
        <v>1</v>
      </c>
      <c r="F249" t="s">
        <v>7</v>
      </c>
      <c r="G249" t="e">
        <f t="shared" si="7"/>
        <v>#N/A</v>
      </c>
    </row>
    <row r="250" spans="1:7" x14ac:dyDescent="0.25">
      <c r="A250" t="str">
        <f t="shared" si="6"/>
        <v>Metz - Diallo</v>
      </c>
      <c r="B250" t="s">
        <v>480</v>
      </c>
      <c r="C250" t="s">
        <v>805</v>
      </c>
      <c r="D250" t="s">
        <v>606</v>
      </c>
      <c r="E250">
        <v>6</v>
      </c>
      <c r="F250" t="s">
        <v>5</v>
      </c>
      <c r="G250" t="e">
        <f t="shared" si="7"/>
        <v>#N/A</v>
      </c>
    </row>
    <row r="251" spans="1:7" x14ac:dyDescent="0.25">
      <c r="A251" t="str">
        <f t="shared" si="6"/>
        <v>Nancy - Ait Bennasser</v>
      </c>
      <c r="B251" t="s">
        <v>806</v>
      </c>
      <c r="C251" t="s">
        <v>807</v>
      </c>
      <c r="D251" t="s">
        <v>688</v>
      </c>
      <c r="E251">
        <v>7</v>
      </c>
      <c r="F251" t="s">
        <v>6</v>
      </c>
      <c r="G251" t="e">
        <f t="shared" si="7"/>
        <v>#N/A</v>
      </c>
    </row>
    <row r="252" spans="1:7" x14ac:dyDescent="0.25">
      <c r="A252" t="str">
        <f t="shared" si="6"/>
        <v>Nancy - Faitout Maouassa</v>
      </c>
      <c r="B252" t="s">
        <v>808</v>
      </c>
      <c r="C252" t="s">
        <v>583</v>
      </c>
      <c r="D252" t="s">
        <v>688</v>
      </c>
      <c r="E252">
        <v>3</v>
      </c>
      <c r="F252" t="s">
        <v>6</v>
      </c>
      <c r="G252" t="e">
        <f t="shared" si="7"/>
        <v>#N/A</v>
      </c>
    </row>
    <row r="253" spans="1:7" x14ac:dyDescent="0.25">
      <c r="A253" t="str">
        <f t="shared" si="6"/>
        <v>Nantes - Kwateng</v>
      </c>
      <c r="B253" t="s">
        <v>504</v>
      </c>
      <c r="C253" t="s">
        <v>809</v>
      </c>
      <c r="D253" t="s">
        <v>24</v>
      </c>
      <c r="E253">
        <v>5</v>
      </c>
      <c r="F253" t="s">
        <v>8</v>
      </c>
      <c r="G253" t="e">
        <f t="shared" si="7"/>
        <v>#N/A</v>
      </c>
    </row>
    <row r="254" spans="1:7" x14ac:dyDescent="0.25">
      <c r="A254" t="str">
        <f t="shared" si="6"/>
        <v>Bastia - Coulibaly</v>
      </c>
      <c r="B254" t="s">
        <v>483</v>
      </c>
      <c r="C254" t="s">
        <v>810</v>
      </c>
      <c r="D254" t="s">
        <v>81</v>
      </c>
      <c r="E254">
        <v>7</v>
      </c>
      <c r="F254" t="s">
        <v>5</v>
      </c>
      <c r="G254" t="e">
        <f t="shared" si="7"/>
        <v>#N/A</v>
      </c>
    </row>
    <row r="255" spans="1:7" x14ac:dyDescent="0.25">
      <c r="A255" t="str">
        <f t="shared" si="6"/>
        <v>Caen - Voisin</v>
      </c>
      <c r="B255" t="s">
        <v>811</v>
      </c>
      <c r="C255" t="s">
        <v>134</v>
      </c>
      <c r="D255" t="s">
        <v>37</v>
      </c>
      <c r="E255">
        <v>1</v>
      </c>
      <c r="F255" t="s">
        <v>6</v>
      </c>
      <c r="G255" t="e">
        <f t="shared" si="7"/>
        <v>#N/A</v>
      </c>
    </row>
    <row r="256" spans="1:7" x14ac:dyDescent="0.25">
      <c r="A256" t="str">
        <f t="shared" si="6"/>
        <v>Montpellier - Casimir Ninga</v>
      </c>
      <c r="B256" t="s">
        <v>812</v>
      </c>
      <c r="C256" t="s">
        <v>583</v>
      </c>
      <c r="D256" t="s">
        <v>21</v>
      </c>
      <c r="E256">
        <v>12</v>
      </c>
      <c r="F256" t="s">
        <v>5</v>
      </c>
      <c r="G256" t="e">
        <f t="shared" si="7"/>
        <v>#N/A</v>
      </c>
    </row>
    <row r="257" spans="1:7" x14ac:dyDescent="0.25">
      <c r="A257" t="str">
        <f t="shared" si="6"/>
        <v>Saint Etienne - Erin Pinheiro</v>
      </c>
      <c r="B257" t="s">
        <v>813</v>
      </c>
      <c r="C257" t="s">
        <v>583</v>
      </c>
      <c r="D257" t="s">
        <v>585</v>
      </c>
      <c r="E257">
        <v>3</v>
      </c>
      <c r="F257" t="s">
        <v>6</v>
      </c>
      <c r="G257" t="e">
        <f t="shared" si="7"/>
        <v>#N/A</v>
      </c>
    </row>
    <row r="258" spans="1:7" x14ac:dyDescent="0.25">
      <c r="A258" t="str">
        <f t="shared" ref="A258:A321" si="8">D258 &amp; " - " &amp; B258</f>
        <v>Lyon - N'Koulou</v>
      </c>
      <c r="B258" t="s">
        <v>342</v>
      </c>
      <c r="C258" t="s">
        <v>66</v>
      </c>
      <c r="D258" t="s">
        <v>28</v>
      </c>
      <c r="E258">
        <v>12</v>
      </c>
      <c r="F258" t="s">
        <v>7</v>
      </c>
      <c r="G258" t="e">
        <f t="shared" ref="G258:G321" si="9">IF(VLOOKUP(VLOOKUP($A258,_JOUEURS,2,FALSE),_DATA,8,FALSE)=0,"",VLOOKUP(VLOOKUP($A258,_JOUEURS,2,FALSE),_DATA,8,FALSE))</f>
        <v>#N/A</v>
      </c>
    </row>
    <row r="259" spans="1:7" x14ac:dyDescent="0.25">
      <c r="A259" t="str">
        <f t="shared" si="8"/>
        <v>Angers - Wissa</v>
      </c>
      <c r="B259" t="s">
        <v>815</v>
      </c>
      <c r="C259" t="s">
        <v>816</v>
      </c>
      <c r="D259" t="s">
        <v>174</v>
      </c>
      <c r="E259">
        <v>3</v>
      </c>
      <c r="F259" t="s">
        <v>5</v>
      </c>
      <c r="G259" t="e">
        <f t="shared" si="9"/>
        <v>#N/A</v>
      </c>
    </row>
    <row r="260" spans="1:7" x14ac:dyDescent="0.25">
      <c r="A260" t="str">
        <f t="shared" si="8"/>
        <v>Monaco - Beneddine</v>
      </c>
      <c r="B260" t="s">
        <v>817</v>
      </c>
      <c r="C260" t="s">
        <v>146</v>
      </c>
      <c r="D260" t="s">
        <v>22</v>
      </c>
      <c r="E260">
        <v>2</v>
      </c>
      <c r="F260" t="s">
        <v>8</v>
      </c>
      <c r="G260" t="e">
        <f t="shared" si="9"/>
        <v>#N/A</v>
      </c>
    </row>
    <row r="261" spans="1:7" x14ac:dyDescent="0.25">
      <c r="A261" t="str">
        <f t="shared" si="8"/>
        <v>Toulouse - Adou</v>
      </c>
      <c r="B261" t="s">
        <v>818</v>
      </c>
      <c r="C261" t="s">
        <v>819</v>
      </c>
      <c r="D261" t="s">
        <v>41</v>
      </c>
      <c r="E261">
        <v>2</v>
      </c>
      <c r="F261" t="s">
        <v>8</v>
      </c>
      <c r="G261" t="e">
        <f t="shared" si="9"/>
        <v>#N/A</v>
      </c>
    </row>
    <row r="262" spans="1:7" x14ac:dyDescent="0.25">
      <c r="A262" t="str">
        <f t="shared" si="8"/>
        <v>Toulouse - Cafaro</v>
      </c>
      <c r="B262" t="s">
        <v>820</v>
      </c>
      <c r="C262" t="s">
        <v>43</v>
      </c>
      <c r="D262" t="s">
        <v>41</v>
      </c>
      <c r="E262">
        <v>5</v>
      </c>
      <c r="F262" t="s">
        <v>6</v>
      </c>
      <c r="G262" t="e">
        <f t="shared" si="9"/>
        <v>#N/A</v>
      </c>
    </row>
    <row r="263" spans="1:7" x14ac:dyDescent="0.25">
      <c r="A263" t="str">
        <f t="shared" si="8"/>
        <v>Rennes - Janvier</v>
      </c>
      <c r="B263" t="s">
        <v>496</v>
      </c>
      <c r="C263" t="s">
        <v>66</v>
      </c>
      <c r="D263" t="s">
        <v>42</v>
      </c>
      <c r="E263">
        <v>2</v>
      </c>
      <c r="F263" t="s">
        <v>6</v>
      </c>
      <c r="G263" t="e">
        <f t="shared" si="9"/>
        <v>#N/A</v>
      </c>
    </row>
    <row r="264" spans="1:7" x14ac:dyDescent="0.25">
      <c r="A264" t="str">
        <f t="shared" si="8"/>
        <v>Bordeaux - Ounas</v>
      </c>
      <c r="B264" t="s">
        <v>318</v>
      </c>
      <c r="C264" t="s">
        <v>319</v>
      </c>
      <c r="D264" t="s">
        <v>31</v>
      </c>
      <c r="E264">
        <v>12</v>
      </c>
      <c r="F264" t="s">
        <v>6</v>
      </c>
      <c r="G264" t="e">
        <f t="shared" si="9"/>
        <v>#N/A</v>
      </c>
    </row>
    <row r="265" spans="1:7" x14ac:dyDescent="0.25">
      <c r="A265" t="str">
        <f t="shared" si="8"/>
        <v>Lyon - Gorgelin</v>
      </c>
      <c r="B265" t="s">
        <v>374</v>
      </c>
      <c r="C265" t="s">
        <v>43</v>
      </c>
      <c r="D265" t="s">
        <v>28</v>
      </c>
      <c r="E265">
        <v>8</v>
      </c>
      <c r="F265" t="s">
        <v>7</v>
      </c>
      <c r="G265" t="e">
        <f t="shared" si="9"/>
        <v>#N/A</v>
      </c>
    </row>
    <row r="266" spans="1:7" x14ac:dyDescent="0.25">
      <c r="A266" t="str">
        <f t="shared" si="8"/>
        <v>Lyon - Anthony Lopes</v>
      </c>
      <c r="B266" t="s">
        <v>11</v>
      </c>
      <c r="C266" t="s">
        <v>583</v>
      </c>
      <c r="D266" t="s">
        <v>28</v>
      </c>
      <c r="E266">
        <v>17</v>
      </c>
      <c r="F266" t="s">
        <v>7</v>
      </c>
      <c r="G266" t="e">
        <f t="shared" si="9"/>
        <v>#N/A</v>
      </c>
    </row>
    <row r="267" spans="1:7" x14ac:dyDescent="0.25">
      <c r="A267" t="str">
        <f t="shared" si="8"/>
        <v>Nantes - Elandi</v>
      </c>
      <c r="B267" t="s">
        <v>822</v>
      </c>
      <c r="C267" t="s">
        <v>823</v>
      </c>
      <c r="D267" t="s">
        <v>24</v>
      </c>
      <c r="E267">
        <v>3</v>
      </c>
      <c r="F267" t="s">
        <v>5</v>
      </c>
      <c r="G267" t="e">
        <f t="shared" si="9"/>
        <v>#N/A</v>
      </c>
    </row>
    <row r="268" spans="1:7" x14ac:dyDescent="0.25">
      <c r="A268" t="str">
        <f t="shared" si="8"/>
        <v>Rennes - Gnagnon</v>
      </c>
      <c r="B268" t="s">
        <v>550</v>
      </c>
      <c r="C268" t="s">
        <v>824</v>
      </c>
      <c r="D268" t="s">
        <v>42</v>
      </c>
      <c r="E268">
        <v>3</v>
      </c>
      <c r="F268" t="s">
        <v>8</v>
      </c>
      <c r="G268" t="e">
        <f t="shared" si="9"/>
        <v>#N/A</v>
      </c>
    </row>
    <row r="269" spans="1:7" x14ac:dyDescent="0.25">
      <c r="A269" t="str">
        <f t="shared" si="8"/>
        <v>Monaco - N'Doram</v>
      </c>
      <c r="B269" t="s">
        <v>825</v>
      </c>
      <c r="C269" t="s">
        <v>99</v>
      </c>
      <c r="D269" t="s">
        <v>22</v>
      </c>
      <c r="E269">
        <v>1</v>
      </c>
      <c r="F269" t="s">
        <v>8</v>
      </c>
      <c r="G269" t="e">
        <f t="shared" si="9"/>
        <v>#N/A</v>
      </c>
    </row>
    <row r="270" spans="1:7" x14ac:dyDescent="0.25">
      <c r="A270" t="str">
        <f t="shared" si="8"/>
        <v>Toulouse - Lukebakio</v>
      </c>
      <c r="B270" t="s">
        <v>826</v>
      </c>
      <c r="C270" t="s">
        <v>827</v>
      </c>
      <c r="D270" t="s">
        <v>41</v>
      </c>
      <c r="E270">
        <v>2</v>
      </c>
      <c r="F270" t="s">
        <v>6</v>
      </c>
      <c r="G270" t="e">
        <f t="shared" si="9"/>
        <v>#N/A</v>
      </c>
    </row>
    <row r="271" spans="1:7" x14ac:dyDescent="0.25">
      <c r="A271" t="str">
        <f t="shared" si="8"/>
        <v>Montpellier - Sanson</v>
      </c>
      <c r="B271" t="s">
        <v>460</v>
      </c>
      <c r="C271" t="s">
        <v>828</v>
      </c>
      <c r="D271" t="s">
        <v>21</v>
      </c>
      <c r="E271">
        <v>2</v>
      </c>
      <c r="F271" t="s">
        <v>6</v>
      </c>
      <c r="G271" t="e">
        <f t="shared" si="9"/>
        <v>#N/A</v>
      </c>
    </row>
    <row r="272" spans="1:7" x14ac:dyDescent="0.25">
      <c r="A272" t="str">
        <f t="shared" si="8"/>
        <v>Guingamp - Mane</v>
      </c>
      <c r="B272" t="s">
        <v>829</v>
      </c>
      <c r="C272" t="s">
        <v>773</v>
      </c>
      <c r="D272" t="s">
        <v>50</v>
      </c>
      <c r="E272">
        <v>5</v>
      </c>
      <c r="F272" t="s">
        <v>6</v>
      </c>
      <c r="G272" t="e">
        <f t="shared" si="9"/>
        <v>#N/A</v>
      </c>
    </row>
    <row r="273" spans="1:7" x14ac:dyDescent="0.25">
      <c r="A273" t="str">
        <f t="shared" si="8"/>
        <v>Montpellier - Fito</v>
      </c>
      <c r="B273" t="s">
        <v>830</v>
      </c>
      <c r="C273" t="s">
        <v>621</v>
      </c>
      <c r="D273" t="s">
        <v>21</v>
      </c>
      <c r="E273">
        <v>2</v>
      </c>
      <c r="F273" t="s">
        <v>6</v>
      </c>
      <c r="G273" t="e">
        <f t="shared" si="9"/>
        <v>#N/A</v>
      </c>
    </row>
    <row r="274" spans="1:7" x14ac:dyDescent="0.25">
      <c r="A274" t="str">
        <f t="shared" si="8"/>
        <v>Toulouse - Diop</v>
      </c>
      <c r="B274" t="s">
        <v>468</v>
      </c>
      <c r="C274" t="s">
        <v>831</v>
      </c>
      <c r="D274" t="s">
        <v>41</v>
      </c>
      <c r="E274">
        <v>9</v>
      </c>
      <c r="F274" t="s">
        <v>8</v>
      </c>
      <c r="G274" t="e">
        <f t="shared" si="9"/>
        <v>#N/A</v>
      </c>
    </row>
    <row r="275" spans="1:7" x14ac:dyDescent="0.25">
      <c r="A275" t="str">
        <f t="shared" si="8"/>
        <v>Guingamp - Livolant</v>
      </c>
      <c r="B275" t="s">
        <v>527</v>
      </c>
      <c r="C275" t="s">
        <v>103</v>
      </c>
      <c r="D275" t="s">
        <v>50</v>
      </c>
      <c r="E275">
        <v>5</v>
      </c>
      <c r="F275" t="s">
        <v>6</v>
      </c>
      <c r="G275" t="e">
        <f t="shared" si="9"/>
        <v>#N/A</v>
      </c>
    </row>
    <row r="276" spans="1:7" x14ac:dyDescent="0.25">
      <c r="A276" t="str">
        <f t="shared" si="8"/>
        <v>Marseille - Samba</v>
      </c>
      <c r="B276" t="s">
        <v>362</v>
      </c>
      <c r="C276" t="s">
        <v>591</v>
      </c>
      <c r="D276" t="s">
        <v>25</v>
      </c>
      <c r="E276">
        <v>5</v>
      </c>
      <c r="F276" t="s">
        <v>7</v>
      </c>
      <c r="G276" t="e">
        <f t="shared" si="9"/>
        <v>#N/A</v>
      </c>
    </row>
    <row r="277" spans="1:7" x14ac:dyDescent="0.25">
      <c r="A277" t="str">
        <f t="shared" si="8"/>
        <v>Saint Etienne - Pierre Gabriel</v>
      </c>
      <c r="B277" t="s">
        <v>408</v>
      </c>
      <c r="C277" t="s">
        <v>833</v>
      </c>
      <c r="D277" t="s">
        <v>585</v>
      </c>
      <c r="E277">
        <v>6</v>
      </c>
      <c r="F277" t="s">
        <v>8</v>
      </c>
      <c r="G277" t="e">
        <f t="shared" si="9"/>
        <v>#N/A</v>
      </c>
    </row>
    <row r="278" spans="1:7" x14ac:dyDescent="0.25">
      <c r="A278" t="str">
        <f t="shared" si="8"/>
        <v>Marseille - Escales</v>
      </c>
      <c r="B278" t="s">
        <v>786</v>
      </c>
      <c r="C278" t="s">
        <v>589</v>
      </c>
      <c r="D278" t="s">
        <v>25</v>
      </c>
      <c r="E278">
        <v>1</v>
      </c>
      <c r="F278" t="s">
        <v>7</v>
      </c>
      <c r="G278" t="e">
        <f t="shared" si="9"/>
        <v>#N/A</v>
      </c>
    </row>
    <row r="279" spans="1:7" x14ac:dyDescent="0.25">
      <c r="A279" t="str">
        <f t="shared" si="8"/>
        <v>Monaco - Mbappe-Lottin</v>
      </c>
      <c r="B279" t="s">
        <v>518</v>
      </c>
      <c r="C279" t="s">
        <v>835</v>
      </c>
      <c r="D279" t="s">
        <v>22</v>
      </c>
      <c r="E279">
        <v>10</v>
      </c>
      <c r="F279" t="s">
        <v>5</v>
      </c>
      <c r="G279" t="e">
        <f t="shared" si="9"/>
        <v>#N/A</v>
      </c>
    </row>
    <row r="280" spans="1:7" x14ac:dyDescent="0.25">
      <c r="A280" t="str">
        <f t="shared" si="8"/>
        <v>Lyon - Perrin</v>
      </c>
      <c r="B280" t="s">
        <v>110</v>
      </c>
      <c r="C280" t="s">
        <v>708</v>
      </c>
      <c r="D280" t="s">
        <v>28</v>
      </c>
      <c r="E280">
        <v>6</v>
      </c>
      <c r="F280" t="s">
        <v>6</v>
      </c>
      <c r="G280" t="e">
        <f t="shared" si="9"/>
        <v>#N/A</v>
      </c>
    </row>
    <row r="281" spans="1:7" x14ac:dyDescent="0.25">
      <c r="A281" t="str">
        <f t="shared" si="8"/>
        <v>Angers - Laidouni</v>
      </c>
      <c r="B281" t="s">
        <v>836</v>
      </c>
      <c r="C281" t="s">
        <v>837</v>
      </c>
      <c r="D281" t="s">
        <v>174</v>
      </c>
      <c r="E281">
        <v>1</v>
      </c>
      <c r="F281" t="s">
        <v>6</v>
      </c>
      <c r="G281" t="e">
        <f t="shared" si="9"/>
        <v>#N/A</v>
      </c>
    </row>
    <row r="282" spans="1:7" x14ac:dyDescent="0.25">
      <c r="A282" t="str">
        <f t="shared" si="8"/>
        <v>Marseille - Pelé</v>
      </c>
      <c r="B282" t="s">
        <v>361</v>
      </c>
      <c r="C282" t="s">
        <v>901</v>
      </c>
      <c r="D282" t="s">
        <v>25</v>
      </c>
      <c r="E282">
        <v>12</v>
      </c>
      <c r="F282" t="s">
        <v>7</v>
      </c>
      <c r="G282" t="e">
        <f t="shared" si="9"/>
        <v>#N/A</v>
      </c>
    </row>
    <row r="283" spans="1:7" x14ac:dyDescent="0.25">
      <c r="A283" t="str">
        <f t="shared" si="8"/>
        <v>Marseille - Rabillard</v>
      </c>
      <c r="B283" t="s">
        <v>546</v>
      </c>
      <c r="C283" t="s">
        <v>840</v>
      </c>
      <c r="D283" t="s">
        <v>25</v>
      </c>
      <c r="E283">
        <v>2</v>
      </c>
      <c r="F283" t="s">
        <v>5</v>
      </c>
      <c r="G283" t="e">
        <f t="shared" si="9"/>
        <v>#N/A</v>
      </c>
    </row>
    <row r="284" spans="1:7" x14ac:dyDescent="0.25">
      <c r="A284" t="str">
        <f t="shared" si="8"/>
        <v>Nice - Caddy</v>
      </c>
      <c r="B284" t="s">
        <v>553</v>
      </c>
      <c r="C284" t="s">
        <v>841</v>
      </c>
      <c r="D284" t="s">
        <v>40</v>
      </c>
      <c r="E284">
        <v>2</v>
      </c>
      <c r="F284" t="s">
        <v>5</v>
      </c>
      <c r="G284" t="e">
        <f t="shared" si="9"/>
        <v>#N/A</v>
      </c>
    </row>
    <row r="285" spans="1:7" x14ac:dyDescent="0.25">
      <c r="A285" t="str">
        <f t="shared" si="8"/>
        <v>Metz - Udol</v>
      </c>
      <c r="B285" t="s">
        <v>842</v>
      </c>
      <c r="C285" t="s">
        <v>245</v>
      </c>
      <c r="D285" t="s">
        <v>606</v>
      </c>
      <c r="E285">
        <v>3</v>
      </c>
      <c r="F285" t="s">
        <v>8</v>
      </c>
      <c r="G285" t="e">
        <f t="shared" si="9"/>
        <v>#N/A</v>
      </c>
    </row>
    <row r="286" spans="1:7" x14ac:dyDescent="0.25">
      <c r="A286" t="str">
        <f t="shared" si="8"/>
        <v>Guingamp - Martinet</v>
      </c>
      <c r="B286" t="s">
        <v>843</v>
      </c>
      <c r="C286" t="s">
        <v>844</v>
      </c>
      <c r="D286" t="s">
        <v>50</v>
      </c>
      <c r="E286">
        <v>1</v>
      </c>
      <c r="F286" t="s">
        <v>5</v>
      </c>
      <c r="G286" t="e">
        <f t="shared" si="9"/>
        <v>#N/A</v>
      </c>
    </row>
    <row r="287" spans="1:7" x14ac:dyDescent="0.25">
      <c r="A287" t="str">
        <f t="shared" si="8"/>
        <v>Metz - Thill</v>
      </c>
      <c r="B287" t="s">
        <v>845</v>
      </c>
      <c r="C287" t="s">
        <v>87</v>
      </c>
      <c r="D287" t="s">
        <v>606</v>
      </c>
      <c r="E287">
        <v>3</v>
      </c>
      <c r="F287" t="s">
        <v>6</v>
      </c>
      <c r="G287" t="e">
        <f t="shared" si="9"/>
        <v>#N/A</v>
      </c>
    </row>
    <row r="288" spans="1:7" x14ac:dyDescent="0.25">
      <c r="A288" t="str">
        <f t="shared" si="8"/>
        <v>Lille - Bissouma</v>
      </c>
      <c r="B288" t="s">
        <v>846</v>
      </c>
      <c r="C288" t="s">
        <v>847</v>
      </c>
      <c r="D288" t="s">
        <v>34</v>
      </c>
      <c r="E288">
        <v>3</v>
      </c>
      <c r="F288" t="s">
        <v>5</v>
      </c>
      <c r="G288" t="e">
        <f t="shared" si="9"/>
        <v>#N/A</v>
      </c>
    </row>
    <row r="289" spans="1:7" x14ac:dyDescent="0.25">
      <c r="A289" t="str">
        <f t="shared" si="8"/>
        <v>Lorient - Mazikou</v>
      </c>
      <c r="B289" t="s">
        <v>848</v>
      </c>
      <c r="C289" t="s">
        <v>849</v>
      </c>
      <c r="D289" t="s">
        <v>38</v>
      </c>
      <c r="E289">
        <v>3</v>
      </c>
      <c r="F289" t="s">
        <v>8</v>
      </c>
      <c r="G289" t="e">
        <f t="shared" si="9"/>
        <v>#N/A</v>
      </c>
    </row>
    <row r="290" spans="1:7" x14ac:dyDescent="0.25">
      <c r="A290" t="str">
        <f t="shared" si="8"/>
        <v>Lorient - Ben Khemis</v>
      </c>
      <c r="B290" t="s">
        <v>850</v>
      </c>
      <c r="C290" t="s">
        <v>851</v>
      </c>
      <c r="D290" t="s">
        <v>38</v>
      </c>
      <c r="E290">
        <v>5</v>
      </c>
      <c r="F290" t="s">
        <v>6</v>
      </c>
      <c r="G290" t="e">
        <f t="shared" si="9"/>
        <v>#N/A</v>
      </c>
    </row>
    <row r="291" spans="1:7" x14ac:dyDescent="0.25">
      <c r="A291" t="str">
        <f t="shared" si="8"/>
        <v>Lorient - Conté</v>
      </c>
      <c r="B291" t="s">
        <v>852</v>
      </c>
      <c r="C291" t="s">
        <v>853</v>
      </c>
      <c r="D291" t="s">
        <v>38</v>
      </c>
      <c r="E291">
        <v>3</v>
      </c>
      <c r="F291" t="s">
        <v>8</v>
      </c>
      <c r="G291" t="e">
        <f t="shared" si="9"/>
        <v>#N/A</v>
      </c>
    </row>
    <row r="292" spans="1:7" x14ac:dyDescent="0.25">
      <c r="A292" t="str">
        <f t="shared" si="8"/>
        <v>Lorient - Mara</v>
      </c>
      <c r="B292" t="s">
        <v>854</v>
      </c>
      <c r="C292" t="s">
        <v>855</v>
      </c>
      <c r="D292" t="s">
        <v>38</v>
      </c>
      <c r="E292">
        <v>2</v>
      </c>
      <c r="F292" t="s">
        <v>5</v>
      </c>
      <c r="G292" t="e">
        <f t="shared" si="9"/>
        <v>#N/A</v>
      </c>
    </row>
    <row r="293" spans="1:7" x14ac:dyDescent="0.25">
      <c r="A293" t="str">
        <f t="shared" si="8"/>
        <v>Dijon - Sarrabayrouse</v>
      </c>
      <c r="B293" t="s">
        <v>856</v>
      </c>
      <c r="C293" t="s">
        <v>423</v>
      </c>
      <c r="D293" t="s">
        <v>581</v>
      </c>
      <c r="E293">
        <v>4</v>
      </c>
      <c r="F293" t="s">
        <v>6</v>
      </c>
      <c r="G293" t="e">
        <f t="shared" si="9"/>
        <v>#N/A</v>
      </c>
    </row>
    <row r="294" spans="1:7" x14ac:dyDescent="0.25">
      <c r="A294" t="str">
        <f t="shared" si="8"/>
        <v>Dijon - Rosier</v>
      </c>
      <c r="B294" t="s">
        <v>857</v>
      </c>
      <c r="C294" t="s">
        <v>134</v>
      </c>
      <c r="D294" t="s">
        <v>581</v>
      </c>
      <c r="E294">
        <v>3</v>
      </c>
      <c r="F294" t="s">
        <v>6</v>
      </c>
      <c r="G294" t="e">
        <f t="shared" si="9"/>
        <v>#N/A</v>
      </c>
    </row>
    <row r="295" spans="1:7" x14ac:dyDescent="0.25">
      <c r="A295" t="str">
        <f t="shared" si="8"/>
        <v>Nantes - Harit</v>
      </c>
      <c r="B295" t="s">
        <v>858</v>
      </c>
      <c r="C295" t="s">
        <v>859</v>
      </c>
      <c r="D295" t="s">
        <v>24</v>
      </c>
      <c r="E295">
        <v>6</v>
      </c>
      <c r="F295" t="s">
        <v>6</v>
      </c>
      <c r="G295" t="e">
        <f t="shared" si="9"/>
        <v>#N/A</v>
      </c>
    </row>
    <row r="296" spans="1:7" x14ac:dyDescent="0.25">
      <c r="A296" t="str">
        <f t="shared" si="8"/>
        <v>Saint Etienne - Cabaton</v>
      </c>
      <c r="B296" t="s">
        <v>860</v>
      </c>
      <c r="C296" t="s">
        <v>724</v>
      </c>
      <c r="D296" t="s">
        <v>585</v>
      </c>
      <c r="E296">
        <v>2</v>
      </c>
      <c r="F296" t="s">
        <v>6</v>
      </c>
      <c r="G296" t="e">
        <f t="shared" si="9"/>
        <v>#N/A</v>
      </c>
    </row>
    <row r="297" spans="1:7" x14ac:dyDescent="0.25">
      <c r="A297" t="str">
        <f t="shared" si="8"/>
        <v>Metz - Saliu</v>
      </c>
      <c r="B297" t="s">
        <v>861</v>
      </c>
      <c r="C297" t="s">
        <v>862</v>
      </c>
      <c r="D297" t="s">
        <v>606</v>
      </c>
      <c r="E297">
        <v>5</v>
      </c>
      <c r="F297" t="s">
        <v>6</v>
      </c>
      <c r="G297" t="e">
        <f t="shared" si="9"/>
        <v>#N/A</v>
      </c>
    </row>
    <row r="298" spans="1:7" x14ac:dyDescent="0.25">
      <c r="A298" t="str">
        <f t="shared" si="8"/>
        <v>Lille - Mothiba</v>
      </c>
      <c r="B298" t="s">
        <v>863</v>
      </c>
      <c r="C298" t="s">
        <v>864</v>
      </c>
      <c r="D298" t="s">
        <v>34</v>
      </c>
      <c r="E298">
        <v>3</v>
      </c>
      <c r="F298" t="s">
        <v>5</v>
      </c>
      <c r="G298" t="e">
        <f t="shared" si="9"/>
        <v>#N/A</v>
      </c>
    </row>
    <row r="299" spans="1:7" x14ac:dyDescent="0.25">
      <c r="A299" t="str">
        <f t="shared" si="8"/>
        <v>Lyon - Aouar</v>
      </c>
      <c r="B299" t="s">
        <v>865</v>
      </c>
      <c r="C299" t="s">
        <v>866</v>
      </c>
      <c r="D299" t="s">
        <v>28</v>
      </c>
      <c r="E299">
        <v>2</v>
      </c>
      <c r="F299" t="s">
        <v>6</v>
      </c>
      <c r="G299" t="e">
        <f t="shared" si="9"/>
        <v>#N/A</v>
      </c>
    </row>
    <row r="300" spans="1:7" x14ac:dyDescent="0.25">
      <c r="A300" t="str">
        <f t="shared" si="8"/>
        <v>Bastia - Acheampong</v>
      </c>
      <c r="B300" t="s">
        <v>867</v>
      </c>
      <c r="C300" t="s">
        <v>868</v>
      </c>
      <c r="D300" t="s">
        <v>81</v>
      </c>
      <c r="E300">
        <v>6</v>
      </c>
      <c r="F300" t="s">
        <v>5</v>
      </c>
      <c r="G300" t="e">
        <f t="shared" si="9"/>
        <v>#N/A</v>
      </c>
    </row>
    <row r="301" spans="1:7" x14ac:dyDescent="0.25">
      <c r="A301" t="str">
        <f t="shared" si="8"/>
        <v>Metz - Didillon</v>
      </c>
      <c r="B301" t="s">
        <v>702</v>
      </c>
      <c r="C301" t="s">
        <v>30</v>
      </c>
      <c r="D301" t="s">
        <v>606</v>
      </c>
      <c r="E301">
        <v>9</v>
      </c>
      <c r="F301" t="s">
        <v>7</v>
      </c>
      <c r="G301" t="e">
        <f t="shared" si="9"/>
        <v>#N/A</v>
      </c>
    </row>
    <row r="302" spans="1:7" x14ac:dyDescent="0.25">
      <c r="A302" t="str">
        <f t="shared" si="8"/>
        <v>Lille - Mendyl</v>
      </c>
      <c r="B302" t="s">
        <v>870</v>
      </c>
      <c r="C302" t="s">
        <v>871</v>
      </c>
      <c r="D302" t="s">
        <v>34</v>
      </c>
      <c r="E302">
        <v>2</v>
      </c>
      <c r="F302" t="s">
        <v>8</v>
      </c>
      <c r="G302" t="e">
        <f t="shared" si="9"/>
        <v>#N/A</v>
      </c>
    </row>
    <row r="303" spans="1:7" x14ac:dyDescent="0.25">
      <c r="A303" t="str">
        <f t="shared" si="8"/>
        <v>Lille - Kouame</v>
      </c>
      <c r="B303" t="s">
        <v>872</v>
      </c>
      <c r="C303" t="s">
        <v>873</v>
      </c>
      <c r="D303" t="s">
        <v>34</v>
      </c>
      <c r="E303">
        <v>3</v>
      </c>
      <c r="F303" t="s">
        <v>6</v>
      </c>
      <c r="G303" t="e">
        <f t="shared" si="9"/>
        <v>#N/A</v>
      </c>
    </row>
    <row r="304" spans="1:7" x14ac:dyDescent="0.25">
      <c r="A304" t="str">
        <f t="shared" si="8"/>
        <v>Lille - Terrier</v>
      </c>
      <c r="B304" t="s">
        <v>874</v>
      </c>
      <c r="C304" t="s">
        <v>46</v>
      </c>
      <c r="D304" t="s">
        <v>34</v>
      </c>
      <c r="E304">
        <v>3</v>
      </c>
      <c r="F304" t="s">
        <v>5</v>
      </c>
      <c r="G304" t="e">
        <f t="shared" si="9"/>
        <v>#N/A</v>
      </c>
    </row>
    <row r="305" spans="1:7" x14ac:dyDescent="0.25">
      <c r="A305" t="str">
        <f t="shared" si="8"/>
        <v>Metz - Selimovic</v>
      </c>
      <c r="B305" t="s">
        <v>875</v>
      </c>
      <c r="C305" t="s">
        <v>876</v>
      </c>
      <c r="D305" t="s">
        <v>606</v>
      </c>
      <c r="E305">
        <v>5</v>
      </c>
      <c r="F305" t="s">
        <v>8</v>
      </c>
      <c r="G305" t="e">
        <f t="shared" si="9"/>
        <v>#N/A</v>
      </c>
    </row>
    <row r="306" spans="1:7" x14ac:dyDescent="0.25">
      <c r="A306" t="str">
        <f t="shared" si="8"/>
        <v>Metz - Hein</v>
      </c>
      <c r="B306" t="s">
        <v>877</v>
      </c>
      <c r="C306" t="s">
        <v>878</v>
      </c>
      <c r="D306" t="s">
        <v>606</v>
      </c>
      <c r="E306">
        <v>2</v>
      </c>
      <c r="F306" t="s">
        <v>5</v>
      </c>
      <c r="G306" t="e">
        <f t="shared" si="9"/>
        <v>#N/A</v>
      </c>
    </row>
    <row r="307" spans="1:7" x14ac:dyDescent="0.25">
      <c r="A307" t="str">
        <f t="shared" si="8"/>
        <v>Metz - Larriere</v>
      </c>
      <c r="B307" t="s">
        <v>879</v>
      </c>
      <c r="C307" t="s">
        <v>773</v>
      </c>
      <c r="D307" t="s">
        <v>606</v>
      </c>
      <c r="E307">
        <v>3</v>
      </c>
      <c r="F307" t="s">
        <v>6</v>
      </c>
      <c r="G307" t="e">
        <f t="shared" si="9"/>
        <v>#N/A</v>
      </c>
    </row>
    <row r="308" spans="1:7" x14ac:dyDescent="0.25">
      <c r="A308" t="str">
        <f t="shared" si="8"/>
        <v>Metz - Sarr</v>
      </c>
      <c r="B308" t="s">
        <v>370</v>
      </c>
      <c r="C308" t="s">
        <v>880</v>
      </c>
      <c r="D308" t="s">
        <v>606</v>
      </c>
      <c r="E308">
        <v>6</v>
      </c>
      <c r="F308" t="s">
        <v>6</v>
      </c>
      <c r="G308" t="e">
        <f t="shared" si="9"/>
        <v>#N/A</v>
      </c>
    </row>
    <row r="309" spans="1:7" x14ac:dyDescent="0.25">
      <c r="A309" t="str">
        <f t="shared" si="8"/>
        <v>Monaco - Nguinda Ndiffon</v>
      </c>
      <c r="B309" t="s">
        <v>881</v>
      </c>
      <c r="C309" t="s">
        <v>882</v>
      </c>
      <c r="D309" t="s">
        <v>22</v>
      </c>
      <c r="E309">
        <v>3</v>
      </c>
      <c r="F309" t="s">
        <v>8</v>
      </c>
      <c r="G309" t="e">
        <f t="shared" si="9"/>
        <v>#N/A</v>
      </c>
    </row>
    <row r="310" spans="1:7" x14ac:dyDescent="0.25">
      <c r="A310" t="str">
        <f t="shared" si="8"/>
        <v>Nice - Burner</v>
      </c>
      <c r="B310" t="s">
        <v>883</v>
      </c>
      <c r="C310" t="s">
        <v>884</v>
      </c>
      <c r="D310" t="s">
        <v>40</v>
      </c>
      <c r="E310">
        <v>3</v>
      </c>
      <c r="F310" t="s">
        <v>8</v>
      </c>
      <c r="G310" t="e">
        <f t="shared" si="9"/>
        <v>#N/A</v>
      </c>
    </row>
    <row r="311" spans="1:7" x14ac:dyDescent="0.25">
      <c r="A311" t="str">
        <f t="shared" si="8"/>
        <v>Metz - Basin</v>
      </c>
      <c r="B311" t="s">
        <v>885</v>
      </c>
      <c r="C311" t="s">
        <v>66</v>
      </c>
      <c r="D311" t="s">
        <v>606</v>
      </c>
      <c r="E311">
        <v>5</v>
      </c>
      <c r="F311" t="s">
        <v>8</v>
      </c>
      <c r="G311" t="e">
        <f t="shared" si="9"/>
        <v>#N/A</v>
      </c>
    </row>
    <row r="312" spans="1:7" x14ac:dyDescent="0.25">
      <c r="A312" t="str">
        <f t="shared" si="8"/>
        <v>Rennes - Diakhaby</v>
      </c>
      <c r="B312" t="s">
        <v>787</v>
      </c>
      <c r="C312" t="s">
        <v>593</v>
      </c>
      <c r="D312" t="s">
        <v>42</v>
      </c>
      <c r="E312">
        <v>10</v>
      </c>
      <c r="F312" t="s">
        <v>5</v>
      </c>
      <c r="G312" t="e">
        <f t="shared" si="9"/>
        <v>#N/A</v>
      </c>
    </row>
    <row r="313" spans="1:7" x14ac:dyDescent="0.25">
      <c r="A313" t="str">
        <f t="shared" si="8"/>
        <v>Nice - Marcel</v>
      </c>
      <c r="B313" t="s">
        <v>886</v>
      </c>
      <c r="C313" t="s">
        <v>87</v>
      </c>
      <c r="D313" t="s">
        <v>40</v>
      </c>
      <c r="E313">
        <v>5</v>
      </c>
      <c r="F313" t="s">
        <v>5</v>
      </c>
      <c r="G313" t="e">
        <f t="shared" si="9"/>
        <v>#N/A</v>
      </c>
    </row>
    <row r="314" spans="1:7" x14ac:dyDescent="0.25">
      <c r="A314" t="str">
        <f t="shared" si="8"/>
        <v>Lyon - Gaspar</v>
      </c>
      <c r="B314" t="s">
        <v>887</v>
      </c>
      <c r="C314" t="s">
        <v>888</v>
      </c>
      <c r="D314" t="s">
        <v>28</v>
      </c>
      <c r="E314">
        <v>3</v>
      </c>
      <c r="F314" t="s">
        <v>8</v>
      </c>
      <c r="G314" t="e">
        <f t="shared" si="9"/>
        <v>#N/A</v>
      </c>
    </row>
    <row r="315" spans="1:7" x14ac:dyDescent="0.25">
      <c r="A315" t="str">
        <f t="shared" si="8"/>
        <v>Lorient - Lavenant</v>
      </c>
      <c r="B315" t="s">
        <v>889</v>
      </c>
      <c r="C315" t="s">
        <v>27</v>
      </c>
      <c r="D315" t="s">
        <v>38</v>
      </c>
      <c r="E315">
        <v>2</v>
      </c>
      <c r="F315" t="s">
        <v>6</v>
      </c>
      <c r="G315" t="e">
        <f t="shared" si="9"/>
        <v>#N/A</v>
      </c>
    </row>
    <row r="316" spans="1:7" x14ac:dyDescent="0.25">
      <c r="A316" t="str">
        <f t="shared" si="8"/>
        <v>Saint Etienne - Nordin</v>
      </c>
      <c r="B316" t="s">
        <v>890</v>
      </c>
      <c r="C316" t="s">
        <v>752</v>
      </c>
      <c r="D316" t="s">
        <v>585</v>
      </c>
      <c r="E316">
        <v>3</v>
      </c>
      <c r="F316" t="s">
        <v>6</v>
      </c>
      <c r="G316" t="e">
        <f t="shared" si="9"/>
        <v>#N/A</v>
      </c>
    </row>
    <row r="317" spans="1:7" x14ac:dyDescent="0.25">
      <c r="A317" t="str">
        <f t="shared" si="8"/>
        <v>Guingamp - Mouangue Kingue</v>
      </c>
      <c r="B317" t="s">
        <v>891</v>
      </c>
      <c r="C317" t="s">
        <v>892</v>
      </c>
      <c r="D317" t="s">
        <v>50</v>
      </c>
      <c r="E317">
        <v>1</v>
      </c>
      <c r="F317" t="s">
        <v>8</v>
      </c>
      <c r="G317" t="e">
        <f t="shared" si="9"/>
        <v>#N/A</v>
      </c>
    </row>
    <row r="318" spans="1:7" x14ac:dyDescent="0.25">
      <c r="A318" t="str">
        <f t="shared" si="8"/>
        <v>Nice - Dante</v>
      </c>
      <c r="B318" t="s">
        <v>893</v>
      </c>
      <c r="C318" t="s">
        <v>583</v>
      </c>
      <c r="D318" t="s">
        <v>40</v>
      </c>
      <c r="E318">
        <v>13</v>
      </c>
      <c r="F318" t="s">
        <v>8</v>
      </c>
      <c r="G318" t="e">
        <f t="shared" si="9"/>
        <v>#N/A</v>
      </c>
    </row>
    <row r="319" spans="1:7" x14ac:dyDescent="0.25">
      <c r="A319" t="str">
        <f t="shared" si="8"/>
        <v>Nice - Bodmer</v>
      </c>
      <c r="B319" t="s">
        <v>397</v>
      </c>
      <c r="C319" t="s">
        <v>43</v>
      </c>
      <c r="D319" t="s">
        <v>40</v>
      </c>
      <c r="E319">
        <v>13</v>
      </c>
      <c r="F319" t="s">
        <v>8</v>
      </c>
      <c r="G319" t="e">
        <f t="shared" si="9"/>
        <v>#N/A</v>
      </c>
    </row>
    <row r="320" spans="1:7" x14ac:dyDescent="0.25">
      <c r="A320" t="str">
        <f t="shared" si="8"/>
        <v>Metz - Kawashima</v>
      </c>
      <c r="B320" t="s">
        <v>763</v>
      </c>
      <c r="C320" t="s">
        <v>764</v>
      </c>
      <c r="D320" t="s">
        <v>606</v>
      </c>
      <c r="E320">
        <v>1</v>
      </c>
      <c r="F320" t="s">
        <v>7</v>
      </c>
      <c r="G320" t="e">
        <f t="shared" si="9"/>
        <v>#N/A</v>
      </c>
    </row>
    <row r="321" spans="1:8" x14ac:dyDescent="0.25">
      <c r="A321" t="str">
        <f t="shared" si="8"/>
        <v>Rennes - Gourcuff</v>
      </c>
      <c r="B321" t="s">
        <v>547</v>
      </c>
      <c r="C321" t="s">
        <v>242</v>
      </c>
      <c r="D321" t="s">
        <v>42</v>
      </c>
      <c r="E321">
        <v>15</v>
      </c>
      <c r="F321" t="s">
        <v>6</v>
      </c>
      <c r="G321" t="e">
        <f t="shared" si="9"/>
        <v>#N/A</v>
      </c>
    </row>
    <row r="322" spans="1:8" x14ac:dyDescent="0.25">
      <c r="A322" t="str">
        <f t="shared" ref="A322:A385" si="10">D322 &amp; " - " &amp; B322</f>
        <v>Nancy - Hadji</v>
      </c>
      <c r="B322" t="s">
        <v>894</v>
      </c>
      <c r="C322" t="s">
        <v>244</v>
      </c>
      <c r="D322" t="s">
        <v>688</v>
      </c>
      <c r="E322">
        <v>12</v>
      </c>
      <c r="F322" t="s">
        <v>5</v>
      </c>
      <c r="G322" t="e">
        <f t="shared" ref="G322:G385" si="11">IF(VLOOKUP(VLOOKUP($A322,_JOUEURS,2,FALSE),_DATA,8,FALSE)=0,"",VLOOKUP(VLOOKUP($A322,_JOUEURS,2,FALSE),_DATA,8,FALSE))</f>
        <v>#N/A</v>
      </c>
    </row>
    <row r="323" spans="1:8" x14ac:dyDescent="0.25">
      <c r="A323" t="str">
        <f t="shared" si="10"/>
        <v>Guingamp - Briand</v>
      </c>
      <c r="B323" t="s">
        <v>194</v>
      </c>
      <c r="C323" t="s">
        <v>195</v>
      </c>
      <c r="D323" t="s">
        <v>50</v>
      </c>
      <c r="E323">
        <v>10</v>
      </c>
      <c r="F323" t="s">
        <v>5</v>
      </c>
      <c r="G323" t="e">
        <f t="shared" si="11"/>
        <v>#N/A</v>
      </c>
    </row>
    <row r="324" spans="1:8" x14ac:dyDescent="0.25">
      <c r="A324" t="str">
        <f t="shared" si="10"/>
        <v>Montpellier - Hilton</v>
      </c>
      <c r="B324" t="s">
        <v>151</v>
      </c>
      <c r="C324" t="s">
        <v>583</v>
      </c>
      <c r="D324" t="s">
        <v>21</v>
      </c>
      <c r="E324">
        <v>12</v>
      </c>
      <c r="F324" t="s">
        <v>8</v>
      </c>
      <c r="G324" t="e">
        <f t="shared" si="11"/>
        <v>#N/A</v>
      </c>
    </row>
    <row r="325" spans="1:8" x14ac:dyDescent="0.25">
      <c r="A325" t="str">
        <f t="shared" si="10"/>
        <v>Guingamp - Pereira</v>
      </c>
      <c r="B325" t="s">
        <v>895</v>
      </c>
      <c r="C325" t="s">
        <v>260</v>
      </c>
      <c r="D325" t="s">
        <v>50</v>
      </c>
      <c r="E325">
        <v>5</v>
      </c>
      <c r="F325" t="s">
        <v>8</v>
      </c>
      <c r="G325" t="e">
        <f t="shared" si="11"/>
        <v>#N/A</v>
      </c>
    </row>
    <row r="326" spans="1:8" x14ac:dyDescent="0.25">
      <c r="A326" t="str">
        <f t="shared" si="10"/>
        <v>Metz - Assou-Ekotto</v>
      </c>
      <c r="B326" t="s">
        <v>406</v>
      </c>
      <c r="C326" t="s">
        <v>896</v>
      </c>
      <c r="D326" t="s">
        <v>606</v>
      </c>
      <c r="E326">
        <v>2</v>
      </c>
      <c r="F326" t="s">
        <v>8</v>
      </c>
      <c r="G326" t="e">
        <f t="shared" si="11"/>
        <v>#N/A</v>
      </c>
      <c r="H326" t="s">
        <v>1040</v>
      </c>
    </row>
    <row r="327" spans="1:8" x14ac:dyDescent="0.25">
      <c r="A327" t="str">
        <f t="shared" si="10"/>
        <v>Marseille - Abou Diaby</v>
      </c>
      <c r="B327" t="s">
        <v>897</v>
      </c>
      <c r="C327" t="s">
        <v>583</v>
      </c>
      <c r="D327" t="s">
        <v>25</v>
      </c>
      <c r="E327">
        <v>12</v>
      </c>
      <c r="F327" t="s">
        <v>6</v>
      </c>
      <c r="G327" t="e">
        <f t="shared" si="11"/>
        <v>#N/A</v>
      </c>
    </row>
    <row r="328" spans="1:8" x14ac:dyDescent="0.25">
      <c r="A328" t="str">
        <f t="shared" si="10"/>
        <v>Lille - Civelli</v>
      </c>
      <c r="B328" t="s">
        <v>186</v>
      </c>
      <c r="C328" t="s">
        <v>187</v>
      </c>
      <c r="D328" t="s">
        <v>34</v>
      </c>
      <c r="E328">
        <v>11</v>
      </c>
      <c r="F328" t="s">
        <v>8</v>
      </c>
      <c r="G328" t="e">
        <f t="shared" si="11"/>
        <v>#N/A</v>
      </c>
    </row>
    <row r="329" spans="1:8" x14ac:dyDescent="0.25">
      <c r="A329" t="str">
        <f t="shared" si="10"/>
        <v>Nantes - Vizcarrondo</v>
      </c>
      <c r="B329" t="s">
        <v>152</v>
      </c>
      <c r="C329" t="s">
        <v>153</v>
      </c>
      <c r="D329" t="s">
        <v>24</v>
      </c>
      <c r="E329">
        <v>12</v>
      </c>
      <c r="F329" t="s">
        <v>8</v>
      </c>
      <c r="G329" t="e">
        <f t="shared" si="11"/>
        <v>#N/A</v>
      </c>
    </row>
    <row r="330" spans="1:8" x14ac:dyDescent="0.25">
      <c r="A330" t="str">
        <f t="shared" si="10"/>
        <v>Lille - Basa</v>
      </c>
      <c r="B330" t="s">
        <v>32</v>
      </c>
      <c r="C330" t="s">
        <v>33</v>
      </c>
      <c r="D330" t="s">
        <v>34</v>
      </c>
      <c r="E330">
        <v>5</v>
      </c>
      <c r="F330" t="s">
        <v>8</v>
      </c>
      <c r="G330" t="e">
        <f t="shared" si="11"/>
        <v>#N/A</v>
      </c>
    </row>
    <row r="331" spans="1:8" x14ac:dyDescent="0.25">
      <c r="A331" t="str">
        <f t="shared" si="10"/>
        <v>Metz - Lejeune</v>
      </c>
      <c r="B331" t="s">
        <v>898</v>
      </c>
      <c r="C331" t="s">
        <v>899</v>
      </c>
      <c r="D331" t="s">
        <v>606</v>
      </c>
      <c r="E331">
        <v>7</v>
      </c>
      <c r="F331" t="s">
        <v>6</v>
      </c>
      <c r="G331" t="e">
        <f t="shared" si="11"/>
        <v>#N/A</v>
      </c>
    </row>
    <row r="332" spans="1:8" x14ac:dyDescent="0.25">
      <c r="A332" t="str">
        <f t="shared" si="10"/>
        <v>Bastia - Marange</v>
      </c>
      <c r="B332" t="s">
        <v>476</v>
      </c>
      <c r="C332" t="s">
        <v>589</v>
      </c>
      <c r="D332" t="s">
        <v>81</v>
      </c>
      <c r="E332">
        <v>8</v>
      </c>
      <c r="F332" t="s">
        <v>8</v>
      </c>
      <c r="G332" t="e">
        <f t="shared" si="11"/>
        <v>#N/A</v>
      </c>
    </row>
    <row r="333" spans="1:8" x14ac:dyDescent="0.25">
      <c r="A333" t="str">
        <f t="shared" si="10"/>
        <v>Nice - Baysse</v>
      </c>
      <c r="B333" t="s">
        <v>160</v>
      </c>
      <c r="C333" t="s">
        <v>137</v>
      </c>
      <c r="D333" t="s">
        <v>40</v>
      </c>
      <c r="E333">
        <v>12</v>
      </c>
      <c r="F333" t="s">
        <v>8</v>
      </c>
      <c r="G333" t="e">
        <f t="shared" si="11"/>
        <v>#N/A</v>
      </c>
    </row>
    <row r="334" spans="1:8" x14ac:dyDescent="0.25">
      <c r="A334" t="str">
        <f t="shared" si="10"/>
        <v>Metz - Cohade</v>
      </c>
      <c r="B334" t="s">
        <v>409</v>
      </c>
      <c r="C334" t="s">
        <v>900</v>
      </c>
      <c r="D334" t="s">
        <v>606</v>
      </c>
      <c r="E334">
        <v>10</v>
      </c>
      <c r="F334" t="s">
        <v>6</v>
      </c>
      <c r="G334" t="e">
        <f t="shared" si="11"/>
        <v>#N/A</v>
      </c>
    </row>
    <row r="335" spans="1:8" x14ac:dyDescent="0.25">
      <c r="A335" t="str">
        <f t="shared" si="10"/>
        <v>Metz - Oberhauser</v>
      </c>
      <c r="B335" t="s">
        <v>1008</v>
      </c>
      <c r="C335" t="s">
        <v>64</v>
      </c>
      <c r="D335" t="s">
        <v>606</v>
      </c>
      <c r="E335">
        <v>4</v>
      </c>
      <c r="F335" t="s">
        <v>7</v>
      </c>
      <c r="G335" t="e">
        <f t="shared" si="11"/>
        <v>#N/A</v>
      </c>
    </row>
    <row r="336" spans="1:8" x14ac:dyDescent="0.25">
      <c r="A336" t="str">
        <f t="shared" si="10"/>
        <v>Rennes - Baal</v>
      </c>
      <c r="B336" t="s">
        <v>490</v>
      </c>
      <c r="C336" t="s">
        <v>802</v>
      </c>
      <c r="D336" t="s">
        <v>42</v>
      </c>
      <c r="E336">
        <v>9</v>
      </c>
      <c r="F336" t="s">
        <v>8</v>
      </c>
      <c r="G336" t="e">
        <f t="shared" si="11"/>
        <v>#N/A</v>
      </c>
    </row>
    <row r="337" spans="1:7" x14ac:dyDescent="0.25">
      <c r="A337" t="str">
        <f t="shared" si="10"/>
        <v>Montpellier - Marveaux</v>
      </c>
      <c r="B337" t="s">
        <v>457</v>
      </c>
      <c r="C337" t="s">
        <v>824</v>
      </c>
      <c r="D337" t="s">
        <v>21</v>
      </c>
      <c r="E337">
        <v>8</v>
      </c>
      <c r="F337" t="s">
        <v>6</v>
      </c>
      <c r="G337" t="e">
        <f t="shared" si="11"/>
        <v>#N/A</v>
      </c>
    </row>
    <row r="338" spans="1:7" x14ac:dyDescent="0.25">
      <c r="A338" t="str">
        <f t="shared" si="10"/>
        <v>Lyon - Morel</v>
      </c>
      <c r="B338" t="s">
        <v>102</v>
      </c>
      <c r="C338" t="s">
        <v>49</v>
      </c>
      <c r="D338" t="s">
        <v>28</v>
      </c>
      <c r="E338">
        <v>8</v>
      </c>
      <c r="F338" t="s">
        <v>8</v>
      </c>
      <c r="G338" t="e">
        <f t="shared" si="11"/>
        <v>#N/A</v>
      </c>
    </row>
    <row r="339" spans="1:7" x14ac:dyDescent="0.25">
      <c r="A339" t="str">
        <f t="shared" si="10"/>
        <v>Monaco - Sy</v>
      </c>
      <c r="B339" t="s">
        <v>749</v>
      </c>
      <c r="C339" t="s">
        <v>750</v>
      </c>
      <c r="D339" t="s">
        <v>22</v>
      </c>
      <c r="E339">
        <v>1</v>
      </c>
      <c r="F339" t="s">
        <v>7</v>
      </c>
      <c r="G339" t="e">
        <f t="shared" si="11"/>
        <v>#N/A</v>
      </c>
    </row>
    <row r="340" spans="1:7" x14ac:dyDescent="0.25">
      <c r="A340" t="str">
        <f t="shared" si="10"/>
        <v>Monaco - Badiashile</v>
      </c>
      <c r="B340" t="s">
        <v>821</v>
      </c>
      <c r="C340" t="s">
        <v>762</v>
      </c>
      <c r="D340" t="s">
        <v>22</v>
      </c>
      <c r="E340">
        <v>7</v>
      </c>
      <c r="F340" t="s">
        <v>7</v>
      </c>
      <c r="G340" t="e">
        <f t="shared" si="11"/>
        <v>#N/A</v>
      </c>
    </row>
    <row r="341" spans="1:7" x14ac:dyDescent="0.25">
      <c r="A341" t="str">
        <f t="shared" si="10"/>
        <v>Lyon - Valbuena</v>
      </c>
      <c r="B341" t="s">
        <v>196</v>
      </c>
      <c r="C341" t="s">
        <v>43</v>
      </c>
      <c r="D341" t="s">
        <v>28</v>
      </c>
      <c r="E341">
        <v>10</v>
      </c>
      <c r="F341" t="s">
        <v>6</v>
      </c>
      <c r="G341" t="e">
        <f t="shared" si="11"/>
        <v>#N/A</v>
      </c>
    </row>
    <row r="342" spans="1:7" x14ac:dyDescent="0.25">
      <c r="A342" t="str">
        <f t="shared" si="10"/>
        <v>Rennes - Danze</v>
      </c>
      <c r="B342" t="s">
        <v>903</v>
      </c>
      <c r="C342" t="s">
        <v>85</v>
      </c>
      <c r="D342" t="s">
        <v>42</v>
      </c>
      <c r="E342">
        <v>10</v>
      </c>
      <c r="F342" t="s">
        <v>8</v>
      </c>
      <c r="G342" t="e">
        <f t="shared" si="11"/>
        <v>#N/A</v>
      </c>
    </row>
    <row r="343" spans="1:7" x14ac:dyDescent="0.25">
      <c r="A343" t="str">
        <f t="shared" si="10"/>
        <v>Lorient - Marveaux</v>
      </c>
      <c r="B343" t="s">
        <v>457</v>
      </c>
      <c r="C343" t="s">
        <v>141</v>
      </c>
      <c r="D343" t="s">
        <v>38</v>
      </c>
      <c r="E343">
        <v>7</v>
      </c>
      <c r="F343" t="s">
        <v>6</v>
      </c>
      <c r="G343" t="e">
        <f t="shared" si="11"/>
        <v>#N/A</v>
      </c>
    </row>
    <row r="344" spans="1:7" x14ac:dyDescent="0.25">
      <c r="A344" t="str">
        <f t="shared" si="10"/>
        <v>Lille - Amalfitano</v>
      </c>
      <c r="B344" t="s">
        <v>555</v>
      </c>
      <c r="C344" t="s">
        <v>651</v>
      </c>
      <c r="D344" t="s">
        <v>34</v>
      </c>
      <c r="E344">
        <v>11</v>
      </c>
      <c r="F344" t="s">
        <v>6</v>
      </c>
      <c r="G344" t="e">
        <f t="shared" si="11"/>
        <v>#N/A</v>
      </c>
    </row>
    <row r="345" spans="1:7" x14ac:dyDescent="0.25">
      <c r="A345" t="str">
        <f t="shared" si="10"/>
        <v>Paris - Matuidi</v>
      </c>
      <c r="B345" t="s">
        <v>76</v>
      </c>
      <c r="C345" t="s">
        <v>77</v>
      </c>
      <c r="D345" t="s">
        <v>47</v>
      </c>
      <c r="E345">
        <v>22</v>
      </c>
      <c r="F345" t="s">
        <v>6</v>
      </c>
      <c r="G345" t="e">
        <f t="shared" si="11"/>
        <v>#N/A</v>
      </c>
    </row>
    <row r="346" spans="1:7" x14ac:dyDescent="0.25">
      <c r="A346" t="str">
        <f t="shared" si="10"/>
        <v>Lille - Obbadi</v>
      </c>
      <c r="B346" t="s">
        <v>421</v>
      </c>
      <c r="C346" t="s">
        <v>178</v>
      </c>
      <c r="D346" t="s">
        <v>34</v>
      </c>
      <c r="E346">
        <v>8</v>
      </c>
      <c r="F346" t="s">
        <v>6</v>
      </c>
      <c r="G346" t="e">
        <f t="shared" si="11"/>
        <v>#N/A</v>
      </c>
    </row>
    <row r="347" spans="1:7" x14ac:dyDescent="0.25">
      <c r="A347" t="str">
        <f t="shared" si="10"/>
        <v>Monaco - De Sanctis</v>
      </c>
      <c r="B347" t="s">
        <v>993</v>
      </c>
      <c r="C347" t="s">
        <v>651</v>
      </c>
      <c r="D347" t="s">
        <v>22</v>
      </c>
      <c r="E347">
        <v>1</v>
      </c>
      <c r="F347" t="s">
        <v>7</v>
      </c>
      <c r="G347" t="e">
        <f t="shared" si="11"/>
        <v>#N/A</v>
      </c>
    </row>
    <row r="348" spans="1:7" x14ac:dyDescent="0.25">
      <c r="A348" t="str">
        <f t="shared" si="10"/>
        <v>Caen - Dabo</v>
      </c>
      <c r="B348" t="s">
        <v>452</v>
      </c>
      <c r="C348" t="s">
        <v>904</v>
      </c>
      <c r="D348" t="s">
        <v>37</v>
      </c>
      <c r="E348">
        <v>7</v>
      </c>
      <c r="F348" t="s">
        <v>8</v>
      </c>
      <c r="G348" t="e">
        <f t="shared" si="11"/>
        <v>#N/A</v>
      </c>
    </row>
    <row r="349" spans="1:7" x14ac:dyDescent="0.25">
      <c r="A349" t="str">
        <f t="shared" si="10"/>
        <v>Marseille - Gomis</v>
      </c>
      <c r="B349" t="s">
        <v>506</v>
      </c>
      <c r="C349" t="s">
        <v>905</v>
      </c>
      <c r="D349" t="s">
        <v>25</v>
      </c>
      <c r="E349">
        <v>20</v>
      </c>
      <c r="F349" t="s">
        <v>5</v>
      </c>
      <c r="G349" t="e">
        <f t="shared" si="11"/>
        <v>#N/A</v>
      </c>
    </row>
    <row r="350" spans="1:7" x14ac:dyDescent="0.25">
      <c r="A350" t="str">
        <f t="shared" si="10"/>
        <v>Montpellier - Congré</v>
      </c>
      <c r="B350" t="s">
        <v>73</v>
      </c>
      <c r="C350" t="s">
        <v>74</v>
      </c>
      <c r="D350" t="s">
        <v>21</v>
      </c>
      <c r="E350">
        <v>11</v>
      </c>
      <c r="F350" t="s">
        <v>8</v>
      </c>
      <c r="G350" t="e">
        <f t="shared" si="11"/>
        <v>#N/A</v>
      </c>
    </row>
    <row r="351" spans="1:7" x14ac:dyDescent="0.25">
      <c r="A351" t="str">
        <f t="shared" si="10"/>
        <v>Nancy - Robic</v>
      </c>
      <c r="B351" t="s">
        <v>906</v>
      </c>
      <c r="C351" t="s">
        <v>907</v>
      </c>
      <c r="D351" t="s">
        <v>688</v>
      </c>
      <c r="E351">
        <v>7</v>
      </c>
      <c r="F351" t="s">
        <v>5</v>
      </c>
      <c r="G351" t="e">
        <f t="shared" si="11"/>
        <v>#N/A</v>
      </c>
    </row>
    <row r="352" spans="1:7" x14ac:dyDescent="0.25">
      <c r="A352" t="str">
        <f t="shared" si="10"/>
        <v>Saint Etienne - Monnet-Paquet</v>
      </c>
      <c r="B352" t="s">
        <v>98</v>
      </c>
      <c r="C352" t="s">
        <v>899</v>
      </c>
      <c r="D352" t="s">
        <v>585</v>
      </c>
      <c r="E352">
        <v>12</v>
      </c>
      <c r="F352" t="s">
        <v>5</v>
      </c>
      <c r="G352" t="e">
        <f t="shared" si="11"/>
        <v>#N/A</v>
      </c>
    </row>
    <row r="353" spans="1:7" x14ac:dyDescent="0.25">
      <c r="A353" t="str">
        <f t="shared" si="10"/>
        <v>Lyon - Jallet</v>
      </c>
      <c r="B353" t="s">
        <v>83</v>
      </c>
      <c r="C353" t="s">
        <v>84</v>
      </c>
      <c r="D353" t="s">
        <v>28</v>
      </c>
      <c r="E353">
        <v>9</v>
      </c>
      <c r="F353" t="s">
        <v>8</v>
      </c>
      <c r="G353" t="e">
        <f t="shared" si="11"/>
        <v>#N/A</v>
      </c>
    </row>
    <row r="354" spans="1:7" x14ac:dyDescent="0.25">
      <c r="A354" t="str">
        <f t="shared" si="10"/>
        <v>Montpellier - Jourdren</v>
      </c>
      <c r="B354" t="s">
        <v>447</v>
      </c>
      <c r="C354" t="s">
        <v>868</v>
      </c>
      <c r="D354" t="s">
        <v>21</v>
      </c>
      <c r="E354">
        <v>13</v>
      </c>
      <c r="F354" t="s">
        <v>7</v>
      </c>
      <c r="G354" t="e">
        <f t="shared" si="11"/>
        <v>#N/A</v>
      </c>
    </row>
    <row r="355" spans="1:7" x14ac:dyDescent="0.25">
      <c r="A355" t="str">
        <f t="shared" si="10"/>
        <v>Rennes - Chantôme</v>
      </c>
      <c r="B355" t="s">
        <v>435</v>
      </c>
      <c r="C355" t="s">
        <v>104</v>
      </c>
      <c r="D355" t="s">
        <v>42</v>
      </c>
      <c r="E355">
        <v>11</v>
      </c>
      <c r="F355" t="s">
        <v>6</v>
      </c>
      <c r="G355" t="e">
        <f t="shared" si="11"/>
        <v>#N/A</v>
      </c>
    </row>
    <row r="356" spans="1:7" x14ac:dyDescent="0.25">
      <c r="A356" t="str">
        <f t="shared" si="10"/>
        <v>Montpellier - Ligali</v>
      </c>
      <c r="B356" t="s">
        <v>448</v>
      </c>
      <c r="C356" t="s">
        <v>260</v>
      </c>
      <c r="D356" t="s">
        <v>21</v>
      </c>
      <c r="E356">
        <v>5</v>
      </c>
      <c r="F356" t="s">
        <v>7</v>
      </c>
      <c r="G356" t="e">
        <f t="shared" si="11"/>
        <v>#N/A</v>
      </c>
    </row>
    <row r="357" spans="1:7" x14ac:dyDescent="0.25">
      <c r="A357" t="str">
        <f t="shared" si="10"/>
        <v>Marseille - Rolando</v>
      </c>
      <c r="B357" t="s">
        <v>163</v>
      </c>
      <c r="C357" t="s">
        <v>583</v>
      </c>
      <c r="D357" t="s">
        <v>25</v>
      </c>
      <c r="E357">
        <v>8</v>
      </c>
      <c r="F357" t="s">
        <v>8</v>
      </c>
      <c r="G357" t="e">
        <f t="shared" si="11"/>
        <v>#N/A</v>
      </c>
    </row>
    <row r="358" spans="1:7" x14ac:dyDescent="0.25">
      <c r="A358" t="str">
        <f t="shared" si="10"/>
        <v>Nancy - Dia</v>
      </c>
      <c r="B358" t="s">
        <v>537</v>
      </c>
      <c r="C358" t="s">
        <v>910</v>
      </c>
      <c r="D358" t="s">
        <v>688</v>
      </c>
      <c r="E358">
        <v>11</v>
      </c>
      <c r="F358" t="s">
        <v>5</v>
      </c>
      <c r="G358" t="e">
        <f t="shared" si="11"/>
        <v>#N/A</v>
      </c>
    </row>
    <row r="359" spans="1:7" x14ac:dyDescent="0.25">
      <c r="A359" t="str">
        <f t="shared" si="10"/>
        <v>Rennes - Fernandes</v>
      </c>
      <c r="B359" t="s">
        <v>911</v>
      </c>
      <c r="C359" t="s">
        <v>912</v>
      </c>
      <c r="D359" t="s">
        <v>42</v>
      </c>
      <c r="E359">
        <v>10</v>
      </c>
      <c r="F359" t="s">
        <v>6</v>
      </c>
      <c r="G359" t="e">
        <f t="shared" si="11"/>
        <v>#N/A</v>
      </c>
    </row>
    <row r="360" spans="1:7" x14ac:dyDescent="0.25">
      <c r="A360" t="str">
        <f t="shared" si="10"/>
        <v>Lille - Palmieri</v>
      </c>
      <c r="B360" t="s">
        <v>129</v>
      </c>
      <c r="C360" t="s">
        <v>130</v>
      </c>
      <c r="D360" t="s">
        <v>34</v>
      </c>
      <c r="E360">
        <v>10</v>
      </c>
      <c r="F360" t="s">
        <v>8</v>
      </c>
      <c r="G360" t="e">
        <f t="shared" si="11"/>
        <v>#N/A</v>
      </c>
    </row>
    <row r="361" spans="1:7" x14ac:dyDescent="0.25">
      <c r="A361" t="str">
        <f t="shared" si="10"/>
        <v>Guingamp - Diallo</v>
      </c>
      <c r="B361" t="s">
        <v>480</v>
      </c>
      <c r="C361" t="s">
        <v>913</v>
      </c>
      <c r="D361" t="s">
        <v>50</v>
      </c>
      <c r="E361">
        <v>12</v>
      </c>
      <c r="F361" t="s">
        <v>6</v>
      </c>
      <c r="G361" t="e">
        <f t="shared" si="11"/>
        <v>#N/A</v>
      </c>
    </row>
    <row r="362" spans="1:7" x14ac:dyDescent="0.25">
      <c r="A362" t="str">
        <f t="shared" si="10"/>
        <v>Montpellier - Pionnier</v>
      </c>
      <c r="B362" t="s">
        <v>449</v>
      </c>
      <c r="C362" t="s">
        <v>1036</v>
      </c>
      <c r="D362" t="s">
        <v>21</v>
      </c>
      <c r="E362">
        <v>5</v>
      </c>
      <c r="F362" t="s">
        <v>7</v>
      </c>
      <c r="G362" t="e">
        <f t="shared" si="11"/>
        <v>#N/A</v>
      </c>
    </row>
    <row r="363" spans="1:7" x14ac:dyDescent="0.25">
      <c r="A363" t="str">
        <f t="shared" si="10"/>
        <v>Paris - Cavani</v>
      </c>
      <c r="B363" t="s">
        <v>79</v>
      </c>
      <c r="C363" t="s">
        <v>80</v>
      </c>
      <c r="D363" t="s">
        <v>47</v>
      </c>
      <c r="E363">
        <v>31</v>
      </c>
      <c r="F363" t="s">
        <v>5</v>
      </c>
      <c r="G363" t="e">
        <f t="shared" si="11"/>
        <v>#N/A</v>
      </c>
    </row>
    <row r="364" spans="1:7" x14ac:dyDescent="0.25">
      <c r="A364" t="str">
        <f t="shared" si="10"/>
        <v>Toulouse - Trejo</v>
      </c>
      <c r="B364" t="s">
        <v>472</v>
      </c>
      <c r="C364" t="s">
        <v>915</v>
      </c>
      <c r="D364" t="s">
        <v>41</v>
      </c>
      <c r="E364">
        <v>12</v>
      </c>
      <c r="F364" t="s">
        <v>6</v>
      </c>
      <c r="G364" t="e">
        <f t="shared" si="11"/>
        <v>#N/A</v>
      </c>
    </row>
    <row r="365" spans="1:7" x14ac:dyDescent="0.25">
      <c r="A365" t="str">
        <f t="shared" si="10"/>
        <v>Marseille - Vainqueur</v>
      </c>
      <c r="B365" t="s">
        <v>916</v>
      </c>
      <c r="C365" t="s">
        <v>917</v>
      </c>
      <c r="D365" t="s">
        <v>25</v>
      </c>
      <c r="E365">
        <v>13</v>
      </c>
      <c r="F365" t="s">
        <v>6</v>
      </c>
      <c r="G365" t="e">
        <f t="shared" si="11"/>
        <v>#N/A</v>
      </c>
    </row>
    <row r="366" spans="1:7" x14ac:dyDescent="0.25">
      <c r="A366" t="str">
        <f t="shared" si="10"/>
        <v>Angers - Ismael Traoré</v>
      </c>
      <c r="B366" t="s">
        <v>197</v>
      </c>
      <c r="C366" t="s">
        <v>583</v>
      </c>
      <c r="D366" t="s">
        <v>174</v>
      </c>
      <c r="E366">
        <v>10</v>
      </c>
      <c r="F366" t="s">
        <v>8</v>
      </c>
      <c r="G366" t="e">
        <f t="shared" si="11"/>
        <v>#N/A</v>
      </c>
    </row>
    <row r="367" spans="1:7" x14ac:dyDescent="0.25">
      <c r="A367" t="str">
        <f t="shared" si="10"/>
        <v>Rennes - Sio</v>
      </c>
      <c r="B367" t="s">
        <v>184</v>
      </c>
      <c r="C367" t="s">
        <v>185</v>
      </c>
      <c r="D367" t="s">
        <v>42</v>
      </c>
      <c r="E367">
        <v>18</v>
      </c>
      <c r="F367" t="s">
        <v>5</v>
      </c>
      <c r="G367" t="e">
        <f t="shared" si="11"/>
        <v>#N/A</v>
      </c>
    </row>
    <row r="368" spans="1:7" x14ac:dyDescent="0.25">
      <c r="A368" t="str">
        <f t="shared" si="10"/>
        <v>Nice - Balotelli</v>
      </c>
      <c r="B368" t="s">
        <v>918</v>
      </c>
      <c r="C368" t="s">
        <v>347</v>
      </c>
      <c r="D368" t="s">
        <v>40</v>
      </c>
      <c r="E368">
        <v>21</v>
      </c>
      <c r="F368" t="s">
        <v>5</v>
      </c>
      <c r="G368" t="e">
        <f t="shared" si="11"/>
        <v>#N/A</v>
      </c>
    </row>
    <row r="369" spans="1:7" x14ac:dyDescent="0.25">
      <c r="A369" t="str">
        <f t="shared" si="10"/>
        <v>Nantes - Kacaniklic</v>
      </c>
      <c r="B369" t="s">
        <v>919</v>
      </c>
      <c r="C369" t="s">
        <v>674</v>
      </c>
      <c r="D369" t="s">
        <v>24</v>
      </c>
      <c r="E369">
        <v>8</v>
      </c>
      <c r="F369" t="s">
        <v>6</v>
      </c>
      <c r="G369" t="e">
        <f t="shared" si="11"/>
        <v>#N/A</v>
      </c>
    </row>
    <row r="370" spans="1:7" x14ac:dyDescent="0.25">
      <c r="A370" t="str">
        <f t="shared" si="10"/>
        <v>Nantes - Gillet</v>
      </c>
      <c r="B370" t="s">
        <v>548</v>
      </c>
      <c r="C370" t="s">
        <v>423</v>
      </c>
      <c r="D370" t="s">
        <v>24</v>
      </c>
      <c r="E370">
        <v>8</v>
      </c>
      <c r="F370" t="s">
        <v>6</v>
      </c>
      <c r="G370" t="e">
        <f t="shared" si="11"/>
        <v>#N/A</v>
      </c>
    </row>
    <row r="371" spans="1:7" x14ac:dyDescent="0.25">
      <c r="A371" t="str">
        <f t="shared" si="10"/>
        <v>Nancy - Menay</v>
      </c>
      <c r="B371" t="s">
        <v>731</v>
      </c>
      <c r="C371" t="s">
        <v>27</v>
      </c>
      <c r="D371" t="s">
        <v>688</v>
      </c>
      <c r="E371">
        <v>1</v>
      </c>
      <c r="F371" t="s">
        <v>7</v>
      </c>
      <c r="G371" t="e">
        <f t="shared" si="11"/>
        <v>#N/A</v>
      </c>
    </row>
    <row r="372" spans="1:7" x14ac:dyDescent="0.25">
      <c r="A372" t="str">
        <f t="shared" si="10"/>
        <v>Guingamp - Sorbon</v>
      </c>
      <c r="B372" t="s">
        <v>522</v>
      </c>
      <c r="C372" t="s">
        <v>49</v>
      </c>
      <c r="D372" t="s">
        <v>50</v>
      </c>
      <c r="E372">
        <v>11</v>
      </c>
      <c r="F372" t="s">
        <v>8</v>
      </c>
      <c r="G372" t="e">
        <f t="shared" si="11"/>
        <v>#N/A</v>
      </c>
    </row>
    <row r="373" spans="1:7" x14ac:dyDescent="0.25">
      <c r="A373" t="str">
        <f t="shared" si="10"/>
        <v>Guingamp - Lemaître</v>
      </c>
      <c r="B373" t="s">
        <v>350</v>
      </c>
      <c r="C373" t="s">
        <v>351</v>
      </c>
      <c r="D373" t="s">
        <v>50</v>
      </c>
      <c r="E373">
        <v>3</v>
      </c>
      <c r="F373" t="s">
        <v>8</v>
      </c>
      <c r="G373" t="e">
        <f t="shared" si="11"/>
        <v>#N/A</v>
      </c>
    </row>
    <row r="374" spans="1:7" x14ac:dyDescent="0.25">
      <c r="A374" t="str">
        <f t="shared" si="10"/>
        <v>Caen - Bessat</v>
      </c>
      <c r="B374" t="s">
        <v>263</v>
      </c>
      <c r="C374" t="s">
        <v>87</v>
      </c>
      <c r="D374" t="s">
        <v>37</v>
      </c>
      <c r="E374">
        <v>7</v>
      </c>
      <c r="F374" t="s">
        <v>6</v>
      </c>
      <c r="G374" t="e">
        <f t="shared" si="11"/>
        <v>#N/A</v>
      </c>
    </row>
    <row r="375" spans="1:7" x14ac:dyDescent="0.25">
      <c r="A375" t="str">
        <f t="shared" si="10"/>
        <v>Nancy - Muratori</v>
      </c>
      <c r="B375" t="s">
        <v>920</v>
      </c>
      <c r="C375" t="s">
        <v>87</v>
      </c>
      <c r="D375" t="s">
        <v>688</v>
      </c>
      <c r="E375">
        <v>7</v>
      </c>
      <c r="F375" t="s">
        <v>8</v>
      </c>
      <c r="G375" t="e">
        <f t="shared" si="11"/>
        <v>#N/A</v>
      </c>
    </row>
    <row r="376" spans="1:7" x14ac:dyDescent="0.25">
      <c r="A376" t="str">
        <f t="shared" si="10"/>
        <v>Metz - Mandjeck</v>
      </c>
      <c r="B376" t="s">
        <v>921</v>
      </c>
      <c r="C376" t="s">
        <v>922</v>
      </c>
      <c r="D376" t="s">
        <v>606</v>
      </c>
      <c r="E376">
        <v>8</v>
      </c>
      <c r="F376" t="s">
        <v>6</v>
      </c>
      <c r="G376" t="e">
        <f t="shared" si="11"/>
        <v>#N/A</v>
      </c>
    </row>
    <row r="377" spans="1:7" x14ac:dyDescent="0.25">
      <c r="A377" t="str">
        <f t="shared" si="10"/>
        <v>Saint Etienne - Saivet</v>
      </c>
      <c r="B377" t="s">
        <v>116</v>
      </c>
      <c r="C377" t="s">
        <v>92</v>
      </c>
      <c r="D377" t="s">
        <v>585</v>
      </c>
      <c r="E377">
        <v>13</v>
      </c>
      <c r="F377" t="s">
        <v>6</v>
      </c>
      <c r="G377" t="e">
        <f t="shared" si="11"/>
        <v>#N/A</v>
      </c>
    </row>
    <row r="378" spans="1:7" x14ac:dyDescent="0.25">
      <c r="A378" t="str">
        <f t="shared" si="10"/>
        <v>Saint Etienne - Lemoine</v>
      </c>
      <c r="B378" t="s">
        <v>412</v>
      </c>
      <c r="C378" t="s">
        <v>923</v>
      </c>
      <c r="D378" t="s">
        <v>585</v>
      </c>
      <c r="E378">
        <v>12</v>
      </c>
      <c r="F378" t="s">
        <v>6</v>
      </c>
      <c r="G378" t="e">
        <f t="shared" si="11"/>
        <v>#N/A</v>
      </c>
    </row>
    <row r="379" spans="1:7" x14ac:dyDescent="0.25">
      <c r="A379" t="str">
        <f t="shared" si="10"/>
        <v>Dijon - Bouka Moutou</v>
      </c>
      <c r="B379" t="s">
        <v>539</v>
      </c>
      <c r="C379" t="s">
        <v>924</v>
      </c>
      <c r="D379" t="s">
        <v>581</v>
      </c>
      <c r="E379">
        <v>2</v>
      </c>
      <c r="F379" t="s">
        <v>8</v>
      </c>
      <c r="G379" t="e">
        <f t="shared" si="11"/>
        <v>#N/A</v>
      </c>
    </row>
    <row r="380" spans="1:7" x14ac:dyDescent="0.25">
      <c r="A380" t="str">
        <f t="shared" si="10"/>
        <v>Guingamp - Giresse</v>
      </c>
      <c r="B380" t="s">
        <v>524</v>
      </c>
      <c r="C380" t="s">
        <v>925</v>
      </c>
      <c r="D380" t="s">
        <v>50</v>
      </c>
      <c r="E380">
        <v>12</v>
      </c>
      <c r="F380" t="s">
        <v>6</v>
      </c>
      <c r="G380" t="e">
        <f t="shared" si="11"/>
        <v>#N/A</v>
      </c>
    </row>
    <row r="381" spans="1:7" x14ac:dyDescent="0.25">
      <c r="A381" t="str">
        <f t="shared" si="10"/>
        <v>Nancy - N'Dy Assembe</v>
      </c>
      <c r="B381" t="s">
        <v>908</v>
      </c>
      <c r="C381" t="s">
        <v>909</v>
      </c>
      <c r="D381" t="s">
        <v>688</v>
      </c>
      <c r="E381">
        <v>11</v>
      </c>
      <c r="F381" t="s">
        <v>7</v>
      </c>
      <c r="G381" t="e">
        <f t="shared" si="11"/>
        <v>#N/A</v>
      </c>
    </row>
    <row r="382" spans="1:7" x14ac:dyDescent="0.25">
      <c r="A382" t="str">
        <f t="shared" si="10"/>
        <v>Bastia - Cahuzac</v>
      </c>
      <c r="B382" t="s">
        <v>479</v>
      </c>
      <c r="C382" t="s">
        <v>926</v>
      </c>
      <c r="D382" t="s">
        <v>81</v>
      </c>
      <c r="E382">
        <v>12</v>
      </c>
      <c r="F382" t="s">
        <v>6</v>
      </c>
      <c r="G382" t="e">
        <f t="shared" si="11"/>
        <v>#N/A</v>
      </c>
    </row>
    <row r="383" spans="1:7" x14ac:dyDescent="0.25">
      <c r="A383" t="str">
        <f t="shared" si="10"/>
        <v>Bastia - Cioni</v>
      </c>
      <c r="B383" t="s">
        <v>325</v>
      </c>
      <c r="C383" t="s">
        <v>128</v>
      </c>
      <c r="D383" t="s">
        <v>81</v>
      </c>
      <c r="E383">
        <v>1</v>
      </c>
      <c r="F383" t="s">
        <v>8</v>
      </c>
      <c r="G383" t="e">
        <f t="shared" si="11"/>
        <v>#N/A</v>
      </c>
    </row>
    <row r="384" spans="1:7" x14ac:dyDescent="0.25">
      <c r="A384" t="str">
        <f t="shared" si="10"/>
        <v>Caen - Da Silva</v>
      </c>
      <c r="B384" t="s">
        <v>35</v>
      </c>
      <c r="C384" t="s">
        <v>36</v>
      </c>
      <c r="D384" t="s">
        <v>37</v>
      </c>
      <c r="E384">
        <v>7</v>
      </c>
      <c r="F384" t="s">
        <v>8</v>
      </c>
      <c r="G384" t="e">
        <f t="shared" si="11"/>
        <v>#N/A</v>
      </c>
    </row>
    <row r="385" spans="1:7" x14ac:dyDescent="0.25">
      <c r="A385" t="str">
        <f t="shared" si="10"/>
        <v>Dijon - Loties</v>
      </c>
      <c r="B385" t="s">
        <v>927</v>
      </c>
      <c r="C385" t="s">
        <v>78</v>
      </c>
      <c r="D385" t="s">
        <v>581</v>
      </c>
      <c r="E385">
        <v>3</v>
      </c>
      <c r="F385" t="s">
        <v>8</v>
      </c>
      <c r="G385" t="e">
        <f t="shared" si="11"/>
        <v>#N/A</v>
      </c>
    </row>
    <row r="386" spans="1:7" x14ac:dyDescent="0.25">
      <c r="A386" t="str">
        <f t="shared" ref="A386:A449" si="12">D386 &amp; " - " &amp; B386</f>
        <v>Nancy - Mandanne</v>
      </c>
      <c r="B386" t="s">
        <v>928</v>
      </c>
      <c r="C386" t="s">
        <v>84</v>
      </c>
      <c r="D386" t="s">
        <v>688</v>
      </c>
      <c r="E386">
        <v>7</v>
      </c>
      <c r="F386" t="s">
        <v>5</v>
      </c>
      <c r="G386" t="e">
        <f t="shared" ref="G386:G449" si="13">IF(VLOOKUP(VLOOKUP($A386,_JOUEURS,2,FALSE),_DATA,8,FALSE)=0,"",VLOOKUP(VLOOKUP($A386,_JOUEURS,2,FALSE),_DATA,8,FALSE))</f>
        <v>#N/A</v>
      </c>
    </row>
    <row r="387" spans="1:7" x14ac:dyDescent="0.25">
      <c r="A387" t="str">
        <f t="shared" si="12"/>
        <v>Marseille - Bedimo</v>
      </c>
      <c r="B387" t="s">
        <v>376</v>
      </c>
      <c r="C387" t="s">
        <v>92</v>
      </c>
      <c r="D387" t="s">
        <v>25</v>
      </c>
      <c r="E387">
        <v>10</v>
      </c>
      <c r="F387" t="s">
        <v>8</v>
      </c>
      <c r="G387" t="e">
        <f t="shared" si="13"/>
        <v>#N/A</v>
      </c>
    </row>
    <row r="388" spans="1:7" x14ac:dyDescent="0.25">
      <c r="A388" t="str">
        <f t="shared" si="12"/>
        <v>Caen - Genevois</v>
      </c>
      <c r="B388" t="s">
        <v>392</v>
      </c>
      <c r="C388" t="s">
        <v>85</v>
      </c>
      <c r="D388" t="s">
        <v>37</v>
      </c>
      <c r="E388">
        <v>7</v>
      </c>
      <c r="F388" t="s">
        <v>8</v>
      </c>
      <c r="G388" t="e">
        <f t="shared" si="13"/>
        <v>#N/A</v>
      </c>
    </row>
    <row r="389" spans="1:7" x14ac:dyDescent="0.25">
      <c r="A389" t="str">
        <f t="shared" si="12"/>
        <v>Metz - Jouffre</v>
      </c>
      <c r="B389" t="s">
        <v>445</v>
      </c>
      <c r="C389" t="s">
        <v>739</v>
      </c>
      <c r="D389" t="s">
        <v>606</v>
      </c>
      <c r="E389">
        <v>12</v>
      </c>
      <c r="F389" t="s">
        <v>6</v>
      </c>
      <c r="G389" t="e">
        <f t="shared" si="13"/>
        <v>#N/A</v>
      </c>
    </row>
    <row r="390" spans="1:7" x14ac:dyDescent="0.25">
      <c r="A390" t="str">
        <f t="shared" si="12"/>
        <v>Dijon - Riviere</v>
      </c>
      <c r="B390" t="s">
        <v>929</v>
      </c>
      <c r="C390" t="s">
        <v>901</v>
      </c>
      <c r="D390" t="s">
        <v>581</v>
      </c>
      <c r="E390">
        <v>3</v>
      </c>
      <c r="F390" t="s">
        <v>5</v>
      </c>
      <c r="G390" t="e">
        <f t="shared" si="13"/>
        <v>#N/A</v>
      </c>
    </row>
    <row r="391" spans="1:7" x14ac:dyDescent="0.25">
      <c r="A391" t="str">
        <f t="shared" si="12"/>
        <v>Angers - Diallo</v>
      </c>
      <c r="B391" t="s">
        <v>480</v>
      </c>
      <c r="C391" t="s">
        <v>930</v>
      </c>
      <c r="D391" t="s">
        <v>174</v>
      </c>
      <c r="E391">
        <v>2</v>
      </c>
      <c r="F391" t="s">
        <v>8</v>
      </c>
      <c r="G391" t="e">
        <f t="shared" si="13"/>
        <v>#N/A</v>
      </c>
    </row>
    <row r="392" spans="1:7" x14ac:dyDescent="0.25">
      <c r="A392" t="str">
        <f t="shared" si="12"/>
        <v>Nancy - Chernik</v>
      </c>
      <c r="B392" t="s">
        <v>973</v>
      </c>
      <c r="C392" t="s">
        <v>974</v>
      </c>
      <c r="D392" t="s">
        <v>688</v>
      </c>
      <c r="E392">
        <v>4</v>
      </c>
      <c r="F392" t="s">
        <v>7</v>
      </c>
      <c r="G392" t="e">
        <f t="shared" si="13"/>
        <v>#N/A</v>
      </c>
    </row>
    <row r="393" spans="1:7" x14ac:dyDescent="0.25">
      <c r="A393" t="str">
        <f t="shared" si="12"/>
        <v>Angers - Saihi</v>
      </c>
      <c r="B393" t="s">
        <v>458</v>
      </c>
      <c r="C393" t="s">
        <v>931</v>
      </c>
      <c r="D393" t="s">
        <v>174</v>
      </c>
      <c r="E393">
        <v>13</v>
      </c>
      <c r="F393" t="s">
        <v>6</v>
      </c>
      <c r="G393" t="e">
        <f t="shared" si="13"/>
        <v>#N/A</v>
      </c>
    </row>
    <row r="394" spans="1:7" x14ac:dyDescent="0.25">
      <c r="A394" t="str">
        <f t="shared" si="12"/>
        <v>Lyon - Yanga-Mbiwa</v>
      </c>
      <c r="B394" t="s">
        <v>379</v>
      </c>
      <c r="C394" t="s">
        <v>932</v>
      </c>
      <c r="D394" t="s">
        <v>28</v>
      </c>
      <c r="E394">
        <v>12</v>
      </c>
      <c r="F394" t="s">
        <v>8</v>
      </c>
      <c r="G394" t="e">
        <f t="shared" si="13"/>
        <v>#N/A</v>
      </c>
    </row>
    <row r="395" spans="1:7" x14ac:dyDescent="0.25">
      <c r="A395" t="str">
        <f t="shared" si="12"/>
        <v>Nantes - Walongwa</v>
      </c>
      <c r="B395" t="s">
        <v>772</v>
      </c>
      <c r="C395" t="s">
        <v>70</v>
      </c>
      <c r="D395" t="s">
        <v>24</v>
      </c>
      <c r="E395">
        <v>2</v>
      </c>
      <c r="F395" t="s">
        <v>7</v>
      </c>
      <c r="G395" t="e">
        <f t="shared" si="13"/>
        <v>#N/A</v>
      </c>
    </row>
    <row r="396" spans="1:7" x14ac:dyDescent="0.25">
      <c r="A396" t="str">
        <f t="shared" si="12"/>
        <v>Caen - Féret</v>
      </c>
      <c r="B396" t="s">
        <v>44</v>
      </c>
      <c r="C396" t="s">
        <v>45</v>
      </c>
      <c r="D396" t="s">
        <v>37</v>
      </c>
      <c r="E396">
        <v>15</v>
      </c>
      <c r="F396" t="s">
        <v>6</v>
      </c>
      <c r="G396" t="e">
        <f t="shared" si="13"/>
        <v>#N/A</v>
      </c>
    </row>
    <row r="397" spans="1:7" x14ac:dyDescent="0.25">
      <c r="A397" t="str">
        <f t="shared" si="12"/>
        <v>Guingamp - Deaux</v>
      </c>
      <c r="B397" t="s">
        <v>357</v>
      </c>
      <c r="C397" t="s">
        <v>106</v>
      </c>
      <c r="D397" t="s">
        <v>50</v>
      </c>
      <c r="E397">
        <v>10</v>
      </c>
      <c r="F397" t="s">
        <v>6</v>
      </c>
      <c r="G397" t="e">
        <f t="shared" si="13"/>
        <v>#N/A</v>
      </c>
    </row>
    <row r="398" spans="1:7" x14ac:dyDescent="0.25">
      <c r="A398" t="str">
        <f t="shared" si="12"/>
        <v>Saint Etienne - M'Bengue</v>
      </c>
      <c r="B398" t="s">
        <v>491</v>
      </c>
      <c r="C398" t="s">
        <v>181</v>
      </c>
      <c r="D398" t="s">
        <v>585</v>
      </c>
      <c r="E398">
        <v>8</v>
      </c>
      <c r="F398" t="s">
        <v>8</v>
      </c>
      <c r="G398" t="e">
        <f t="shared" si="13"/>
        <v>#N/A</v>
      </c>
    </row>
    <row r="399" spans="1:7" x14ac:dyDescent="0.25">
      <c r="A399" t="str">
        <f t="shared" si="12"/>
        <v>Angers - Thomas</v>
      </c>
      <c r="B399" t="s">
        <v>30</v>
      </c>
      <c r="C399" t="s">
        <v>85</v>
      </c>
      <c r="D399" t="s">
        <v>174</v>
      </c>
      <c r="E399">
        <v>10</v>
      </c>
      <c r="F399" t="s">
        <v>8</v>
      </c>
      <c r="G399" t="e">
        <f t="shared" si="13"/>
        <v>#N/A</v>
      </c>
    </row>
    <row r="400" spans="1:7" x14ac:dyDescent="0.25">
      <c r="A400" t="str">
        <f t="shared" si="12"/>
        <v>Paris - Di María</v>
      </c>
      <c r="B400" t="s">
        <v>331</v>
      </c>
      <c r="C400" t="s">
        <v>177</v>
      </c>
      <c r="D400" t="s">
        <v>47</v>
      </c>
      <c r="E400">
        <v>31</v>
      </c>
      <c r="F400" t="s">
        <v>6</v>
      </c>
      <c r="G400" t="e">
        <f t="shared" si="13"/>
        <v>#N/A</v>
      </c>
    </row>
    <row r="401" spans="1:7" x14ac:dyDescent="0.25">
      <c r="A401" t="str">
        <f t="shared" si="12"/>
        <v>Bastia - Bengtsson</v>
      </c>
      <c r="B401" t="s">
        <v>933</v>
      </c>
      <c r="C401" t="s">
        <v>796</v>
      </c>
      <c r="D401" t="s">
        <v>81</v>
      </c>
      <c r="E401">
        <v>3</v>
      </c>
      <c r="F401" t="s">
        <v>8</v>
      </c>
      <c r="G401" t="e">
        <f t="shared" si="13"/>
        <v>#N/A</v>
      </c>
    </row>
    <row r="402" spans="1:7" x14ac:dyDescent="0.25">
      <c r="A402" t="str">
        <f t="shared" si="12"/>
        <v>Lille - Sankhare</v>
      </c>
      <c r="B402" t="s">
        <v>934</v>
      </c>
      <c r="C402" t="s">
        <v>935</v>
      </c>
      <c r="D402" t="s">
        <v>34</v>
      </c>
      <c r="E402">
        <v>9</v>
      </c>
      <c r="F402" t="s">
        <v>6</v>
      </c>
      <c r="G402" t="e">
        <f t="shared" si="13"/>
        <v>#N/A</v>
      </c>
    </row>
    <row r="403" spans="1:7" x14ac:dyDescent="0.25">
      <c r="A403" t="str">
        <f t="shared" si="12"/>
        <v>Monaco - Falcao</v>
      </c>
      <c r="B403" t="s">
        <v>516</v>
      </c>
      <c r="C403" t="s">
        <v>583</v>
      </c>
      <c r="D403" t="s">
        <v>22</v>
      </c>
      <c r="E403">
        <v>21</v>
      </c>
      <c r="F403" t="s">
        <v>5</v>
      </c>
      <c r="G403" t="e">
        <f t="shared" si="13"/>
        <v>#N/A</v>
      </c>
    </row>
    <row r="404" spans="1:7" x14ac:dyDescent="0.25">
      <c r="A404" t="str">
        <f t="shared" si="12"/>
        <v>Nancy - Chretien</v>
      </c>
      <c r="B404" t="s">
        <v>936</v>
      </c>
      <c r="C404" t="s">
        <v>937</v>
      </c>
      <c r="D404" t="s">
        <v>688</v>
      </c>
      <c r="E404">
        <v>8</v>
      </c>
      <c r="F404" t="s">
        <v>8</v>
      </c>
      <c r="G404" t="e">
        <f t="shared" si="13"/>
        <v>#N/A</v>
      </c>
    </row>
    <row r="405" spans="1:7" x14ac:dyDescent="0.25">
      <c r="A405" t="str">
        <f t="shared" si="12"/>
        <v>Marseille - Hubocan</v>
      </c>
      <c r="B405" t="s">
        <v>938</v>
      </c>
      <c r="C405" t="s">
        <v>939</v>
      </c>
      <c r="D405" t="s">
        <v>25</v>
      </c>
      <c r="E405">
        <v>8</v>
      </c>
      <c r="F405" t="s">
        <v>8</v>
      </c>
      <c r="G405" t="e">
        <f t="shared" si="13"/>
        <v>#N/A</v>
      </c>
    </row>
    <row r="406" spans="1:7" x14ac:dyDescent="0.25">
      <c r="A406" t="str">
        <f t="shared" si="12"/>
        <v>Nancy - Guidileye</v>
      </c>
      <c r="B406" t="s">
        <v>940</v>
      </c>
      <c r="C406" t="s">
        <v>480</v>
      </c>
      <c r="D406" t="s">
        <v>688</v>
      </c>
      <c r="E406">
        <v>5</v>
      </c>
      <c r="F406" t="s">
        <v>6</v>
      </c>
      <c r="G406" t="e">
        <f t="shared" si="13"/>
        <v>#N/A</v>
      </c>
    </row>
    <row r="407" spans="1:7" x14ac:dyDescent="0.25">
      <c r="A407" t="str">
        <f t="shared" si="12"/>
        <v>Guingamp - Privat</v>
      </c>
      <c r="B407" t="s">
        <v>135</v>
      </c>
      <c r="C407" t="s">
        <v>136</v>
      </c>
      <c r="D407" t="s">
        <v>50</v>
      </c>
      <c r="E407">
        <v>12</v>
      </c>
      <c r="F407" t="s">
        <v>5</v>
      </c>
      <c r="G407" t="e">
        <f t="shared" si="13"/>
        <v>#N/A</v>
      </c>
    </row>
    <row r="408" spans="1:7" x14ac:dyDescent="0.25">
      <c r="A408" t="str">
        <f t="shared" si="12"/>
        <v>Nantes - Moimbé</v>
      </c>
      <c r="B408" t="s">
        <v>503</v>
      </c>
      <c r="C408" t="s">
        <v>941</v>
      </c>
      <c r="D408" t="s">
        <v>24</v>
      </c>
      <c r="E408">
        <v>5</v>
      </c>
      <c r="F408" t="s">
        <v>8</v>
      </c>
      <c r="G408" t="e">
        <f t="shared" si="13"/>
        <v>#N/A</v>
      </c>
    </row>
    <row r="409" spans="1:7" x14ac:dyDescent="0.25">
      <c r="A409" t="str">
        <f t="shared" si="12"/>
        <v>Bordeaux - Abdou Traoré</v>
      </c>
      <c r="B409" t="s">
        <v>942</v>
      </c>
      <c r="C409" t="s">
        <v>583</v>
      </c>
      <c r="D409" t="s">
        <v>31</v>
      </c>
      <c r="E409">
        <v>5</v>
      </c>
      <c r="F409" t="s">
        <v>8</v>
      </c>
      <c r="G409" t="e">
        <f t="shared" si="13"/>
        <v>#N/A</v>
      </c>
    </row>
    <row r="410" spans="1:7" x14ac:dyDescent="0.25">
      <c r="A410" t="str">
        <f t="shared" si="12"/>
        <v>Toulouse - Veskovac</v>
      </c>
      <c r="B410" t="s">
        <v>467</v>
      </c>
      <c r="C410" t="s">
        <v>943</v>
      </c>
      <c r="D410" t="s">
        <v>41</v>
      </c>
      <c r="E410">
        <v>2</v>
      </c>
      <c r="F410" t="s">
        <v>5</v>
      </c>
      <c r="G410" t="e">
        <f t="shared" si="13"/>
        <v>#N/A</v>
      </c>
    </row>
    <row r="411" spans="1:7" x14ac:dyDescent="0.25">
      <c r="A411" t="str">
        <f t="shared" si="12"/>
        <v>Rennes - Grosicki</v>
      </c>
      <c r="B411" t="s">
        <v>337</v>
      </c>
      <c r="C411" t="s">
        <v>338</v>
      </c>
      <c r="D411" t="s">
        <v>42</v>
      </c>
      <c r="E411">
        <v>11</v>
      </c>
      <c r="F411" t="s">
        <v>6</v>
      </c>
      <c r="G411" t="e">
        <f t="shared" si="13"/>
        <v>#N/A</v>
      </c>
    </row>
    <row r="412" spans="1:7" x14ac:dyDescent="0.25">
      <c r="A412" t="str">
        <f t="shared" si="12"/>
        <v>Dijon - Gastien</v>
      </c>
      <c r="B412" t="s">
        <v>944</v>
      </c>
      <c r="C412" t="s">
        <v>945</v>
      </c>
      <c r="D412" t="s">
        <v>581</v>
      </c>
      <c r="E412">
        <v>4</v>
      </c>
      <c r="F412" t="s">
        <v>8</v>
      </c>
      <c r="G412" t="e">
        <f t="shared" si="13"/>
        <v>#N/A</v>
      </c>
    </row>
    <row r="413" spans="1:7" x14ac:dyDescent="0.25">
      <c r="A413" t="str">
        <f t="shared" si="12"/>
        <v>Bastia - El Kaoutari</v>
      </c>
      <c r="B413" t="s">
        <v>559</v>
      </c>
      <c r="C413" t="s">
        <v>597</v>
      </c>
      <c r="D413" t="s">
        <v>81</v>
      </c>
      <c r="E413">
        <v>5</v>
      </c>
      <c r="F413" t="s">
        <v>8</v>
      </c>
      <c r="G413" t="e">
        <f t="shared" si="13"/>
        <v>#N/A</v>
      </c>
    </row>
    <row r="414" spans="1:7" x14ac:dyDescent="0.25">
      <c r="A414" t="str">
        <f t="shared" si="12"/>
        <v>Caen - Imorou</v>
      </c>
      <c r="B414" t="s">
        <v>529</v>
      </c>
      <c r="C414" t="s">
        <v>946</v>
      </c>
      <c r="D414" t="s">
        <v>37</v>
      </c>
      <c r="E414">
        <v>6</v>
      </c>
      <c r="F414" t="s">
        <v>8</v>
      </c>
      <c r="G414" t="e">
        <f t="shared" si="13"/>
        <v>#N/A</v>
      </c>
    </row>
    <row r="415" spans="1:7" x14ac:dyDescent="0.25">
      <c r="A415" t="str">
        <f t="shared" si="12"/>
        <v>Toulouse - Ninkov</v>
      </c>
      <c r="B415" t="s">
        <v>466</v>
      </c>
      <c r="C415" t="s">
        <v>947</v>
      </c>
      <c r="D415" t="s">
        <v>41</v>
      </c>
      <c r="E415">
        <v>7</v>
      </c>
      <c r="F415" t="s">
        <v>6</v>
      </c>
      <c r="G415" t="e">
        <f t="shared" si="13"/>
        <v>#N/A</v>
      </c>
    </row>
    <row r="416" spans="1:7" x14ac:dyDescent="0.25">
      <c r="A416" t="str">
        <f t="shared" si="12"/>
        <v>Caen - Rodelin</v>
      </c>
      <c r="B416" t="s">
        <v>237</v>
      </c>
      <c r="C416" t="s">
        <v>238</v>
      </c>
      <c r="D416" t="s">
        <v>37</v>
      </c>
      <c r="E416">
        <v>10</v>
      </c>
      <c r="F416" t="s">
        <v>8</v>
      </c>
      <c r="G416" t="e">
        <f t="shared" si="13"/>
        <v>#N/A</v>
      </c>
    </row>
    <row r="417" spans="1:9" x14ac:dyDescent="0.25">
      <c r="A417" t="str">
        <f t="shared" si="12"/>
        <v>Paris - Thiago Silva</v>
      </c>
      <c r="B417" t="s">
        <v>12</v>
      </c>
      <c r="C417" t="s">
        <v>583</v>
      </c>
      <c r="D417" t="s">
        <v>47</v>
      </c>
      <c r="E417">
        <v>23</v>
      </c>
      <c r="F417" t="s">
        <v>5</v>
      </c>
      <c r="G417" t="e">
        <f t="shared" si="13"/>
        <v>#N/A</v>
      </c>
    </row>
    <row r="418" spans="1:9" x14ac:dyDescent="0.25">
      <c r="A418" t="str">
        <f t="shared" si="12"/>
        <v>Nancy - Junior Dalé</v>
      </c>
      <c r="B418" t="s">
        <v>948</v>
      </c>
      <c r="C418" t="s">
        <v>583</v>
      </c>
      <c r="D418" t="s">
        <v>688</v>
      </c>
      <c r="E418">
        <v>9</v>
      </c>
      <c r="F418" t="s">
        <v>6</v>
      </c>
      <c r="G418" t="e">
        <f t="shared" si="13"/>
        <v>#N/A</v>
      </c>
      <c r="I418" t="s">
        <v>1038</v>
      </c>
    </row>
    <row r="419" spans="1:9" x14ac:dyDescent="0.25">
      <c r="A419" t="str">
        <f t="shared" si="12"/>
        <v>Bastia - Mostefa</v>
      </c>
      <c r="B419" t="s">
        <v>443</v>
      </c>
      <c r="C419" t="s">
        <v>146</v>
      </c>
      <c r="D419" t="s">
        <v>81</v>
      </c>
      <c r="E419">
        <v>9</v>
      </c>
      <c r="F419" t="s">
        <v>6</v>
      </c>
      <c r="G419" t="e">
        <f t="shared" si="13"/>
        <v>#N/A</v>
      </c>
    </row>
    <row r="420" spans="1:9" x14ac:dyDescent="0.25">
      <c r="A420" t="str">
        <f t="shared" si="12"/>
        <v>Lorient - Bellugou</v>
      </c>
      <c r="B420" t="s">
        <v>440</v>
      </c>
      <c r="C420" t="s">
        <v>287</v>
      </c>
      <c r="D420" t="s">
        <v>38</v>
      </c>
      <c r="E420">
        <v>8</v>
      </c>
      <c r="F420" t="s">
        <v>6</v>
      </c>
      <c r="G420" t="e">
        <f t="shared" si="13"/>
        <v>#N/A</v>
      </c>
    </row>
    <row r="421" spans="1:9" x14ac:dyDescent="0.25">
      <c r="A421" t="str">
        <f t="shared" si="12"/>
        <v>Saint Etienne - Roux</v>
      </c>
      <c r="B421" t="s">
        <v>108</v>
      </c>
      <c r="C421" t="s">
        <v>109</v>
      </c>
      <c r="D421" t="s">
        <v>585</v>
      </c>
      <c r="E421">
        <v>15</v>
      </c>
      <c r="F421" t="s">
        <v>5</v>
      </c>
      <c r="G421" t="e">
        <f t="shared" si="13"/>
        <v>#N/A</v>
      </c>
    </row>
    <row r="422" spans="1:9" x14ac:dyDescent="0.25">
      <c r="A422" t="str">
        <f t="shared" si="12"/>
        <v>Dijon - Martin</v>
      </c>
      <c r="B422" t="s">
        <v>46</v>
      </c>
      <c r="C422" t="s">
        <v>335</v>
      </c>
      <c r="D422" t="s">
        <v>581</v>
      </c>
      <c r="E422">
        <v>8</v>
      </c>
      <c r="F422" t="s">
        <v>6</v>
      </c>
      <c r="G422" t="e">
        <f t="shared" si="13"/>
        <v>#N/A</v>
      </c>
    </row>
    <row r="423" spans="1:9" x14ac:dyDescent="0.25">
      <c r="A423" t="str">
        <f t="shared" si="12"/>
        <v>Toulouse - Toivonen</v>
      </c>
      <c r="B423" t="s">
        <v>498</v>
      </c>
      <c r="C423" t="s">
        <v>949</v>
      </c>
      <c r="D423" t="s">
        <v>41</v>
      </c>
      <c r="E423">
        <v>12</v>
      </c>
      <c r="F423" t="s">
        <v>5</v>
      </c>
      <c r="G423" t="e">
        <f t="shared" si="13"/>
        <v>#N/A</v>
      </c>
    </row>
    <row r="424" spans="1:9" x14ac:dyDescent="0.25">
      <c r="A424" t="str">
        <f t="shared" si="12"/>
        <v>Rennes - Erasmus</v>
      </c>
      <c r="B424" t="s">
        <v>572</v>
      </c>
      <c r="C424" t="s">
        <v>950</v>
      </c>
      <c r="D424" t="s">
        <v>42</v>
      </c>
      <c r="E424">
        <v>2</v>
      </c>
      <c r="F424" t="s">
        <v>5</v>
      </c>
      <c r="G424" t="e">
        <f t="shared" si="13"/>
        <v>#N/A</v>
      </c>
    </row>
    <row r="425" spans="1:9" x14ac:dyDescent="0.25">
      <c r="A425" t="str">
        <f t="shared" si="12"/>
        <v>Nantes - Olliero</v>
      </c>
      <c r="B425" t="s">
        <v>814</v>
      </c>
      <c r="C425" t="s">
        <v>27</v>
      </c>
      <c r="D425" t="s">
        <v>24</v>
      </c>
      <c r="E425">
        <v>1</v>
      </c>
      <c r="F425" t="s">
        <v>7</v>
      </c>
      <c r="G425" t="e">
        <f t="shared" si="13"/>
        <v>#N/A</v>
      </c>
    </row>
    <row r="426" spans="1:9" x14ac:dyDescent="0.25">
      <c r="A426" t="str">
        <f t="shared" si="12"/>
        <v>Lille - Eder</v>
      </c>
      <c r="B426" t="s">
        <v>556</v>
      </c>
      <c r="C426" t="s">
        <v>583</v>
      </c>
      <c r="D426" t="s">
        <v>34</v>
      </c>
      <c r="E426">
        <v>14</v>
      </c>
      <c r="F426" t="s">
        <v>8</v>
      </c>
      <c r="G426" t="e">
        <f t="shared" si="13"/>
        <v>#N/A</v>
      </c>
    </row>
    <row r="427" spans="1:9" x14ac:dyDescent="0.25">
      <c r="A427" t="str">
        <f t="shared" si="12"/>
        <v>Nantes - Braat</v>
      </c>
      <c r="B427" t="s">
        <v>834</v>
      </c>
      <c r="C427" t="s">
        <v>612</v>
      </c>
      <c r="D427" t="s">
        <v>24</v>
      </c>
      <c r="E427">
        <v>1</v>
      </c>
      <c r="F427" t="s">
        <v>7</v>
      </c>
      <c r="G427" t="e">
        <f t="shared" si="13"/>
        <v>#N/A</v>
      </c>
    </row>
    <row r="428" spans="1:9" x14ac:dyDescent="0.25">
      <c r="A428" t="str">
        <f t="shared" si="12"/>
        <v>Lorient - Toure</v>
      </c>
      <c r="B428" t="s">
        <v>246</v>
      </c>
      <c r="C428" t="s">
        <v>247</v>
      </c>
      <c r="D428" t="s">
        <v>38</v>
      </c>
      <c r="E428">
        <v>9</v>
      </c>
      <c r="F428" t="s">
        <v>6</v>
      </c>
      <c r="G428" t="e">
        <f t="shared" si="13"/>
        <v>#N/A</v>
      </c>
    </row>
    <row r="429" spans="1:9" x14ac:dyDescent="0.25">
      <c r="A429" t="str">
        <f t="shared" si="12"/>
        <v>Lorient - Delecroix</v>
      </c>
      <c r="B429" t="s">
        <v>951</v>
      </c>
      <c r="C429" t="s">
        <v>137</v>
      </c>
      <c r="D429" t="s">
        <v>38</v>
      </c>
      <c r="E429">
        <v>5</v>
      </c>
      <c r="F429" t="s">
        <v>8</v>
      </c>
      <c r="G429" t="e">
        <f t="shared" si="13"/>
        <v>#N/A</v>
      </c>
    </row>
    <row r="430" spans="1:9" x14ac:dyDescent="0.25">
      <c r="A430" t="str">
        <f t="shared" si="12"/>
        <v>Dijon - Sammaritano</v>
      </c>
      <c r="B430" t="s">
        <v>952</v>
      </c>
      <c r="C430" t="s">
        <v>779</v>
      </c>
      <c r="D430" t="s">
        <v>581</v>
      </c>
      <c r="E430">
        <v>10</v>
      </c>
      <c r="F430" t="s">
        <v>6</v>
      </c>
      <c r="G430" t="e">
        <f t="shared" si="13"/>
        <v>#N/A</v>
      </c>
      <c r="I430" t="s">
        <v>1039</v>
      </c>
    </row>
    <row r="431" spans="1:9" x14ac:dyDescent="0.25">
      <c r="A431" t="str">
        <f t="shared" si="12"/>
        <v>Angers - Manceau</v>
      </c>
      <c r="B431" t="s">
        <v>272</v>
      </c>
      <c r="C431" t="s">
        <v>87</v>
      </c>
      <c r="D431" t="s">
        <v>174</v>
      </c>
      <c r="E431">
        <v>6</v>
      </c>
      <c r="F431" t="s">
        <v>5</v>
      </c>
      <c r="G431" t="e">
        <f t="shared" si="13"/>
        <v>#N/A</v>
      </c>
    </row>
    <row r="432" spans="1:9" x14ac:dyDescent="0.25">
      <c r="A432" t="str">
        <f t="shared" si="12"/>
        <v>Guingamp - de Pauw</v>
      </c>
      <c r="B432" t="s">
        <v>953</v>
      </c>
      <c r="C432" t="s">
        <v>954</v>
      </c>
      <c r="D432" t="s">
        <v>50</v>
      </c>
      <c r="E432">
        <v>6</v>
      </c>
      <c r="F432" t="s">
        <v>8</v>
      </c>
      <c r="G432" t="e">
        <f t="shared" si="13"/>
        <v>#N/A</v>
      </c>
    </row>
    <row r="433" spans="1:7" x14ac:dyDescent="0.25">
      <c r="A433" t="str">
        <f t="shared" si="12"/>
        <v>Rennes - Habibou</v>
      </c>
      <c r="B433" t="s">
        <v>497</v>
      </c>
      <c r="C433" t="s">
        <v>955</v>
      </c>
      <c r="D433" t="s">
        <v>42</v>
      </c>
      <c r="E433">
        <v>12</v>
      </c>
      <c r="F433" t="s">
        <v>6</v>
      </c>
      <c r="G433" t="e">
        <f t="shared" si="13"/>
        <v>#N/A</v>
      </c>
    </row>
    <row r="434" spans="1:7" x14ac:dyDescent="0.25">
      <c r="A434" t="str">
        <f t="shared" si="12"/>
        <v>Lyon - Rafael</v>
      </c>
      <c r="B434" t="s">
        <v>378</v>
      </c>
      <c r="C434" t="s">
        <v>583</v>
      </c>
      <c r="D434" t="s">
        <v>28</v>
      </c>
      <c r="E434">
        <v>10</v>
      </c>
      <c r="F434" t="s">
        <v>8</v>
      </c>
      <c r="G434" t="e">
        <f t="shared" si="13"/>
        <v>#N/A</v>
      </c>
    </row>
    <row r="435" spans="1:7" x14ac:dyDescent="0.25">
      <c r="A435" t="str">
        <f t="shared" si="12"/>
        <v>Paris - Pastore</v>
      </c>
      <c r="B435" t="s">
        <v>389</v>
      </c>
      <c r="C435" t="s">
        <v>956</v>
      </c>
      <c r="D435" t="s">
        <v>47</v>
      </c>
      <c r="E435">
        <v>17</v>
      </c>
      <c r="F435" t="s">
        <v>6</v>
      </c>
      <c r="G435" t="e">
        <f t="shared" si="13"/>
        <v>#N/A</v>
      </c>
    </row>
    <row r="436" spans="1:7" x14ac:dyDescent="0.25">
      <c r="A436" t="str">
        <f t="shared" si="12"/>
        <v>Nancy - Cetout</v>
      </c>
      <c r="B436" t="s">
        <v>957</v>
      </c>
      <c r="C436" t="s">
        <v>45</v>
      </c>
      <c r="D436" t="s">
        <v>688</v>
      </c>
      <c r="E436">
        <v>8</v>
      </c>
      <c r="F436" t="s">
        <v>6</v>
      </c>
      <c r="G436" t="e">
        <f t="shared" si="13"/>
        <v>#N/A</v>
      </c>
    </row>
    <row r="437" spans="1:7" x14ac:dyDescent="0.25">
      <c r="A437" t="str">
        <f t="shared" si="12"/>
        <v>Monaco - Dirar</v>
      </c>
      <c r="B437" t="s">
        <v>296</v>
      </c>
      <c r="C437" t="s">
        <v>271</v>
      </c>
      <c r="D437" t="s">
        <v>22</v>
      </c>
      <c r="E437">
        <v>10</v>
      </c>
      <c r="F437" t="s">
        <v>6</v>
      </c>
      <c r="G437" t="e">
        <f t="shared" si="13"/>
        <v>#N/A</v>
      </c>
    </row>
    <row r="438" spans="1:7" x14ac:dyDescent="0.25">
      <c r="A438" t="str">
        <f t="shared" si="12"/>
        <v>Rennes - Brüls</v>
      </c>
      <c r="B438" t="s">
        <v>495</v>
      </c>
      <c r="C438" t="s">
        <v>958</v>
      </c>
      <c r="D438" t="s">
        <v>42</v>
      </c>
      <c r="E438">
        <v>10</v>
      </c>
      <c r="F438" t="s">
        <v>6</v>
      </c>
      <c r="G438" t="e">
        <f t="shared" si="13"/>
        <v>#N/A</v>
      </c>
    </row>
    <row r="439" spans="1:7" x14ac:dyDescent="0.25">
      <c r="A439" t="str">
        <f t="shared" si="12"/>
        <v>Montpellier - Boudebouz</v>
      </c>
      <c r="B439" t="s">
        <v>282</v>
      </c>
      <c r="C439" t="s">
        <v>283</v>
      </c>
      <c r="D439" t="s">
        <v>21</v>
      </c>
      <c r="E439">
        <v>17</v>
      </c>
      <c r="F439" t="s">
        <v>5</v>
      </c>
      <c r="G439" t="e">
        <f t="shared" si="13"/>
        <v>#N/A</v>
      </c>
    </row>
    <row r="440" spans="1:7" x14ac:dyDescent="0.25">
      <c r="A440" t="str">
        <f t="shared" si="12"/>
        <v>Lyon - Grenier</v>
      </c>
      <c r="B440" t="s">
        <v>284</v>
      </c>
      <c r="C440" t="s">
        <v>104</v>
      </c>
      <c r="D440" t="s">
        <v>28</v>
      </c>
      <c r="E440">
        <v>14</v>
      </c>
      <c r="F440" t="s">
        <v>6</v>
      </c>
      <c r="G440" t="e">
        <f t="shared" si="13"/>
        <v>#N/A</v>
      </c>
    </row>
    <row r="441" spans="1:7" x14ac:dyDescent="0.25">
      <c r="A441" t="str">
        <f t="shared" si="12"/>
        <v>Guingamp - Salibur</v>
      </c>
      <c r="B441" t="s">
        <v>257</v>
      </c>
      <c r="C441" t="s">
        <v>258</v>
      </c>
      <c r="D441" t="s">
        <v>50</v>
      </c>
      <c r="E441">
        <v>9</v>
      </c>
      <c r="F441" t="s">
        <v>6</v>
      </c>
      <c r="G441" t="e">
        <f t="shared" si="13"/>
        <v>#N/A</v>
      </c>
    </row>
    <row r="442" spans="1:7" x14ac:dyDescent="0.25">
      <c r="A442" t="str">
        <f t="shared" si="12"/>
        <v>Saint Etienne - Beric</v>
      </c>
      <c r="B442" t="s">
        <v>414</v>
      </c>
      <c r="C442" t="s">
        <v>959</v>
      </c>
      <c r="D442" t="s">
        <v>585</v>
      </c>
      <c r="E442">
        <v>10</v>
      </c>
      <c r="F442" t="s">
        <v>8</v>
      </c>
      <c r="G442" t="e">
        <f t="shared" si="13"/>
        <v>#N/A</v>
      </c>
    </row>
    <row r="443" spans="1:7" x14ac:dyDescent="0.25">
      <c r="A443" t="str">
        <f t="shared" si="12"/>
        <v>Rennes - André</v>
      </c>
      <c r="B443" t="s">
        <v>493</v>
      </c>
      <c r="C443" t="s">
        <v>39</v>
      </c>
      <c r="D443" t="s">
        <v>42</v>
      </c>
      <c r="E443">
        <v>11</v>
      </c>
      <c r="F443" t="s">
        <v>6</v>
      </c>
      <c r="G443" t="e">
        <f t="shared" si="13"/>
        <v>#N/A</v>
      </c>
    </row>
    <row r="444" spans="1:7" x14ac:dyDescent="0.25">
      <c r="A444" t="str">
        <f t="shared" si="12"/>
        <v>Lyon - Fofana</v>
      </c>
      <c r="B444" t="s">
        <v>446</v>
      </c>
      <c r="C444" t="s">
        <v>960</v>
      </c>
      <c r="D444" t="s">
        <v>28</v>
      </c>
      <c r="E444">
        <v>9</v>
      </c>
      <c r="F444" t="s">
        <v>5</v>
      </c>
      <c r="G444" t="e">
        <f t="shared" si="13"/>
        <v>#N/A</v>
      </c>
    </row>
    <row r="445" spans="1:7" x14ac:dyDescent="0.25">
      <c r="A445" t="str">
        <f t="shared" si="12"/>
        <v>Bordeaux - Sertic</v>
      </c>
      <c r="B445" t="s">
        <v>432</v>
      </c>
      <c r="C445" t="s">
        <v>690</v>
      </c>
      <c r="D445" t="s">
        <v>31</v>
      </c>
      <c r="E445">
        <v>8</v>
      </c>
      <c r="F445" t="s">
        <v>6</v>
      </c>
      <c r="G445" t="e">
        <f t="shared" si="13"/>
        <v>#N/A</v>
      </c>
    </row>
    <row r="446" spans="1:7" x14ac:dyDescent="0.25">
      <c r="A446" t="str">
        <f t="shared" si="12"/>
        <v>Bastia - Peybernes</v>
      </c>
      <c r="B446" t="s">
        <v>478</v>
      </c>
      <c r="C446" t="s">
        <v>43</v>
      </c>
      <c r="D446" t="s">
        <v>81</v>
      </c>
      <c r="E446">
        <v>8</v>
      </c>
      <c r="F446" t="s">
        <v>8</v>
      </c>
      <c r="G446" t="e">
        <f t="shared" si="13"/>
        <v>#N/A</v>
      </c>
    </row>
    <row r="447" spans="1:7" x14ac:dyDescent="0.25">
      <c r="A447" t="str">
        <f t="shared" si="12"/>
        <v>Montpellier - Remy</v>
      </c>
      <c r="B447" t="s">
        <v>800</v>
      </c>
      <c r="C447" t="s">
        <v>917</v>
      </c>
      <c r="D447" t="s">
        <v>21</v>
      </c>
      <c r="E447">
        <v>9</v>
      </c>
      <c r="F447" t="s">
        <v>8</v>
      </c>
      <c r="G447" t="e">
        <f t="shared" si="13"/>
        <v>#N/A</v>
      </c>
    </row>
    <row r="448" spans="1:7" x14ac:dyDescent="0.25">
      <c r="A448" t="str">
        <f t="shared" si="12"/>
        <v>Lorient - Paye</v>
      </c>
      <c r="B448" t="s">
        <v>442</v>
      </c>
      <c r="C448" t="s">
        <v>696</v>
      </c>
      <c r="D448" t="s">
        <v>38</v>
      </c>
      <c r="E448">
        <v>5</v>
      </c>
      <c r="F448" t="s">
        <v>8</v>
      </c>
      <c r="G448" t="e">
        <f t="shared" si="13"/>
        <v>#N/A</v>
      </c>
    </row>
    <row r="449" spans="1:7" x14ac:dyDescent="0.25">
      <c r="A449" t="str">
        <f t="shared" si="12"/>
        <v>Angers - Andreu</v>
      </c>
      <c r="B449" t="s">
        <v>241</v>
      </c>
      <c r="C449" t="s">
        <v>242</v>
      </c>
      <c r="D449" t="s">
        <v>174</v>
      </c>
      <c r="E449">
        <v>10</v>
      </c>
      <c r="F449" t="s">
        <v>8</v>
      </c>
      <c r="G449" t="e">
        <f t="shared" si="13"/>
        <v>#N/A</v>
      </c>
    </row>
    <row r="450" spans="1:7" x14ac:dyDescent="0.25">
      <c r="A450" t="str">
        <f t="shared" ref="A450:A513" si="14">D450 &amp; " - " &amp; B450</f>
        <v>Caen - Bazile</v>
      </c>
      <c r="B450" t="s">
        <v>320</v>
      </c>
      <c r="C450" t="s">
        <v>321</v>
      </c>
      <c r="D450" t="s">
        <v>37</v>
      </c>
      <c r="E450">
        <v>12</v>
      </c>
      <c r="F450" t="s">
        <v>5</v>
      </c>
      <c r="G450" t="e">
        <f t="shared" ref="G450:G513" si="15">IF(VLOOKUP(VLOOKUP($A450,_JOUEURS,2,FALSE),_DATA,8,FALSE)=0,"",VLOOKUP(VLOOKUP($A450,_JOUEURS,2,FALSE),_DATA,8,FALSE))</f>
        <v>#N/A</v>
      </c>
    </row>
    <row r="451" spans="1:7" x14ac:dyDescent="0.25">
      <c r="A451" t="str">
        <f t="shared" si="14"/>
        <v>Saint Etienne - Théophile-Catherine</v>
      </c>
      <c r="B451" t="s">
        <v>405</v>
      </c>
      <c r="C451" t="s">
        <v>899</v>
      </c>
      <c r="D451" t="s">
        <v>585</v>
      </c>
      <c r="E451">
        <v>13</v>
      </c>
      <c r="F451" t="s">
        <v>8</v>
      </c>
      <c r="G451" t="e">
        <f t="shared" si="15"/>
        <v>#N/A</v>
      </c>
    </row>
    <row r="452" spans="1:7" x14ac:dyDescent="0.25">
      <c r="A452" t="str">
        <f t="shared" si="14"/>
        <v>Bordeaux - Contento</v>
      </c>
      <c r="B452" t="s">
        <v>428</v>
      </c>
      <c r="C452" t="s">
        <v>72</v>
      </c>
      <c r="D452" t="s">
        <v>31</v>
      </c>
      <c r="E452">
        <v>6</v>
      </c>
      <c r="F452" t="s">
        <v>8</v>
      </c>
      <c r="G452" t="e">
        <f t="shared" si="15"/>
        <v>#N/A</v>
      </c>
    </row>
    <row r="453" spans="1:7" x14ac:dyDescent="0.25">
      <c r="A453" t="str">
        <f t="shared" si="14"/>
        <v>Nantes - Riou</v>
      </c>
      <c r="B453" t="s">
        <v>68</v>
      </c>
      <c r="C453" t="s">
        <v>69</v>
      </c>
      <c r="D453" t="s">
        <v>24</v>
      </c>
      <c r="E453">
        <v>14</v>
      </c>
      <c r="F453" t="s">
        <v>7</v>
      </c>
      <c r="G453" t="e">
        <f t="shared" si="15"/>
        <v>#N/A</v>
      </c>
    </row>
    <row r="454" spans="1:7" x14ac:dyDescent="0.25">
      <c r="A454" t="str">
        <f t="shared" si="14"/>
        <v>Nantes - Dupé</v>
      </c>
      <c r="B454" t="s">
        <v>500</v>
      </c>
      <c r="C454" t="s">
        <v>90</v>
      </c>
      <c r="D454" t="s">
        <v>24</v>
      </c>
      <c r="E454">
        <v>6</v>
      </c>
      <c r="F454" t="s">
        <v>7</v>
      </c>
      <c r="G454" t="e">
        <f t="shared" si="15"/>
        <v>#N/A</v>
      </c>
    </row>
    <row r="455" spans="1:7" x14ac:dyDescent="0.25">
      <c r="A455" t="str">
        <f t="shared" si="14"/>
        <v>Lyon - Gonalons</v>
      </c>
      <c r="B455" t="s">
        <v>89</v>
      </c>
      <c r="C455" t="s">
        <v>90</v>
      </c>
      <c r="D455" t="s">
        <v>28</v>
      </c>
      <c r="E455">
        <v>16</v>
      </c>
      <c r="F455" t="s">
        <v>6</v>
      </c>
      <c r="G455" t="e">
        <f t="shared" si="15"/>
        <v>#N/A</v>
      </c>
    </row>
    <row r="456" spans="1:7" x14ac:dyDescent="0.25">
      <c r="A456" t="str">
        <f t="shared" si="14"/>
        <v>Lyon - Lacazette</v>
      </c>
      <c r="B456" t="s">
        <v>26</v>
      </c>
      <c r="C456" t="s">
        <v>27</v>
      </c>
      <c r="D456" t="s">
        <v>28</v>
      </c>
      <c r="E456">
        <v>40</v>
      </c>
      <c r="F456" t="s">
        <v>5</v>
      </c>
      <c r="G456" t="e">
        <f t="shared" si="15"/>
        <v>#N/A</v>
      </c>
    </row>
    <row r="457" spans="1:7" x14ac:dyDescent="0.25">
      <c r="A457" t="str">
        <f t="shared" si="14"/>
        <v>Lille - Corchia</v>
      </c>
      <c r="B457" t="s">
        <v>94</v>
      </c>
      <c r="C457" t="s">
        <v>95</v>
      </c>
      <c r="D457" t="s">
        <v>34</v>
      </c>
      <c r="E457">
        <v>12</v>
      </c>
      <c r="F457" t="s">
        <v>8</v>
      </c>
      <c r="G457" t="e">
        <f t="shared" si="15"/>
        <v>#N/A</v>
      </c>
    </row>
    <row r="458" spans="1:7" x14ac:dyDescent="0.25">
      <c r="A458" t="str">
        <f t="shared" si="14"/>
        <v>Toulouse - Doumbia</v>
      </c>
      <c r="B458" t="s">
        <v>471</v>
      </c>
      <c r="C458" t="s">
        <v>961</v>
      </c>
      <c r="D458" t="s">
        <v>41</v>
      </c>
      <c r="E458">
        <v>8</v>
      </c>
      <c r="F458" t="s">
        <v>6</v>
      </c>
      <c r="G458" t="e">
        <f t="shared" si="15"/>
        <v>#N/A</v>
      </c>
    </row>
    <row r="459" spans="1:7" x14ac:dyDescent="0.25">
      <c r="A459" t="str">
        <f t="shared" si="14"/>
        <v>Nice - Hassen</v>
      </c>
      <c r="B459" t="s">
        <v>355</v>
      </c>
      <c r="C459" t="s">
        <v>356</v>
      </c>
      <c r="D459" t="s">
        <v>40</v>
      </c>
      <c r="E459">
        <v>8</v>
      </c>
      <c r="F459" t="s">
        <v>7</v>
      </c>
      <c r="G459" t="e">
        <f t="shared" si="15"/>
        <v>#N/A</v>
      </c>
    </row>
    <row r="460" spans="1:7" x14ac:dyDescent="0.25">
      <c r="A460" t="str">
        <f t="shared" si="14"/>
        <v>Monaco - Subasic</v>
      </c>
      <c r="B460" t="s">
        <v>511</v>
      </c>
      <c r="C460" t="s">
        <v>964</v>
      </c>
      <c r="D460" t="s">
        <v>22</v>
      </c>
      <c r="E460">
        <v>17</v>
      </c>
      <c r="F460" t="s">
        <v>5</v>
      </c>
      <c r="G460" t="e">
        <f t="shared" si="15"/>
        <v>#N/A</v>
      </c>
    </row>
    <row r="461" spans="1:7" x14ac:dyDescent="0.25">
      <c r="A461" t="str">
        <f t="shared" si="14"/>
        <v>Paris - Verratti</v>
      </c>
      <c r="B461" t="s">
        <v>387</v>
      </c>
      <c r="C461" t="s">
        <v>965</v>
      </c>
      <c r="D461" t="s">
        <v>47</v>
      </c>
      <c r="E461">
        <v>26</v>
      </c>
      <c r="F461" t="s">
        <v>6</v>
      </c>
      <c r="G461" t="e">
        <f t="shared" si="15"/>
        <v>#N/A</v>
      </c>
    </row>
    <row r="462" spans="1:7" x14ac:dyDescent="0.25">
      <c r="A462" t="str">
        <f t="shared" si="14"/>
        <v>Lille - Ryan Mendes</v>
      </c>
      <c r="B462" t="s">
        <v>966</v>
      </c>
      <c r="C462" t="s">
        <v>583</v>
      </c>
      <c r="D462" t="s">
        <v>34</v>
      </c>
      <c r="E462">
        <v>10</v>
      </c>
      <c r="F462" t="s">
        <v>5</v>
      </c>
      <c r="G462" t="e">
        <f t="shared" si="15"/>
        <v>#N/A</v>
      </c>
    </row>
    <row r="463" spans="1:7" x14ac:dyDescent="0.25">
      <c r="A463" t="str">
        <f t="shared" si="14"/>
        <v>Toulouse - Durmaz</v>
      </c>
      <c r="B463" t="s">
        <v>967</v>
      </c>
      <c r="C463" t="s">
        <v>195</v>
      </c>
      <c r="D463" t="s">
        <v>41</v>
      </c>
      <c r="E463">
        <v>3</v>
      </c>
      <c r="F463" t="s">
        <v>6</v>
      </c>
      <c r="G463" t="e">
        <f t="shared" si="15"/>
        <v>#N/A</v>
      </c>
    </row>
    <row r="464" spans="1:7" x14ac:dyDescent="0.25">
      <c r="A464" t="str">
        <f t="shared" si="14"/>
        <v>Nice - Le Marchand</v>
      </c>
      <c r="B464" t="s">
        <v>394</v>
      </c>
      <c r="C464" t="s">
        <v>90</v>
      </c>
      <c r="D464" t="s">
        <v>40</v>
      </c>
      <c r="E464">
        <v>5</v>
      </c>
      <c r="F464" t="s">
        <v>8</v>
      </c>
      <c r="G464" t="e">
        <f t="shared" si="15"/>
        <v>#N/A</v>
      </c>
    </row>
    <row r="465" spans="1:7" x14ac:dyDescent="0.25">
      <c r="A465" t="str">
        <f t="shared" si="14"/>
        <v>Nice - Cardinale</v>
      </c>
      <c r="B465" t="s">
        <v>345</v>
      </c>
      <c r="C465" t="s">
        <v>627</v>
      </c>
      <c r="D465" t="s">
        <v>40</v>
      </c>
      <c r="E465">
        <v>12</v>
      </c>
      <c r="F465" t="s">
        <v>7</v>
      </c>
      <c r="G465" t="e">
        <f t="shared" si="15"/>
        <v>#N/A</v>
      </c>
    </row>
    <row r="466" spans="1:7" x14ac:dyDescent="0.25">
      <c r="A466" t="str">
        <f t="shared" si="14"/>
        <v>Lorient - Barthelme</v>
      </c>
      <c r="B466" t="s">
        <v>970</v>
      </c>
      <c r="C466" t="s">
        <v>90</v>
      </c>
      <c r="D466" t="s">
        <v>38</v>
      </c>
      <c r="E466">
        <v>7</v>
      </c>
      <c r="F466" t="s">
        <v>6</v>
      </c>
      <c r="G466" t="e">
        <f t="shared" si="15"/>
        <v>#N/A</v>
      </c>
    </row>
    <row r="467" spans="1:7" x14ac:dyDescent="0.25">
      <c r="A467" t="str">
        <f t="shared" si="14"/>
        <v>Nice - Benítez</v>
      </c>
      <c r="B467" t="s">
        <v>649</v>
      </c>
      <c r="C467" t="s">
        <v>552</v>
      </c>
      <c r="D467" t="s">
        <v>40</v>
      </c>
      <c r="E467">
        <v>1</v>
      </c>
      <c r="F467" t="s">
        <v>7</v>
      </c>
      <c r="G467" t="e">
        <f t="shared" si="15"/>
        <v>#N/A</v>
      </c>
    </row>
    <row r="468" spans="1:7" x14ac:dyDescent="0.25">
      <c r="A468" t="str">
        <f t="shared" si="14"/>
        <v>Toulouse - Sirieix</v>
      </c>
      <c r="B468" t="s">
        <v>469</v>
      </c>
      <c r="C468" t="s">
        <v>971</v>
      </c>
      <c r="D468" t="s">
        <v>41</v>
      </c>
      <c r="E468">
        <v>6</v>
      </c>
      <c r="F468" t="s">
        <v>6</v>
      </c>
      <c r="G468" t="e">
        <f t="shared" si="15"/>
        <v>#N/A</v>
      </c>
    </row>
    <row r="469" spans="1:7" x14ac:dyDescent="0.25">
      <c r="A469" t="str">
        <f t="shared" si="14"/>
        <v>Saint Etienne - Søderlund</v>
      </c>
      <c r="B469" t="s">
        <v>972</v>
      </c>
      <c r="C469" t="s">
        <v>674</v>
      </c>
      <c r="D469" t="s">
        <v>585</v>
      </c>
      <c r="E469">
        <v>10</v>
      </c>
      <c r="F469" t="s">
        <v>5</v>
      </c>
      <c r="G469" t="e">
        <f t="shared" si="15"/>
        <v>#N/A</v>
      </c>
    </row>
    <row r="470" spans="1:7" x14ac:dyDescent="0.25">
      <c r="A470" t="str">
        <f t="shared" si="14"/>
        <v>Nice - Pouplin</v>
      </c>
      <c r="B470" t="s">
        <v>391</v>
      </c>
      <c r="C470" t="s">
        <v>605</v>
      </c>
      <c r="D470" t="s">
        <v>40</v>
      </c>
      <c r="E470">
        <v>4</v>
      </c>
      <c r="F470" t="s">
        <v>7</v>
      </c>
      <c r="G470" t="e">
        <f t="shared" si="15"/>
        <v>#N/A</v>
      </c>
    </row>
    <row r="471" spans="1:7" x14ac:dyDescent="0.25">
      <c r="A471" t="str">
        <f t="shared" si="14"/>
        <v>Caen - Malbranque</v>
      </c>
      <c r="B471" t="s">
        <v>382</v>
      </c>
      <c r="C471" t="s">
        <v>975</v>
      </c>
      <c r="D471" t="s">
        <v>37</v>
      </c>
      <c r="E471">
        <v>9</v>
      </c>
      <c r="F471" t="s">
        <v>6</v>
      </c>
      <c r="G471" t="e">
        <f t="shared" si="15"/>
        <v>#N/A</v>
      </c>
    </row>
    <row r="472" spans="1:7" x14ac:dyDescent="0.25">
      <c r="A472" t="str">
        <f t="shared" si="14"/>
        <v>Angers - Sunu</v>
      </c>
      <c r="B472" t="s">
        <v>147</v>
      </c>
      <c r="C472" t="s">
        <v>128</v>
      </c>
      <c r="D472" t="s">
        <v>174</v>
      </c>
      <c r="E472">
        <v>13</v>
      </c>
      <c r="F472" t="s">
        <v>5</v>
      </c>
      <c r="G472" t="e">
        <f t="shared" si="15"/>
        <v>#N/A</v>
      </c>
    </row>
    <row r="473" spans="1:7" x14ac:dyDescent="0.25">
      <c r="A473" t="str">
        <f t="shared" si="14"/>
        <v>Angers - Nwakaeme</v>
      </c>
      <c r="B473" t="s">
        <v>976</v>
      </c>
      <c r="C473" t="s">
        <v>977</v>
      </c>
      <c r="D473" t="s">
        <v>174</v>
      </c>
      <c r="E473">
        <v>3</v>
      </c>
      <c r="F473" t="s">
        <v>5</v>
      </c>
      <c r="G473" t="e">
        <f t="shared" si="15"/>
        <v>#N/A</v>
      </c>
    </row>
    <row r="474" spans="1:7" x14ac:dyDescent="0.25">
      <c r="A474" t="str">
        <f t="shared" si="14"/>
        <v>Marseille - Cabella</v>
      </c>
      <c r="B474" t="s">
        <v>191</v>
      </c>
      <c r="C474" t="s">
        <v>69</v>
      </c>
      <c r="D474" t="s">
        <v>25</v>
      </c>
      <c r="E474">
        <v>16</v>
      </c>
      <c r="F474" t="s">
        <v>6</v>
      </c>
      <c r="G474" t="e">
        <f t="shared" si="15"/>
        <v>#N/A</v>
      </c>
    </row>
    <row r="475" spans="1:7" x14ac:dyDescent="0.25">
      <c r="A475" t="str">
        <f t="shared" si="14"/>
        <v>Nice - Belhanda</v>
      </c>
      <c r="B475" t="s">
        <v>978</v>
      </c>
      <c r="C475" t="s">
        <v>979</v>
      </c>
      <c r="D475" t="s">
        <v>40</v>
      </c>
      <c r="E475">
        <v>17</v>
      </c>
      <c r="F475" t="s">
        <v>6</v>
      </c>
      <c r="G475" t="e">
        <f t="shared" si="15"/>
        <v>#N/A</v>
      </c>
    </row>
    <row r="476" spans="1:7" x14ac:dyDescent="0.25">
      <c r="A476" t="str">
        <f t="shared" si="14"/>
        <v>Rennes - Armand</v>
      </c>
      <c r="B476" t="s">
        <v>157</v>
      </c>
      <c r="C476" t="s">
        <v>141</v>
      </c>
      <c r="D476" t="s">
        <v>42</v>
      </c>
      <c r="E476">
        <v>10</v>
      </c>
      <c r="F476" t="s">
        <v>8</v>
      </c>
      <c r="G476" t="e">
        <f t="shared" si="15"/>
        <v>#N/A</v>
      </c>
    </row>
    <row r="477" spans="1:7" x14ac:dyDescent="0.25">
      <c r="A477" t="str">
        <f t="shared" si="14"/>
        <v>Guingamp - Angoua</v>
      </c>
      <c r="B477" t="s">
        <v>520</v>
      </c>
      <c r="C477" t="s">
        <v>39</v>
      </c>
      <c r="D477" t="s">
        <v>50</v>
      </c>
      <c r="E477">
        <v>3</v>
      </c>
      <c r="F477" t="s">
        <v>8</v>
      </c>
      <c r="G477" t="e">
        <f t="shared" si="15"/>
        <v>#N/A</v>
      </c>
    </row>
    <row r="478" spans="1:7" x14ac:dyDescent="0.25">
      <c r="A478" t="str">
        <f t="shared" si="14"/>
        <v>Saint Etienne - Hamouma</v>
      </c>
      <c r="B478" t="s">
        <v>114</v>
      </c>
      <c r="C478" t="s">
        <v>85</v>
      </c>
      <c r="D478" t="s">
        <v>585</v>
      </c>
      <c r="E478">
        <v>18</v>
      </c>
      <c r="F478" t="s">
        <v>6</v>
      </c>
      <c r="G478" t="e">
        <f t="shared" si="15"/>
        <v>#N/A</v>
      </c>
    </row>
    <row r="479" spans="1:7" x14ac:dyDescent="0.25">
      <c r="A479" t="str">
        <f t="shared" si="14"/>
        <v>Lorient - Le Goff</v>
      </c>
      <c r="B479" t="s">
        <v>441</v>
      </c>
      <c r="C479" t="s">
        <v>87</v>
      </c>
      <c r="D479" t="s">
        <v>38</v>
      </c>
      <c r="E479">
        <v>7</v>
      </c>
      <c r="F479" t="s">
        <v>8</v>
      </c>
      <c r="G479" t="e">
        <f t="shared" si="15"/>
        <v>#N/A</v>
      </c>
    </row>
    <row r="480" spans="1:7" x14ac:dyDescent="0.25">
      <c r="A480" t="str">
        <f t="shared" si="14"/>
        <v>Lorient - Mesloub</v>
      </c>
      <c r="B480" t="s">
        <v>444</v>
      </c>
      <c r="C480" t="s">
        <v>980</v>
      </c>
      <c r="D480" t="s">
        <v>38</v>
      </c>
      <c r="E480">
        <v>8</v>
      </c>
      <c r="F480" t="s">
        <v>6</v>
      </c>
      <c r="G480" t="e">
        <f t="shared" si="15"/>
        <v>#N/A</v>
      </c>
    </row>
    <row r="481" spans="1:7" x14ac:dyDescent="0.25">
      <c r="A481" t="str">
        <f t="shared" si="14"/>
        <v>Bastia - Danic</v>
      </c>
      <c r="B481" t="s">
        <v>250</v>
      </c>
      <c r="C481" t="s">
        <v>251</v>
      </c>
      <c r="D481" t="s">
        <v>81</v>
      </c>
      <c r="E481">
        <v>11</v>
      </c>
      <c r="F481" t="s">
        <v>6</v>
      </c>
      <c r="G481" t="e">
        <f t="shared" si="15"/>
        <v>#N/A</v>
      </c>
    </row>
    <row r="482" spans="1:7" x14ac:dyDescent="0.25">
      <c r="A482" t="str">
        <f t="shared" si="14"/>
        <v>Angers - Pavlovic</v>
      </c>
      <c r="B482" t="s">
        <v>981</v>
      </c>
      <c r="C482" t="s">
        <v>982</v>
      </c>
      <c r="D482" t="s">
        <v>174</v>
      </c>
      <c r="E482">
        <v>5</v>
      </c>
      <c r="F482" t="s">
        <v>8</v>
      </c>
      <c r="G482" t="e">
        <f t="shared" si="15"/>
        <v>#N/A</v>
      </c>
    </row>
    <row r="483" spans="1:7" x14ac:dyDescent="0.25">
      <c r="A483" t="str">
        <f t="shared" si="14"/>
        <v>Toulouse - Braithwaite</v>
      </c>
      <c r="B483" t="s">
        <v>107</v>
      </c>
      <c r="C483" t="s">
        <v>46</v>
      </c>
      <c r="D483" t="s">
        <v>41</v>
      </c>
      <c r="E483">
        <v>14</v>
      </c>
      <c r="F483" t="s">
        <v>5</v>
      </c>
      <c r="G483" t="e">
        <f t="shared" si="15"/>
        <v>#N/A</v>
      </c>
    </row>
    <row r="484" spans="1:7" x14ac:dyDescent="0.25">
      <c r="A484" t="str">
        <f t="shared" si="14"/>
        <v>Caen - Seube</v>
      </c>
      <c r="B484" t="s">
        <v>336</v>
      </c>
      <c r="C484" t="s">
        <v>66</v>
      </c>
      <c r="D484" t="s">
        <v>37</v>
      </c>
      <c r="E484">
        <v>8</v>
      </c>
      <c r="F484" t="s">
        <v>8</v>
      </c>
      <c r="G484" t="e">
        <f t="shared" si="15"/>
        <v>#N/A</v>
      </c>
    </row>
    <row r="485" spans="1:7" x14ac:dyDescent="0.25">
      <c r="A485" t="str">
        <f t="shared" si="14"/>
        <v>Lyon - Rybus</v>
      </c>
      <c r="B485" t="s">
        <v>983</v>
      </c>
      <c r="C485" t="s">
        <v>984</v>
      </c>
      <c r="D485" t="s">
        <v>28</v>
      </c>
      <c r="E485">
        <v>10</v>
      </c>
      <c r="F485" t="s">
        <v>8</v>
      </c>
      <c r="G485" t="e">
        <f t="shared" si="15"/>
        <v>#N/A</v>
      </c>
    </row>
    <row r="486" spans="1:7" x14ac:dyDescent="0.25">
      <c r="A486" t="str">
        <f t="shared" si="14"/>
        <v>Monaco - Glik</v>
      </c>
      <c r="B486" t="s">
        <v>985</v>
      </c>
      <c r="C486" t="s">
        <v>338</v>
      </c>
      <c r="D486" t="s">
        <v>22</v>
      </c>
      <c r="E486">
        <v>10</v>
      </c>
      <c r="F486" t="s">
        <v>6</v>
      </c>
      <c r="G486" t="e">
        <f t="shared" si="15"/>
        <v>#N/A</v>
      </c>
    </row>
    <row r="487" spans="1:7" x14ac:dyDescent="0.25">
      <c r="A487" t="str">
        <f t="shared" si="14"/>
        <v>Bordeaux - Lewczuk</v>
      </c>
      <c r="B487" t="s">
        <v>986</v>
      </c>
      <c r="C487" t="s">
        <v>987</v>
      </c>
      <c r="D487" t="s">
        <v>31</v>
      </c>
      <c r="E487">
        <v>8</v>
      </c>
      <c r="F487" t="s">
        <v>8</v>
      </c>
      <c r="G487" t="e">
        <f t="shared" si="15"/>
        <v>#N/A</v>
      </c>
    </row>
    <row r="488" spans="1:7" x14ac:dyDescent="0.25">
      <c r="A488" t="str">
        <f t="shared" si="14"/>
        <v>Montpellier - Lasne</v>
      </c>
      <c r="B488" t="s">
        <v>456</v>
      </c>
      <c r="C488" t="s">
        <v>137</v>
      </c>
      <c r="D488" t="s">
        <v>21</v>
      </c>
      <c r="E488">
        <v>8</v>
      </c>
      <c r="F488" t="s">
        <v>6</v>
      </c>
      <c r="G488" t="e">
        <f t="shared" si="15"/>
        <v>#N/A</v>
      </c>
    </row>
    <row r="489" spans="1:7" x14ac:dyDescent="0.25">
      <c r="A489" t="str">
        <f t="shared" si="14"/>
        <v>Paris - Krychowiak</v>
      </c>
      <c r="B489" t="s">
        <v>988</v>
      </c>
      <c r="C489" t="s">
        <v>989</v>
      </c>
      <c r="D489" t="s">
        <v>47</v>
      </c>
      <c r="E489">
        <v>14</v>
      </c>
      <c r="F489" t="s">
        <v>6</v>
      </c>
      <c r="G489" t="e">
        <f t="shared" si="15"/>
        <v>#N/A</v>
      </c>
    </row>
    <row r="490" spans="1:7" x14ac:dyDescent="0.25">
      <c r="A490" t="str">
        <f t="shared" si="14"/>
        <v>Lorient - Jeannot</v>
      </c>
      <c r="B490" t="s">
        <v>143</v>
      </c>
      <c r="C490" t="s">
        <v>39</v>
      </c>
      <c r="D490" t="s">
        <v>38</v>
      </c>
      <c r="E490">
        <v>9</v>
      </c>
      <c r="F490" t="s">
        <v>5</v>
      </c>
      <c r="G490" t="e">
        <f t="shared" si="15"/>
        <v>#N/A</v>
      </c>
    </row>
    <row r="491" spans="1:7" x14ac:dyDescent="0.25">
      <c r="A491" t="str">
        <f t="shared" si="14"/>
        <v>Lorient - Moukandjo</v>
      </c>
      <c r="B491" t="s">
        <v>91</v>
      </c>
      <c r="C491" t="s">
        <v>39</v>
      </c>
      <c r="D491" t="s">
        <v>38</v>
      </c>
      <c r="E491">
        <v>20</v>
      </c>
      <c r="F491" t="s">
        <v>5</v>
      </c>
      <c r="G491" t="e">
        <f t="shared" si="15"/>
        <v>#N/A</v>
      </c>
    </row>
    <row r="492" spans="1:7" x14ac:dyDescent="0.25">
      <c r="A492" t="str">
        <f t="shared" si="14"/>
        <v>Lille - de Preville</v>
      </c>
      <c r="B492" t="s">
        <v>990</v>
      </c>
      <c r="C492" t="s">
        <v>66</v>
      </c>
      <c r="D492" t="s">
        <v>34</v>
      </c>
      <c r="E492">
        <v>7</v>
      </c>
      <c r="F492" t="s">
        <v>5</v>
      </c>
      <c r="G492" t="e">
        <f t="shared" si="15"/>
        <v>#N/A</v>
      </c>
    </row>
    <row r="493" spans="1:7" x14ac:dyDescent="0.25">
      <c r="A493" t="str">
        <f t="shared" si="14"/>
        <v>Paris - Descamps</v>
      </c>
      <c r="B493" t="s">
        <v>799</v>
      </c>
      <c r="C493" t="s">
        <v>800</v>
      </c>
      <c r="D493" t="s">
        <v>47</v>
      </c>
      <c r="E493">
        <v>2</v>
      </c>
      <c r="F493" t="s">
        <v>7</v>
      </c>
      <c r="G493" t="e">
        <f t="shared" si="15"/>
        <v>#N/A</v>
      </c>
    </row>
    <row r="494" spans="1:7" x14ac:dyDescent="0.25">
      <c r="A494" t="str">
        <f t="shared" si="14"/>
        <v>Paris - Trapp</v>
      </c>
      <c r="B494" t="s">
        <v>190</v>
      </c>
      <c r="C494" t="s">
        <v>99</v>
      </c>
      <c r="D494" t="s">
        <v>47</v>
      </c>
      <c r="E494">
        <v>18</v>
      </c>
      <c r="F494" t="s">
        <v>7</v>
      </c>
      <c r="G494" t="e">
        <f t="shared" si="15"/>
        <v>#N/A</v>
      </c>
    </row>
    <row r="495" spans="1:7" x14ac:dyDescent="0.25">
      <c r="A495" t="str">
        <f t="shared" si="14"/>
        <v>Paris - Areola</v>
      </c>
      <c r="B495" t="s">
        <v>1013</v>
      </c>
      <c r="C495" t="s">
        <v>1014</v>
      </c>
      <c r="D495" t="s">
        <v>47</v>
      </c>
      <c r="E495">
        <v>12</v>
      </c>
      <c r="F495" t="s">
        <v>7</v>
      </c>
      <c r="G495" t="e">
        <f t="shared" si="15"/>
        <v>#N/A</v>
      </c>
    </row>
    <row r="496" spans="1:7" x14ac:dyDescent="0.25">
      <c r="A496" t="str">
        <f t="shared" si="14"/>
        <v>Nantes - Thomsen</v>
      </c>
      <c r="B496" t="s">
        <v>995</v>
      </c>
      <c r="C496" t="s">
        <v>996</v>
      </c>
      <c r="D496" t="s">
        <v>24</v>
      </c>
      <c r="E496">
        <v>8</v>
      </c>
      <c r="F496" t="s">
        <v>6</v>
      </c>
      <c r="G496" t="e">
        <f t="shared" si="15"/>
        <v>#N/A</v>
      </c>
    </row>
    <row r="497" spans="1:7" x14ac:dyDescent="0.25">
      <c r="A497" t="str">
        <f t="shared" si="14"/>
        <v>Nice - Souquet</v>
      </c>
      <c r="B497" t="s">
        <v>997</v>
      </c>
      <c r="C497" t="s">
        <v>752</v>
      </c>
      <c r="D497" t="s">
        <v>40</v>
      </c>
      <c r="E497">
        <v>5</v>
      </c>
      <c r="F497" t="s">
        <v>8</v>
      </c>
      <c r="G497" t="e">
        <f t="shared" si="15"/>
        <v>#N/A</v>
      </c>
    </row>
    <row r="498" spans="1:7" x14ac:dyDescent="0.25">
      <c r="A498" t="str">
        <f t="shared" si="14"/>
        <v>Guingamp - Lévêque</v>
      </c>
      <c r="B498" t="s">
        <v>519</v>
      </c>
      <c r="C498" t="s">
        <v>841</v>
      </c>
      <c r="D498" t="s">
        <v>50</v>
      </c>
      <c r="E498">
        <v>5</v>
      </c>
      <c r="F498" t="s">
        <v>8</v>
      </c>
      <c r="G498" t="e">
        <f t="shared" si="15"/>
        <v>#N/A</v>
      </c>
    </row>
    <row r="499" spans="1:7" x14ac:dyDescent="0.25">
      <c r="A499" t="str">
        <f t="shared" si="14"/>
        <v>Metz - Doukoure</v>
      </c>
      <c r="B499" t="s">
        <v>998</v>
      </c>
      <c r="C499" t="s">
        <v>67</v>
      </c>
      <c r="D499" t="s">
        <v>606</v>
      </c>
      <c r="E499">
        <v>10</v>
      </c>
      <c r="F499" t="s">
        <v>6</v>
      </c>
      <c r="G499" t="e">
        <f t="shared" si="15"/>
        <v>#N/A</v>
      </c>
    </row>
    <row r="500" spans="1:7" x14ac:dyDescent="0.25">
      <c r="A500" t="str">
        <f t="shared" si="14"/>
        <v>Saint Etienne - Pogba</v>
      </c>
      <c r="B500" t="s">
        <v>276</v>
      </c>
      <c r="C500" t="s">
        <v>162</v>
      </c>
      <c r="D500" t="s">
        <v>585</v>
      </c>
      <c r="E500">
        <v>11</v>
      </c>
      <c r="F500" t="s">
        <v>8</v>
      </c>
      <c r="G500" t="e">
        <f t="shared" si="15"/>
        <v>#N/A</v>
      </c>
    </row>
    <row r="501" spans="1:7" x14ac:dyDescent="0.25">
      <c r="A501" t="str">
        <f t="shared" si="14"/>
        <v>Angers - Ketkeophomphone</v>
      </c>
      <c r="B501" t="s">
        <v>297</v>
      </c>
      <c r="C501" t="s">
        <v>298</v>
      </c>
      <c r="D501" t="s">
        <v>174</v>
      </c>
      <c r="E501">
        <v>13</v>
      </c>
      <c r="F501" t="s">
        <v>5</v>
      </c>
      <c r="G501" t="e">
        <f t="shared" si="15"/>
        <v>#N/A</v>
      </c>
    </row>
    <row r="502" spans="1:7" x14ac:dyDescent="0.25">
      <c r="A502" t="str">
        <f t="shared" si="14"/>
        <v>Paris - Aurier</v>
      </c>
      <c r="B502" t="s">
        <v>117</v>
      </c>
      <c r="C502" t="s">
        <v>23</v>
      </c>
      <c r="D502" t="s">
        <v>47</v>
      </c>
      <c r="E502">
        <v>19</v>
      </c>
      <c r="F502" t="s">
        <v>8</v>
      </c>
      <c r="G502" t="e">
        <f t="shared" si="15"/>
        <v>#N/A</v>
      </c>
    </row>
    <row r="503" spans="1:7" x14ac:dyDescent="0.25">
      <c r="A503" t="str">
        <f t="shared" si="14"/>
        <v>Lille - Sunzu</v>
      </c>
      <c r="B503" t="s">
        <v>419</v>
      </c>
      <c r="C503" t="s">
        <v>999</v>
      </c>
      <c r="D503" t="s">
        <v>34</v>
      </c>
      <c r="E503">
        <v>7</v>
      </c>
      <c r="F503" t="s">
        <v>8</v>
      </c>
      <c r="G503" t="e">
        <f t="shared" si="15"/>
        <v>#N/A</v>
      </c>
    </row>
    <row r="504" spans="1:7" x14ac:dyDescent="0.25">
      <c r="A504" t="str">
        <f t="shared" si="14"/>
        <v>Rennes - Mexer</v>
      </c>
      <c r="B504" t="s">
        <v>485</v>
      </c>
      <c r="C504" t="s">
        <v>583</v>
      </c>
      <c r="D504" t="s">
        <v>42</v>
      </c>
      <c r="E504">
        <v>10</v>
      </c>
      <c r="F504" t="s">
        <v>8</v>
      </c>
      <c r="G504" t="e">
        <f t="shared" si="15"/>
        <v>#N/A</v>
      </c>
    </row>
    <row r="505" spans="1:7" x14ac:dyDescent="0.25">
      <c r="A505" t="str">
        <f t="shared" si="14"/>
        <v>Montpellier - Berigaud</v>
      </c>
      <c r="B505" t="s">
        <v>461</v>
      </c>
      <c r="C505" t="s">
        <v>899</v>
      </c>
      <c r="D505" t="s">
        <v>21</v>
      </c>
      <c r="E505">
        <v>10</v>
      </c>
      <c r="F505" t="s">
        <v>5</v>
      </c>
      <c r="G505" t="e">
        <f t="shared" si="15"/>
        <v>#N/A</v>
      </c>
    </row>
    <row r="506" spans="1:7" x14ac:dyDescent="0.25">
      <c r="A506" t="str">
        <f t="shared" si="14"/>
        <v>Nancy - Cuffaut</v>
      </c>
      <c r="B506" t="s">
        <v>1000</v>
      </c>
      <c r="C506" t="s">
        <v>1001</v>
      </c>
      <c r="D506" t="s">
        <v>688</v>
      </c>
      <c r="E506">
        <v>8</v>
      </c>
      <c r="F506" t="s">
        <v>8</v>
      </c>
      <c r="G506" t="e">
        <f t="shared" si="15"/>
        <v>#N/A</v>
      </c>
    </row>
    <row r="507" spans="1:7" x14ac:dyDescent="0.25">
      <c r="A507" t="str">
        <f t="shared" si="14"/>
        <v>Metz - Rivierez</v>
      </c>
      <c r="B507" t="s">
        <v>1002</v>
      </c>
      <c r="C507" t="s">
        <v>260</v>
      </c>
      <c r="D507" t="s">
        <v>606</v>
      </c>
      <c r="E507">
        <v>8</v>
      </c>
      <c r="F507" t="s">
        <v>8</v>
      </c>
      <c r="G507" t="e">
        <f t="shared" si="15"/>
        <v>#N/A</v>
      </c>
    </row>
    <row r="508" spans="1:7" x14ac:dyDescent="0.25">
      <c r="A508" t="str">
        <f t="shared" si="14"/>
        <v>Bastia - Diallo</v>
      </c>
      <c r="B508" t="s">
        <v>480</v>
      </c>
      <c r="C508" t="s">
        <v>1003</v>
      </c>
      <c r="D508" t="s">
        <v>81</v>
      </c>
      <c r="E508">
        <v>8</v>
      </c>
      <c r="F508" t="s">
        <v>6</v>
      </c>
      <c r="G508" t="e">
        <f t="shared" si="15"/>
        <v>#N/A</v>
      </c>
    </row>
    <row r="509" spans="1:7" x14ac:dyDescent="0.25">
      <c r="A509" t="str">
        <f t="shared" si="14"/>
        <v>Angers - Dore</v>
      </c>
      <c r="B509" t="s">
        <v>1004</v>
      </c>
      <c r="C509" t="s">
        <v>1005</v>
      </c>
      <c r="D509" t="s">
        <v>174</v>
      </c>
      <c r="E509">
        <v>4</v>
      </c>
      <c r="F509" t="s">
        <v>5</v>
      </c>
      <c r="G509" t="e">
        <f t="shared" si="15"/>
        <v>#N/A</v>
      </c>
    </row>
    <row r="510" spans="1:7" x14ac:dyDescent="0.25">
      <c r="A510" t="str">
        <f t="shared" si="14"/>
        <v>Lorient - Majeed Waris</v>
      </c>
      <c r="B510" t="s">
        <v>231</v>
      </c>
      <c r="C510" t="s">
        <v>583</v>
      </c>
      <c r="D510" t="s">
        <v>38</v>
      </c>
      <c r="E510">
        <v>19</v>
      </c>
      <c r="F510" t="s">
        <v>5</v>
      </c>
      <c r="G510" t="e">
        <f t="shared" si="15"/>
        <v>#N/A</v>
      </c>
    </row>
    <row r="511" spans="1:7" x14ac:dyDescent="0.25">
      <c r="A511" t="str">
        <f t="shared" si="14"/>
        <v>Bordeaux - Pallois</v>
      </c>
      <c r="B511" t="s">
        <v>427</v>
      </c>
      <c r="C511" t="s">
        <v>66</v>
      </c>
      <c r="D511" t="s">
        <v>31</v>
      </c>
      <c r="E511">
        <v>11</v>
      </c>
      <c r="F511" t="s">
        <v>8</v>
      </c>
      <c r="G511" t="e">
        <f t="shared" si="15"/>
        <v>#N/A</v>
      </c>
    </row>
    <row r="512" spans="1:7" x14ac:dyDescent="0.25">
      <c r="A512" t="str">
        <f t="shared" si="14"/>
        <v>Lorient - Rose</v>
      </c>
      <c r="B512" t="s">
        <v>377</v>
      </c>
      <c r="C512" t="s">
        <v>1006</v>
      </c>
      <c r="D512" t="s">
        <v>38</v>
      </c>
      <c r="E512">
        <v>9</v>
      </c>
      <c r="F512" t="s">
        <v>8</v>
      </c>
      <c r="G512" t="e">
        <f t="shared" si="15"/>
        <v>#N/A</v>
      </c>
    </row>
    <row r="513" spans="1:8" x14ac:dyDescent="0.25">
      <c r="A513" t="str">
        <f t="shared" si="14"/>
        <v>Nice - Le Bihan</v>
      </c>
      <c r="B513" t="s">
        <v>403</v>
      </c>
      <c r="C513" t="s">
        <v>1007</v>
      </c>
      <c r="D513" t="s">
        <v>40</v>
      </c>
      <c r="E513">
        <v>4</v>
      </c>
      <c r="F513" t="s">
        <v>5</v>
      </c>
      <c r="G513" t="e">
        <f t="shared" si="15"/>
        <v>#N/A</v>
      </c>
    </row>
    <row r="514" spans="1:8" x14ac:dyDescent="0.25">
      <c r="A514" t="str">
        <f t="shared" ref="A514:A564" si="16">D514 &amp; " - " &amp; B514</f>
        <v>Rennes - Nardi</v>
      </c>
      <c r="B514" t="s">
        <v>510</v>
      </c>
      <c r="C514" t="s">
        <v>137</v>
      </c>
      <c r="D514" t="s">
        <v>42</v>
      </c>
      <c r="E514">
        <v>5</v>
      </c>
      <c r="F514" t="s">
        <v>7</v>
      </c>
      <c r="G514" t="e">
        <f t="shared" ref="G514:G564" si="17">IF(VLOOKUP(VLOOKUP($A514,_JOUEURS,2,FALSE),_DATA,8,FALSE)=0,"",VLOOKUP(VLOOKUP($A514,_JOUEURS,2,FALSE),_DATA,8,FALSE))</f>
        <v>#N/A</v>
      </c>
    </row>
    <row r="515" spans="1:8" x14ac:dyDescent="0.25">
      <c r="A515" t="str">
        <f t="shared" si="16"/>
        <v>Saint Etienne - Malcuit</v>
      </c>
      <c r="B515" t="s">
        <v>329</v>
      </c>
      <c r="C515" t="s">
        <v>99</v>
      </c>
      <c r="D515" t="s">
        <v>585</v>
      </c>
      <c r="E515">
        <v>9</v>
      </c>
      <c r="F515" t="s">
        <v>8</v>
      </c>
      <c r="G515" t="e">
        <f t="shared" si="17"/>
        <v>#N/A</v>
      </c>
    </row>
    <row r="516" spans="1:8" x14ac:dyDescent="0.25">
      <c r="A516" t="str">
        <f t="shared" si="16"/>
        <v>Rennes - Gertmonas</v>
      </c>
      <c r="B516" t="s">
        <v>706</v>
      </c>
      <c r="C516" t="s">
        <v>707</v>
      </c>
      <c r="D516" t="s">
        <v>42</v>
      </c>
      <c r="E516">
        <v>1</v>
      </c>
      <c r="F516" t="s">
        <v>7</v>
      </c>
      <c r="G516" t="e">
        <f t="shared" si="17"/>
        <v>#N/A</v>
      </c>
    </row>
    <row r="517" spans="1:8" x14ac:dyDescent="0.25">
      <c r="A517" t="str">
        <f t="shared" si="16"/>
        <v>Saint Etienne - Dabo</v>
      </c>
      <c r="B517" t="s">
        <v>452</v>
      </c>
      <c r="C517" t="s">
        <v>626</v>
      </c>
      <c r="D517" t="s">
        <v>585</v>
      </c>
      <c r="E517">
        <v>9</v>
      </c>
      <c r="F517" t="s">
        <v>6</v>
      </c>
      <c r="G517" t="e">
        <f t="shared" si="17"/>
        <v>#N/A</v>
      </c>
    </row>
    <row r="518" spans="1:8" x14ac:dyDescent="0.25">
      <c r="A518" t="str">
        <f t="shared" si="16"/>
        <v>Saint Etienne - Lacroix</v>
      </c>
      <c r="B518" t="s">
        <v>1009</v>
      </c>
      <c r="C518" t="s">
        <v>1010</v>
      </c>
      <c r="D518" t="s">
        <v>585</v>
      </c>
      <c r="E518">
        <v>3</v>
      </c>
      <c r="F518" t="s">
        <v>8</v>
      </c>
      <c r="G518" t="e">
        <f t="shared" si="17"/>
        <v>#N/A</v>
      </c>
    </row>
    <row r="519" spans="1:8" x14ac:dyDescent="0.25">
      <c r="A519" t="str">
        <f t="shared" si="16"/>
        <v>Caen - Ben Youssef</v>
      </c>
      <c r="B519" t="s">
        <v>339</v>
      </c>
      <c r="C519" t="s">
        <v>340</v>
      </c>
      <c r="D519" t="s">
        <v>37</v>
      </c>
      <c r="E519">
        <v>3</v>
      </c>
      <c r="F519" t="s">
        <v>8</v>
      </c>
      <c r="G519" t="e">
        <f t="shared" si="17"/>
        <v>#N/A</v>
      </c>
    </row>
    <row r="520" spans="1:8" x14ac:dyDescent="0.25">
      <c r="A520" t="str">
        <f t="shared" si="16"/>
        <v>Lille - Bautheac</v>
      </c>
      <c r="B520" t="s">
        <v>1011</v>
      </c>
      <c r="C520" t="s">
        <v>1012</v>
      </c>
      <c r="D520" t="s">
        <v>34</v>
      </c>
      <c r="E520">
        <v>11</v>
      </c>
      <c r="F520" t="s">
        <v>6</v>
      </c>
      <c r="G520" t="e">
        <f t="shared" si="17"/>
        <v>#N/A</v>
      </c>
    </row>
    <row r="521" spans="1:8" x14ac:dyDescent="0.25">
      <c r="A521" t="str">
        <f t="shared" si="16"/>
        <v>Rennes - Costil</v>
      </c>
      <c r="B521" t="s">
        <v>484</v>
      </c>
      <c r="C521" t="s">
        <v>896</v>
      </c>
      <c r="D521" t="s">
        <v>42</v>
      </c>
      <c r="E521">
        <v>15</v>
      </c>
      <c r="F521" t="s">
        <v>7</v>
      </c>
      <c r="G521" t="e">
        <f t="shared" si="17"/>
        <v>#N/A</v>
      </c>
    </row>
    <row r="522" spans="1:8" x14ac:dyDescent="0.25">
      <c r="A522" t="str">
        <f t="shared" si="16"/>
        <v>Rennes - Lenjani</v>
      </c>
      <c r="B522" t="s">
        <v>488</v>
      </c>
      <c r="C522" t="s">
        <v>1015</v>
      </c>
      <c r="D522" t="s">
        <v>42</v>
      </c>
      <c r="E522">
        <v>7</v>
      </c>
      <c r="F522" t="s">
        <v>8</v>
      </c>
      <c r="G522" t="e">
        <f t="shared" si="17"/>
        <v>#N/A</v>
      </c>
    </row>
    <row r="523" spans="1:8" x14ac:dyDescent="0.25">
      <c r="A523" t="str">
        <f t="shared" si="16"/>
        <v>Bastia - Cabral</v>
      </c>
      <c r="B523" t="s">
        <v>1016</v>
      </c>
      <c r="C523" t="s">
        <v>1017</v>
      </c>
      <c r="D523" t="s">
        <v>81</v>
      </c>
      <c r="E523">
        <v>5</v>
      </c>
      <c r="F523" t="s">
        <v>6</v>
      </c>
      <c r="G523" t="e">
        <f t="shared" si="17"/>
        <v>#N/A</v>
      </c>
      <c r="H523" t="s">
        <v>1040</v>
      </c>
    </row>
    <row r="524" spans="1:8" x14ac:dyDescent="0.25">
      <c r="A524" t="str">
        <f t="shared" si="16"/>
        <v>Lorient - Lautoa</v>
      </c>
      <c r="B524" t="s">
        <v>144</v>
      </c>
      <c r="C524" t="s">
        <v>145</v>
      </c>
      <c r="D524" t="s">
        <v>38</v>
      </c>
      <c r="E524">
        <v>7</v>
      </c>
      <c r="F524" t="s">
        <v>6</v>
      </c>
      <c r="G524" t="e">
        <f t="shared" si="17"/>
        <v>#N/A</v>
      </c>
    </row>
    <row r="525" spans="1:8" x14ac:dyDescent="0.25">
      <c r="A525" t="str">
        <f t="shared" si="16"/>
        <v>Angers - Letellier</v>
      </c>
      <c r="B525" t="s">
        <v>538</v>
      </c>
      <c r="C525" t="s">
        <v>27</v>
      </c>
      <c r="D525" t="s">
        <v>174</v>
      </c>
      <c r="E525">
        <v>1</v>
      </c>
      <c r="F525" t="s">
        <v>8</v>
      </c>
      <c r="G525" t="e">
        <f t="shared" si="17"/>
        <v>#N/A</v>
      </c>
    </row>
    <row r="526" spans="1:8" x14ac:dyDescent="0.25">
      <c r="A526" t="str">
        <f t="shared" si="16"/>
        <v>Saint Etienne - Maisonnial</v>
      </c>
      <c r="B526" t="s">
        <v>804</v>
      </c>
      <c r="C526" t="s">
        <v>70</v>
      </c>
      <c r="D526" t="s">
        <v>585</v>
      </c>
      <c r="E526">
        <v>1</v>
      </c>
      <c r="F526" t="s">
        <v>7</v>
      </c>
      <c r="G526" t="e">
        <f t="shared" si="17"/>
        <v>#N/A</v>
      </c>
    </row>
    <row r="527" spans="1:8" x14ac:dyDescent="0.25">
      <c r="A527" t="str">
        <f t="shared" si="16"/>
        <v>Marseille - Alessandrini</v>
      </c>
      <c r="B527" t="s">
        <v>113</v>
      </c>
      <c r="C527" t="s">
        <v>85</v>
      </c>
      <c r="D527" t="s">
        <v>25</v>
      </c>
      <c r="E527">
        <v>14</v>
      </c>
      <c r="F527" t="s">
        <v>6</v>
      </c>
      <c r="G527" t="e">
        <f t="shared" si="17"/>
        <v>#N/A</v>
      </c>
    </row>
    <row r="528" spans="1:8" x14ac:dyDescent="0.25">
      <c r="A528" t="str">
        <f t="shared" si="16"/>
        <v>Dijon - Amalfitano</v>
      </c>
      <c r="B528" t="s">
        <v>555</v>
      </c>
      <c r="C528" t="s">
        <v>85</v>
      </c>
      <c r="D528" t="s">
        <v>581</v>
      </c>
      <c r="E528">
        <v>12</v>
      </c>
      <c r="F528" t="s">
        <v>6</v>
      </c>
      <c r="G528" t="e">
        <f t="shared" si="17"/>
        <v>#N/A</v>
      </c>
    </row>
    <row r="529" spans="1:7" x14ac:dyDescent="0.25">
      <c r="A529" t="str">
        <f t="shared" si="16"/>
        <v>Caen - Delaplace</v>
      </c>
      <c r="B529" t="s">
        <v>530</v>
      </c>
      <c r="C529" t="s">
        <v>260</v>
      </c>
      <c r="D529" t="s">
        <v>37</v>
      </c>
      <c r="E529">
        <v>7</v>
      </c>
      <c r="F529" t="s">
        <v>6</v>
      </c>
      <c r="G529" t="e">
        <f t="shared" si="17"/>
        <v>#N/A</v>
      </c>
    </row>
    <row r="530" spans="1:7" x14ac:dyDescent="0.25">
      <c r="A530" t="str">
        <f t="shared" si="16"/>
        <v>Saint Etienne - Corgnet</v>
      </c>
      <c r="B530" t="s">
        <v>410</v>
      </c>
      <c r="C530" t="s">
        <v>39</v>
      </c>
      <c r="D530" t="s">
        <v>585</v>
      </c>
      <c r="E530">
        <v>11</v>
      </c>
      <c r="F530" t="s">
        <v>6</v>
      </c>
      <c r="G530" t="e">
        <f t="shared" si="17"/>
        <v>#N/A</v>
      </c>
    </row>
    <row r="531" spans="1:7" x14ac:dyDescent="0.25">
      <c r="A531" t="str">
        <f t="shared" si="16"/>
        <v>Saint Etienne - Moulin</v>
      </c>
      <c r="B531" t="s">
        <v>292</v>
      </c>
      <c r="C531" t="s">
        <v>293</v>
      </c>
      <c r="D531" t="s">
        <v>585</v>
      </c>
      <c r="E531">
        <v>6</v>
      </c>
      <c r="F531" t="s">
        <v>7</v>
      </c>
      <c r="G531" t="e">
        <f t="shared" si="17"/>
        <v>#N/A</v>
      </c>
    </row>
    <row r="532" spans="1:7" x14ac:dyDescent="0.25">
      <c r="A532" t="str">
        <f t="shared" si="16"/>
        <v>Saint Etienne - Ruffier</v>
      </c>
      <c r="B532" t="s">
        <v>111</v>
      </c>
      <c r="C532" t="s">
        <v>112</v>
      </c>
      <c r="D532" t="s">
        <v>585</v>
      </c>
      <c r="E532">
        <v>18</v>
      </c>
      <c r="F532" t="s">
        <v>7</v>
      </c>
      <c r="G532" t="e">
        <f t="shared" si="17"/>
        <v>#N/A</v>
      </c>
    </row>
    <row r="533" spans="1:7" x14ac:dyDescent="0.25">
      <c r="A533" t="str">
        <f t="shared" si="16"/>
        <v>Nancy - Alou Diarra</v>
      </c>
      <c r="B533" t="s">
        <v>1018</v>
      </c>
      <c r="C533" t="s">
        <v>583</v>
      </c>
      <c r="D533" t="s">
        <v>688</v>
      </c>
      <c r="E533">
        <v>10</v>
      </c>
      <c r="F533" t="s">
        <v>6</v>
      </c>
      <c r="G533" t="e">
        <f t="shared" si="17"/>
        <v>#N/A</v>
      </c>
    </row>
    <row r="534" spans="1:7" x14ac:dyDescent="0.25">
      <c r="A534" t="str">
        <f t="shared" si="16"/>
        <v>Dijon - Balmont</v>
      </c>
      <c r="B534" t="s">
        <v>420</v>
      </c>
      <c r="C534" t="s">
        <v>632</v>
      </c>
      <c r="D534" t="s">
        <v>581</v>
      </c>
      <c r="E534">
        <v>10</v>
      </c>
      <c r="F534" t="s">
        <v>6</v>
      </c>
      <c r="G534" t="e">
        <f t="shared" si="17"/>
        <v>#N/A</v>
      </c>
    </row>
    <row r="535" spans="1:7" x14ac:dyDescent="0.25">
      <c r="A535" t="str">
        <f t="shared" si="16"/>
        <v>Guingamp - Benezet</v>
      </c>
      <c r="B535" t="s">
        <v>139</v>
      </c>
      <c r="C535" t="s">
        <v>66</v>
      </c>
      <c r="D535" t="s">
        <v>50</v>
      </c>
      <c r="E535">
        <v>7</v>
      </c>
      <c r="F535" t="s">
        <v>6</v>
      </c>
      <c r="G535" t="e">
        <f t="shared" si="17"/>
        <v>#N/A</v>
      </c>
    </row>
    <row r="536" spans="1:7" x14ac:dyDescent="0.25">
      <c r="A536" t="str">
        <f t="shared" si="16"/>
        <v>Paris - Kurzawa</v>
      </c>
      <c r="B536" t="s">
        <v>100</v>
      </c>
      <c r="C536" t="s">
        <v>101</v>
      </c>
      <c r="D536" t="s">
        <v>47</v>
      </c>
      <c r="E536">
        <v>14</v>
      </c>
      <c r="F536" t="s">
        <v>8</v>
      </c>
      <c r="G536" t="e">
        <f t="shared" si="17"/>
        <v>#N/A</v>
      </c>
    </row>
    <row r="537" spans="1:7" x14ac:dyDescent="0.25">
      <c r="A537" t="str">
        <f t="shared" si="16"/>
        <v>Caen - Louis</v>
      </c>
      <c r="B537" t="s">
        <v>278</v>
      </c>
      <c r="C537" t="s">
        <v>1019</v>
      </c>
      <c r="D537" t="s">
        <v>37</v>
      </c>
      <c r="E537">
        <v>3</v>
      </c>
      <c r="F537" t="s">
        <v>6</v>
      </c>
      <c r="G537" t="e">
        <f t="shared" si="17"/>
        <v>#N/A</v>
      </c>
    </row>
    <row r="538" spans="1:7" x14ac:dyDescent="0.25">
      <c r="A538" t="str">
        <f t="shared" si="16"/>
        <v>Montpellier - Deplagne</v>
      </c>
      <c r="B538" t="s">
        <v>450</v>
      </c>
      <c r="C538" t="s">
        <v>43</v>
      </c>
      <c r="D538" t="s">
        <v>21</v>
      </c>
      <c r="E538">
        <v>8</v>
      </c>
      <c r="F538" t="s">
        <v>8</v>
      </c>
      <c r="G538" t="e">
        <f t="shared" si="17"/>
        <v>#N/A</v>
      </c>
    </row>
    <row r="539" spans="1:7" x14ac:dyDescent="0.25">
      <c r="A539" t="str">
        <f t="shared" si="16"/>
        <v>Rennes - Paul-Georges Ntep</v>
      </c>
      <c r="B539" t="s">
        <v>156</v>
      </c>
      <c r="C539" t="s">
        <v>583</v>
      </c>
      <c r="D539" t="s">
        <v>42</v>
      </c>
      <c r="E539">
        <v>15</v>
      </c>
      <c r="F539" t="s">
        <v>5</v>
      </c>
      <c r="G539" t="e">
        <f t="shared" si="17"/>
        <v>#N/A</v>
      </c>
    </row>
    <row r="540" spans="1:7" x14ac:dyDescent="0.25">
      <c r="A540" t="str">
        <f t="shared" si="16"/>
        <v>Montpellier - Sylla</v>
      </c>
      <c r="B540" t="s">
        <v>266</v>
      </c>
      <c r="C540" t="s">
        <v>1020</v>
      </c>
      <c r="D540" t="s">
        <v>21</v>
      </c>
      <c r="E540">
        <v>10</v>
      </c>
      <c r="F540" t="s">
        <v>6</v>
      </c>
      <c r="G540" t="e">
        <f t="shared" si="17"/>
        <v>#N/A</v>
      </c>
    </row>
    <row r="541" spans="1:7" x14ac:dyDescent="0.25">
      <c r="A541" t="str">
        <f t="shared" si="16"/>
        <v>Nice - Eysseric</v>
      </c>
      <c r="B541" t="s">
        <v>154</v>
      </c>
      <c r="C541" t="s">
        <v>134</v>
      </c>
      <c r="D541" t="s">
        <v>40</v>
      </c>
      <c r="E541">
        <v>13</v>
      </c>
      <c r="F541" t="s">
        <v>6</v>
      </c>
      <c r="G541" t="e">
        <f t="shared" si="17"/>
        <v>#N/A</v>
      </c>
    </row>
    <row r="542" spans="1:7" x14ac:dyDescent="0.25">
      <c r="A542" t="str">
        <f t="shared" si="16"/>
        <v>Paris - Jesé</v>
      </c>
      <c r="B542" t="s">
        <v>1021</v>
      </c>
      <c r="C542" t="s">
        <v>583</v>
      </c>
      <c r="D542" t="s">
        <v>47</v>
      </c>
      <c r="E542">
        <v>13</v>
      </c>
      <c r="F542" t="s">
        <v>6</v>
      </c>
      <c r="G542" t="e">
        <f t="shared" si="17"/>
        <v>#N/A</v>
      </c>
    </row>
    <row r="543" spans="1:7" x14ac:dyDescent="0.25">
      <c r="A543" t="str">
        <f t="shared" si="16"/>
        <v>Montpellier - Roussillon</v>
      </c>
      <c r="B543" t="s">
        <v>312</v>
      </c>
      <c r="C543" t="s">
        <v>313</v>
      </c>
      <c r="D543" t="s">
        <v>21</v>
      </c>
      <c r="E543">
        <v>8</v>
      </c>
      <c r="F543" t="s">
        <v>8</v>
      </c>
      <c r="G543" t="e">
        <f t="shared" si="17"/>
        <v>#N/A</v>
      </c>
    </row>
    <row r="544" spans="1:7" x14ac:dyDescent="0.25">
      <c r="A544" t="str">
        <f t="shared" si="16"/>
        <v>Nancy - Puyo</v>
      </c>
      <c r="B544" t="s">
        <v>1022</v>
      </c>
      <c r="C544" t="s">
        <v>762</v>
      </c>
      <c r="D544" t="s">
        <v>688</v>
      </c>
      <c r="E544">
        <v>8</v>
      </c>
      <c r="F544" t="s">
        <v>6</v>
      </c>
      <c r="G544" t="e">
        <f t="shared" si="17"/>
        <v>#N/A</v>
      </c>
    </row>
    <row r="545" spans="1:7" x14ac:dyDescent="0.25">
      <c r="A545" t="str">
        <f t="shared" si="16"/>
        <v>Paris - Meunier</v>
      </c>
      <c r="B545" t="s">
        <v>1023</v>
      </c>
      <c r="C545" t="s">
        <v>30</v>
      </c>
      <c r="D545" t="s">
        <v>47</v>
      </c>
      <c r="E545">
        <v>12</v>
      </c>
      <c r="F545" t="s">
        <v>8</v>
      </c>
      <c r="G545" t="e">
        <f t="shared" si="17"/>
        <v>#N/A</v>
      </c>
    </row>
    <row r="546" spans="1:7" x14ac:dyDescent="0.25">
      <c r="A546" t="str">
        <f t="shared" si="16"/>
        <v>Saint Etienne - Pajot</v>
      </c>
      <c r="B546" t="s">
        <v>413</v>
      </c>
      <c r="C546" t="s">
        <v>87</v>
      </c>
      <c r="D546" t="s">
        <v>585</v>
      </c>
      <c r="E546">
        <v>10</v>
      </c>
      <c r="F546" t="s">
        <v>7</v>
      </c>
      <c r="G546" t="e">
        <f t="shared" si="17"/>
        <v>#N/A</v>
      </c>
    </row>
    <row r="547" spans="1:7" x14ac:dyDescent="0.25">
      <c r="A547" t="str">
        <f t="shared" si="16"/>
        <v>Angers - Martinez</v>
      </c>
      <c r="B547" t="s">
        <v>264</v>
      </c>
      <c r="C547" t="s">
        <v>265</v>
      </c>
      <c r="D547" t="s">
        <v>174</v>
      </c>
      <c r="E547">
        <v>6</v>
      </c>
      <c r="F547" t="s">
        <v>8</v>
      </c>
      <c r="G547" t="e">
        <f t="shared" si="17"/>
        <v>#N/A</v>
      </c>
    </row>
    <row r="548" spans="1:7" x14ac:dyDescent="0.25">
      <c r="A548" t="str">
        <f t="shared" si="16"/>
        <v>Montpellier - Gissi</v>
      </c>
      <c r="B548" t="s">
        <v>451</v>
      </c>
      <c r="C548" t="s">
        <v>748</v>
      </c>
      <c r="D548" t="s">
        <v>21</v>
      </c>
      <c r="E548">
        <v>2</v>
      </c>
      <c r="F548" t="s">
        <v>8</v>
      </c>
      <c r="G548" t="e">
        <f t="shared" si="17"/>
        <v>#N/A</v>
      </c>
    </row>
    <row r="549" spans="1:7" x14ac:dyDescent="0.25">
      <c r="A549" t="str">
        <f t="shared" si="16"/>
        <v>Caen - Alhadhur</v>
      </c>
      <c r="B549" t="s">
        <v>528</v>
      </c>
      <c r="C549" t="s">
        <v>1025</v>
      </c>
      <c r="D549" t="s">
        <v>37</v>
      </c>
      <c r="E549">
        <v>3</v>
      </c>
      <c r="F549" t="s">
        <v>6</v>
      </c>
      <c r="G549" t="e">
        <f t="shared" si="17"/>
        <v>#N/A</v>
      </c>
    </row>
    <row r="550" spans="1:7" x14ac:dyDescent="0.25">
      <c r="A550" t="str">
        <f t="shared" si="16"/>
        <v>Marseille - Thauvin</v>
      </c>
      <c r="B550" t="s">
        <v>551</v>
      </c>
      <c r="C550" t="s">
        <v>589</v>
      </c>
      <c r="D550" t="s">
        <v>25</v>
      </c>
      <c r="E550">
        <v>17</v>
      </c>
      <c r="F550" t="s">
        <v>5</v>
      </c>
      <c r="G550" t="e">
        <f t="shared" si="17"/>
        <v>#N/A</v>
      </c>
    </row>
    <row r="551" spans="1:7" x14ac:dyDescent="0.25">
      <c r="A551" t="str">
        <f t="shared" si="16"/>
        <v>Bastia - Thievy</v>
      </c>
      <c r="B551" t="s">
        <v>1026</v>
      </c>
      <c r="C551" t="s">
        <v>583</v>
      </c>
      <c r="D551" t="s">
        <v>81</v>
      </c>
      <c r="E551">
        <v>5</v>
      </c>
      <c r="F551" t="s">
        <v>5</v>
      </c>
      <c r="G551" t="e">
        <f t="shared" si="17"/>
        <v>#N/A</v>
      </c>
    </row>
    <row r="552" spans="1:7" x14ac:dyDescent="0.25">
      <c r="A552" t="str">
        <f t="shared" si="16"/>
        <v>Paris - Lucas Moura</v>
      </c>
      <c r="B552" t="s">
        <v>232</v>
      </c>
      <c r="C552" t="s">
        <v>583</v>
      </c>
      <c r="D552" t="s">
        <v>47</v>
      </c>
      <c r="E552">
        <v>18</v>
      </c>
      <c r="F552" t="s">
        <v>8</v>
      </c>
      <c r="G552" t="e">
        <f t="shared" si="17"/>
        <v>#N/A</v>
      </c>
    </row>
    <row r="553" spans="1:7" x14ac:dyDescent="0.25">
      <c r="A553" t="str">
        <f t="shared" si="16"/>
        <v>Saint Etienne - Veretout</v>
      </c>
      <c r="B553" t="s">
        <v>1027</v>
      </c>
      <c r="C553" t="s">
        <v>78</v>
      </c>
      <c r="D553" t="s">
        <v>585</v>
      </c>
      <c r="E553">
        <v>12</v>
      </c>
      <c r="F553" t="s">
        <v>6</v>
      </c>
      <c r="G553" t="e">
        <f t="shared" si="17"/>
        <v>#N/A</v>
      </c>
    </row>
    <row r="554" spans="1:7" x14ac:dyDescent="0.25">
      <c r="A554" t="str">
        <f t="shared" si="16"/>
        <v>Monaco - Germain</v>
      </c>
      <c r="B554" t="s">
        <v>149</v>
      </c>
      <c r="C554" t="s">
        <v>150</v>
      </c>
      <c r="D554" t="s">
        <v>22</v>
      </c>
      <c r="E554">
        <v>21</v>
      </c>
      <c r="F554" t="s">
        <v>5</v>
      </c>
      <c r="G554" t="e">
        <f t="shared" si="17"/>
        <v>#N/A</v>
      </c>
    </row>
    <row r="555" spans="1:7" x14ac:dyDescent="0.25">
      <c r="A555" t="str">
        <f t="shared" si="16"/>
        <v>Toulouse - Goicoechea</v>
      </c>
      <c r="B555" t="s">
        <v>463</v>
      </c>
      <c r="C555" t="s">
        <v>663</v>
      </c>
      <c r="D555" t="s">
        <v>41</v>
      </c>
      <c r="E555">
        <v>6</v>
      </c>
      <c r="F555" t="s">
        <v>7</v>
      </c>
      <c r="G555" t="e">
        <f t="shared" si="17"/>
        <v>#N/A</v>
      </c>
    </row>
    <row r="556" spans="1:7" x14ac:dyDescent="0.25">
      <c r="A556" t="str">
        <f t="shared" si="16"/>
        <v>Nancy - Koura</v>
      </c>
      <c r="B556" t="s">
        <v>1028</v>
      </c>
      <c r="C556" t="s">
        <v>70</v>
      </c>
      <c r="D556" t="s">
        <v>688</v>
      </c>
      <c r="E556">
        <v>3</v>
      </c>
      <c r="F556" t="s">
        <v>5</v>
      </c>
      <c r="G556" t="e">
        <f t="shared" si="17"/>
        <v>#N/A</v>
      </c>
    </row>
    <row r="557" spans="1:7" x14ac:dyDescent="0.25">
      <c r="A557" t="str">
        <f t="shared" si="16"/>
        <v>Caen - Diomande</v>
      </c>
      <c r="B557" t="s">
        <v>1029</v>
      </c>
      <c r="C557" t="s">
        <v>1030</v>
      </c>
      <c r="D557" t="s">
        <v>37</v>
      </c>
      <c r="E557">
        <v>4</v>
      </c>
      <c r="F557" t="s">
        <v>6</v>
      </c>
      <c r="G557" t="e">
        <f t="shared" si="17"/>
        <v>#N/A</v>
      </c>
    </row>
    <row r="558" spans="1:7" x14ac:dyDescent="0.25">
      <c r="A558" t="str">
        <f t="shared" si="16"/>
        <v>Metz - Balliu</v>
      </c>
      <c r="B558" t="s">
        <v>1031</v>
      </c>
      <c r="C558" t="s">
        <v>1032</v>
      </c>
      <c r="D558" t="s">
        <v>606</v>
      </c>
      <c r="E558">
        <v>6</v>
      </c>
      <c r="F558" t="s">
        <v>8</v>
      </c>
      <c r="G558" t="e">
        <f t="shared" si="17"/>
        <v>#N/A</v>
      </c>
    </row>
    <row r="559" spans="1:7" x14ac:dyDescent="0.25">
      <c r="A559" t="str">
        <f t="shared" si="16"/>
        <v>Paris - Maxwell</v>
      </c>
      <c r="B559" t="s">
        <v>10</v>
      </c>
      <c r="C559" t="s">
        <v>583</v>
      </c>
      <c r="D559" t="s">
        <v>47</v>
      </c>
      <c r="E559">
        <v>15</v>
      </c>
      <c r="F559" t="s">
        <v>8</v>
      </c>
      <c r="G559" t="e">
        <f t="shared" si="17"/>
        <v>#N/A</v>
      </c>
    </row>
    <row r="560" spans="1:7" x14ac:dyDescent="0.25">
      <c r="A560" t="str">
        <f t="shared" si="16"/>
        <v>Lille - Sliti</v>
      </c>
      <c r="B560" t="s">
        <v>1033</v>
      </c>
      <c r="C560" t="s">
        <v>1034</v>
      </c>
      <c r="D560" t="s">
        <v>34</v>
      </c>
      <c r="E560">
        <v>10</v>
      </c>
      <c r="F560" t="s">
        <v>6</v>
      </c>
      <c r="G560" t="e">
        <f t="shared" si="17"/>
        <v>#N/A</v>
      </c>
    </row>
    <row r="561" spans="1:7" x14ac:dyDescent="0.25">
      <c r="A561" t="str">
        <f t="shared" si="16"/>
        <v>Monaco - Carrillo</v>
      </c>
      <c r="B561" t="s">
        <v>517</v>
      </c>
      <c r="C561" t="s">
        <v>667</v>
      </c>
      <c r="D561" t="s">
        <v>22</v>
      </c>
      <c r="E561">
        <v>10</v>
      </c>
      <c r="F561" t="s">
        <v>5</v>
      </c>
      <c r="G561" t="e">
        <f t="shared" si="17"/>
        <v>#N/A</v>
      </c>
    </row>
    <row r="562" spans="1:7" x14ac:dyDescent="0.25">
      <c r="A562" t="str">
        <f t="shared" si="16"/>
        <v>Nancy - Pedretti</v>
      </c>
      <c r="B562" t="s">
        <v>1035</v>
      </c>
      <c r="C562" t="s">
        <v>896</v>
      </c>
      <c r="D562" t="s">
        <v>688</v>
      </c>
      <c r="E562">
        <v>11</v>
      </c>
      <c r="F562" t="s">
        <v>6</v>
      </c>
      <c r="G562" t="e">
        <f t="shared" si="17"/>
        <v>#N/A</v>
      </c>
    </row>
    <row r="563" spans="1:7" x14ac:dyDescent="0.25">
      <c r="A563" t="str">
        <f t="shared" si="16"/>
        <v>Toulouse - Lafont</v>
      </c>
      <c r="B563" t="s">
        <v>462</v>
      </c>
      <c r="C563" t="s">
        <v>784</v>
      </c>
      <c r="D563" t="s">
        <v>41</v>
      </c>
      <c r="E563">
        <v>11</v>
      </c>
      <c r="F563" t="s">
        <v>7</v>
      </c>
      <c r="G563" t="e">
        <f t="shared" si="17"/>
        <v>#N/A</v>
      </c>
    </row>
    <row r="564" spans="1:7" x14ac:dyDescent="0.25">
      <c r="A564" t="str">
        <f t="shared" si="16"/>
        <v>Toulouse - Vidal</v>
      </c>
      <c r="B564" t="s">
        <v>991</v>
      </c>
      <c r="C564" t="s">
        <v>992</v>
      </c>
      <c r="D564" t="s">
        <v>41</v>
      </c>
      <c r="E564">
        <v>1</v>
      </c>
      <c r="F564" t="s">
        <v>7</v>
      </c>
      <c r="G564" t="e">
        <f t="shared" si="17"/>
        <v>#N/A</v>
      </c>
    </row>
  </sheetData>
  <autoFilter ref="A1:I564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52"/>
  <sheetViews>
    <sheetView workbookViewId="0">
      <selection activeCell="A3" sqref="A3:E152"/>
    </sheetView>
  </sheetViews>
  <sheetFormatPr baseColWidth="10" defaultRowHeight="15" x14ac:dyDescent="0.25"/>
  <sheetData>
    <row r="1" spans="1:5" x14ac:dyDescent="0.25">
      <c r="A1" s="234" t="s">
        <v>1525</v>
      </c>
      <c r="B1" s="235" t="s">
        <v>0</v>
      </c>
      <c r="C1" s="235" t="s">
        <v>1526</v>
      </c>
      <c r="D1" s="235" t="s">
        <v>4</v>
      </c>
      <c r="E1" s="236" t="s">
        <v>53</v>
      </c>
    </row>
    <row r="2" spans="1:5" x14ac:dyDescent="0.25">
      <c r="A2" s="280"/>
      <c r="B2" s="280"/>
      <c r="C2" s="280"/>
      <c r="D2" s="280"/>
      <c r="E2" s="280"/>
    </row>
    <row r="3" spans="1:5" ht="29.25" thickBot="1" x14ac:dyDescent="0.3">
      <c r="A3" s="237" t="s">
        <v>1275</v>
      </c>
      <c r="B3" s="238" t="s">
        <v>372</v>
      </c>
      <c r="C3" s="238" t="s">
        <v>1527</v>
      </c>
      <c r="D3" s="238" t="s">
        <v>1528</v>
      </c>
      <c r="E3" s="239">
        <v>161</v>
      </c>
    </row>
    <row r="4" spans="1:5" ht="29.25" thickBot="1" x14ac:dyDescent="0.3">
      <c r="A4" s="240" t="s">
        <v>1275</v>
      </c>
      <c r="B4" s="241" t="s">
        <v>372</v>
      </c>
      <c r="C4" s="241" t="s">
        <v>1529</v>
      </c>
      <c r="D4" s="241" t="s">
        <v>1530</v>
      </c>
      <c r="E4" s="242">
        <v>124</v>
      </c>
    </row>
    <row r="5" spans="1:5" ht="29.25" thickBot="1" x14ac:dyDescent="0.3">
      <c r="A5" s="243" t="s">
        <v>1275</v>
      </c>
      <c r="B5" s="244" t="s">
        <v>372</v>
      </c>
      <c r="C5" s="244" t="s">
        <v>1531</v>
      </c>
      <c r="D5" s="244" t="s">
        <v>1532</v>
      </c>
      <c r="E5" s="245">
        <v>102</v>
      </c>
    </row>
    <row r="6" spans="1:5" ht="31.5" thickTop="1" thickBot="1" x14ac:dyDescent="0.3">
      <c r="A6" s="237" t="s">
        <v>1518</v>
      </c>
      <c r="B6" s="238" t="s">
        <v>372</v>
      </c>
      <c r="C6" s="238" t="s">
        <v>1527</v>
      </c>
      <c r="D6" s="238" t="s">
        <v>1528</v>
      </c>
      <c r="E6" s="239">
        <v>161</v>
      </c>
    </row>
    <row r="7" spans="1:5" ht="30.75" thickBot="1" x14ac:dyDescent="0.3">
      <c r="A7" s="240" t="s">
        <v>1518</v>
      </c>
      <c r="B7" s="241" t="s">
        <v>372</v>
      </c>
      <c r="C7" s="241" t="s">
        <v>1529</v>
      </c>
      <c r="D7" s="241" t="s">
        <v>1530</v>
      </c>
      <c r="E7" s="242">
        <v>100</v>
      </c>
    </row>
    <row r="8" spans="1:5" ht="30.75" thickBot="1" x14ac:dyDescent="0.3">
      <c r="A8" s="240" t="s">
        <v>1518</v>
      </c>
      <c r="B8" s="241" t="s">
        <v>372</v>
      </c>
      <c r="C8" s="241" t="s">
        <v>1533</v>
      </c>
      <c r="D8" s="241" t="s">
        <v>1534</v>
      </c>
      <c r="E8" s="242">
        <v>73</v>
      </c>
    </row>
    <row r="9" spans="1:5" ht="30.75" thickBot="1" x14ac:dyDescent="0.3">
      <c r="A9" s="240" t="s">
        <v>1518</v>
      </c>
      <c r="B9" s="241" t="s">
        <v>372</v>
      </c>
      <c r="C9" s="241" t="s">
        <v>1535</v>
      </c>
      <c r="D9" s="241" t="s">
        <v>1536</v>
      </c>
      <c r="E9" s="242">
        <v>52</v>
      </c>
    </row>
    <row r="10" spans="1:5" ht="30.75" thickBot="1" x14ac:dyDescent="0.3">
      <c r="A10" s="240" t="s">
        <v>1518</v>
      </c>
      <c r="B10" s="241" t="s">
        <v>372</v>
      </c>
      <c r="C10" s="241" t="s">
        <v>1537</v>
      </c>
      <c r="D10" s="241" t="s">
        <v>1538</v>
      </c>
      <c r="E10" s="242">
        <v>51</v>
      </c>
    </row>
    <row r="11" spans="1:5" ht="30.75" thickBot="1" x14ac:dyDescent="0.3">
      <c r="A11" s="243" t="s">
        <v>1518</v>
      </c>
      <c r="B11" s="244" t="s">
        <v>372</v>
      </c>
      <c r="C11" s="244" t="s">
        <v>1539</v>
      </c>
      <c r="D11" s="244" t="s">
        <v>1540</v>
      </c>
      <c r="E11" s="245">
        <v>38</v>
      </c>
    </row>
    <row r="12" spans="1:5" ht="31.5" thickTop="1" thickBot="1" x14ac:dyDescent="0.3">
      <c r="A12" s="237" t="s">
        <v>65</v>
      </c>
      <c r="B12" s="238" t="s">
        <v>372</v>
      </c>
      <c r="C12" s="238" t="s">
        <v>1539</v>
      </c>
      <c r="D12" s="238" t="s">
        <v>1540</v>
      </c>
      <c r="E12" s="239">
        <v>120</v>
      </c>
    </row>
    <row r="13" spans="1:5" ht="30.75" thickBot="1" x14ac:dyDescent="0.3">
      <c r="A13" s="243" t="s">
        <v>65</v>
      </c>
      <c r="B13" s="244" t="s">
        <v>372</v>
      </c>
      <c r="C13" s="244" t="s">
        <v>1541</v>
      </c>
      <c r="D13" s="244" t="s">
        <v>1542</v>
      </c>
      <c r="E13" s="245">
        <v>54</v>
      </c>
    </row>
    <row r="14" spans="1:5" ht="30" thickTop="1" thickBot="1" x14ac:dyDescent="0.3">
      <c r="A14" s="237" t="s">
        <v>1165</v>
      </c>
      <c r="B14" s="238" t="s">
        <v>372</v>
      </c>
      <c r="C14" s="238" t="s">
        <v>1529</v>
      </c>
      <c r="D14" s="238" t="s">
        <v>1530</v>
      </c>
      <c r="E14" s="239">
        <v>103</v>
      </c>
    </row>
    <row r="15" spans="1:5" ht="29.25" thickBot="1" x14ac:dyDescent="0.3">
      <c r="A15" s="240" t="s">
        <v>1165</v>
      </c>
      <c r="B15" s="241" t="s">
        <v>372</v>
      </c>
      <c r="C15" s="241" t="s">
        <v>1533</v>
      </c>
      <c r="D15" s="241" t="s">
        <v>1534</v>
      </c>
      <c r="E15" s="242">
        <v>69</v>
      </c>
    </row>
    <row r="16" spans="1:5" ht="29.25" thickBot="1" x14ac:dyDescent="0.3">
      <c r="A16" s="240" t="s">
        <v>1165</v>
      </c>
      <c r="B16" s="241" t="s">
        <v>372</v>
      </c>
      <c r="C16" s="241" t="s">
        <v>1531</v>
      </c>
      <c r="D16" s="241" t="s">
        <v>1532</v>
      </c>
      <c r="E16" s="242">
        <v>56</v>
      </c>
    </row>
    <row r="17" spans="1:5" ht="29.25" thickBot="1" x14ac:dyDescent="0.3">
      <c r="A17" s="243" t="s">
        <v>1165</v>
      </c>
      <c r="B17" s="244" t="s">
        <v>372</v>
      </c>
      <c r="C17" s="244" t="s">
        <v>1535</v>
      </c>
      <c r="D17" s="244" t="s">
        <v>1536</v>
      </c>
      <c r="E17" s="245">
        <v>54</v>
      </c>
    </row>
    <row r="18" spans="1:5" ht="31.5" thickTop="1" thickBot="1" x14ac:dyDescent="0.3">
      <c r="A18" s="246" t="s">
        <v>1269</v>
      </c>
      <c r="B18" s="247" t="s">
        <v>369</v>
      </c>
      <c r="C18" s="247" t="s">
        <v>1541</v>
      </c>
      <c r="D18" s="247" t="s">
        <v>1542</v>
      </c>
      <c r="E18" s="248">
        <v>80</v>
      </c>
    </row>
    <row r="19" spans="1:5" ht="30" thickTop="1" thickBot="1" x14ac:dyDescent="0.3">
      <c r="A19" s="246" t="s">
        <v>1512</v>
      </c>
      <c r="B19" s="247" t="s">
        <v>369</v>
      </c>
      <c r="C19" s="247" t="s">
        <v>1535</v>
      </c>
      <c r="D19" s="247" t="s">
        <v>1536</v>
      </c>
      <c r="E19" s="248">
        <v>76</v>
      </c>
    </row>
    <row r="20" spans="1:5" ht="30" thickTop="1" thickBot="1" x14ac:dyDescent="0.3">
      <c r="A20" s="237" t="s">
        <v>1441</v>
      </c>
      <c r="B20" s="238" t="s">
        <v>369</v>
      </c>
      <c r="C20" s="238" t="s">
        <v>1535</v>
      </c>
      <c r="D20" s="238" t="s">
        <v>1536</v>
      </c>
      <c r="E20" s="239">
        <v>67</v>
      </c>
    </row>
    <row r="21" spans="1:5" ht="29.25" thickBot="1" x14ac:dyDescent="0.3">
      <c r="A21" s="240" t="s">
        <v>1441</v>
      </c>
      <c r="B21" s="241" t="s">
        <v>369</v>
      </c>
      <c r="C21" s="241" t="s">
        <v>1531</v>
      </c>
      <c r="D21" s="241" t="s">
        <v>1532</v>
      </c>
      <c r="E21" s="242">
        <v>39</v>
      </c>
    </row>
    <row r="22" spans="1:5" ht="29.25" thickBot="1" x14ac:dyDescent="0.3">
      <c r="A22" s="243" t="s">
        <v>1441</v>
      </c>
      <c r="B22" s="244" t="s">
        <v>369</v>
      </c>
      <c r="C22" s="244" t="s">
        <v>1541</v>
      </c>
      <c r="D22" s="244" t="s">
        <v>1542</v>
      </c>
      <c r="E22" s="245">
        <v>31</v>
      </c>
    </row>
    <row r="23" spans="1:5" ht="30" thickTop="1" thickBot="1" x14ac:dyDescent="0.3">
      <c r="A23" s="246" t="s">
        <v>1254</v>
      </c>
      <c r="B23" s="247" t="s">
        <v>372</v>
      </c>
      <c r="C23" s="247" t="s">
        <v>1541</v>
      </c>
      <c r="D23" s="247" t="s">
        <v>1542</v>
      </c>
      <c r="E23" s="248">
        <v>62</v>
      </c>
    </row>
    <row r="24" spans="1:5" ht="30" thickTop="1" thickBot="1" x14ac:dyDescent="0.3">
      <c r="A24" s="246" t="s">
        <v>1493</v>
      </c>
      <c r="B24" s="247" t="s">
        <v>372</v>
      </c>
      <c r="C24" s="247" t="s">
        <v>1531</v>
      </c>
      <c r="D24" s="247" t="s">
        <v>1532</v>
      </c>
      <c r="E24" s="248">
        <v>58</v>
      </c>
    </row>
    <row r="25" spans="1:5" ht="30" thickTop="1" thickBot="1" x14ac:dyDescent="0.3">
      <c r="A25" s="237" t="s">
        <v>1245</v>
      </c>
      <c r="B25" s="238" t="s">
        <v>369</v>
      </c>
      <c r="C25" s="238" t="s">
        <v>1541</v>
      </c>
      <c r="D25" s="238" t="s">
        <v>1542</v>
      </c>
      <c r="E25" s="239">
        <v>52</v>
      </c>
    </row>
    <row r="26" spans="1:5" ht="29.25" thickBot="1" x14ac:dyDescent="0.3">
      <c r="A26" s="243" t="s">
        <v>1245</v>
      </c>
      <c r="B26" s="244" t="s">
        <v>369</v>
      </c>
      <c r="C26" s="244" t="s">
        <v>1537</v>
      </c>
      <c r="D26" s="244" t="s">
        <v>1538</v>
      </c>
      <c r="E26" s="245">
        <v>51</v>
      </c>
    </row>
    <row r="27" spans="1:5" ht="30" thickTop="1" thickBot="1" x14ac:dyDescent="0.3">
      <c r="A27" s="237" t="s">
        <v>1509</v>
      </c>
      <c r="B27" s="238" t="s">
        <v>369</v>
      </c>
      <c r="C27" s="238" t="s">
        <v>1535</v>
      </c>
      <c r="D27" s="238" t="s">
        <v>1536</v>
      </c>
      <c r="E27" s="239">
        <v>49</v>
      </c>
    </row>
    <row r="28" spans="1:5" ht="29.25" thickBot="1" x14ac:dyDescent="0.3">
      <c r="A28" s="243" t="s">
        <v>1509</v>
      </c>
      <c r="B28" s="244" t="s">
        <v>369</v>
      </c>
      <c r="C28" s="244" t="s">
        <v>1529</v>
      </c>
      <c r="D28" s="244" t="s">
        <v>1530</v>
      </c>
      <c r="E28" s="245">
        <v>26</v>
      </c>
    </row>
    <row r="29" spans="1:5" ht="30" thickTop="1" thickBot="1" x14ac:dyDescent="0.3">
      <c r="A29" s="246" t="s">
        <v>1278</v>
      </c>
      <c r="B29" s="247" t="s">
        <v>372</v>
      </c>
      <c r="C29" s="247" t="s">
        <v>1537</v>
      </c>
      <c r="D29" s="247" t="s">
        <v>1538</v>
      </c>
      <c r="E29" s="248">
        <v>48</v>
      </c>
    </row>
    <row r="30" spans="1:5" ht="30" thickTop="1" thickBot="1" x14ac:dyDescent="0.3">
      <c r="A30" s="246" t="s">
        <v>1410</v>
      </c>
      <c r="B30" s="247" t="s">
        <v>369</v>
      </c>
      <c r="C30" s="247" t="s">
        <v>1539</v>
      </c>
      <c r="D30" s="247" t="s">
        <v>1540</v>
      </c>
      <c r="E30" s="248">
        <v>45</v>
      </c>
    </row>
    <row r="31" spans="1:5" ht="31.5" thickTop="1" thickBot="1" x14ac:dyDescent="0.3">
      <c r="A31" s="237" t="s">
        <v>1276</v>
      </c>
      <c r="B31" s="238" t="s">
        <v>372</v>
      </c>
      <c r="C31" s="238" t="s">
        <v>1537</v>
      </c>
      <c r="D31" s="238" t="s">
        <v>1538</v>
      </c>
      <c r="E31" s="239">
        <v>44</v>
      </c>
    </row>
    <row r="32" spans="1:5" ht="30.75" thickBot="1" x14ac:dyDescent="0.3">
      <c r="A32" s="240" t="s">
        <v>1276</v>
      </c>
      <c r="B32" s="241" t="s">
        <v>372</v>
      </c>
      <c r="C32" s="241" t="s">
        <v>1535</v>
      </c>
      <c r="D32" s="241" t="s">
        <v>1536</v>
      </c>
      <c r="E32" s="242">
        <v>21</v>
      </c>
    </row>
    <row r="33" spans="1:5" ht="30.75" thickBot="1" x14ac:dyDescent="0.3">
      <c r="A33" s="243" t="s">
        <v>1276</v>
      </c>
      <c r="B33" s="244" t="s">
        <v>372</v>
      </c>
      <c r="C33" s="244" t="s">
        <v>1533</v>
      </c>
      <c r="D33" s="244" t="s">
        <v>1534</v>
      </c>
      <c r="E33" s="245">
        <v>16</v>
      </c>
    </row>
    <row r="34" spans="1:5" ht="30" thickTop="1" thickBot="1" x14ac:dyDescent="0.3">
      <c r="A34" s="237" t="s">
        <v>1203</v>
      </c>
      <c r="B34" s="238" t="s">
        <v>369</v>
      </c>
      <c r="C34" s="238" t="s">
        <v>1537</v>
      </c>
      <c r="D34" s="238" t="s">
        <v>1538</v>
      </c>
      <c r="E34" s="239">
        <v>43</v>
      </c>
    </row>
    <row r="35" spans="1:5" ht="29.25" thickBot="1" x14ac:dyDescent="0.3">
      <c r="A35" s="243" t="s">
        <v>1203</v>
      </c>
      <c r="B35" s="244" t="s">
        <v>369</v>
      </c>
      <c r="C35" s="244" t="s">
        <v>1531</v>
      </c>
      <c r="D35" s="244" t="s">
        <v>1532</v>
      </c>
      <c r="E35" s="245">
        <v>30</v>
      </c>
    </row>
    <row r="36" spans="1:5" ht="30" thickTop="1" thickBot="1" x14ac:dyDescent="0.3">
      <c r="A36" s="237" t="s">
        <v>1382</v>
      </c>
      <c r="B36" s="238" t="s">
        <v>369</v>
      </c>
      <c r="C36" s="238" t="s">
        <v>1533</v>
      </c>
      <c r="D36" s="238" t="s">
        <v>1534</v>
      </c>
      <c r="E36" s="239">
        <v>33</v>
      </c>
    </row>
    <row r="37" spans="1:5" ht="29.25" thickBot="1" x14ac:dyDescent="0.3">
      <c r="A37" s="240" t="s">
        <v>1382</v>
      </c>
      <c r="B37" s="241" t="s">
        <v>369</v>
      </c>
      <c r="C37" s="241" t="s">
        <v>1537</v>
      </c>
      <c r="D37" s="241" t="s">
        <v>1538</v>
      </c>
      <c r="E37" s="242">
        <v>23</v>
      </c>
    </row>
    <row r="38" spans="1:5" ht="29.25" thickBot="1" x14ac:dyDescent="0.3">
      <c r="A38" s="243" t="s">
        <v>1382</v>
      </c>
      <c r="B38" s="244" t="s">
        <v>369</v>
      </c>
      <c r="C38" s="244" t="s">
        <v>1539</v>
      </c>
      <c r="D38" s="244" t="s">
        <v>1540</v>
      </c>
      <c r="E38" s="245">
        <v>17</v>
      </c>
    </row>
    <row r="39" spans="1:5" ht="31.5" thickTop="1" thickBot="1" x14ac:dyDescent="0.3">
      <c r="A39" s="246" t="s">
        <v>1543</v>
      </c>
      <c r="B39" s="247" t="s">
        <v>372</v>
      </c>
      <c r="C39" s="247" t="s">
        <v>1537</v>
      </c>
      <c r="D39" s="247" t="s">
        <v>1538</v>
      </c>
      <c r="E39" s="248">
        <v>31</v>
      </c>
    </row>
    <row r="40" spans="1:5" ht="30" thickTop="1" thickBot="1" x14ac:dyDescent="0.3">
      <c r="A40" s="246" t="s">
        <v>1492</v>
      </c>
      <c r="B40" s="247" t="s">
        <v>369</v>
      </c>
      <c r="C40" s="247" t="s">
        <v>1531</v>
      </c>
      <c r="D40" s="247" t="s">
        <v>1532</v>
      </c>
      <c r="E40" s="248">
        <v>31</v>
      </c>
    </row>
    <row r="41" spans="1:5" ht="30" thickTop="1" thickBot="1" x14ac:dyDescent="0.3">
      <c r="A41" s="237" t="s">
        <v>1176</v>
      </c>
      <c r="B41" s="238" t="s">
        <v>369</v>
      </c>
      <c r="C41" s="238" t="s">
        <v>1535</v>
      </c>
      <c r="D41" s="238" t="s">
        <v>1536</v>
      </c>
      <c r="E41" s="239">
        <v>28</v>
      </c>
    </row>
    <row r="42" spans="1:5" ht="29.25" thickBot="1" x14ac:dyDescent="0.3">
      <c r="A42" s="243" t="s">
        <v>1176</v>
      </c>
      <c r="B42" s="244" t="s">
        <v>369</v>
      </c>
      <c r="C42" s="244" t="s">
        <v>1531</v>
      </c>
      <c r="D42" s="244" t="s">
        <v>1532</v>
      </c>
      <c r="E42" s="245">
        <v>24</v>
      </c>
    </row>
    <row r="43" spans="1:5" ht="30" thickTop="1" thickBot="1" x14ac:dyDescent="0.3">
      <c r="A43" s="246" t="s">
        <v>1319</v>
      </c>
      <c r="B43" s="247" t="s">
        <v>372</v>
      </c>
      <c r="C43" s="247" t="s">
        <v>1539</v>
      </c>
      <c r="D43" s="247" t="s">
        <v>1540</v>
      </c>
      <c r="E43" s="248">
        <v>28</v>
      </c>
    </row>
    <row r="44" spans="1:5" ht="30" thickTop="1" thickBot="1" x14ac:dyDescent="0.3">
      <c r="A44" s="237" t="s">
        <v>1502</v>
      </c>
      <c r="B44" s="238" t="s">
        <v>363</v>
      </c>
      <c r="C44" s="238" t="s">
        <v>1531</v>
      </c>
      <c r="D44" s="238" t="s">
        <v>1532</v>
      </c>
      <c r="E44" s="239">
        <v>28</v>
      </c>
    </row>
    <row r="45" spans="1:5" ht="29.25" thickBot="1" x14ac:dyDescent="0.3">
      <c r="A45" s="243" t="s">
        <v>1502</v>
      </c>
      <c r="B45" s="244" t="s">
        <v>363</v>
      </c>
      <c r="C45" s="244" t="s">
        <v>1537</v>
      </c>
      <c r="D45" s="244" t="s">
        <v>1538</v>
      </c>
      <c r="E45" s="245">
        <v>22</v>
      </c>
    </row>
    <row r="46" spans="1:5" ht="30" thickTop="1" thickBot="1" x14ac:dyDescent="0.3">
      <c r="A46" s="246" t="s">
        <v>1116</v>
      </c>
      <c r="B46" s="247" t="s">
        <v>372</v>
      </c>
      <c r="C46" s="247" t="s">
        <v>1541</v>
      </c>
      <c r="D46" s="247" t="s">
        <v>1542</v>
      </c>
      <c r="E46" s="248">
        <v>25</v>
      </c>
    </row>
    <row r="47" spans="1:5" ht="30" thickTop="1" thickBot="1" x14ac:dyDescent="0.3">
      <c r="A47" s="237" t="s">
        <v>1192</v>
      </c>
      <c r="B47" s="238" t="s">
        <v>369</v>
      </c>
      <c r="C47" s="238" t="s">
        <v>1533</v>
      </c>
      <c r="D47" s="238" t="s">
        <v>1534</v>
      </c>
      <c r="E47" s="239">
        <v>25</v>
      </c>
    </row>
    <row r="48" spans="1:5" ht="29.25" thickBot="1" x14ac:dyDescent="0.3">
      <c r="A48" s="240" t="s">
        <v>1192</v>
      </c>
      <c r="B48" s="241" t="s">
        <v>369</v>
      </c>
      <c r="C48" s="241" t="s">
        <v>1537</v>
      </c>
      <c r="D48" s="241" t="s">
        <v>1538</v>
      </c>
      <c r="E48" s="242">
        <v>13</v>
      </c>
    </row>
    <row r="49" spans="1:5" ht="29.25" thickBot="1" x14ac:dyDescent="0.3">
      <c r="A49" s="240" t="s">
        <v>1192</v>
      </c>
      <c r="B49" s="241" t="s">
        <v>369</v>
      </c>
      <c r="C49" s="241" t="s">
        <v>1529</v>
      </c>
      <c r="D49" s="241" t="s">
        <v>1530</v>
      </c>
      <c r="E49" s="242">
        <v>10</v>
      </c>
    </row>
    <row r="50" spans="1:5" ht="29.25" thickBot="1" x14ac:dyDescent="0.3">
      <c r="A50" s="243" t="s">
        <v>1192</v>
      </c>
      <c r="B50" s="244" t="s">
        <v>369</v>
      </c>
      <c r="C50" s="244" t="s">
        <v>1527</v>
      </c>
      <c r="D50" s="244" t="s">
        <v>1528</v>
      </c>
      <c r="E50" s="245">
        <v>9</v>
      </c>
    </row>
    <row r="51" spans="1:5" ht="30" thickTop="1" thickBot="1" x14ac:dyDescent="0.3">
      <c r="A51" s="246" t="s">
        <v>1496</v>
      </c>
      <c r="B51" s="247" t="s">
        <v>372</v>
      </c>
      <c r="C51" s="247" t="s">
        <v>1535</v>
      </c>
      <c r="D51" s="247" t="s">
        <v>1536</v>
      </c>
      <c r="E51" s="248">
        <v>25</v>
      </c>
    </row>
    <row r="52" spans="1:5" ht="30" thickTop="1" thickBot="1" x14ac:dyDescent="0.3">
      <c r="A52" s="237" t="s">
        <v>1178</v>
      </c>
      <c r="B52" s="238" t="s">
        <v>369</v>
      </c>
      <c r="C52" s="238" t="s">
        <v>1531</v>
      </c>
      <c r="D52" s="238" t="s">
        <v>1532</v>
      </c>
      <c r="E52" s="239">
        <v>25</v>
      </c>
    </row>
    <row r="53" spans="1:5" ht="29.25" thickBot="1" x14ac:dyDescent="0.3">
      <c r="A53" s="243" t="s">
        <v>1178</v>
      </c>
      <c r="B53" s="244" t="s">
        <v>369</v>
      </c>
      <c r="C53" s="244" t="s">
        <v>1537</v>
      </c>
      <c r="D53" s="244" t="s">
        <v>1538</v>
      </c>
      <c r="E53" s="245">
        <v>23</v>
      </c>
    </row>
    <row r="54" spans="1:5" ht="30" thickTop="1" thickBot="1" x14ac:dyDescent="0.3">
      <c r="A54" s="246" t="s">
        <v>1155</v>
      </c>
      <c r="B54" s="247" t="s">
        <v>369</v>
      </c>
      <c r="C54" s="247" t="s">
        <v>1533</v>
      </c>
      <c r="D54" s="247" t="s">
        <v>1534</v>
      </c>
      <c r="E54" s="248">
        <v>24</v>
      </c>
    </row>
    <row r="55" spans="1:5" ht="30" thickTop="1" thickBot="1" x14ac:dyDescent="0.3">
      <c r="A55" s="237" t="s">
        <v>1156</v>
      </c>
      <c r="B55" s="238" t="s">
        <v>369</v>
      </c>
      <c r="C55" s="238" t="s">
        <v>1533</v>
      </c>
      <c r="D55" s="238" t="s">
        <v>1534</v>
      </c>
      <c r="E55" s="239">
        <v>24</v>
      </c>
    </row>
    <row r="56" spans="1:5" ht="29.25" thickBot="1" x14ac:dyDescent="0.3">
      <c r="A56" s="243" t="s">
        <v>1156</v>
      </c>
      <c r="B56" s="244" t="s">
        <v>369</v>
      </c>
      <c r="C56" s="244" t="s">
        <v>1539</v>
      </c>
      <c r="D56" s="244" t="s">
        <v>1540</v>
      </c>
      <c r="E56" s="245">
        <v>20</v>
      </c>
    </row>
    <row r="57" spans="1:5" ht="30" thickTop="1" thickBot="1" x14ac:dyDescent="0.3">
      <c r="A57" s="237" t="s">
        <v>1098</v>
      </c>
      <c r="B57" s="238" t="s">
        <v>363</v>
      </c>
      <c r="C57" s="238" t="s">
        <v>1533</v>
      </c>
      <c r="D57" s="238" t="s">
        <v>1534</v>
      </c>
      <c r="E57" s="239">
        <v>24</v>
      </c>
    </row>
    <row r="58" spans="1:5" ht="29.25" thickBot="1" x14ac:dyDescent="0.3">
      <c r="A58" s="243" t="s">
        <v>1098</v>
      </c>
      <c r="B58" s="244" t="s">
        <v>363</v>
      </c>
      <c r="C58" s="244" t="s">
        <v>1539</v>
      </c>
      <c r="D58" s="244" t="s">
        <v>1540</v>
      </c>
      <c r="E58" s="245">
        <v>18</v>
      </c>
    </row>
    <row r="59" spans="1:5" ht="30" thickTop="1" thickBot="1" x14ac:dyDescent="0.3">
      <c r="A59" s="246" t="s">
        <v>1417</v>
      </c>
      <c r="B59" s="247" t="s">
        <v>372</v>
      </c>
      <c r="C59" s="247" t="s">
        <v>1537</v>
      </c>
      <c r="D59" s="247" t="s">
        <v>1538</v>
      </c>
      <c r="E59" s="248">
        <v>24</v>
      </c>
    </row>
    <row r="60" spans="1:5" ht="30" thickTop="1" thickBot="1" x14ac:dyDescent="0.3">
      <c r="A60" s="237" t="s">
        <v>1501</v>
      </c>
      <c r="B60" s="238" t="s">
        <v>363</v>
      </c>
      <c r="C60" s="238" t="s">
        <v>1531</v>
      </c>
      <c r="D60" s="238" t="s">
        <v>1532</v>
      </c>
      <c r="E60" s="239">
        <v>24</v>
      </c>
    </row>
    <row r="61" spans="1:5" ht="29.25" thickBot="1" x14ac:dyDescent="0.3">
      <c r="A61" s="243" t="s">
        <v>1501</v>
      </c>
      <c r="B61" s="244" t="s">
        <v>363</v>
      </c>
      <c r="C61" s="244" t="s">
        <v>1539</v>
      </c>
      <c r="D61" s="244" t="s">
        <v>1540</v>
      </c>
      <c r="E61" s="245">
        <v>20</v>
      </c>
    </row>
    <row r="62" spans="1:5" ht="30" thickTop="1" thickBot="1" x14ac:dyDescent="0.3">
      <c r="A62" s="246" t="s">
        <v>1407</v>
      </c>
      <c r="B62" s="247" t="s">
        <v>369</v>
      </c>
      <c r="C62" s="247" t="s">
        <v>1541</v>
      </c>
      <c r="D62" s="247" t="s">
        <v>1542</v>
      </c>
      <c r="E62" s="248">
        <v>23</v>
      </c>
    </row>
    <row r="63" spans="1:5" ht="30" thickTop="1" thickBot="1" x14ac:dyDescent="0.3">
      <c r="A63" s="246" t="s">
        <v>1277</v>
      </c>
      <c r="B63" s="247" t="s">
        <v>372</v>
      </c>
      <c r="C63" s="247" t="s">
        <v>1541</v>
      </c>
      <c r="D63" s="247" t="s">
        <v>1542</v>
      </c>
      <c r="E63" s="248">
        <v>22</v>
      </c>
    </row>
    <row r="64" spans="1:5" ht="30" thickTop="1" thickBot="1" x14ac:dyDescent="0.3">
      <c r="A64" s="246" t="s">
        <v>1388</v>
      </c>
      <c r="B64" s="247" t="s">
        <v>372</v>
      </c>
      <c r="C64" s="247" t="s">
        <v>1533</v>
      </c>
      <c r="D64" s="247" t="s">
        <v>1534</v>
      </c>
      <c r="E64" s="248">
        <v>22</v>
      </c>
    </row>
    <row r="65" spans="1:5" ht="30" thickTop="1" thickBot="1" x14ac:dyDescent="0.3">
      <c r="A65" s="237" t="s">
        <v>1084</v>
      </c>
      <c r="B65" s="238" t="s">
        <v>369</v>
      </c>
      <c r="C65" s="238" t="s">
        <v>1533</v>
      </c>
      <c r="D65" s="238" t="s">
        <v>1534</v>
      </c>
      <c r="E65" s="239">
        <v>22</v>
      </c>
    </row>
    <row r="66" spans="1:5" ht="29.25" thickBot="1" x14ac:dyDescent="0.3">
      <c r="A66" s="243" t="s">
        <v>1084</v>
      </c>
      <c r="B66" s="244" t="s">
        <v>369</v>
      </c>
      <c r="C66" s="244" t="s">
        <v>1539</v>
      </c>
      <c r="D66" s="244" t="s">
        <v>1540</v>
      </c>
      <c r="E66" s="245">
        <v>16</v>
      </c>
    </row>
    <row r="67" spans="1:5" ht="30" thickTop="1" thickBot="1" x14ac:dyDescent="0.3">
      <c r="A67" s="246" t="s">
        <v>1177</v>
      </c>
      <c r="B67" s="247" t="s">
        <v>369</v>
      </c>
      <c r="C67" s="247" t="s">
        <v>1537</v>
      </c>
      <c r="D67" s="247" t="s">
        <v>1538</v>
      </c>
      <c r="E67" s="248">
        <v>22</v>
      </c>
    </row>
    <row r="68" spans="1:5" ht="31.5" thickTop="1" thickBot="1" x14ac:dyDescent="0.3">
      <c r="A68" s="246" t="s">
        <v>1231</v>
      </c>
      <c r="B68" s="247" t="s">
        <v>369</v>
      </c>
      <c r="C68" s="247" t="s">
        <v>1539</v>
      </c>
      <c r="D68" s="247" t="s">
        <v>1540</v>
      </c>
      <c r="E68" s="248">
        <v>22</v>
      </c>
    </row>
    <row r="69" spans="1:5" ht="30" thickTop="1" thickBot="1" x14ac:dyDescent="0.3">
      <c r="A69" s="237" t="s">
        <v>1152</v>
      </c>
      <c r="B69" s="238" t="s">
        <v>363</v>
      </c>
      <c r="C69" s="238" t="s">
        <v>1539</v>
      </c>
      <c r="D69" s="238" t="s">
        <v>1540</v>
      </c>
      <c r="E69" s="239">
        <v>22</v>
      </c>
    </row>
    <row r="70" spans="1:5" ht="29.25" thickBot="1" x14ac:dyDescent="0.3">
      <c r="A70" s="240" t="s">
        <v>1152</v>
      </c>
      <c r="B70" s="241" t="s">
        <v>363</v>
      </c>
      <c r="C70" s="241" t="s">
        <v>1537</v>
      </c>
      <c r="D70" s="241" t="s">
        <v>1538</v>
      </c>
      <c r="E70" s="242">
        <v>21</v>
      </c>
    </row>
    <row r="71" spans="1:5" ht="29.25" thickBot="1" x14ac:dyDescent="0.3">
      <c r="A71" s="240" t="s">
        <v>1152</v>
      </c>
      <c r="B71" s="241" t="s">
        <v>363</v>
      </c>
      <c r="C71" s="241" t="s">
        <v>1533</v>
      </c>
      <c r="D71" s="241" t="s">
        <v>1534</v>
      </c>
      <c r="E71" s="242">
        <v>18</v>
      </c>
    </row>
    <row r="72" spans="1:5" ht="29.25" thickBot="1" x14ac:dyDescent="0.3">
      <c r="A72" s="243" t="s">
        <v>1152</v>
      </c>
      <c r="B72" s="244" t="s">
        <v>363</v>
      </c>
      <c r="C72" s="244" t="s">
        <v>1535</v>
      </c>
      <c r="D72" s="244" t="s">
        <v>1536</v>
      </c>
      <c r="E72" s="245">
        <v>17</v>
      </c>
    </row>
    <row r="73" spans="1:5" ht="30" thickTop="1" thickBot="1" x14ac:dyDescent="0.3">
      <c r="A73" s="237" t="s">
        <v>1434</v>
      </c>
      <c r="B73" s="238" t="s">
        <v>369</v>
      </c>
      <c r="C73" s="238" t="s">
        <v>1533</v>
      </c>
      <c r="D73" s="238" t="s">
        <v>1534</v>
      </c>
      <c r="E73" s="239">
        <v>21</v>
      </c>
    </row>
    <row r="74" spans="1:5" ht="29.25" thickBot="1" x14ac:dyDescent="0.3">
      <c r="A74" s="243" t="s">
        <v>1434</v>
      </c>
      <c r="B74" s="244" t="s">
        <v>369</v>
      </c>
      <c r="C74" s="244" t="s">
        <v>1541</v>
      </c>
      <c r="D74" s="244" t="s">
        <v>1542</v>
      </c>
      <c r="E74" s="245">
        <v>17</v>
      </c>
    </row>
    <row r="75" spans="1:5" ht="30" thickTop="1" thickBot="1" x14ac:dyDescent="0.3">
      <c r="A75" s="237" t="s">
        <v>1170</v>
      </c>
      <c r="B75" s="238" t="s">
        <v>363</v>
      </c>
      <c r="C75" s="238" t="s">
        <v>1533</v>
      </c>
      <c r="D75" s="238" t="s">
        <v>1534</v>
      </c>
      <c r="E75" s="239">
        <v>21</v>
      </c>
    </row>
    <row r="76" spans="1:5" ht="29.25" thickBot="1" x14ac:dyDescent="0.3">
      <c r="A76" s="240" t="s">
        <v>1170</v>
      </c>
      <c r="B76" s="241" t="s">
        <v>363</v>
      </c>
      <c r="C76" s="241" t="s">
        <v>1539</v>
      </c>
      <c r="D76" s="241" t="s">
        <v>1540</v>
      </c>
      <c r="E76" s="242">
        <v>20</v>
      </c>
    </row>
    <row r="77" spans="1:5" ht="29.25" thickBot="1" x14ac:dyDescent="0.3">
      <c r="A77" s="243" t="s">
        <v>1170</v>
      </c>
      <c r="B77" s="244" t="s">
        <v>363</v>
      </c>
      <c r="C77" s="244" t="s">
        <v>1535</v>
      </c>
      <c r="D77" s="244" t="s">
        <v>1536</v>
      </c>
      <c r="E77" s="245">
        <v>16</v>
      </c>
    </row>
    <row r="78" spans="1:5" ht="31.5" thickTop="1" thickBot="1" x14ac:dyDescent="0.3">
      <c r="A78" s="246" t="s">
        <v>1145</v>
      </c>
      <c r="B78" s="247" t="s">
        <v>360</v>
      </c>
      <c r="C78" s="247" t="s">
        <v>1537</v>
      </c>
      <c r="D78" s="247" t="s">
        <v>1538</v>
      </c>
      <c r="E78" s="248">
        <v>21</v>
      </c>
    </row>
    <row r="79" spans="1:5" ht="31.5" thickTop="1" thickBot="1" x14ac:dyDescent="0.3">
      <c r="A79" s="246" t="s">
        <v>234</v>
      </c>
      <c r="B79" s="247" t="s">
        <v>360</v>
      </c>
      <c r="C79" s="247" t="s">
        <v>1527</v>
      </c>
      <c r="D79" s="247" t="s">
        <v>1528</v>
      </c>
      <c r="E79" s="248">
        <v>20</v>
      </c>
    </row>
    <row r="80" spans="1:5" ht="30" thickTop="1" thickBot="1" x14ac:dyDescent="0.3">
      <c r="A80" s="246" t="s">
        <v>1246</v>
      </c>
      <c r="B80" s="247" t="s">
        <v>372</v>
      </c>
      <c r="C80" s="247" t="s">
        <v>1539</v>
      </c>
      <c r="D80" s="247" t="s">
        <v>1540</v>
      </c>
      <c r="E80" s="248">
        <v>20</v>
      </c>
    </row>
    <row r="81" spans="1:5" ht="30" thickTop="1" thickBot="1" x14ac:dyDescent="0.3">
      <c r="A81" s="246" t="s">
        <v>1041</v>
      </c>
      <c r="B81" s="247" t="s">
        <v>369</v>
      </c>
      <c r="C81" s="247" t="s">
        <v>1539</v>
      </c>
      <c r="D81" s="247" t="s">
        <v>1540</v>
      </c>
      <c r="E81" s="248">
        <v>20</v>
      </c>
    </row>
    <row r="82" spans="1:5" ht="30" thickTop="1" thickBot="1" x14ac:dyDescent="0.3">
      <c r="A82" s="246" t="s">
        <v>188</v>
      </c>
      <c r="B82" s="247" t="s">
        <v>369</v>
      </c>
      <c r="C82" s="247" t="s">
        <v>1529</v>
      </c>
      <c r="D82" s="247" t="s">
        <v>1530</v>
      </c>
      <c r="E82" s="248">
        <v>19</v>
      </c>
    </row>
    <row r="83" spans="1:5" ht="30" thickTop="1" thickBot="1" x14ac:dyDescent="0.3">
      <c r="A83" s="246" t="s">
        <v>1359</v>
      </c>
      <c r="B83" s="247" t="s">
        <v>369</v>
      </c>
      <c r="C83" s="247" t="s">
        <v>1535</v>
      </c>
      <c r="D83" s="247" t="s">
        <v>1536</v>
      </c>
      <c r="E83" s="248">
        <v>19</v>
      </c>
    </row>
    <row r="84" spans="1:5" ht="30" thickTop="1" thickBot="1" x14ac:dyDescent="0.3">
      <c r="A84" s="246" t="s">
        <v>1480</v>
      </c>
      <c r="B84" s="247" t="s">
        <v>363</v>
      </c>
      <c r="C84" s="247" t="s">
        <v>1539</v>
      </c>
      <c r="D84" s="247" t="s">
        <v>1540</v>
      </c>
      <c r="E84" s="248">
        <v>19</v>
      </c>
    </row>
    <row r="85" spans="1:5" ht="30" thickTop="1" thickBot="1" x14ac:dyDescent="0.3">
      <c r="A85" s="246" t="s">
        <v>377</v>
      </c>
      <c r="B85" s="247" t="s">
        <v>363</v>
      </c>
      <c r="C85" s="247" t="s">
        <v>1531</v>
      </c>
      <c r="D85" s="247" t="s">
        <v>1532</v>
      </c>
      <c r="E85" s="248">
        <v>19</v>
      </c>
    </row>
    <row r="86" spans="1:5" ht="31.5" thickTop="1" thickBot="1" x14ac:dyDescent="0.3">
      <c r="A86" s="237" t="s">
        <v>1172</v>
      </c>
      <c r="B86" s="238" t="s">
        <v>363</v>
      </c>
      <c r="C86" s="238" t="s">
        <v>1541</v>
      </c>
      <c r="D86" s="238" t="s">
        <v>1542</v>
      </c>
      <c r="E86" s="239">
        <v>18</v>
      </c>
    </row>
    <row r="87" spans="1:5" ht="30.75" thickBot="1" x14ac:dyDescent="0.3">
      <c r="A87" s="240" t="s">
        <v>1172</v>
      </c>
      <c r="B87" s="241" t="s">
        <v>363</v>
      </c>
      <c r="C87" s="241" t="s">
        <v>1529</v>
      </c>
      <c r="D87" s="241" t="s">
        <v>1530</v>
      </c>
      <c r="E87" s="242">
        <v>18</v>
      </c>
    </row>
    <row r="88" spans="1:5" ht="30.75" thickBot="1" x14ac:dyDescent="0.3">
      <c r="A88" s="243" t="s">
        <v>1172</v>
      </c>
      <c r="B88" s="244" t="s">
        <v>363</v>
      </c>
      <c r="C88" s="244" t="s">
        <v>1537</v>
      </c>
      <c r="D88" s="244" t="s">
        <v>1538</v>
      </c>
      <c r="E88" s="245">
        <v>18</v>
      </c>
    </row>
    <row r="89" spans="1:5" ht="30" thickTop="1" thickBot="1" x14ac:dyDescent="0.3">
      <c r="A89" s="237" t="s">
        <v>1428</v>
      </c>
      <c r="B89" s="238" t="s">
        <v>363</v>
      </c>
      <c r="C89" s="238" t="s">
        <v>1541</v>
      </c>
      <c r="D89" s="238" t="s">
        <v>1542</v>
      </c>
      <c r="E89" s="239">
        <v>18</v>
      </c>
    </row>
    <row r="90" spans="1:5" ht="29.25" thickBot="1" x14ac:dyDescent="0.3">
      <c r="A90" s="243" t="s">
        <v>1428</v>
      </c>
      <c r="B90" s="244" t="s">
        <v>363</v>
      </c>
      <c r="C90" s="244" t="s">
        <v>1529</v>
      </c>
      <c r="D90" s="244" t="s">
        <v>1530</v>
      </c>
      <c r="E90" s="245">
        <v>18</v>
      </c>
    </row>
    <row r="91" spans="1:5" ht="30" thickTop="1" thickBot="1" x14ac:dyDescent="0.3">
      <c r="A91" s="246" t="s">
        <v>651</v>
      </c>
      <c r="B91" s="247" t="s">
        <v>363</v>
      </c>
      <c r="C91" s="247" t="s">
        <v>1529</v>
      </c>
      <c r="D91" s="247" t="s">
        <v>1530</v>
      </c>
      <c r="E91" s="248">
        <v>18</v>
      </c>
    </row>
    <row r="92" spans="1:5" ht="30" thickTop="1" thickBot="1" x14ac:dyDescent="0.3">
      <c r="A92" s="246" t="s">
        <v>1424</v>
      </c>
      <c r="B92" s="247" t="s">
        <v>360</v>
      </c>
      <c r="C92" s="247" t="s">
        <v>1535</v>
      </c>
      <c r="D92" s="247" t="s">
        <v>1536</v>
      </c>
      <c r="E92" s="248">
        <v>18</v>
      </c>
    </row>
    <row r="93" spans="1:5" ht="30" thickTop="1" thickBot="1" x14ac:dyDescent="0.3">
      <c r="A93" s="237" t="s">
        <v>1481</v>
      </c>
      <c r="B93" s="238" t="s">
        <v>363</v>
      </c>
      <c r="C93" s="238" t="s">
        <v>1537</v>
      </c>
      <c r="D93" s="238" t="s">
        <v>1538</v>
      </c>
      <c r="E93" s="239">
        <v>18</v>
      </c>
    </row>
    <row r="94" spans="1:5" ht="29.25" thickBot="1" x14ac:dyDescent="0.3">
      <c r="A94" s="243" t="s">
        <v>1481</v>
      </c>
      <c r="B94" s="244" t="s">
        <v>363</v>
      </c>
      <c r="C94" s="244" t="s">
        <v>1535</v>
      </c>
      <c r="D94" s="244" t="s">
        <v>1536</v>
      </c>
      <c r="E94" s="245">
        <v>13</v>
      </c>
    </row>
    <row r="95" spans="1:5" ht="30" thickTop="1" thickBot="1" x14ac:dyDescent="0.3">
      <c r="A95" s="246" t="s">
        <v>1544</v>
      </c>
      <c r="B95" s="247" t="s">
        <v>363</v>
      </c>
      <c r="C95" s="247" t="s">
        <v>1541</v>
      </c>
      <c r="D95" s="247" t="s">
        <v>1542</v>
      </c>
      <c r="E95" s="248">
        <v>17</v>
      </c>
    </row>
    <row r="96" spans="1:5" ht="30" thickTop="1" thickBot="1" x14ac:dyDescent="0.3">
      <c r="A96" s="246" t="s">
        <v>1263</v>
      </c>
      <c r="B96" s="247" t="s">
        <v>363</v>
      </c>
      <c r="C96" s="247" t="s">
        <v>1541</v>
      </c>
      <c r="D96" s="247" t="s">
        <v>1542</v>
      </c>
      <c r="E96" s="248">
        <v>17</v>
      </c>
    </row>
    <row r="97" spans="1:5" ht="30" thickTop="1" thickBot="1" x14ac:dyDescent="0.3">
      <c r="A97" s="246" t="s">
        <v>1479</v>
      </c>
      <c r="B97" s="247" t="s">
        <v>363</v>
      </c>
      <c r="C97" s="247" t="s">
        <v>1529</v>
      </c>
      <c r="D97" s="247" t="s">
        <v>1530</v>
      </c>
      <c r="E97" s="248">
        <v>17</v>
      </c>
    </row>
    <row r="98" spans="1:5" ht="31.5" thickTop="1" thickBot="1" x14ac:dyDescent="0.3">
      <c r="A98" s="246" t="s">
        <v>1435</v>
      </c>
      <c r="B98" s="247" t="s">
        <v>369</v>
      </c>
      <c r="C98" s="247" t="s">
        <v>1529</v>
      </c>
      <c r="D98" s="247" t="s">
        <v>1530</v>
      </c>
      <c r="E98" s="248">
        <v>17</v>
      </c>
    </row>
    <row r="99" spans="1:5" ht="31.5" thickTop="1" thickBot="1" x14ac:dyDescent="0.3">
      <c r="A99" s="237" t="s">
        <v>1238</v>
      </c>
      <c r="B99" s="238" t="s">
        <v>360</v>
      </c>
      <c r="C99" s="238" t="s">
        <v>1539</v>
      </c>
      <c r="D99" s="238" t="s">
        <v>1540</v>
      </c>
      <c r="E99" s="239">
        <v>17</v>
      </c>
    </row>
    <row r="100" spans="1:5" ht="30.75" thickBot="1" x14ac:dyDescent="0.3">
      <c r="A100" s="243" t="s">
        <v>1238</v>
      </c>
      <c r="B100" s="244" t="s">
        <v>360</v>
      </c>
      <c r="C100" s="244" t="s">
        <v>1529</v>
      </c>
      <c r="D100" s="244" t="s">
        <v>1530</v>
      </c>
      <c r="E100" s="245">
        <v>16</v>
      </c>
    </row>
    <row r="101" spans="1:5" ht="30" thickTop="1" thickBot="1" x14ac:dyDescent="0.3">
      <c r="A101" s="246" t="s">
        <v>1348</v>
      </c>
      <c r="B101" s="247" t="s">
        <v>360</v>
      </c>
      <c r="C101" s="247" t="s">
        <v>1531</v>
      </c>
      <c r="D101" s="247" t="s">
        <v>1532</v>
      </c>
      <c r="E101" s="248">
        <v>17</v>
      </c>
    </row>
    <row r="102" spans="1:5" ht="30" thickTop="1" thickBot="1" x14ac:dyDescent="0.3">
      <c r="A102" s="237" t="s">
        <v>1124</v>
      </c>
      <c r="B102" s="238" t="s">
        <v>363</v>
      </c>
      <c r="C102" s="238" t="s">
        <v>1533</v>
      </c>
      <c r="D102" s="238" t="s">
        <v>1534</v>
      </c>
      <c r="E102" s="239">
        <v>16</v>
      </c>
    </row>
    <row r="103" spans="1:5" ht="29.25" thickBot="1" x14ac:dyDescent="0.3">
      <c r="A103" s="240" t="s">
        <v>1124</v>
      </c>
      <c r="B103" s="241" t="s">
        <v>363</v>
      </c>
      <c r="C103" s="241" t="s">
        <v>1539</v>
      </c>
      <c r="D103" s="241" t="s">
        <v>1540</v>
      </c>
      <c r="E103" s="242">
        <v>15</v>
      </c>
    </row>
    <row r="104" spans="1:5" ht="29.25" thickBot="1" x14ac:dyDescent="0.3">
      <c r="A104" s="243" t="s">
        <v>1124</v>
      </c>
      <c r="B104" s="244" t="s">
        <v>363</v>
      </c>
      <c r="C104" s="244" t="s">
        <v>1527</v>
      </c>
      <c r="D104" s="244" t="s">
        <v>1528</v>
      </c>
      <c r="E104" s="245">
        <v>14</v>
      </c>
    </row>
    <row r="105" spans="1:5" ht="31.5" thickTop="1" thickBot="1" x14ac:dyDescent="0.3">
      <c r="A105" s="246" t="s">
        <v>1171</v>
      </c>
      <c r="B105" s="247" t="s">
        <v>363</v>
      </c>
      <c r="C105" s="247" t="s">
        <v>1535</v>
      </c>
      <c r="D105" s="247" t="s">
        <v>1536</v>
      </c>
      <c r="E105" s="248">
        <v>16</v>
      </c>
    </row>
    <row r="106" spans="1:5" ht="31.5" thickTop="1" thickBot="1" x14ac:dyDescent="0.3">
      <c r="A106" s="246" t="s">
        <v>1274</v>
      </c>
      <c r="B106" s="247" t="s">
        <v>369</v>
      </c>
      <c r="C106" s="247" t="s">
        <v>1541</v>
      </c>
      <c r="D106" s="247" t="s">
        <v>1542</v>
      </c>
      <c r="E106" s="248">
        <v>15</v>
      </c>
    </row>
    <row r="107" spans="1:5" ht="31.5" thickTop="1" thickBot="1" x14ac:dyDescent="0.3">
      <c r="A107" s="246" t="s">
        <v>1103</v>
      </c>
      <c r="B107" s="247" t="s">
        <v>369</v>
      </c>
      <c r="C107" s="247" t="s">
        <v>1533</v>
      </c>
      <c r="D107" s="247" t="s">
        <v>1534</v>
      </c>
      <c r="E107" s="248">
        <v>15</v>
      </c>
    </row>
    <row r="108" spans="1:5" ht="30" thickTop="1" thickBot="1" x14ac:dyDescent="0.3">
      <c r="A108" s="246" t="s">
        <v>1241</v>
      </c>
      <c r="B108" s="247" t="s">
        <v>363</v>
      </c>
      <c r="C108" s="247" t="s">
        <v>1537</v>
      </c>
      <c r="D108" s="247" t="s">
        <v>1538</v>
      </c>
      <c r="E108" s="248">
        <v>15</v>
      </c>
    </row>
    <row r="109" spans="1:5" ht="30" thickTop="1" thickBot="1" x14ac:dyDescent="0.3">
      <c r="A109" s="246" t="s">
        <v>1202</v>
      </c>
      <c r="B109" s="247" t="s">
        <v>369</v>
      </c>
      <c r="C109" s="247" t="s">
        <v>1527</v>
      </c>
      <c r="D109" s="247" t="s">
        <v>1528</v>
      </c>
      <c r="E109" s="248">
        <v>15</v>
      </c>
    </row>
    <row r="110" spans="1:5" ht="31.5" thickTop="1" thickBot="1" x14ac:dyDescent="0.3">
      <c r="A110" s="246" t="s">
        <v>1545</v>
      </c>
      <c r="B110" s="247" t="s">
        <v>363</v>
      </c>
      <c r="C110" s="247" t="s">
        <v>1541</v>
      </c>
      <c r="D110" s="247" t="s">
        <v>1542</v>
      </c>
      <c r="E110" s="248">
        <v>14</v>
      </c>
    </row>
    <row r="111" spans="1:5" ht="30" thickTop="1" thickBot="1" x14ac:dyDescent="0.3">
      <c r="A111" s="246" t="s">
        <v>1260</v>
      </c>
      <c r="B111" s="247" t="s">
        <v>360</v>
      </c>
      <c r="C111" s="247" t="s">
        <v>1541</v>
      </c>
      <c r="D111" s="247" t="s">
        <v>1542</v>
      </c>
      <c r="E111" s="248">
        <v>14</v>
      </c>
    </row>
    <row r="112" spans="1:5" ht="30" thickTop="1" thickBot="1" x14ac:dyDescent="0.3">
      <c r="A112" s="246" t="s">
        <v>1307</v>
      </c>
      <c r="B112" s="247" t="s">
        <v>363</v>
      </c>
      <c r="C112" s="247" t="s">
        <v>1533</v>
      </c>
      <c r="D112" s="247" t="s">
        <v>1534</v>
      </c>
      <c r="E112" s="248">
        <v>14</v>
      </c>
    </row>
    <row r="113" spans="1:5" ht="30" thickTop="1" thickBot="1" x14ac:dyDescent="0.3">
      <c r="A113" s="246" t="s">
        <v>1482</v>
      </c>
      <c r="B113" s="247" t="s">
        <v>363</v>
      </c>
      <c r="C113" s="247" t="s">
        <v>1535</v>
      </c>
      <c r="D113" s="247" t="s">
        <v>1536</v>
      </c>
      <c r="E113" s="248">
        <v>14</v>
      </c>
    </row>
    <row r="114" spans="1:5" ht="30" thickTop="1" thickBot="1" x14ac:dyDescent="0.3">
      <c r="A114" s="246" t="s">
        <v>1381</v>
      </c>
      <c r="B114" s="247" t="s">
        <v>369</v>
      </c>
      <c r="C114" s="247" t="s">
        <v>1527</v>
      </c>
      <c r="D114" s="247" t="s">
        <v>1528</v>
      </c>
      <c r="E114" s="248">
        <v>14</v>
      </c>
    </row>
    <row r="115" spans="1:5" ht="30" thickTop="1" thickBot="1" x14ac:dyDescent="0.3">
      <c r="A115" s="246" t="s">
        <v>1469</v>
      </c>
      <c r="B115" s="247" t="s">
        <v>372</v>
      </c>
      <c r="C115" s="247" t="s">
        <v>1533</v>
      </c>
      <c r="D115" s="247" t="s">
        <v>1534</v>
      </c>
      <c r="E115" s="248">
        <v>13</v>
      </c>
    </row>
    <row r="116" spans="1:5" ht="30" thickTop="1" thickBot="1" x14ac:dyDescent="0.3">
      <c r="A116" s="237" t="s">
        <v>1120</v>
      </c>
      <c r="B116" s="238" t="s">
        <v>360</v>
      </c>
      <c r="C116" s="238" t="s">
        <v>1533</v>
      </c>
      <c r="D116" s="238" t="s">
        <v>1534</v>
      </c>
      <c r="E116" s="239">
        <v>13</v>
      </c>
    </row>
    <row r="117" spans="1:5" ht="29.25" thickBot="1" x14ac:dyDescent="0.3">
      <c r="A117" s="243" t="s">
        <v>1120</v>
      </c>
      <c r="B117" s="244" t="s">
        <v>360</v>
      </c>
      <c r="C117" s="244" t="s">
        <v>1541</v>
      </c>
      <c r="D117" s="244" t="s">
        <v>1542</v>
      </c>
      <c r="E117" s="245">
        <v>12</v>
      </c>
    </row>
    <row r="118" spans="1:5" ht="30" thickTop="1" thickBot="1" x14ac:dyDescent="0.3">
      <c r="A118" s="246" t="s">
        <v>1076</v>
      </c>
      <c r="B118" s="247" t="s">
        <v>363</v>
      </c>
      <c r="C118" s="247" t="s">
        <v>1533</v>
      </c>
      <c r="D118" s="247" t="s">
        <v>1534</v>
      </c>
      <c r="E118" s="248">
        <v>13</v>
      </c>
    </row>
    <row r="119" spans="1:5" ht="30" thickTop="1" thickBot="1" x14ac:dyDescent="0.3">
      <c r="A119" s="246" t="s">
        <v>1131</v>
      </c>
      <c r="B119" s="247" t="s">
        <v>369</v>
      </c>
      <c r="C119" s="247" t="s">
        <v>1527</v>
      </c>
      <c r="D119" s="247" t="s">
        <v>1528</v>
      </c>
      <c r="E119" s="248">
        <v>13</v>
      </c>
    </row>
    <row r="120" spans="1:5" ht="30" thickTop="1" thickBot="1" x14ac:dyDescent="0.3">
      <c r="A120" s="246" t="s">
        <v>1383</v>
      </c>
      <c r="B120" s="247" t="s">
        <v>363</v>
      </c>
      <c r="C120" s="247" t="s">
        <v>1527</v>
      </c>
      <c r="D120" s="247" t="s">
        <v>1528</v>
      </c>
      <c r="E120" s="248">
        <v>13</v>
      </c>
    </row>
    <row r="121" spans="1:5" ht="30" thickTop="1" thickBot="1" x14ac:dyDescent="0.3">
      <c r="A121" s="246" t="s">
        <v>1045</v>
      </c>
      <c r="B121" s="247" t="s">
        <v>360</v>
      </c>
      <c r="C121" s="247" t="s">
        <v>1539</v>
      </c>
      <c r="D121" s="247" t="s">
        <v>1540</v>
      </c>
      <c r="E121" s="248">
        <v>13</v>
      </c>
    </row>
    <row r="122" spans="1:5" ht="30" thickTop="1" thickBot="1" x14ac:dyDescent="0.3">
      <c r="A122" s="246" t="s">
        <v>1240</v>
      </c>
      <c r="B122" s="247" t="s">
        <v>363</v>
      </c>
      <c r="C122" s="247" t="s">
        <v>1531</v>
      </c>
      <c r="D122" s="247" t="s">
        <v>1532</v>
      </c>
      <c r="E122" s="248">
        <v>13</v>
      </c>
    </row>
    <row r="123" spans="1:5" ht="30" thickTop="1" thickBot="1" x14ac:dyDescent="0.3">
      <c r="A123" s="237" t="s">
        <v>1200</v>
      </c>
      <c r="B123" s="238" t="s">
        <v>369</v>
      </c>
      <c r="C123" s="238" t="s">
        <v>1533</v>
      </c>
      <c r="D123" s="238" t="s">
        <v>1534</v>
      </c>
      <c r="E123" s="239">
        <v>12</v>
      </c>
    </row>
    <row r="124" spans="1:5" ht="29.25" thickBot="1" x14ac:dyDescent="0.3">
      <c r="A124" s="243" t="s">
        <v>1200</v>
      </c>
      <c r="B124" s="244" t="s">
        <v>369</v>
      </c>
      <c r="C124" s="244" t="s">
        <v>1527</v>
      </c>
      <c r="D124" s="244" t="s">
        <v>1528</v>
      </c>
      <c r="E124" s="245">
        <v>11</v>
      </c>
    </row>
    <row r="125" spans="1:5" ht="30" thickTop="1" thickBot="1" x14ac:dyDescent="0.3">
      <c r="A125" s="246" t="s">
        <v>1126</v>
      </c>
      <c r="B125" s="247" t="s">
        <v>363</v>
      </c>
      <c r="C125" s="247" t="s">
        <v>1527</v>
      </c>
      <c r="D125" s="247" t="s">
        <v>1528</v>
      </c>
      <c r="E125" s="248">
        <v>12</v>
      </c>
    </row>
    <row r="126" spans="1:5" ht="30" thickTop="1" thickBot="1" x14ac:dyDescent="0.3">
      <c r="A126" s="246" t="s">
        <v>1099</v>
      </c>
      <c r="B126" s="247" t="s">
        <v>363</v>
      </c>
      <c r="C126" s="247" t="s">
        <v>1527</v>
      </c>
      <c r="D126" s="247" t="s">
        <v>1528</v>
      </c>
      <c r="E126" s="248">
        <v>12</v>
      </c>
    </row>
    <row r="127" spans="1:5" ht="30" thickTop="1" thickBot="1" x14ac:dyDescent="0.3">
      <c r="A127" s="246" t="s">
        <v>1110</v>
      </c>
      <c r="B127" s="247" t="s">
        <v>369</v>
      </c>
      <c r="C127" s="247" t="s">
        <v>1527</v>
      </c>
      <c r="D127" s="247" t="s">
        <v>1528</v>
      </c>
      <c r="E127" s="248">
        <v>12</v>
      </c>
    </row>
    <row r="128" spans="1:5" ht="30" thickTop="1" thickBot="1" x14ac:dyDescent="0.3">
      <c r="A128" s="246" t="s">
        <v>1123</v>
      </c>
      <c r="B128" s="247" t="s">
        <v>363</v>
      </c>
      <c r="C128" s="247" t="s">
        <v>1527</v>
      </c>
      <c r="D128" s="247" t="s">
        <v>1528</v>
      </c>
      <c r="E128" s="248">
        <v>12</v>
      </c>
    </row>
    <row r="129" spans="1:5" ht="30" thickTop="1" thickBot="1" x14ac:dyDescent="0.3">
      <c r="A129" s="246" t="s">
        <v>1342</v>
      </c>
      <c r="B129" s="247" t="s">
        <v>372</v>
      </c>
      <c r="C129" s="247" t="s">
        <v>1531</v>
      </c>
      <c r="D129" s="247" t="s">
        <v>1532</v>
      </c>
      <c r="E129" s="248">
        <v>11</v>
      </c>
    </row>
    <row r="130" spans="1:5" ht="30" thickTop="1" thickBot="1" x14ac:dyDescent="0.3">
      <c r="A130" s="246" t="s">
        <v>1447</v>
      </c>
      <c r="B130" s="247" t="s">
        <v>360</v>
      </c>
      <c r="C130" s="247" t="s">
        <v>1527</v>
      </c>
      <c r="D130" s="247" t="s">
        <v>1528</v>
      </c>
      <c r="E130" s="248">
        <v>10</v>
      </c>
    </row>
    <row r="131" spans="1:5" ht="30" thickTop="1" thickBot="1" x14ac:dyDescent="0.3">
      <c r="A131" s="246" t="s">
        <v>1134</v>
      </c>
      <c r="B131" s="247" t="s">
        <v>369</v>
      </c>
      <c r="C131" s="247" t="s">
        <v>1539</v>
      </c>
      <c r="D131" s="247" t="s">
        <v>1540</v>
      </c>
      <c r="E131" s="248">
        <v>10</v>
      </c>
    </row>
    <row r="132" spans="1:5" ht="30" thickTop="1" thickBot="1" x14ac:dyDescent="0.3">
      <c r="A132" s="246" t="s">
        <v>1154</v>
      </c>
      <c r="B132" s="247" t="s">
        <v>360</v>
      </c>
      <c r="C132" s="247" t="s">
        <v>1531</v>
      </c>
      <c r="D132" s="247" t="s">
        <v>1532</v>
      </c>
      <c r="E132" s="248">
        <v>10</v>
      </c>
    </row>
    <row r="133" spans="1:5" ht="30" thickTop="1" thickBot="1" x14ac:dyDescent="0.3">
      <c r="A133" s="246" t="s">
        <v>1123</v>
      </c>
      <c r="B133" s="247" t="s">
        <v>363</v>
      </c>
      <c r="C133" s="247" t="s">
        <v>1541</v>
      </c>
      <c r="D133" s="247" t="s">
        <v>1542</v>
      </c>
      <c r="E133" s="248">
        <v>9</v>
      </c>
    </row>
    <row r="134" spans="1:5" ht="30" thickTop="1" thickBot="1" x14ac:dyDescent="0.3">
      <c r="A134" s="246" t="s">
        <v>1239</v>
      </c>
      <c r="B134" s="247" t="s">
        <v>360</v>
      </c>
      <c r="C134" s="247" t="s">
        <v>1529</v>
      </c>
      <c r="D134" s="247" t="s">
        <v>1530</v>
      </c>
      <c r="E134" s="248">
        <v>9</v>
      </c>
    </row>
    <row r="135" spans="1:5" ht="31.5" thickTop="1" thickBot="1" x14ac:dyDescent="0.3">
      <c r="A135" s="246" t="s">
        <v>1425</v>
      </c>
      <c r="B135" s="247" t="s">
        <v>360</v>
      </c>
      <c r="C135" s="247" t="s">
        <v>1535</v>
      </c>
      <c r="D135" s="247" t="s">
        <v>1536</v>
      </c>
      <c r="E135" s="248">
        <v>9</v>
      </c>
    </row>
    <row r="136" spans="1:5" ht="30" thickTop="1" thickBot="1" x14ac:dyDescent="0.3">
      <c r="A136" s="246" t="s">
        <v>1146</v>
      </c>
      <c r="B136" s="247" t="s">
        <v>360</v>
      </c>
      <c r="C136" s="247" t="s">
        <v>1537</v>
      </c>
      <c r="D136" s="247" t="s">
        <v>1538</v>
      </c>
      <c r="E136" s="248">
        <v>9</v>
      </c>
    </row>
    <row r="137" spans="1:5" ht="30" thickTop="1" thickBot="1" x14ac:dyDescent="0.3">
      <c r="A137" s="246" t="s">
        <v>1101</v>
      </c>
      <c r="B137" s="247" t="s">
        <v>363</v>
      </c>
      <c r="C137" s="247" t="s">
        <v>1527</v>
      </c>
      <c r="D137" s="247" t="s">
        <v>1528</v>
      </c>
      <c r="E137" s="248">
        <v>9</v>
      </c>
    </row>
    <row r="138" spans="1:5" ht="30" thickTop="1" thickBot="1" x14ac:dyDescent="0.3">
      <c r="A138" s="246" t="s">
        <v>1121</v>
      </c>
      <c r="B138" s="247" t="s">
        <v>360</v>
      </c>
      <c r="C138" s="247" t="s">
        <v>1533</v>
      </c>
      <c r="D138" s="247" t="s">
        <v>1534</v>
      </c>
      <c r="E138" s="248">
        <v>7</v>
      </c>
    </row>
    <row r="139" spans="1:5" ht="30" thickTop="1" thickBot="1" x14ac:dyDescent="0.3">
      <c r="A139" s="246" t="s">
        <v>1217</v>
      </c>
      <c r="B139" s="247" t="s">
        <v>363</v>
      </c>
      <c r="C139" s="247" t="s">
        <v>1531</v>
      </c>
      <c r="D139" s="247" t="s">
        <v>1532</v>
      </c>
      <c r="E139" s="248">
        <v>7</v>
      </c>
    </row>
    <row r="140" spans="1:5" ht="30" thickTop="1" thickBot="1" x14ac:dyDescent="0.3">
      <c r="A140" s="246" t="s">
        <v>1051</v>
      </c>
      <c r="B140" s="247" t="s">
        <v>363</v>
      </c>
      <c r="C140" s="247" t="s">
        <v>1533</v>
      </c>
      <c r="D140" s="247" t="s">
        <v>1534</v>
      </c>
      <c r="E140" s="248">
        <v>5</v>
      </c>
    </row>
    <row r="141" spans="1:5" ht="31.5" thickTop="1" thickBot="1" x14ac:dyDescent="0.3">
      <c r="A141" s="246" t="s">
        <v>1546</v>
      </c>
      <c r="B141" s="247" t="s">
        <v>363</v>
      </c>
      <c r="C141" s="247" t="s">
        <v>1535</v>
      </c>
      <c r="D141" s="247" t="s">
        <v>1536</v>
      </c>
      <c r="E141" s="248">
        <v>5</v>
      </c>
    </row>
    <row r="142" spans="1:5" ht="30" thickTop="1" thickBot="1" x14ac:dyDescent="0.3">
      <c r="A142" s="246" t="s">
        <v>1151</v>
      </c>
      <c r="B142" s="247" t="s">
        <v>363</v>
      </c>
      <c r="C142" s="247" t="s">
        <v>1537</v>
      </c>
      <c r="D142" s="247" t="s">
        <v>1538</v>
      </c>
      <c r="E142" s="248">
        <v>3</v>
      </c>
    </row>
    <row r="143" spans="1:5" ht="30" thickTop="1" thickBot="1" x14ac:dyDescent="0.3">
      <c r="A143" s="246" t="s">
        <v>1547</v>
      </c>
      <c r="B143" s="247" t="s">
        <v>363</v>
      </c>
      <c r="C143" s="247" t="s">
        <v>1531</v>
      </c>
      <c r="D143" s="247" t="s">
        <v>1532</v>
      </c>
      <c r="E143" s="248">
        <v>3</v>
      </c>
    </row>
    <row r="144" spans="1:5" ht="30" thickTop="1" thickBot="1" x14ac:dyDescent="0.3">
      <c r="A144" s="246" t="s">
        <v>1548</v>
      </c>
      <c r="B144" s="247" t="s">
        <v>369</v>
      </c>
      <c r="C144" s="247" t="s">
        <v>1531</v>
      </c>
      <c r="D144" s="247" t="s">
        <v>1532</v>
      </c>
      <c r="E144" s="248">
        <v>3</v>
      </c>
    </row>
    <row r="145" spans="1:5" ht="46.5" thickTop="1" thickBot="1" x14ac:dyDescent="0.3">
      <c r="A145" s="246" t="s">
        <v>1549</v>
      </c>
      <c r="B145" s="247" t="s">
        <v>363</v>
      </c>
      <c r="C145" s="247" t="s">
        <v>1529</v>
      </c>
      <c r="D145" s="247" t="s">
        <v>1530</v>
      </c>
      <c r="E145" s="248">
        <v>1</v>
      </c>
    </row>
    <row r="146" spans="1:5" ht="30" thickTop="1" thickBot="1" x14ac:dyDescent="0.3">
      <c r="A146" s="246" t="s">
        <v>1550</v>
      </c>
      <c r="B146" s="247" t="s">
        <v>372</v>
      </c>
      <c r="C146" s="247" t="s">
        <v>1529</v>
      </c>
      <c r="D146" s="247" t="s">
        <v>1530</v>
      </c>
      <c r="E146" s="248">
        <v>1</v>
      </c>
    </row>
    <row r="147" spans="1:5" ht="30" thickTop="1" thickBot="1" x14ac:dyDescent="0.3">
      <c r="A147" s="246" t="s">
        <v>1551</v>
      </c>
      <c r="B147" s="247" t="s">
        <v>369</v>
      </c>
      <c r="C147" s="247" t="s">
        <v>1529</v>
      </c>
      <c r="D147" s="247" t="s">
        <v>1530</v>
      </c>
      <c r="E147" s="248">
        <v>1</v>
      </c>
    </row>
    <row r="148" spans="1:5" ht="30" thickTop="1" thickBot="1" x14ac:dyDescent="0.3">
      <c r="A148" s="246" t="s">
        <v>1552</v>
      </c>
      <c r="B148" s="247" t="s">
        <v>363</v>
      </c>
      <c r="C148" s="247" t="s">
        <v>1529</v>
      </c>
      <c r="D148" s="247" t="s">
        <v>1530</v>
      </c>
      <c r="E148" s="248">
        <v>1</v>
      </c>
    </row>
    <row r="149" spans="1:5" ht="30" thickTop="1" thickBot="1" x14ac:dyDescent="0.3">
      <c r="A149" s="246" t="s">
        <v>1225</v>
      </c>
      <c r="B149" s="247" t="s">
        <v>369</v>
      </c>
      <c r="C149" s="247" t="s">
        <v>1529</v>
      </c>
      <c r="D149" s="247" t="s">
        <v>1530</v>
      </c>
      <c r="E149" s="248">
        <v>1</v>
      </c>
    </row>
    <row r="150" spans="1:5" ht="31.5" thickTop="1" thickBot="1" x14ac:dyDescent="0.3">
      <c r="A150" s="246" t="s">
        <v>1553</v>
      </c>
      <c r="B150" s="247" t="s">
        <v>369</v>
      </c>
      <c r="C150" s="247" t="s">
        <v>1535</v>
      </c>
      <c r="D150" s="247" t="s">
        <v>1536</v>
      </c>
      <c r="E150" s="248">
        <v>1</v>
      </c>
    </row>
    <row r="151" spans="1:5" ht="30" thickTop="1" thickBot="1" x14ac:dyDescent="0.3">
      <c r="A151" s="246" t="s">
        <v>1421</v>
      </c>
      <c r="B151" s="247" t="s">
        <v>372</v>
      </c>
      <c r="C151" s="247" t="s">
        <v>1527</v>
      </c>
      <c r="D151" s="247" t="s">
        <v>1528</v>
      </c>
      <c r="E151" s="248">
        <v>1</v>
      </c>
    </row>
    <row r="152" spans="1:5" ht="29.25" thickTop="1" x14ac:dyDescent="0.25">
      <c r="A152" s="249" t="s">
        <v>1236</v>
      </c>
      <c r="B152" s="250" t="s">
        <v>372</v>
      </c>
      <c r="C152" s="250" t="s">
        <v>1527</v>
      </c>
      <c r="D152" s="250" t="s">
        <v>1528</v>
      </c>
      <c r="E152" s="251">
        <v>1</v>
      </c>
    </row>
  </sheetData>
  <mergeCells count="1">
    <mergeCell ref="A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Achats</vt:lpstr>
      <vt:lpstr>MPG 2016</vt:lpstr>
      <vt:lpstr>Correspondance</vt:lpstr>
      <vt:lpstr>Data</vt:lpstr>
      <vt:lpstr>Mercato</vt:lpstr>
      <vt:lpstr>Cotes</vt:lpstr>
      <vt:lpstr>Feuil1</vt:lpstr>
      <vt:lpstr>_DATA</vt:lpstr>
      <vt:lpstr>_EQUIPES</vt:lpstr>
      <vt:lpstr>_JOUEURS</vt:lpstr>
      <vt:lpstr>_MPG</vt:lpstr>
      <vt:lpstr>Achats!_STATS</vt:lpstr>
      <vt:lpstr>'MPG 2016'!mpg_fr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Hippolyte Durix</dc:creator>
  <cp:lastModifiedBy>Hippolyte Durix</cp:lastModifiedBy>
  <dcterms:created xsi:type="dcterms:W3CDTF">2014-09-25T13:53:59Z</dcterms:created>
  <dcterms:modified xsi:type="dcterms:W3CDTF">2016-09-28T20:15:11Z</dcterms:modified>
</cp:coreProperties>
</file>