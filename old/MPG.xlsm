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671" activeTab="3"/>
  </bookViews>
  <sheets>
    <sheet name="Achats" sheetId="10" r:id="rId1"/>
    <sheet name="MPG 2016" sheetId="9" r:id="rId2"/>
    <sheet name="Correspondance" sheetId="11" r:id="rId3"/>
    <sheet name="Data" sheetId="12" r:id="rId4"/>
    <sheet name="Mercato" sheetId="13" r:id="rId5"/>
  </sheets>
  <functionGroups builtInGroupCount="17"/>
  <definedNames>
    <definedName name="_DATA">Data!$A$16:$AP$700</definedName>
    <definedName name="_EQUIPES">Correspondance!$K$2:$L$21</definedName>
    <definedName name="_xlnm._FilterDatabase" localSheetId="0" hidden="1">Achats!$A$1:$H$279</definedName>
    <definedName name="_xlnm._FilterDatabase" localSheetId="3" hidden="1">Data!$A$15:$AU$666</definedName>
    <definedName name="_xlnm._FilterDatabase" localSheetId="1" hidden="1">'MPG 2016'!$B$2:$P$194</definedName>
    <definedName name="_JOUEURS">Correspondance!$G$2:$H$226</definedName>
    <definedName name="_MPG">'MPG 2016'!$B$2:$P$194</definedName>
    <definedName name="_STATS" localSheetId="0">Achats!$A$1:$G$279</definedName>
  </definedNames>
  <calcPr calcId="145621"/>
  <pivotCaches>
    <pivotCache cacheId="0" r:id="rId6"/>
    <pivotCache cacheId="7" r:id="rId7"/>
  </pivotCaches>
</workbook>
</file>

<file path=xl/calcChain.xml><?xml version="1.0" encoding="utf-8"?>
<calcChain xmlns="http://schemas.openxmlformats.org/spreadsheetml/2006/main">
  <c r="A623" i="12" l="1"/>
  <c r="A659" i="12"/>
  <c r="A660" i="12"/>
  <c r="A661" i="12"/>
  <c r="A662" i="12"/>
  <c r="A663" i="12"/>
  <c r="A664" i="12"/>
  <c r="A370" i="12"/>
  <c r="H623" i="12"/>
  <c r="H370" i="12"/>
  <c r="H664" i="12"/>
  <c r="H662" i="12"/>
  <c r="H661" i="12"/>
  <c r="H660" i="12"/>
  <c r="H658" i="12"/>
  <c r="H656" i="12"/>
  <c r="H655" i="12"/>
  <c r="H262" i="12"/>
  <c r="H315" i="12"/>
  <c r="H509" i="12"/>
  <c r="H155" i="12"/>
  <c r="H648" i="12"/>
  <c r="H647" i="12"/>
  <c r="H646" i="12"/>
  <c r="H644" i="12"/>
  <c r="H610" i="12"/>
  <c r="H458" i="12"/>
  <c r="H552" i="12"/>
  <c r="H425" i="12"/>
  <c r="H637" i="12"/>
  <c r="H636" i="12"/>
  <c r="H635" i="12"/>
  <c r="H634" i="12"/>
  <c r="H633" i="12"/>
  <c r="H632" i="12" l="1"/>
  <c r="H652" i="12"/>
  <c r="H630" i="12"/>
  <c r="H629" i="12"/>
  <c r="H628" i="12"/>
  <c r="H627" i="12"/>
  <c r="H496" i="12"/>
  <c r="H625" i="12"/>
  <c r="H486" i="12"/>
  <c r="H530" i="12"/>
  <c r="H470" i="12"/>
  <c r="H621" i="12"/>
  <c r="H641" i="12"/>
  <c r="H562" i="12"/>
  <c r="H359" i="12"/>
  <c r="H499" i="12"/>
  <c r="H616" i="12"/>
  <c r="H593" i="12"/>
  <c r="H614" i="12"/>
  <c r="H379" i="12"/>
  <c r="H612" i="12"/>
  <c r="H611" i="12"/>
  <c r="H475" i="12"/>
  <c r="H617" i="12" l="1"/>
  <c r="H607" i="12"/>
  <c r="H606" i="12"/>
  <c r="H605" i="12"/>
  <c r="H604" i="12"/>
  <c r="H603" i="12"/>
  <c r="H602" i="12"/>
  <c r="H601" i="12"/>
  <c r="H650" i="12"/>
  <c r="H544" i="12"/>
  <c r="H598" i="12"/>
  <c r="H597" i="12"/>
  <c r="H444" i="12"/>
  <c r="H595" i="12"/>
  <c r="H519" i="12"/>
  <c r="H653" i="12"/>
  <c r="H592" i="12"/>
  <c r="H572" i="12"/>
  <c r="H590" i="12"/>
  <c r="H589" i="12"/>
  <c r="H588" i="12"/>
  <c r="H587" i="12"/>
  <c r="H586" i="12"/>
  <c r="H585" i="12"/>
  <c r="H584" i="12"/>
  <c r="H583" i="12"/>
  <c r="H580" i="12"/>
  <c r="H539" i="12"/>
  <c r="H577" i="12"/>
  <c r="H576" i="12"/>
  <c r="H575" i="12"/>
  <c r="H276" i="12" l="1"/>
  <c r="H573" i="12"/>
  <c r="H620" i="12"/>
  <c r="H260" i="12"/>
  <c r="H570" i="12"/>
  <c r="H551" i="12"/>
  <c r="H568" i="12"/>
  <c r="H567" i="12"/>
  <c r="H566" i="12"/>
  <c r="H565" i="12"/>
  <c r="H564" i="12"/>
  <c r="H563" i="12"/>
  <c r="H626" i="12"/>
  <c r="H561" i="12"/>
  <c r="H560" i="12"/>
  <c r="H272" i="12"/>
  <c r="H557" i="12"/>
  <c r="H556" i="12"/>
  <c r="H554" i="12"/>
  <c r="H624" i="12"/>
  <c r="H313" i="12"/>
  <c r="H547" i="12"/>
  <c r="H643" i="12"/>
  <c r="H129" i="12"/>
  <c r="H259" i="12" l="1"/>
  <c r="H546" i="12"/>
  <c r="H477" i="12"/>
  <c r="H543" i="12"/>
  <c r="H86" i="12"/>
  <c r="H538" i="12"/>
  <c r="H536" i="12"/>
  <c r="H654" i="12"/>
  <c r="H534" i="12"/>
  <c r="H257" i="12"/>
  <c r="H532" i="12"/>
  <c r="H531" i="12"/>
  <c r="H151" i="12"/>
  <c r="H529" i="12"/>
  <c r="H294" i="12"/>
  <c r="H461" i="12"/>
  <c r="H526" i="12"/>
  <c r="H525" i="12"/>
  <c r="H340" i="12"/>
  <c r="H522" i="12"/>
  <c r="H521" i="12"/>
  <c r="H520" i="12"/>
  <c r="H615" i="12"/>
  <c r="H518" i="12"/>
  <c r="H517" i="12"/>
  <c r="H169" i="12"/>
  <c r="H514" i="12" l="1"/>
  <c r="H513" i="12"/>
  <c r="H511" i="12"/>
  <c r="H460" i="12"/>
  <c r="H642" i="12"/>
  <c r="H508" i="12"/>
  <c r="H505" i="12"/>
  <c r="H119" i="12"/>
  <c r="H502" i="12"/>
  <c r="H501" i="12"/>
  <c r="H500" i="12"/>
  <c r="H38" i="12"/>
  <c r="H498" i="12"/>
  <c r="H497" i="12"/>
  <c r="H108" i="12"/>
  <c r="H495" i="12"/>
  <c r="H494" i="12"/>
  <c r="H231" i="12"/>
  <c r="H490" i="12"/>
  <c r="H489" i="12"/>
  <c r="H488" i="12"/>
  <c r="H483" i="12"/>
  <c r="H493" i="12"/>
  <c r="H485" i="12"/>
  <c r="H484" i="12"/>
  <c r="H68" i="12"/>
  <c r="H372" i="12"/>
  <c r="H174" i="12"/>
  <c r="H480" i="12"/>
  <c r="H622" i="12" l="1"/>
  <c r="H535" i="12"/>
  <c r="H559" i="12"/>
  <c r="H355" i="12"/>
  <c r="H471" i="12"/>
  <c r="H524" i="12"/>
  <c r="H469" i="12"/>
  <c r="H468" i="12"/>
  <c r="H254" i="12"/>
  <c r="H466" i="12"/>
  <c r="H465" i="12"/>
  <c r="H464" i="12"/>
  <c r="H463" i="12"/>
  <c r="H462" i="12"/>
  <c r="H596" i="12"/>
  <c r="H618" i="12"/>
  <c r="H459" i="12"/>
  <c r="H309" i="12"/>
  <c r="H457" i="12"/>
  <c r="H456" i="12"/>
  <c r="H454" i="12"/>
  <c r="H599" i="12"/>
  <c r="H451" i="12"/>
  <c r="H142" i="12"/>
  <c r="H449" i="12"/>
  <c r="H448" i="12" l="1"/>
  <c r="H446" i="12"/>
  <c r="H666" i="12"/>
  <c r="H148" i="12"/>
  <c r="H443" i="12"/>
  <c r="H442" i="12"/>
  <c r="H441" i="12"/>
  <c r="H440" i="12"/>
  <c r="H439" i="12"/>
  <c r="H438" i="12"/>
  <c r="H436" i="12"/>
  <c r="H344" i="12"/>
  <c r="H434" i="12"/>
  <c r="H432" i="12"/>
  <c r="H533" i="12"/>
  <c r="H430" i="12"/>
  <c r="H351" i="12"/>
  <c r="H428" i="12"/>
  <c r="H427" i="12"/>
  <c r="H426" i="12"/>
  <c r="H413" i="12"/>
  <c r="H424" i="12"/>
  <c r="H600" i="12"/>
  <c r="H481" i="12"/>
  <c r="H420" i="12"/>
  <c r="H419" i="12"/>
  <c r="H418" i="12"/>
  <c r="H417" i="12"/>
  <c r="H416" i="12"/>
  <c r="H39" i="12" l="1"/>
  <c r="H594" i="12"/>
  <c r="H396" i="12"/>
  <c r="H409" i="12"/>
  <c r="H406" i="12"/>
  <c r="H405" i="12"/>
  <c r="H411" i="12"/>
  <c r="H403" i="12"/>
  <c r="H401" i="12"/>
  <c r="H400" i="12"/>
  <c r="H256" i="12"/>
  <c r="H332" i="12"/>
  <c r="H394" i="12"/>
  <c r="H393" i="12"/>
  <c r="H392" i="12"/>
  <c r="H391" i="12"/>
  <c r="H390" i="12"/>
  <c r="H389" i="12"/>
  <c r="H387" i="12"/>
  <c r="H386" i="12"/>
  <c r="H384" i="12"/>
  <c r="H383" i="12"/>
  <c r="H429" i="12"/>
  <c r="H380" i="12"/>
  <c r="H321" i="12"/>
  <c r="H378" i="12" l="1"/>
  <c r="H377" i="12"/>
  <c r="H376" i="12"/>
  <c r="H374" i="12"/>
  <c r="H665" i="12"/>
  <c r="H503" i="12"/>
  <c r="H609" i="12"/>
  <c r="H369" i="12"/>
  <c r="H431" i="12"/>
  <c r="H367" i="12"/>
  <c r="H342" i="12"/>
  <c r="H365" i="12"/>
  <c r="H292" i="12"/>
  <c r="H283" i="12"/>
  <c r="H360" i="12"/>
  <c r="H510" i="12"/>
  <c r="H467" i="12"/>
  <c r="H366" i="12"/>
  <c r="H356" i="12"/>
  <c r="H317" i="12"/>
  <c r="H354" i="12"/>
  <c r="H353" i="12"/>
  <c r="H352" i="12"/>
  <c r="H72" i="12"/>
  <c r="H338" i="12" l="1"/>
  <c r="H225" i="12"/>
  <c r="H345" i="12"/>
  <c r="H553" i="12"/>
  <c r="H343" i="12"/>
  <c r="H106" i="12"/>
  <c r="H450" i="12"/>
  <c r="H73" i="12"/>
  <c r="H250" i="12"/>
  <c r="H337" i="12"/>
  <c r="H334" i="12"/>
  <c r="H333" i="12"/>
  <c r="H482" i="12"/>
  <c r="H331" i="12"/>
  <c r="H330" i="12"/>
  <c r="H327" i="12"/>
  <c r="H326" i="12"/>
  <c r="H323" i="12"/>
  <c r="H322" i="12"/>
  <c r="H422" i="12"/>
  <c r="H320" i="12"/>
  <c r="H319" i="12"/>
  <c r="H301" i="12"/>
  <c r="H453" i="12" l="1"/>
  <c r="H591" i="12"/>
  <c r="H362" i="12"/>
  <c r="H312" i="12"/>
  <c r="H311" i="12"/>
  <c r="H310" i="12"/>
  <c r="H187" i="12"/>
  <c r="H308" i="12"/>
  <c r="H307" i="12"/>
  <c r="H128" i="12"/>
  <c r="H304" i="12"/>
  <c r="H303" i="12"/>
  <c r="H302" i="12"/>
  <c r="H87" i="12"/>
  <c r="H300" i="12"/>
  <c r="H299" i="12"/>
  <c r="H298" i="12"/>
  <c r="H194" i="12"/>
  <c r="H233" i="12"/>
  <c r="H295" i="12"/>
  <c r="H271" i="12"/>
  <c r="H619" i="12"/>
  <c r="H191" i="12"/>
  <c r="H181" i="12"/>
  <c r="H289" i="12"/>
  <c r="H288" i="12"/>
  <c r="H287" i="12" l="1"/>
  <c r="H382" i="12"/>
  <c r="H285" i="12"/>
  <c r="H284" i="12"/>
  <c r="H639" i="12"/>
  <c r="H278" i="12"/>
  <c r="H277" i="12"/>
  <c r="H631" i="12"/>
  <c r="H347" i="12"/>
  <c r="H373" i="12"/>
  <c r="H273" i="12"/>
  <c r="H291" i="12"/>
  <c r="H297" i="12"/>
  <c r="H270" i="12"/>
  <c r="H487" i="12"/>
  <c r="H268" i="12"/>
  <c r="H267" i="12"/>
  <c r="H266" i="12"/>
  <c r="H265" i="12"/>
  <c r="H264" i="12"/>
  <c r="H263" i="12"/>
  <c r="H404" i="12"/>
  <c r="H261" i="12"/>
  <c r="H528" i="12"/>
  <c r="H516" i="12"/>
  <c r="H569" i="12"/>
  <c r="H130" i="12"/>
  <c r="H255" i="12"/>
  <c r="H473" i="12" l="1"/>
  <c r="H253" i="12"/>
  <c r="H251" i="12"/>
  <c r="H613" i="12"/>
  <c r="H249" i="12"/>
  <c r="H248" i="12"/>
  <c r="H247" i="12"/>
  <c r="H245" i="12"/>
  <c r="H243" i="12"/>
  <c r="H571" i="12"/>
  <c r="H241" i="12"/>
  <c r="H240" i="12"/>
  <c r="H239" i="12"/>
  <c r="H238" i="12"/>
  <c r="H237" i="12"/>
  <c r="H236" i="12"/>
  <c r="H235" i="12"/>
  <c r="H234" i="12"/>
  <c r="H216" i="12"/>
  <c r="H232" i="12"/>
  <c r="H549" i="12"/>
  <c r="H228" i="12"/>
  <c r="H227" i="12"/>
  <c r="H341" i="12"/>
  <c r="H224" i="12"/>
  <c r="H275" i="12"/>
  <c r="H222" i="12"/>
  <c r="H221" i="12"/>
  <c r="H220" i="12"/>
  <c r="H219" i="12"/>
  <c r="H218" i="12"/>
  <c r="H217" i="12" l="1"/>
  <c r="H574" i="12"/>
  <c r="H215" i="12"/>
  <c r="H214" i="12"/>
  <c r="H213" i="12"/>
  <c r="H212" i="12"/>
  <c r="H296" i="12"/>
  <c r="H205" i="12"/>
  <c r="H203" i="12"/>
  <c r="H202" i="12"/>
  <c r="H201" i="12"/>
  <c r="H200" i="12"/>
  <c r="H100" i="12"/>
  <c r="H579" i="12"/>
  <c r="H33" i="12"/>
  <c r="H195" i="12"/>
  <c r="H423" i="12"/>
  <c r="H193" i="12"/>
  <c r="H192" i="12"/>
  <c r="H290" i="12"/>
  <c r="H190" i="12"/>
  <c r="H198" i="12"/>
  <c r="H188" i="12"/>
  <c r="H105" i="12"/>
  <c r="H223" i="12"/>
  <c r="H184" i="12"/>
  <c r="H69" i="12"/>
  <c r="H476" i="12" l="1"/>
  <c r="H180" i="12"/>
  <c r="H179" i="12"/>
  <c r="H178" i="12"/>
  <c r="H177" i="12"/>
  <c r="H176" i="12"/>
  <c r="H175" i="12"/>
  <c r="H550" i="12"/>
  <c r="H357" i="12"/>
  <c r="H172" i="12"/>
  <c r="H286" i="12"/>
  <c r="H435" i="12"/>
  <c r="H410" i="12"/>
  <c r="H166" i="12"/>
  <c r="H165" i="12"/>
  <c r="H164" i="12"/>
  <c r="H368" i="12"/>
  <c r="H358" i="12"/>
  <c r="H161" i="12"/>
  <c r="H160" i="12"/>
  <c r="H159" i="12"/>
  <c r="H158" i="12"/>
  <c r="H157" i="12"/>
  <c r="H95" i="12"/>
  <c r="H154" i="12"/>
  <c r="H153" i="12"/>
  <c r="H152" i="12"/>
  <c r="H306" i="12"/>
  <c r="H88" i="12"/>
  <c r="H146" i="12" l="1"/>
  <c r="H145" i="12"/>
  <c r="H144" i="12"/>
  <c r="H269" i="12"/>
  <c r="H137" i="12"/>
  <c r="H136" i="12"/>
  <c r="H135" i="12"/>
  <c r="H134" i="12"/>
  <c r="H133" i="12"/>
  <c r="H132" i="12"/>
  <c r="H131" i="12"/>
  <c r="H79" i="12"/>
  <c r="H85" i="12"/>
  <c r="H183" i="12"/>
  <c r="H118" i="12"/>
  <c r="H163" i="12"/>
  <c r="H125" i="12"/>
  <c r="H122" i="12"/>
  <c r="H121" i="12"/>
  <c r="H168" i="12"/>
  <c r="H242" i="12"/>
  <c r="H445" i="12"/>
  <c r="H117" i="12"/>
  <c r="H116" i="12"/>
  <c r="H115" i="12"/>
  <c r="H114" i="12"/>
  <c r="H186" i="12"/>
  <c r="H111" i="12" l="1"/>
  <c r="H110" i="12"/>
  <c r="H16" i="12"/>
  <c r="H40" i="12"/>
  <c r="H59" i="12"/>
  <c r="H103" i="12"/>
  <c r="H102" i="12"/>
  <c r="H19" i="12"/>
  <c r="H37" i="12"/>
  <c r="H99" i="12"/>
  <c r="H98" i="12"/>
  <c r="H97" i="12"/>
  <c r="H31" i="12"/>
  <c r="H65" i="12"/>
  <c r="H94" i="12"/>
  <c r="H92" i="12"/>
  <c r="H61" i="12"/>
  <c r="H90" i="12"/>
  <c r="H89" i="12"/>
  <c r="H91" i="12"/>
  <c r="H82" i="12"/>
  <c r="H27" i="12"/>
  <c r="H112" i="12"/>
  <c r="H84" i="12"/>
  <c r="H83" i="12"/>
  <c r="H120" i="12" l="1"/>
  <c r="H80" i="12"/>
  <c r="H66" i="12"/>
  <c r="H78" i="12"/>
  <c r="H75" i="12"/>
  <c r="H74" i="12"/>
  <c r="H197" i="12"/>
  <c r="H162" i="12"/>
  <c r="H71" i="12"/>
  <c r="H70" i="12"/>
  <c r="H62" i="12"/>
  <c r="H51" i="12"/>
  <c r="H67" i="12"/>
  <c r="H127" i="12"/>
  <c r="H26" i="12"/>
  <c r="H64" i="12"/>
  <c r="H96" i="12"/>
  <c r="H206" i="12"/>
  <c r="H60" i="12"/>
  <c r="H274" i="12"/>
  <c r="H58" i="12"/>
  <c r="H57" i="12"/>
  <c r="H56" i="12"/>
  <c r="H55" i="12"/>
  <c r="H54" i="12"/>
  <c r="H52" i="12"/>
  <c r="H126" i="12"/>
  <c r="H49" i="12" l="1"/>
  <c r="H48" i="12"/>
  <c r="H170" i="12"/>
  <c r="H45" i="12"/>
  <c r="H44" i="12"/>
  <c r="H43" i="12"/>
  <c r="H42" i="12"/>
  <c r="H41" i="12"/>
  <c r="H101" i="12"/>
  <c r="H189" i="12"/>
  <c r="H527" i="12"/>
  <c r="H399" i="12"/>
  <c r="H36" i="12"/>
  <c r="H34" i="12"/>
  <c r="H46" i="12"/>
  <c r="H32" i="12"/>
  <c r="H199" i="12"/>
  <c r="H30" i="12"/>
  <c r="H29" i="12"/>
  <c r="H28" i="12"/>
  <c r="H318" i="12"/>
  <c r="H361" i="12"/>
  <c r="H22" i="12"/>
  <c r="H20" i="12"/>
  <c r="H348" i="12"/>
  <c r="H17" i="12"/>
  <c r="H173" i="12"/>
  <c r="AU659" i="12" l="1"/>
  <c r="AU660" i="12"/>
  <c r="AU661" i="12"/>
  <c r="AU662" i="12"/>
  <c r="AU663" i="12"/>
  <c r="AU664" i="12"/>
  <c r="AU370" i="12"/>
  <c r="AU623" i="12"/>
  <c r="P11" i="13" l="1"/>
  <c r="L11" i="13"/>
  <c r="H11" i="13"/>
  <c r="I11" i="13"/>
  <c r="D11" i="13"/>
  <c r="Q11" i="13"/>
  <c r="M11" i="13"/>
  <c r="E11" i="13"/>
  <c r="AU17" i="12"/>
  <c r="AU18" i="12"/>
  <c r="AU477" i="12"/>
  <c r="AU20" i="12"/>
  <c r="AU21" i="12"/>
  <c r="AU22" i="12"/>
  <c r="AU23" i="12"/>
  <c r="AU24" i="12"/>
  <c r="AU25" i="12"/>
  <c r="AU361" i="12"/>
  <c r="AU513" i="12"/>
  <c r="AU28" i="12"/>
  <c r="AU29" i="12"/>
  <c r="AU30" i="12"/>
  <c r="AU199" i="12"/>
  <c r="AU32" i="12"/>
  <c r="AU46" i="12"/>
  <c r="AU34" i="12"/>
  <c r="AU35" i="12"/>
  <c r="AU36" i="12"/>
  <c r="AU423" i="12"/>
  <c r="AU527" i="12"/>
  <c r="AU184" i="12"/>
  <c r="AU101" i="12"/>
  <c r="AU41" i="12"/>
  <c r="AU42" i="12"/>
  <c r="AU43" i="12"/>
  <c r="AU44" i="12"/>
  <c r="AU45" i="12"/>
  <c r="AU51" i="12"/>
  <c r="AU47" i="12"/>
  <c r="AU48" i="12"/>
  <c r="AU49" i="12"/>
  <c r="AU50" i="12"/>
  <c r="AU461" i="12"/>
  <c r="AU52" i="12"/>
  <c r="AU53" i="12"/>
  <c r="AU54" i="12"/>
  <c r="AU55" i="12"/>
  <c r="AU56" i="12"/>
  <c r="AU57" i="12"/>
  <c r="AU58" i="12"/>
  <c r="AU460" i="12"/>
  <c r="AU60" i="12"/>
  <c r="AU206" i="12"/>
  <c r="AU96" i="12"/>
  <c r="AU63" i="12"/>
  <c r="AU64" i="12"/>
  <c r="AU26" i="12"/>
  <c r="AU327" i="12"/>
  <c r="AU67" i="12"/>
  <c r="AU348" i="12"/>
  <c r="AU195" i="12"/>
  <c r="AU70" i="12"/>
  <c r="AU71" i="12"/>
  <c r="AU162" i="12"/>
  <c r="AU197" i="12"/>
  <c r="AU74" i="12"/>
  <c r="AU75" i="12"/>
  <c r="AU76" i="12"/>
  <c r="AU77" i="12"/>
  <c r="AU78" i="12"/>
  <c r="AU274" i="12"/>
  <c r="AU80" i="12"/>
  <c r="AU81" i="12"/>
  <c r="AU196" i="12"/>
  <c r="AU83" i="12"/>
  <c r="AU84" i="12"/>
  <c r="AU543" i="12"/>
  <c r="AU377" i="12"/>
  <c r="AU82" i="12"/>
  <c r="AU91" i="12"/>
  <c r="AU89" i="12"/>
  <c r="AU90" i="12"/>
  <c r="AU61" i="12"/>
  <c r="AU92" i="12"/>
  <c r="AU93" i="12"/>
  <c r="AU394" i="12"/>
  <c r="AU267" i="12"/>
  <c r="AU31" i="12"/>
  <c r="AU97" i="12"/>
  <c r="AU98" i="12"/>
  <c r="AU99" i="12"/>
  <c r="AU94" i="12"/>
  <c r="AU19" i="12"/>
  <c r="AU102" i="12"/>
  <c r="AU163" i="12"/>
  <c r="AU127" i="12"/>
  <c r="AU59" i="12"/>
  <c r="AU126" i="12"/>
  <c r="AU107" i="12"/>
  <c r="AU16" i="12"/>
  <c r="AU109" i="12"/>
  <c r="AU110" i="12"/>
  <c r="AU111" i="12"/>
  <c r="AU186" i="12"/>
  <c r="AU113" i="12"/>
  <c r="AU114" i="12"/>
  <c r="AU115" i="12"/>
  <c r="AU116" i="12"/>
  <c r="AU117" i="12"/>
  <c r="AU445" i="12"/>
  <c r="AU242" i="12"/>
  <c r="AU168" i="12"/>
  <c r="AU121" i="12"/>
  <c r="AU122" i="12"/>
  <c r="AU257" i="12"/>
  <c r="AU424" i="12"/>
  <c r="AU382" i="12"/>
  <c r="AU316" i="12"/>
  <c r="AU62" i="12"/>
  <c r="AU183" i="12"/>
  <c r="AU85" i="12"/>
  <c r="AU79" i="12"/>
  <c r="AU131" i="12"/>
  <c r="AU132" i="12"/>
  <c r="AU133" i="12"/>
  <c r="AU134" i="12"/>
  <c r="AU135" i="12"/>
  <c r="AU136" i="12"/>
  <c r="AU137" i="12"/>
  <c r="AU138" i="12"/>
  <c r="AU112" i="12"/>
  <c r="AU140" i="12"/>
  <c r="AU141" i="12"/>
  <c r="AU269" i="12"/>
  <c r="AU143" i="12"/>
  <c r="AU144" i="12"/>
  <c r="AU616" i="12"/>
  <c r="AU146" i="12"/>
  <c r="AU147" i="12"/>
  <c r="AU291" i="12"/>
  <c r="AU149" i="12"/>
  <c r="AU150" i="12"/>
  <c r="AU306" i="12"/>
  <c r="AU152" i="12"/>
  <c r="AU153" i="12"/>
  <c r="AU154" i="12"/>
  <c r="AU95" i="12"/>
  <c r="AU156" i="12"/>
  <c r="AU157" i="12"/>
  <c r="AU158" i="12"/>
  <c r="AU159" i="12"/>
  <c r="AU160" i="12"/>
  <c r="AU161" i="12"/>
  <c r="AU358" i="12"/>
  <c r="AU368" i="12"/>
  <c r="AU164" i="12"/>
  <c r="AU165" i="12"/>
  <c r="AU541" i="12"/>
  <c r="AU167" i="12"/>
  <c r="AU410" i="12"/>
  <c r="AU435" i="12"/>
  <c r="AU464" i="12"/>
  <c r="AU335" i="12"/>
  <c r="AU172" i="12"/>
  <c r="AU357" i="12"/>
  <c r="AU550" i="12"/>
  <c r="AU175" i="12"/>
  <c r="AU176" i="12"/>
  <c r="AU177" i="12"/>
  <c r="AU178" i="12"/>
  <c r="AU179" i="12"/>
  <c r="AU538" i="12"/>
  <c r="AU476" i="12"/>
  <c r="AU182" i="12"/>
  <c r="AU420" i="12"/>
  <c r="AU297" i="12"/>
  <c r="AU185" i="12"/>
  <c r="AU336" i="12"/>
  <c r="AU105" i="12"/>
  <c r="AU522" i="12"/>
  <c r="AU198" i="12"/>
  <c r="AU190" i="12"/>
  <c r="AU290" i="12"/>
  <c r="AU192" i="12"/>
  <c r="AU193" i="12"/>
  <c r="AU65" i="12"/>
  <c r="AU339" i="12"/>
  <c r="AU545" i="12"/>
  <c r="AU33" i="12"/>
  <c r="AU579" i="12"/>
  <c r="AU100" i="12"/>
  <c r="AU200" i="12"/>
  <c r="AU201" i="12"/>
  <c r="AU202" i="12"/>
  <c r="AU603" i="12"/>
  <c r="AU204" i="12"/>
  <c r="AU205" i="12"/>
  <c r="AU296" i="12"/>
  <c r="AU207" i="12"/>
  <c r="AU208" i="12"/>
  <c r="AU209" i="12"/>
  <c r="AU210" i="12"/>
  <c r="AU211" i="12"/>
  <c r="AU212" i="12"/>
  <c r="AU213" i="12"/>
  <c r="AU214" i="12"/>
  <c r="AU215" i="12"/>
  <c r="AU574" i="12"/>
  <c r="AU217" i="12"/>
  <c r="AU218" i="12"/>
  <c r="AU219" i="12"/>
  <c r="AU220" i="12"/>
  <c r="AU221" i="12"/>
  <c r="AU222" i="12"/>
  <c r="AU275" i="12"/>
  <c r="AU224" i="12"/>
  <c r="AU341" i="12"/>
  <c r="AU226" i="12"/>
  <c r="AU227" i="12"/>
  <c r="AU228" i="12"/>
  <c r="AU229" i="12"/>
  <c r="AU230" i="12"/>
  <c r="AU549" i="12"/>
  <c r="AU232" i="12"/>
  <c r="AU216" i="12"/>
  <c r="AU234" i="12"/>
  <c r="AU235" i="12"/>
  <c r="AU236" i="12"/>
  <c r="AU237" i="12"/>
  <c r="AU238" i="12"/>
  <c r="AU624" i="12"/>
  <c r="AU240" i="12"/>
  <c r="AU241" i="12"/>
  <c r="AU571" i="12"/>
  <c r="AU243" i="12"/>
  <c r="AU244" i="12"/>
  <c r="AU245" i="12"/>
  <c r="AU246" i="12"/>
  <c r="AU247" i="12"/>
  <c r="AU248" i="12"/>
  <c r="AU249" i="12"/>
  <c r="AU613" i="12"/>
  <c r="AU203" i="12"/>
  <c r="AU252" i="12"/>
  <c r="AU475" i="12"/>
  <c r="AU563" i="12"/>
  <c r="AU255" i="12"/>
  <c r="AU565" i="12"/>
  <c r="AU568" i="12"/>
  <c r="AU258" i="12"/>
  <c r="AU281" i="12"/>
  <c r="AU528" i="12"/>
  <c r="AU261" i="12"/>
  <c r="AU404" i="12"/>
  <c r="AU263" i="12"/>
  <c r="AU264" i="12"/>
  <c r="AU265" i="12"/>
  <c r="AU266" i="12"/>
  <c r="AU666" i="12"/>
  <c r="AU268" i="12"/>
  <c r="AU487" i="12"/>
  <c r="AU106" i="12"/>
  <c r="AU289" i="12"/>
  <c r="AU585" i="12"/>
  <c r="AU273" i="12"/>
  <c r="AU373" i="12"/>
  <c r="AU347" i="12"/>
  <c r="AU631" i="12"/>
  <c r="AU277" i="12"/>
  <c r="AU278" i="12"/>
  <c r="AU279" i="12"/>
  <c r="AU280" i="12"/>
  <c r="AU66" i="12"/>
  <c r="AU282" i="12"/>
  <c r="AU639" i="12"/>
  <c r="AU284" i="12"/>
  <c r="AU285" i="12"/>
  <c r="AU406" i="12"/>
  <c r="AU287" i="12"/>
  <c r="AU288" i="12"/>
  <c r="AU418" i="12"/>
  <c r="AU239" i="12"/>
  <c r="AU191" i="12"/>
  <c r="AU619" i="12"/>
  <c r="AU354" i="12"/>
  <c r="AU271" i="12"/>
  <c r="AU295" i="12"/>
  <c r="AU233" i="12"/>
  <c r="AU270" i="12"/>
  <c r="AU298" i="12"/>
  <c r="AU299" i="12"/>
  <c r="AU300" i="12"/>
  <c r="AU87" i="12"/>
  <c r="AU417" i="12"/>
  <c r="AU303" i="12"/>
  <c r="AU304" i="12"/>
  <c r="AU305" i="12"/>
  <c r="AU128" i="12"/>
  <c r="AU307" i="12"/>
  <c r="AU180" i="12"/>
  <c r="AU187" i="12"/>
  <c r="AU310" i="12"/>
  <c r="AU311" i="12"/>
  <c r="AU312" i="12"/>
  <c r="AU362" i="12"/>
  <c r="AU314" i="12"/>
  <c r="AU591" i="12"/>
  <c r="AU439" i="12"/>
  <c r="AU453" i="12"/>
  <c r="AU301" i="12"/>
  <c r="AU319" i="12"/>
  <c r="AU320" i="12"/>
  <c r="AU422" i="12"/>
  <c r="AU322" i="12"/>
  <c r="AU323" i="12"/>
  <c r="AU324" i="12"/>
  <c r="AU325" i="12"/>
  <c r="AU326" i="12"/>
  <c r="AU590" i="12"/>
  <c r="AU328" i="12"/>
  <c r="AU329" i="12"/>
  <c r="AU330" i="12"/>
  <c r="AU331" i="12"/>
  <c r="AU482" i="12"/>
  <c r="AU333" i="12"/>
  <c r="AU334" i="12"/>
  <c r="AU391" i="12"/>
  <c r="AU346" i="12"/>
  <c r="AU337" i="12"/>
  <c r="AU250" i="12"/>
  <c r="AU318" i="12"/>
  <c r="AU73" i="12"/>
  <c r="AU450" i="12"/>
  <c r="AU120" i="12"/>
  <c r="AU37" i="12"/>
  <c r="AU553" i="12"/>
  <c r="AU345" i="12"/>
  <c r="AU518" i="12"/>
  <c r="AU225" i="12"/>
  <c r="AU338" i="12"/>
  <c r="AU349" i="12"/>
  <c r="AU350" i="12"/>
  <c r="AU72" i="12"/>
  <c r="AU352" i="12"/>
  <c r="AU399" i="12"/>
  <c r="AU353" i="12"/>
  <c r="AU317" i="12"/>
  <c r="AU343" i="12"/>
  <c r="AU519" i="12"/>
  <c r="AU467" i="12"/>
  <c r="AU510" i="12"/>
  <c r="AU360" i="12"/>
  <c r="AU596" i="12"/>
  <c r="AU292" i="12"/>
  <c r="AU251" i="12"/>
  <c r="AU364" i="12"/>
  <c r="AU365" i="12"/>
  <c r="AU342" i="12"/>
  <c r="AU103" i="12"/>
  <c r="AU431" i="12"/>
  <c r="AU369" i="12"/>
  <c r="AU609" i="12"/>
  <c r="AU371" i="12"/>
  <c r="AU503" i="12"/>
  <c r="AU665" i="12"/>
  <c r="AU486" i="12"/>
  <c r="AU375" i="12"/>
  <c r="AU376" i="12"/>
  <c r="AU559" i="12"/>
  <c r="AU378" i="12"/>
  <c r="AU321" i="12"/>
  <c r="AU380" i="12"/>
  <c r="AU381" i="12"/>
  <c r="AU429" i="12"/>
  <c r="AU383" i="12"/>
  <c r="AU384" i="12"/>
  <c r="AU385" i="12"/>
  <c r="AU386" i="12"/>
  <c r="AU387" i="12"/>
  <c r="AU388" i="12"/>
  <c r="AU389" i="12"/>
  <c r="AU390" i="12"/>
  <c r="AU546" i="12"/>
  <c r="AU392" i="12"/>
  <c r="AU393" i="12"/>
  <c r="AU405" i="12"/>
  <c r="AU395" i="12"/>
  <c r="AU332" i="12"/>
  <c r="AU397" i="12"/>
  <c r="AU398" i="12"/>
  <c r="AU256" i="12"/>
  <c r="AU400" i="12"/>
  <c r="AU401" i="12"/>
  <c r="AU402" i="12"/>
  <c r="AU403" i="12"/>
  <c r="AU411" i="12"/>
  <c r="AU104" i="12"/>
  <c r="AU118" i="12"/>
  <c r="AU407" i="12"/>
  <c r="AU408" i="12"/>
  <c r="AU409" i="12"/>
  <c r="AU396" i="12"/>
  <c r="AU594" i="12"/>
  <c r="AU412" i="12"/>
  <c r="AU39" i="12"/>
  <c r="AU414" i="12"/>
  <c r="AU415" i="12"/>
  <c r="AU416" i="12"/>
  <c r="AU181" i="12"/>
  <c r="AU608" i="12"/>
  <c r="AU419" i="12"/>
  <c r="AU356" i="12"/>
  <c r="AU421" i="12"/>
  <c r="AU481" i="12"/>
  <c r="AU600" i="12"/>
  <c r="AU469" i="12"/>
  <c r="AU413" i="12"/>
  <c r="AU426" i="12"/>
  <c r="AU427" i="12"/>
  <c r="AU428" i="12"/>
  <c r="AU351" i="12"/>
  <c r="AU430" i="12"/>
  <c r="AU533" i="12"/>
  <c r="AU432" i="12"/>
  <c r="AU433" i="12"/>
  <c r="AU434" i="12"/>
  <c r="AU344" i="12"/>
  <c r="AU436" i="12"/>
  <c r="AU437" i="12"/>
  <c r="AU438" i="12"/>
  <c r="AU139" i="12"/>
  <c r="AU293" i="12"/>
  <c r="AU441" i="12"/>
  <c r="AU442" i="12"/>
  <c r="AU443" i="12"/>
  <c r="AU148" i="12"/>
  <c r="AU653" i="12"/>
  <c r="AU446" i="12"/>
  <c r="AU447" i="12"/>
  <c r="AU448" i="12"/>
  <c r="AU449" i="12"/>
  <c r="AU142" i="12"/>
  <c r="AU451" i="12"/>
  <c r="AU452" i="12"/>
  <c r="AU599" i="12"/>
  <c r="AU612" i="12"/>
  <c r="AU455" i="12"/>
  <c r="AU456" i="12"/>
  <c r="AU457" i="12"/>
  <c r="AU309" i="12"/>
  <c r="AU459" i="12"/>
  <c r="AU618" i="12"/>
  <c r="AU440" i="12"/>
  <c r="AU462" i="12"/>
  <c r="AU463" i="12"/>
  <c r="AU524" i="12"/>
  <c r="AU465" i="12"/>
  <c r="AU466" i="12"/>
  <c r="AU254" i="12"/>
  <c r="AU468" i="12"/>
  <c r="AU253" i="12"/>
  <c r="AU145" i="12"/>
  <c r="AU194" i="12"/>
  <c r="AU472" i="12"/>
  <c r="AU355" i="12"/>
  <c r="AU474" i="12"/>
  <c r="AU119" i="12"/>
  <c r="AU454" i="12"/>
  <c r="AU69" i="12"/>
  <c r="AU478" i="12"/>
  <c r="AU479" i="12"/>
  <c r="AU480" i="12"/>
  <c r="AU471" i="12"/>
  <c r="AU372" i="12"/>
  <c r="AU68" i="12"/>
  <c r="AU484" i="12"/>
  <c r="AU485" i="12"/>
  <c r="AU493" i="12"/>
  <c r="AU171" i="12"/>
  <c r="AU488" i="12"/>
  <c r="AU489" i="12"/>
  <c r="AU490" i="12"/>
  <c r="AU491" i="12"/>
  <c r="AU492" i="12"/>
  <c r="AU231" i="12"/>
  <c r="AU494" i="12"/>
  <c r="AU495" i="12"/>
  <c r="AU108" i="12"/>
  <c r="AU497" i="12"/>
  <c r="AU498" i="12"/>
  <c r="AU38" i="12"/>
  <c r="AU500" i="12"/>
  <c r="AU501" i="12"/>
  <c r="AU502" i="12"/>
  <c r="AU173" i="12"/>
  <c r="AU504" i="12"/>
  <c r="AU505" i="12"/>
  <c r="AU506" i="12"/>
  <c r="AU507" i="12"/>
  <c r="AU508" i="12"/>
  <c r="AU642" i="12"/>
  <c r="AU602" i="12"/>
  <c r="AU511" i="12"/>
  <c r="AU512" i="12"/>
  <c r="AU499" i="12"/>
  <c r="AU514" i="12"/>
  <c r="AU515" i="12"/>
  <c r="AU169" i="12"/>
  <c r="AU517" i="12"/>
  <c r="AU170" i="12"/>
  <c r="AU615" i="12"/>
  <c r="AU520" i="12"/>
  <c r="AU521" i="12"/>
  <c r="AU562" i="12"/>
  <c r="AU523" i="12"/>
  <c r="AU340" i="12"/>
  <c r="AU525" i="12"/>
  <c r="AU526" i="12"/>
  <c r="AU88" i="12"/>
  <c r="AU294" i="12"/>
  <c r="AU529" i="12"/>
  <c r="AU151" i="12"/>
  <c r="AU531" i="12"/>
  <c r="AU532" i="12"/>
  <c r="AU473" i="12"/>
  <c r="AU534" i="12"/>
  <c r="AU654" i="12"/>
  <c r="AU536" i="12"/>
  <c r="AU537" i="12"/>
  <c r="AU166" i="12"/>
  <c r="AU86" i="12"/>
  <c r="AU540" i="12"/>
  <c r="AU125" i="12"/>
  <c r="AU542" i="12"/>
  <c r="AU556" i="12"/>
  <c r="AU632" i="12"/>
  <c r="AU634" i="12"/>
  <c r="AU366" i="12"/>
  <c r="AU259" i="12"/>
  <c r="AU548" i="12"/>
  <c r="AU129" i="12"/>
  <c r="AU643" i="12"/>
  <c r="AU547" i="12"/>
  <c r="AU313" i="12"/>
  <c r="AU130" i="12"/>
  <c r="AU554" i="12"/>
  <c r="AU555" i="12"/>
  <c r="AU535" i="12"/>
  <c r="AU557" i="12"/>
  <c r="AU558" i="12"/>
  <c r="AU272" i="12"/>
  <c r="AU560" i="12"/>
  <c r="AU561" i="12"/>
  <c r="AU626" i="12"/>
  <c r="AU635" i="12"/>
  <c r="AU564" i="12"/>
  <c r="AU40" i="12"/>
  <c r="AU566" i="12"/>
  <c r="AU567" i="12"/>
  <c r="AU27" i="12"/>
  <c r="AU551" i="12"/>
  <c r="AU570" i="12"/>
  <c r="AU260" i="12"/>
  <c r="AU620" i="12"/>
  <c r="AU573" i="12"/>
  <c r="AU276" i="12"/>
  <c r="AU575" i="12"/>
  <c r="AU576" i="12"/>
  <c r="AU577" i="12"/>
  <c r="AU578" i="12"/>
  <c r="AU539" i="12"/>
  <c r="AU580" i="12"/>
  <c r="AU581" i="12"/>
  <c r="AU582" i="12"/>
  <c r="AU583" i="12"/>
  <c r="AU584" i="12"/>
  <c r="AU636" i="12"/>
  <c r="AU586" i="12"/>
  <c r="AU587" i="12"/>
  <c r="AU588" i="12"/>
  <c r="AU589" i="12"/>
  <c r="AU622" i="12"/>
  <c r="AU572" i="12"/>
  <c r="AU592" i="12"/>
  <c r="AU302" i="12"/>
  <c r="AU308" i="12"/>
  <c r="AU595" i="12"/>
  <c r="AU444" i="12"/>
  <c r="AU597" i="12"/>
  <c r="AU598" i="12"/>
  <c r="AU544" i="12"/>
  <c r="AU650" i="12"/>
  <c r="AU601" i="12"/>
  <c r="AU569" i="12"/>
  <c r="AU610" i="12"/>
  <c r="AU604" i="12"/>
  <c r="AU605" i="12"/>
  <c r="AU606" i="12"/>
  <c r="AU607" i="12"/>
  <c r="AU646" i="12"/>
  <c r="AU617" i="12"/>
  <c r="AU189" i="12"/>
  <c r="AU611" i="12"/>
  <c r="AU174" i="12"/>
  <c r="AU379" i="12"/>
  <c r="AU614" i="12"/>
  <c r="AU123" i="12"/>
  <c r="AU647" i="12"/>
  <c r="AU283" i="12"/>
  <c r="AU359" i="12"/>
  <c r="AU223" i="12"/>
  <c r="AU641" i="12"/>
  <c r="AU621" i="12"/>
  <c r="AU470" i="12"/>
  <c r="AU530" i="12"/>
  <c r="AU188" i="12"/>
  <c r="AU625" i="12"/>
  <c r="AU496" i="12"/>
  <c r="AU627" i="12"/>
  <c r="AU628" i="12"/>
  <c r="AU629" i="12"/>
  <c r="AU630" i="12"/>
  <c r="AU652" i="12"/>
  <c r="AU363" i="12"/>
  <c r="AU633" i="12"/>
  <c r="AU483" i="12"/>
  <c r="AU657" i="12"/>
  <c r="AU658" i="12"/>
  <c r="AU637" i="12"/>
  <c r="AU638" i="12"/>
  <c r="AU425" i="12"/>
  <c r="AU640" i="12"/>
  <c r="AU552" i="12"/>
  <c r="AU458" i="12"/>
  <c r="AU286" i="12"/>
  <c r="AU644" i="12"/>
  <c r="AU645" i="12"/>
  <c r="AU124" i="12"/>
  <c r="AU367" i="12"/>
  <c r="AU648" i="12"/>
  <c r="AU649" i="12"/>
  <c r="AU155" i="12"/>
  <c r="AU651" i="12"/>
  <c r="AU509" i="12"/>
  <c r="AU315" i="12"/>
  <c r="AU262" i="12"/>
  <c r="AU655" i="12"/>
  <c r="AU656" i="12"/>
  <c r="AU516" i="12"/>
  <c r="AU374" i="12"/>
  <c r="AU593" i="12"/>
  <c r="A649" i="12"/>
  <c r="A155" i="12"/>
  <c r="A651" i="12"/>
  <c r="A509" i="12"/>
  <c r="A315" i="12"/>
  <c r="A262" i="12"/>
  <c r="A655" i="12"/>
  <c r="A656" i="12"/>
  <c r="A516" i="12"/>
  <c r="A374" i="12"/>
  <c r="R11" i="13" l="1"/>
  <c r="S11" i="13" s="1"/>
  <c r="R12" i="13"/>
  <c r="R69" i="9" l="1"/>
  <c r="R89" i="9"/>
  <c r="R122" i="9"/>
  <c r="A629" i="12"/>
  <c r="A630" i="12"/>
  <c r="A652" i="12"/>
  <c r="A363" i="12"/>
  <c r="A633" i="12"/>
  <c r="A483" i="12"/>
  <c r="A657" i="12"/>
  <c r="A658" i="12"/>
  <c r="A637" i="12"/>
  <c r="A638" i="12"/>
  <c r="A425" i="12"/>
  <c r="A640" i="12"/>
  <c r="A552" i="12"/>
  <c r="A458" i="12"/>
  <c r="A286" i="12"/>
  <c r="A644" i="12"/>
  <c r="A645" i="12"/>
  <c r="A124" i="12"/>
  <c r="A367" i="12"/>
  <c r="A648" i="12"/>
  <c r="A628" i="12" l="1"/>
  <c r="A627" i="12"/>
  <c r="A647" i="12" l="1"/>
  <c r="A283" i="12"/>
  <c r="A359" i="12"/>
  <c r="A223" i="12"/>
  <c r="A641" i="12"/>
  <c r="A621" i="12"/>
  <c r="A470" i="12"/>
  <c r="A530" i="12"/>
  <c r="A188" i="12"/>
  <c r="A625" i="12"/>
  <c r="A496" i="12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2" i="11"/>
  <c r="A4" i="9" l="1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3" i="9"/>
  <c r="A17" i="12"/>
  <c r="A18" i="12"/>
  <c r="A477" i="12"/>
  <c r="A20" i="12"/>
  <c r="A21" i="12"/>
  <c r="A22" i="12"/>
  <c r="A23" i="12"/>
  <c r="A24" i="12"/>
  <c r="A25" i="12"/>
  <c r="A361" i="12"/>
  <c r="A513" i="12"/>
  <c r="A28" i="12"/>
  <c r="A29" i="12"/>
  <c r="A30" i="12"/>
  <c r="A199" i="12"/>
  <c r="A32" i="12"/>
  <c r="A46" i="12"/>
  <c r="A34" i="12"/>
  <c r="A35" i="12"/>
  <c r="A36" i="12"/>
  <c r="A423" i="12"/>
  <c r="A527" i="12"/>
  <c r="A184" i="12"/>
  <c r="A101" i="12"/>
  <c r="A41" i="12"/>
  <c r="A42" i="12"/>
  <c r="A43" i="12"/>
  <c r="A44" i="12"/>
  <c r="A45" i="12"/>
  <c r="A51" i="12"/>
  <c r="A47" i="12"/>
  <c r="A48" i="12"/>
  <c r="A49" i="12"/>
  <c r="A50" i="12"/>
  <c r="A461" i="12"/>
  <c r="A52" i="12"/>
  <c r="A53" i="12"/>
  <c r="A54" i="12"/>
  <c r="A55" i="12"/>
  <c r="A56" i="12"/>
  <c r="A57" i="12"/>
  <c r="A58" i="12"/>
  <c r="A460" i="12"/>
  <c r="A60" i="12"/>
  <c r="A206" i="12"/>
  <c r="A96" i="12"/>
  <c r="A63" i="12"/>
  <c r="A64" i="12"/>
  <c r="A26" i="12"/>
  <c r="A327" i="12"/>
  <c r="A67" i="12"/>
  <c r="A348" i="12"/>
  <c r="A195" i="12"/>
  <c r="A70" i="12"/>
  <c r="A71" i="12"/>
  <c r="A162" i="12"/>
  <c r="A197" i="12"/>
  <c r="A74" i="12"/>
  <c r="A75" i="12"/>
  <c r="A76" i="12"/>
  <c r="A77" i="12"/>
  <c r="A78" i="12"/>
  <c r="A274" i="12"/>
  <c r="A80" i="12"/>
  <c r="A81" i="12"/>
  <c r="A196" i="12"/>
  <c r="A83" i="12"/>
  <c r="A84" i="12"/>
  <c r="A543" i="12"/>
  <c r="A377" i="12"/>
  <c r="A82" i="12"/>
  <c r="A91" i="12"/>
  <c r="A89" i="12"/>
  <c r="A90" i="12"/>
  <c r="A61" i="12"/>
  <c r="A92" i="12"/>
  <c r="A93" i="12"/>
  <c r="A394" i="12"/>
  <c r="A267" i="12"/>
  <c r="A31" i="12"/>
  <c r="A97" i="12"/>
  <c r="A98" i="12"/>
  <c r="A99" i="12"/>
  <c r="A94" i="12"/>
  <c r="A19" i="12"/>
  <c r="A102" i="12"/>
  <c r="A163" i="12"/>
  <c r="A127" i="12"/>
  <c r="A59" i="12"/>
  <c r="A126" i="12"/>
  <c r="A107" i="12"/>
  <c r="A16" i="12"/>
  <c r="A109" i="12"/>
  <c r="A110" i="12"/>
  <c r="A111" i="12"/>
  <c r="A186" i="12"/>
  <c r="A113" i="12"/>
  <c r="A114" i="12"/>
  <c r="A115" i="12"/>
  <c r="A116" i="12"/>
  <c r="A117" i="12"/>
  <c r="A445" i="12"/>
  <c r="A242" i="12"/>
  <c r="A168" i="12"/>
  <c r="A121" i="12"/>
  <c r="A122" i="12"/>
  <c r="A257" i="12"/>
  <c r="A424" i="12"/>
  <c r="A382" i="12"/>
  <c r="A316" i="12"/>
  <c r="A62" i="12"/>
  <c r="A183" i="12"/>
  <c r="A85" i="12"/>
  <c r="A79" i="12"/>
  <c r="A131" i="12"/>
  <c r="A132" i="12"/>
  <c r="A133" i="12"/>
  <c r="A134" i="12"/>
  <c r="A135" i="12"/>
  <c r="A136" i="12"/>
  <c r="A137" i="12"/>
  <c r="A138" i="12"/>
  <c r="A112" i="12"/>
  <c r="A140" i="12"/>
  <c r="A141" i="12"/>
  <c r="A269" i="12"/>
  <c r="A143" i="12"/>
  <c r="A144" i="12"/>
  <c r="A616" i="12"/>
  <c r="A146" i="12"/>
  <c r="A147" i="12"/>
  <c r="A291" i="12"/>
  <c r="A149" i="12"/>
  <c r="A150" i="12"/>
  <c r="A306" i="12"/>
  <c r="A152" i="12"/>
  <c r="A153" i="12"/>
  <c r="A154" i="12"/>
  <c r="A95" i="12"/>
  <c r="A156" i="12"/>
  <c r="A157" i="12"/>
  <c r="A158" i="12"/>
  <c r="A159" i="12"/>
  <c r="A160" i="12"/>
  <c r="A161" i="12"/>
  <c r="A358" i="12"/>
  <c r="A368" i="12"/>
  <c r="A164" i="12"/>
  <c r="A165" i="12"/>
  <c r="A541" i="12"/>
  <c r="A167" i="12"/>
  <c r="A410" i="12"/>
  <c r="A435" i="12"/>
  <c r="A464" i="12"/>
  <c r="A335" i="12"/>
  <c r="A172" i="12"/>
  <c r="A357" i="12"/>
  <c r="A550" i="12"/>
  <c r="A175" i="12"/>
  <c r="A176" i="12"/>
  <c r="A177" i="12"/>
  <c r="A178" i="12"/>
  <c r="A179" i="12"/>
  <c r="A538" i="12"/>
  <c r="A476" i="12"/>
  <c r="A182" i="12"/>
  <c r="A420" i="12"/>
  <c r="A297" i="12"/>
  <c r="A185" i="12"/>
  <c r="A336" i="12"/>
  <c r="A105" i="12"/>
  <c r="A522" i="12"/>
  <c r="A198" i="12"/>
  <c r="A190" i="12"/>
  <c r="A290" i="12"/>
  <c r="A192" i="12"/>
  <c r="A193" i="12"/>
  <c r="A65" i="12"/>
  <c r="A339" i="12"/>
  <c r="A545" i="12"/>
  <c r="A33" i="12"/>
  <c r="A579" i="12"/>
  <c r="A100" i="12"/>
  <c r="A200" i="12"/>
  <c r="A201" i="12"/>
  <c r="A202" i="12"/>
  <c r="A603" i="12"/>
  <c r="A204" i="12"/>
  <c r="A205" i="12"/>
  <c r="A296" i="12"/>
  <c r="A207" i="12"/>
  <c r="A208" i="12"/>
  <c r="A209" i="12"/>
  <c r="A210" i="12"/>
  <c r="A211" i="12"/>
  <c r="A212" i="12"/>
  <c r="A213" i="12"/>
  <c r="A214" i="12"/>
  <c r="A215" i="12"/>
  <c r="A574" i="12"/>
  <c r="A217" i="12"/>
  <c r="A218" i="12"/>
  <c r="A219" i="12"/>
  <c r="A220" i="12"/>
  <c r="A221" i="12"/>
  <c r="A222" i="12"/>
  <c r="A275" i="12"/>
  <c r="A224" i="12"/>
  <c r="A341" i="12"/>
  <c r="A226" i="12"/>
  <c r="A227" i="12"/>
  <c r="A228" i="12"/>
  <c r="A229" i="12"/>
  <c r="A230" i="12"/>
  <c r="A549" i="12"/>
  <c r="A232" i="12"/>
  <c r="A216" i="12"/>
  <c r="A234" i="12"/>
  <c r="A235" i="12"/>
  <c r="A236" i="12"/>
  <c r="A237" i="12"/>
  <c r="A238" i="12"/>
  <c r="A624" i="12"/>
  <c r="A240" i="12"/>
  <c r="A241" i="12"/>
  <c r="A571" i="12"/>
  <c r="A243" i="12"/>
  <c r="A244" i="12"/>
  <c r="A245" i="12"/>
  <c r="A246" i="12"/>
  <c r="A247" i="12"/>
  <c r="A248" i="12"/>
  <c r="A249" i="12"/>
  <c r="A613" i="12"/>
  <c r="A203" i="12"/>
  <c r="A252" i="12"/>
  <c r="A475" i="12"/>
  <c r="A563" i="12"/>
  <c r="A255" i="12"/>
  <c r="A565" i="12"/>
  <c r="A568" i="12"/>
  <c r="A258" i="12"/>
  <c r="A281" i="12"/>
  <c r="A528" i="12"/>
  <c r="A261" i="12"/>
  <c r="A404" i="12"/>
  <c r="A263" i="12"/>
  <c r="A264" i="12"/>
  <c r="A265" i="12"/>
  <c r="A266" i="12"/>
  <c r="A666" i="12"/>
  <c r="A268" i="12"/>
  <c r="A487" i="12"/>
  <c r="A106" i="12"/>
  <c r="A289" i="12"/>
  <c r="A585" i="12"/>
  <c r="A273" i="12"/>
  <c r="A373" i="12"/>
  <c r="A347" i="12"/>
  <c r="A631" i="12"/>
  <c r="A277" i="12"/>
  <c r="A278" i="12"/>
  <c r="A279" i="12"/>
  <c r="A280" i="12"/>
  <c r="A66" i="12"/>
  <c r="A282" i="12"/>
  <c r="A639" i="12"/>
  <c r="A284" i="12"/>
  <c r="A285" i="12"/>
  <c r="A406" i="12"/>
  <c r="A287" i="12"/>
  <c r="A288" i="12"/>
  <c r="A418" i="12"/>
  <c r="A239" i="12"/>
  <c r="A191" i="12"/>
  <c r="A619" i="12"/>
  <c r="A354" i="12"/>
  <c r="A271" i="12"/>
  <c r="A295" i="12"/>
  <c r="A233" i="12"/>
  <c r="A270" i="12"/>
  <c r="A298" i="12"/>
  <c r="A299" i="12"/>
  <c r="A300" i="12"/>
  <c r="A87" i="12"/>
  <c r="A417" i="12"/>
  <c r="A303" i="12"/>
  <c r="A304" i="12"/>
  <c r="A305" i="12"/>
  <c r="A128" i="12"/>
  <c r="A307" i="12"/>
  <c r="A180" i="12"/>
  <c r="A187" i="12"/>
  <c r="A310" i="12"/>
  <c r="A311" i="12"/>
  <c r="A312" i="12"/>
  <c r="A362" i="12"/>
  <c r="A314" i="12"/>
  <c r="A591" i="12"/>
  <c r="A439" i="12"/>
  <c r="A453" i="12"/>
  <c r="A301" i="12"/>
  <c r="A319" i="12"/>
  <c r="A320" i="12"/>
  <c r="A422" i="12"/>
  <c r="A322" i="12"/>
  <c r="A323" i="12"/>
  <c r="A324" i="12"/>
  <c r="A325" i="12"/>
  <c r="A326" i="12"/>
  <c r="A590" i="12"/>
  <c r="A328" i="12"/>
  <c r="A329" i="12"/>
  <c r="A330" i="12"/>
  <c r="A331" i="12"/>
  <c r="A482" i="12"/>
  <c r="A333" i="12"/>
  <c r="A334" i="12"/>
  <c r="A391" i="12"/>
  <c r="A346" i="12"/>
  <c r="A337" i="12"/>
  <c r="A250" i="12"/>
  <c r="A318" i="12"/>
  <c r="A73" i="12"/>
  <c r="A450" i="12"/>
  <c r="A120" i="12"/>
  <c r="A37" i="12"/>
  <c r="A553" i="12"/>
  <c r="A345" i="12"/>
  <c r="A518" i="12"/>
  <c r="A225" i="12"/>
  <c r="A338" i="12"/>
  <c r="A349" i="12"/>
  <c r="A350" i="12"/>
  <c r="A72" i="12"/>
  <c r="A352" i="12"/>
  <c r="A399" i="12"/>
  <c r="A353" i="12"/>
  <c r="A317" i="12"/>
  <c r="A343" i="12"/>
  <c r="A519" i="12"/>
  <c r="A467" i="12"/>
  <c r="A510" i="12"/>
  <c r="A360" i="12"/>
  <c r="A596" i="12"/>
  <c r="A292" i="12"/>
  <c r="A251" i="12"/>
  <c r="A364" i="12"/>
  <c r="A365" i="12"/>
  <c r="A342" i="12"/>
  <c r="A103" i="12"/>
  <c r="A431" i="12"/>
  <c r="A369" i="12"/>
  <c r="A609" i="12"/>
  <c r="A371" i="12"/>
  <c r="A503" i="12"/>
  <c r="A665" i="12"/>
  <c r="A486" i="12"/>
  <c r="A375" i="12"/>
  <c r="A376" i="12"/>
  <c r="A559" i="12"/>
  <c r="A378" i="12"/>
  <c r="A321" i="12"/>
  <c r="A380" i="12"/>
  <c r="A381" i="12"/>
  <c r="A429" i="12"/>
  <c r="A383" i="12"/>
  <c r="A384" i="12"/>
  <c r="A385" i="12"/>
  <c r="A386" i="12"/>
  <c r="A387" i="12"/>
  <c r="A388" i="12"/>
  <c r="A389" i="12"/>
  <c r="A390" i="12"/>
  <c r="A546" i="12"/>
  <c r="A392" i="12"/>
  <c r="A393" i="12"/>
  <c r="A405" i="12"/>
  <c r="A395" i="12"/>
  <c r="A332" i="12"/>
  <c r="A397" i="12"/>
  <c r="A398" i="12"/>
  <c r="A256" i="12"/>
  <c r="A400" i="12"/>
  <c r="A401" i="12"/>
  <c r="A402" i="12"/>
  <c r="A403" i="12"/>
  <c r="A411" i="12"/>
  <c r="A104" i="12"/>
  <c r="A118" i="12"/>
  <c r="A407" i="12"/>
  <c r="A408" i="12"/>
  <c r="A409" i="12"/>
  <c r="A396" i="12"/>
  <c r="A594" i="12"/>
  <c r="A412" i="12"/>
  <c r="A39" i="12"/>
  <c r="A414" i="12"/>
  <c r="A415" i="12"/>
  <c r="A416" i="12"/>
  <c r="A181" i="12"/>
  <c r="A608" i="12"/>
  <c r="A419" i="12"/>
  <c r="A356" i="12"/>
  <c r="A421" i="12"/>
  <c r="A481" i="12"/>
  <c r="A600" i="12"/>
  <c r="A469" i="12"/>
  <c r="A413" i="12"/>
  <c r="A426" i="12"/>
  <c r="A427" i="12"/>
  <c r="A428" i="12"/>
  <c r="A351" i="12"/>
  <c r="A430" i="12"/>
  <c r="A533" i="12"/>
  <c r="A432" i="12"/>
  <c r="A433" i="12"/>
  <c r="A434" i="12"/>
  <c r="A344" i="12"/>
  <c r="A436" i="12"/>
  <c r="A437" i="12"/>
  <c r="A438" i="12"/>
  <c r="A139" i="12"/>
  <c r="A293" i="12"/>
  <c r="A441" i="12"/>
  <c r="A442" i="12"/>
  <c r="A443" i="12"/>
  <c r="A148" i="12"/>
  <c r="A653" i="12"/>
  <c r="A446" i="12"/>
  <c r="A447" i="12"/>
  <c r="A448" i="12"/>
  <c r="A449" i="12"/>
  <c r="A142" i="12"/>
  <c r="A451" i="12"/>
  <c r="A452" i="12"/>
  <c r="A599" i="12"/>
  <c r="A612" i="12"/>
  <c r="A455" i="12"/>
  <c r="A456" i="12"/>
  <c r="A457" i="12"/>
  <c r="A309" i="12"/>
  <c r="A459" i="12"/>
  <c r="A618" i="12"/>
  <c r="A440" i="12"/>
  <c r="A462" i="12"/>
  <c r="A463" i="12"/>
  <c r="A524" i="12"/>
  <c r="A465" i="12"/>
  <c r="A466" i="12"/>
  <c r="A254" i="12"/>
  <c r="A468" i="12"/>
  <c r="A253" i="12"/>
  <c r="A145" i="12"/>
  <c r="A194" i="12"/>
  <c r="A472" i="12"/>
  <c r="A355" i="12"/>
  <c r="A474" i="12"/>
  <c r="A119" i="12"/>
  <c r="A454" i="12"/>
  <c r="A69" i="12"/>
  <c r="A478" i="12"/>
  <c r="A479" i="12"/>
  <c r="A480" i="12"/>
  <c r="A471" i="12"/>
  <c r="A372" i="12"/>
  <c r="A68" i="12"/>
  <c r="A484" i="12"/>
  <c r="A485" i="12"/>
  <c r="A493" i="12"/>
  <c r="A171" i="12"/>
  <c r="A488" i="12"/>
  <c r="A489" i="12"/>
  <c r="A490" i="12"/>
  <c r="A491" i="12"/>
  <c r="A492" i="12"/>
  <c r="A231" i="12"/>
  <c r="A494" i="12"/>
  <c r="A495" i="12"/>
  <c r="A108" i="12"/>
  <c r="A497" i="12"/>
  <c r="A498" i="12"/>
  <c r="A38" i="12"/>
  <c r="A500" i="12"/>
  <c r="A501" i="12"/>
  <c r="A502" i="12"/>
  <c r="A173" i="12"/>
  <c r="A504" i="12"/>
  <c r="A505" i="12"/>
  <c r="A506" i="12"/>
  <c r="A507" i="12"/>
  <c r="A508" i="12"/>
  <c r="A642" i="12"/>
  <c r="A602" i="12"/>
  <c r="A511" i="12"/>
  <c r="A512" i="12"/>
  <c r="A499" i="12"/>
  <c r="A514" i="12"/>
  <c r="A515" i="12"/>
  <c r="A169" i="12"/>
  <c r="A517" i="12"/>
  <c r="A170" i="12"/>
  <c r="A615" i="12"/>
  <c r="A520" i="12"/>
  <c r="A521" i="12"/>
  <c r="A562" i="12"/>
  <c r="A523" i="12"/>
  <c r="A340" i="12"/>
  <c r="A525" i="12"/>
  <c r="A526" i="12"/>
  <c r="A88" i="12"/>
  <c r="A294" i="12"/>
  <c r="A529" i="12"/>
  <c r="A151" i="12"/>
  <c r="A531" i="12"/>
  <c r="A532" i="12"/>
  <c r="A473" i="12"/>
  <c r="A534" i="12"/>
  <c r="A654" i="12"/>
  <c r="A536" i="12"/>
  <c r="A537" i="12"/>
  <c r="A166" i="12"/>
  <c r="A86" i="12"/>
  <c r="A540" i="12"/>
  <c r="A125" i="12"/>
  <c r="A542" i="12"/>
  <c r="A556" i="12"/>
  <c r="A632" i="12"/>
  <c r="A634" i="12"/>
  <c r="A366" i="12"/>
  <c r="A259" i="12"/>
  <c r="A548" i="12"/>
  <c r="A129" i="12"/>
  <c r="A643" i="12"/>
  <c r="A547" i="12"/>
  <c r="A313" i="12"/>
  <c r="A130" i="12"/>
  <c r="A554" i="12"/>
  <c r="A555" i="12"/>
  <c r="A535" i="12"/>
  <c r="A557" i="12"/>
  <c r="A558" i="12"/>
  <c r="A272" i="12"/>
  <c r="A560" i="12"/>
  <c r="A561" i="12"/>
  <c r="A626" i="12"/>
  <c r="A635" i="12"/>
  <c r="A564" i="12"/>
  <c r="A40" i="12"/>
  <c r="A566" i="12"/>
  <c r="A567" i="12"/>
  <c r="A27" i="12"/>
  <c r="A551" i="12"/>
  <c r="A570" i="12"/>
  <c r="A260" i="12"/>
  <c r="A620" i="12"/>
  <c r="A573" i="12"/>
  <c r="A276" i="12"/>
  <c r="A575" i="12"/>
  <c r="A576" i="12"/>
  <c r="A577" i="12"/>
  <c r="A578" i="12"/>
  <c r="A539" i="12"/>
  <c r="A580" i="12"/>
  <c r="A581" i="12"/>
  <c r="A582" i="12"/>
  <c r="A583" i="12"/>
  <c r="A584" i="12"/>
  <c r="A636" i="12"/>
  <c r="A586" i="12"/>
  <c r="A587" i="12"/>
  <c r="A588" i="12"/>
  <c r="A589" i="12"/>
  <c r="A622" i="12"/>
  <c r="A572" i="12"/>
  <c r="A592" i="12"/>
  <c r="A302" i="12"/>
  <c r="A308" i="12"/>
  <c r="A595" i="12"/>
  <c r="A444" i="12"/>
  <c r="A597" i="12"/>
  <c r="A598" i="12"/>
  <c r="A544" i="12"/>
  <c r="A650" i="12"/>
  <c r="A601" i="12"/>
  <c r="A569" i="12"/>
  <c r="A610" i="12"/>
  <c r="A604" i="12"/>
  <c r="A605" i="12"/>
  <c r="A606" i="12"/>
  <c r="A607" i="12"/>
  <c r="A646" i="12"/>
  <c r="A617" i="12"/>
  <c r="A189" i="12"/>
  <c r="A611" i="12"/>
  <c r="A174" i="12"/>
  <c r="A379" i="12"/>
  <c r="A614" i="12"/>
  <c r="A123" i="12"/>
  <c r="A593" i="12"/>
  <c r="Q72" i="9" l="1"/>
  <c r="R72" i="9" s="1"/>
  <c r="P72" i="9" s="1"/>
  <c r="Q73" i="9"/>
  <c r="Q75" i="9"/>
  <c r="Q77" i="9"/>
  <c r="Q79" i="9"/>
  <c r="R79" i="9" s="1"/>
  <c r="P79" i="9" s="1"/>
  <c r="Q80" i="9"/>
  <c r="Q82" i="9"/>
  <c r="Q85" i="9"/>
  <c r="R85" i="9" s="1"/>
  <c r="P85" i="9" s="1"/>
  <c r="Q86" i="9"/>
  <c r="Q88" i="9"/>
  <c r="Q91" i="9"/>
  <c r="R91" i="9" s="1"/>
  <c r="P91" i="9" s="1"/>
  <c r="Q92" i="9"/>
  <c r="Q95" i="9"/>
  <c r="R95" i="9" s="1"/>
  <c r="P95" i="9" s="1"/>
  <c r="Q96" i="9"/>
  <c r="Q99" i="9"/>
  <c r="R99" i="9" s="1"/>
  <c r="P99" i="9" s="1"/>
  <c r="Q100" i="9"/>
  <c r="Q103" i="9"/>
  <c r="R103" i="9" s="1"/>
  <c r="P103" i="9" s="1"/>
  <c r="Q104" i="9"/>
  <c r="Q107" i="9"/>
  <c r="R107" i="9" s="1"/>
  <c r="P107" i="9" s="1"/>
  <c r="Q108" i="9"/>
  <c r="Q111" i="9"/>
  <c r="R111" i="9" s="1"/>
  <c r="P111" i="9" s="1"/>
  <c r="Q112" i="9"/>
  <c r="Q115" i="9"/>
  <c r="R115" i="9" s="1"/>
  <c r="P115" i="9" s="1"/>
  <c r="Q116" i="9"/>
  <c r="Q119" i="9"/>
  <c r="Q121" i="9"/>
  <c r="Q124" i="9"/>
  <c r="R124" i="9" s="1"/>
  <c r="P124" i="9" s="1"/>
  <c r="Q125" i="9"/>
  <c r="Q128" i="9"/>
  <c r="R128" i="9" s="1"/>
  <c r="P128" i="9" s="1"/>
  <c r="Q129" i="9"/>
  <c r="Q132" i="9"/>
  <c r="R132" i="9" s="1"/>
  <c r="P132" i="9" s="1"/>
  <c r="Q133" i="9"/>
  <c r="Q136" i="9"/>
  <c r="Q138" i="9"/>
  <c r="Q140" i="9"/>
  <c r="Q142" i="9"/>
  <c r="R142" i="9" s="1"/>
  <c r="P142" i="9" s="1"/>
  <c r="Q143" i="9"/>
  <c r="Q146" i="9"/>
  <c r="R146" i="9" s="1"/>
  <c r="P146" i="9" s="1"/>
  <c r="Q147" i="9"/>
  <c r="Q150" i="9"/>
  <c r="R150" i="9" s="1"/>
  <c r="P150" i="9" s="1"/>
  <c r="Q70" i="9"/>
  <c r="R70" i="9" s="1"/>
  <c r="P70" i="9" s="1"/>
  <c r="Q71" i="9"/>
  <c r="Q74" i="9"/>
  <c r="Q76" i="9"/>
  <c r="Q78" i="9"/>
  <c r="Q81" i="9"/>
  <c r="Q83" i="9"/>
  <c r="R83" i="9" s="1"/>
  <c r="P83" i="9" s="1"/>
  <c r="Q84" i="9"/>
  <c r="Q87" i="9"/>
  <c r="Q90" i="9"/>
  <c r="Q93" i="9"/>
  <c r="R93" i="9" s="1"/>
  <c r="P93" i="9" s="1"/>
  <c r="Q94" i="9"/>
  <c r="Q97" i="9"/>
  <c r="R97" i="9" s="1"/>
  <c r="P97" i="9" s="1"/>
  <c r="Q98" i="9"/>
  <c r="Q101" i="9"/>
  <c r="R101" i="9" s="1"/>
  <c r="P101" i="9" s="1"/>
  <c r="Q102" i="9"/>
  <c r="Q105" i="9"/>
  <c r="R105" i="9" s="1"/>
  <c r="P105" i="9" s="1"/>
  <c r="Q106" i="9"/>
  <c r="Q109" i="9"/>
  <c r="R109" i="9" s="1"/>
  <c r="P109" i="9" s="1"/>
  <c r="Q110" i="9"/>
  <c r="Q113" i="9"/>
  <c r="R113" i="9" s="1"/>
  <c r="P113" i="9" s="1"/>
  <c r="Q114" i="9"/>
  <c r="Q117" i="9"/>
  <c r="R117" i="9" s="1"/>
  <c r="P117" i="9" s="1"/>
  <c r="Q118" i="9"/>
  <c r="Q120" i="9"/>
  <c r="Q123" i="9"/>
  <c r="Q126" i="9"/>
  <c r="R126" i="9" s="1"/>
  <c r="P126" i="9" s="1"/>
  <c r="Q127" i="9"/>
  <c r="Q130" i="9"/>
  <c r="R130" i="9" s="1"/>
  <c r="P130" i="9" s="1"/>
  <c r="Q131" i="9"/>
  <c r="Q134" i="9"/>
  <c r="R134" i="9" s="1"/>
  <c r="P134" i="9" s="1"/>
  <c r="Q135" i="9"/>
  <c r="Q137" i="9"/>
  <c r="Q139" i="9"/>
  <c r="Q141" i="9"/>
  <c r="Q144" i="9"/>
  <c r="R144" i="9" s="1"/>
  <c r="P144" i="9" s="1"/>
  <c r="Q145" i="9"/>
  <c r="Q148" i="9"/>
  <c r="R148" i="9" s="1"/>
  <c r="P148" i="9" s="1"/>
  <c r="Q149" i="9"/>
  <c r="Q152" i="9"/>
  <c r="R152" i="9" s="1"/>
  <c r="P152" i="9" s="1"/>
  <c r="Q153" i="9"/>
  <c r="Q156" i="9"/>
  <c r="R156" i="9" s="1"/>
  <c r="P156" i="9" s="1"/>
  <c r="Q157" i="9"/>
  <c r="Q160" i="9"/>
  <c r="R160" i="9" s="1"/>
  <c r="P160" i="9" s="1"/>
  <c r="Q161" i="9"/>
  <c r="Q164" i="9"/>
  <c r="R164" i="9" s="1"/>
  <c r="P164" i="9" s="1"/>
  <c r="Q165" i="9"/>
  <c r="Q168" i="9"/>
  <c r="R168" i="9" s="1"/>
  <c r="P168" i="9" s="1"/>
  <c r="Q169" i="9"/>
  <c r="Q172" i="9"/>
  <c r="R172" i="9" s="1"/>
  <c r="P172" i="9" s="1"/>
  <c r="Q173" i="9"/>
  <c r="Q176" i="9"/>
  <c r="R176" i="9" s="1"/>
  <c r="P176" i="9" s="1"/>
  <c r="Q177" i="9"/>
  <c r="Q180" i="9"/>
  <c r="R180" i="9" s="1"/>
  <c r="P180" i="9" s="1"/>
  <c r="Q181" i="9"/>
  <c r="Q184" i="9"/>
  <c r="R184" i="9" s="1"/>
  <c r="P184" i="9" s="1"/>
  <c r="Q185" i="9"/>
  <c r="Q188" i="9"/>
  <c r="R188" i="9" s="1"/>
  <c r="P188" i="9" s="1"/>
  <c r="Q189" i="9"/>
  <c r="Q192" i="9"/>
  <c r="R192" i="9" s="1"/>
  <c r="P192" i="9" s="1"/>
  <c r="Q193" i="9"/>
  <c r="Q3" i="9"/>
  <c r="R3" i="9" s="1"/>
  <c r="P3" i="9" s="1"/>
  <c r="Q5" i="9"/>
  <c r="R5" i="9" s="1"/>
  <c r="P5" i="9" s="1"/>
  <c r="Q7" i="9"/>
  <c r="R7" i="9" s="1"/>
  <c r="P7" i="9" s="1"/>
  <c r="Q9" i="9"/>
  <c r="R9" i="9" s="1"/>
  <c r="P9" i="9" s="1"/>
  <c r="Q11" i="9"/>
  <c r="R11" i="9" s="1"/>
  <c r="P11" i="9" s="1"/>
  <c r="Q13" i="9"/>
  <c r="R13" i="9" s="1"/>
  <c r="P13" i="9" s="1"/>
  <c r="Q15" i="9"/>
  <c r="R15" i="9" s="1"/>
  <c r="P15" i="9" s="1"/>
  <c r="Q17" i="9"/>
  <c r="R17" i="9" s="1"/>
  <c r="P17" i="9" s="1"/>
  <c r="Q19" i="9"/>
  <c r="R19" i="9" s="1"/>
  <c r="P19" i="9" s="1"/>
  <c r="Q21" i="9"/>
  <c r="R21" i="9" s="1"/>
  <c r="P21" i="9" s="1"/>
  <c r="Q23" i="9"/>
  <c r="R23" i="9" s="1"/>
  <c r="P23" i="9" s="1"/>
  <c r="Q25" i="9"/>
  <c r="R25" i="9" s="1"/>
  <c r="P25" i="9" s="1"/>
  <c r="Q27" i="9"/>
  <c r="R27" i="9" s="1"/>
  <c r="P27" i="9" s="1"/>
  <c r="Q41" i="9"/>
  <c r="R41" i="9" s="1"/>
  <c r="P41" i="9" s="1"/>
  <c r="Q43" i="9"/>
  <c r="R43" i="9" s="1"/>
  <c r="P43" i="9" s="1"/>
  <c r="Q45" i="9"/>
  <c r="R45" i="9" s="1"/>
  <c r="P45" i="9" s="1"/>
  <c r="Q47" i="9"/>
  <c r="R47" i="9" s="1"/>
  <c r="P47" i="9" s="1"/>
  <c r="Q49" i="9"/>
  <c r="R49" i="9" s="1"/>
  <c r="P49" i="9" s="1"/>
  <c r="Q51" i="9"/>
  <c r="R51" i="9" s="1"/>
  <c r="P51" i="9" s="1"/>
  <c r="Q53" i="9"/>
  <c r="R53" i="9" s="1"/>
  <c r="P53" i="9" s="1"/>
  <c r="Q55" i="9"/>
  <c r="R55" i="9" s="1"/>
  <c r="P55" i="9" s="1"/>
  <c r="Q57" i="9"/>
  <c r="R57" i="9" s="1"/>
  <c r="P57" i="9" s="1"/>
  <c r="Q59" i="9"/>
  <c r="R59" i="9" s="1"/>
  <c r="P59" i="9" s="1"/>
  <c r="Q61" i="9"/>
  <c r="R61" i="9" s="1"/>
  <c r="P61" i="9" s="1"/>
  <c r="Q63" i="9"/>
  <c r="R63" i="9" s="1"/>
  <c r="P63" i="9" s="1"/>
  <c r="Q65" i="9"/>
  <c r="R65" i="9" s="1"/>
  <c r="P65" i="9" s="1"/>
  <c r="Q67" i="9"/>
  <c r="R67" i="9" s="1"/>
  <c r="P67" i="9" s="1"/>
  <c r="Q194" i="9"/>
  <c r="R194" i="9" s="1"/>
  <c r="Q30" i="9"/>
  <c r="R30" i="9" s="1"/>
  <c r="P30" i="9" s="1"/>
  <c r="Q32" i="9"/>
  <c r="R32" i="9" s="1"/>
  <c r="P32" i="9" s="1"/>
  <c r="Q34" i="9"/>
  <c r="R34" i="9" s="1"/>
  <c r="P34" i="9" s="1"/>
  <c r="Q36" i="9"/>
  <c r="R36" i="9" s="1"/>
  <c r="P36" i="9" s="1"/>
  <c r="Q155" i="9"/>
  <c r="Q158" i="9"/>
  <c r="R158" i="9" s="1"/>
  <c r="P158" i="9" s="1"/>
  <c r="Q163" i="9"/>
  <c r="Q166" i="9"/>
  <c r="R166" i="9" s="1"/>
  <c r="P166" i="9" s="1"/>
  <c r="Q171" i="9"/>
  <c r="Q174" i="9"/>
  <c r="R174" i="9" s="1"/>
  <c r="P174" i="9" s="1"/>
  <c r="Q179" i="9"/>
  <c r="Q182" i="9"/>
  <c r="R182" i="9" s="1"/>
  <c r="P182" i="9" s="1"/>
  <c r="Q187" i="9"/>
  <c r="Q190" i="9"/>
  <c r="R190" i="9" s="1"/>
  <c r="P190" i="9" s="1"/>
  <c r="M70" i="9"/>
  <c r="Q6" i="9"/>
  <c r="R6" i="9" s="1"/>
  <c r="P6" i="9" s="1"/>
  <c r="Q10" i="9"/>
  <c r="R10" i="9" s="1"/>
  <c r="P10" i="9" s="1"/>
  <c r="Q14" i="9"/>
  <c r="R14" i="9" s="1"/>
  <c r="P14" i="9" s="1"/>
  <c r="Q18" i="9"/>
  <c r="R18" i="9" s="1"/>
  <c r="P18" i="9" s="1"/>
  <c r="Q22" i="9"/>
  <c r="R22" i="9" s="1"/>
  <c r="P22" i="9" s="1"/>
  <c r="Q26" i="9"/>
  <c r="R26" i="9" s="1"/>
  <c r="P26" i="9" s="1"/>
  <c r="Q42" i="9"/>
  <c r="R42" i="9" s="1"/>
  <c r="P42" i="9" s="1"/>
  <c r="Q46" i="9"/>
  <c r="R46" i="9" s="1"/>
  <c r="P46" i="9" s="1"/>
  <c r="Q50" i="9"/>
  <c r="R50" i="9" s="1"/>
  <c r="P50" i="9" s="1"/>
  <c r="Q54" i="9"/>
  <c r="R54" i="9" s="1"/>
  <c r="P54" i="9" s="1"/>
  <c r="Q58" i="9"/>
  <c r="R58" i="9" s="1"/>
  <c r="P58" i="9" s="1"/>
  <c r="Q62" i="9"/>
  <c r="R62" i="9" s="1"/>
  <c r="P62" i="9" s="1"/>
  <c r="Q66" i="9"/>
  <c r="R66" i="9" s="1"/>
  <c r="P66" i="9" s="1"/>
  <c r="Q39" i="9"/>
  <c r="R39" i="9" s="1"/>
  <c r="P39" i="9" s="1"/>
  <c r="Q151" i="9"/>
  <c r="Q154" i="9"/>
  <c r="R154" i="9" s="1"/>
  <c r="P154" i="9" s="1"/>
  <c r="Q159" i="9"/>
  <c r="Q162" i="9"/>
  <c r="R162" i="9" s="1"/>
  <c r="P162" i="9" s="1"/>
  <c r="Q167" i="9"/>
  <c r="Q170" i="9"/>
  <c r="R170" i="9" s="1"/>
  <c r="P170" i="9" s="1"/>
  <c r="Q175" i="9"/>
  <c r="Q178" i="9"/>
  <c r="R178" i="9" s="1"/>
  <c r="P178" i="9" s="1"/>
  <c r="Q183" i="9"/>
  <c r="Q186" i="9"/>
  <c r="R186" i="9" s="1"/>
  <c r="P186" i="9" s="1"/>
  <c r="Q191" i="9"/>
  <c r="Q4" i="9"/>
  <c r="R4" i="9" s="1"/>
  <c r="P4" i="9" s="1"/>
  <c r="Q8" i="9"/>
  <c r="R8" i="9" s="1"/>
  <c r="P8" i="9" s="1"/>
  <c r="Q12" i="9"/>
  <c r="R12" i="9" s="1"/>
  <c r="P12" i="9" s="1"/>
  <c r="Q16" i="9"/>
  <c r="R16" i="9" s="1"/>
  <c r="P16" i="9" s="1"/>
  <c r="Q20" i="9"/>
  <c r="R20" i="9" s="1"/>
  <c r="P20" i="9" s="1"/>
  <c r="Q24" i="9"/>
  <c r="R24" i="9" s="1"/>
  <c r="P24" i="9" s="1"/>
  <c r="Q28" i="9"/>
  <c r="R28" i="9" s="1"/>
  <c r="P28" i="9" s="1"/>
  <c r="Q44" i="9"/>
  <c r="R44" i="9" s="1"/>
  <c r="P44" i="9" s="1"/>
  <c r="Q48" i="9"/>
  <c r="R48" i="9" s="1"/>
  <c r="P48" i="9" s="1"/>
  <c r="Q52" i="9"/>
  <c r="R52" i="9" s="1"/>
  <c r="P52" i="9" s="1"/>
  <c r="Q56" i="9"/>
  <c r="R56" i="9" s="1"/>
  <c r="P56" i="9" s="1"/>
  <c r="Q60" i="9"/>
  <c r="R60" i="9" s="1"/>
  <c r="P60" i="9" s="1"/>
  <c r="Q64" i="9"/>
  <c r="R64" i="9" s="1"/>
  <c r="P64" i="9" s="1"/>
  <c r="Q68" i="9"/>
  <c r="R68" i="9" s="1"/>
  <c r="P68" i="9" s="1"/>
  <c r="Q31" i="9"/>
  <c r="R31" i="9" s="1"/>
  <c r="P31" i="9" s="1"/>
  <c r="Q35" i="9"/>
  <c r="R35" i="9" s="1"/>
  <c r="P35" i="9" s="1"/>
  <c r="Q38" i="9"/>
  <c r="R38" i="9" s="1"/>
  <c r="P38" i="9" s="1"/>
  <c r="Q29" i="9"/>
  <c r="R29" i="9" s="1"/>
  <c r="P29" i="9" s="1"/>
  <c r="Q33" i="9"/>
  <c r="R33" i="9" s="1"/>
  <c r="P33" i="9" s="1"/>
  <c r="Q37" i="9"/>
  <c r="R37" i="9" s="1"/>
  <c r="P37" i="9" s="1"/>
  <c r="Q40" i="9"/>
  <c r="R40" i="9" s="1"/>
  <c r="P40" i="9" s="1"/>
  <c r="M194" i="9"/>
  <c r="N138" i="9"/>
  <c r="N178" i="9"/>
  <c r="M138" i="9"/>
  <c r="O138" i="9"/>
  <c r="M178" i="9"/>
  <c r="O178" i="9"/>
  <c r="M3" i="9"/>
  <c r="M6" i="9"/>
  <c r="M5" i="9"/>
  <c r="M8" i="9"/>
  <c r="M12" i="9"/>
  <c r="M11" i="9"/>
  <c r="M15" i="9"/>
  <c r="M16" i="9"/>
  <c r="M18" i="9"/>
  <c r="M20" i="9"/>
  <c r="M22" i="9"/>
  <c r="M24" i="9"/>
  <c r="M26" i="9"/>
  <c r="M28" i="9"/>
  <c r="M30" i="9"/>
  <c r="M32" i="9"/>
  <c r="M34" i="9"/>
  <c r="M36" i="9"/>
  <c r="M38" i="9"/>
  <c r="M40" i="9"/>
  <c r="M42" i="9"/>
  <c r="M44" i="9"/>
  <c r="M46" i="9"/>
  <c r="M48" i="9"/>
  <c r="M50" i="9"/>
  <c r="M52" i="9"/>
  <c r="M54" i="9"/>
  <c r="M56" i="9"/>
  <c r="M58" i="9"/>
  <c r="M60" i="9"/>
  <c r="M62" i="9"/>
  <c r="M64" i="9"/>
  <c r="M66" i="9"/>
  <c r="M68" i="9"/>
  <c r="M71" i="9"/>
  <c r="M73" i="9"/>
  <c r="M75" i="9"/>
  <c r="M77" i="9"/>
  <c r="M79" i="9"/>
  <c r="M81" i="9"/>
  <c r="M83" i="9"/>
  <c r="M85" i="9"/>
  <c r="M87" i="9"/>
  <c r="M90" i="9"/>
  <c r="M92" i="9"/>
  <c r="M94" i="9"/>
  <c r="M96" i="9"/>
  <c r="M98" i="9"/>
  <c r="M100" i="9"/>
  <c r="M102" i="9"/>
  <c r="M104" i="9"/>
  <c r="M106" i="9"/>
  <c r="M108" i="9"/>
  <c r="M110" i="9"/>
  <c r="M112" i="9"/>
  <c r="M114" i="9"/>
  <c r="M116" i="9"/>
  <c r="M118" i="9"/>
  <c r="M120" i="9"/>
  <c r="M123" i="9"/>
  <c r="M125" i="9"/>
  <c r="M127" i="9"/>
  <c r="M129" i="9"/>
  <c r="M131" i="9"/>
  <c r="M133" i="9"/>
  <c r="M135" i="9"/>
  <c r="M137" i="9"/>
  <c r="M139" i="9"/>
  <c r="M141" i="9"/>
  <c r="M143" i="9"/>
  <c r="M145" i="9"/>
  <c r="M147" i="9"/>
  <c r="M149" i="9"/>
  <c r="M151" i="9"/>
  <c r="M153" i="9"/>
  <c r="M155" i="9"/>
  <c r="M157" i="9"/>
  <c r="M159" i="9"/>
  <c r="M161" i="9"/>
  <c r="M163" i="9"/>
  <c r="M165" i="9"/>
  <c r="M167" i="9"/>
  <c r="M7" i="9"/>
  <c r="M4" i="9"/>
  <c r="M9" i="9"/>
  <c r="M13" i="9"/>
  <c r="M10" i="9"/>
  <c r="M14" i="9"/>
  <c r="M17" i="9"/>
  <c r="M19" i="9"/>
  <c r="M21" i="9"/>
  <c r="M23" i="9"/>
  <c r="M25" i="9"/>
  <c r="M27" i="9"/>
  <c r="M29" i="9"/>
  <c r="M31" i="9"/>
  <c r="M33" i="9"/>
  <c r="M35" i="9"/>
  <c r="M37" i="9"/>
  <c r="M39" i="9"/>
  <c r="M41" i="9"/>
  <c r="M43" i="9"/>
  <c r="M45" i="9"/>
  <c r="M47" i="9"/>
  <c r="M49" i="9"/>
  <c r="M51" i="9"/>
  <c r="M53" i="9"/>
  <c r="M55" i="9"/>
  <c r="M57" i="9"/>
  <c r="M59" i="9"/>
  <c r="M61" i="9"/>
  <c r="M63" i="9"/>
  <c r="M65" i="9"/>
  <c r="M67" i="9"/>
  <c r="M72" i="9"/>
  <c r="M74" i="9"/>
  <c r="M76" i="9"/>
  <c r="M78" i="9"/>
  <c r="M80" i="9"/>
  <c r="M82" i="9"/>
  <c r="M84" i="9"/>
  <c r="M86" i="9"/>
  <c r="M88" i="9"/>
  <c r="M91" i="9"/>
  <c r="M93" i="9"/>
  <c r="M95" i="9"/>
  <c r="M97" i="9"/>
  <c r="M99" i="9"/>
  <c r="M101" i="9"/>
  <c r="M103" i="9"/>
  <c r="M105" i="9"/>
  <c r="M107" i="9"/>
  <c r="M109" i="9"/>
  <c r="M111" i="9"/>
  <c r="M113" i="9"/>
  <c r="M115" i="9"/>
  <c r="M117" i="9"/>
  <c r="M119" i="9"/>
  <c r="M121" i="9"/>
  <c r="M124" i="9"/>
  <c r="M126" i="9"/>
  <c r="M128" i="9"/>
  <c r="M130" i="9"/>
  <c r="M132" i="9"/>
  <c r="M134" i="9"/>
  <c r="M136" i="9"/>
  <c r="M140" i="9"/>
  <c r="M142" i="9"/>
  <c r="M144" i="9"/>
  <c r="M146" i="9"/>
  <c r="M148" i="9"/>
  <c r="M150" i="9"/>
  <c r="M152" i="9"/>
  <c r="M154" i="9"/>
  <c r="M156" i="9"/>
  <c r="M158" i="9"/>
  <c r="M160" i="9"/>
  <c r="M162" i="9"/>
  <c r="M164" i="9"/>
  <c r="M166" i="9"/>
  <c r="M168" i="9"/>
  <c r="M170" i="9"/>
  <c r="M172" i="9"/>
  <c r="M174" i="9"/>
  <c r="M176" i="9"/>
  <c r="M169" i="9"/>
  <c r="M173" i="9"/>
  <c r="M177" i="9"/>
  <c r="M179" i="9"/>
  <c r="M181" i="9"/>
  <c r="M183" i="9"/>
  <c r="M185" i="9"/>
  <c r="M187" i="9"/>
  <c r="M189" i="9"/>
  <c r="M191" i="9"/>
  <c r="M171" i="9"/>
  <c r="M175" i="9"/>
  <c r="M180" i="9"/>
  <c r="M182" i="9"/>
  <c r="M184" i="9"/>
  <c r="M186" i="9"/>
  <c r="M188" i="9"/>
  <c r="M190" i="9"/>
  <c r="M192" i="9"/>
  <c r="M193" i="9"/>
  <c r="P194" i="9"/>
  <c r="E47" i="11"/>
  <c r="E114" i="11"/>
  <c r="E169" i="11"/>
  <c r="E113" i="11"/>
  <c r="E141" i="11"/>
  <c r="E188" i="11"/>
  <c r="E3" i="11"/>
  <c r="E5" i="11"/>
  <c r="E7" i="11"/>
  <c r="E9" i="11"/>
  <c r="E11" i="11"/>
  <c r="E13" i="11"/>
  <c r="E15" i="11"/>
  <c r="E17" i="11"/>
  <c r="E19" i="11"/>
  <c r="E21" i="11"/>
  <c r="E23" i="11"/>
  <c r="E26" i="11"/>
  <c r="E28" i="11"/>
  <c r="E30" i="11"/>
  <c r="E33" i="11"/>
  <c r="E36" i="11"/>
  <c r="E38" i="11"/>
  <c r="E40" i="11"/>
  <c r="E42" i="11"/>
  <c r="E44" i="11"/>
  <c r="E46" i="11"/>
  <c r="E48" i="11"/>
  <c r="E50" i="11"/>
  <c r="E53" i="11"/>
  <c r="E56" i="11"/>
  <c r="E59" i="11"/>
  <c r="E61" i="11"/>
  <c r="E64" i="11"/>
  <c r="E67" i="11"/>
  <c r="E69" i="11"/>
  <c r="E71" i="11"/>
  <c r="E73" i="11"/>
  <c r="E75" i="11"/>
  <c r="E78" i="11"/>
  <c r="E80" i="11"/>
  <c r="E82" i="11"/>
  <c r="E85" i="11"/>
  <c r="E87" i="11"/>
  <c r="E89" i="11"/>
  <c r="E91" i="11"/>
  <c r="E93" i="11"/>
  <c r="E95" i="11"/>
  <c r="E97" i="11"/>
  <c r="E99" i="11"/>
  <c r="E101" i="11"/>
  <c r="E103" i="11"/>
  <c r="E105" i="11"/>
  <c r="E107" i="11"/>
  <c r="E109" i="11"/>
  <c r="E111" i="11"/>
  <c r="E115" i="11"/>
  <c r="E117" i="11"/>
  <c r="E119" i="11"/>
  <c r="E121" i="11"/>
  <c r="E123" i="11"/>
  <c r="E125" i="11"/>
  <c r="E127" i="11"/>
  <c r="E129" i="11"/>
  <c r="E131" i="11"/>
  <c r="E133" i="11"/>
  <c r="E135" i="11"/>
  <c r="E137" i="11"/>
  <c r="E139" i="11"/>
  <c r="E143" i="11"/>
  <c r="E145" i="11"/>
  <c r="E147" i="11"/>
  <c r="E149" i="11"/>
  <c r="E151" i="11"/>
  <c r="E153" i="11"/>
  <c r="E155" i="11"/>
  <c r="E157" i="11"/>
  <c r="E159" i="11"/>
  <c r="E161" i="11"/>
  <c r="E163" i="11"/>
  <c r="E165" i="11"/>
  <c r="E167" i="11"/>
  <c r="E171" i="11"/>
  <c r="E173" i="11"/>
  <c r="E175" i="11"/>
  <c r="E177" i="11"/>
  <c r="E179" i="11"/>
  <c r="E181" i="11"/>
  <c r="E183" i="11"/>
  <c r="E185" i="11"/>
  <c r="E187" i="11"/>
  <c r="E4" i="11"/>
  <c r="E6" i="11"/>
  <c r="E8" i="11"/>
  <c r="E10" i="11"/>
  <c r="E12" i="11"/>
  <c r="E14" i="11"/>
  <c r="E16" i="11"/>
  <c r="E18" i="11"/>
  <c r="E20" i="11"/>
  <c r="E22" i="11"/>
  <c r="E25" i="11"/>
  <c r="E27" i="11"/>
  <c r="E29" i="11"/>
  <c r="E31" i="11"/>
  <c r="E35" i="11"/>
  <c r="E37" i="11"/>
  <c r="E39" i="11"/>
  <c r="E41" i="11"/>
  <c r="E43" i="11"/>
  <c r="E45" i="11"/>
  <c r="E49" i="11"/>
  <c r="E52" i="11"/>
  <c r="E55" i="11"/>
  <c r="E57" i="11"/>
  <c r="E60" i="11"/>
  <c r="E62" i="11"/>
  <c r="E65" i="11"/>
  <c r="E68" i="11"/>
  <c r="E70" i="11"/>
  <c r="E72" i="11"/>
  <c r="E74" i="11"/>
  <c r="E77" i="11"/>
  <c r="E79" i="11"/>
  <c r="E81" i="11"/>
  <c r="E84" i="11"/>
  <c r="E86" i="11"/>
  <c r="E88" i="11"/>
  <c r="E90" i="11"/>
  <c r="E92" i="11"/>
  <c r="E94" i="11"/>
  <c r="E96" i="11"/>
  <c r="E98" i="11"/>
  <c r="E100" i="11"/>
  <c r="E102" i="11"/>
  <c r="E104" i="11"/>
  <c r="E106" i="11"/>
  <c r="E108" i="11"/>
  <c r="E110" i="11"/>
  <c r="E112" i="11"/>
  <c r="E116" i="11"/>
  <c r="E118" i="11"/>
  <c r="E120" i="11"/>
  <c r="E122" i="11"/>
  <c r="E124" i="11"/>
  <c r="E126" i="11"/>
  <c r="E128" i="11"/>
  <c r="E130" i="11"/>
  <c r="E132" i="11"/>
  <c r="E134" i="11"/>
  <c r="E136" i="11"/>
  <c r="E138" i="11"/>
  <c r="E140" i="11"/>
  <c r="E142" i="11"/>
  <c r="E144" i="11"/>
  <c r="E146" i="11"/>
  <c r="E148" i="11"/>
  <c r="E150" i="11"/>
  <c r="E152" i="11"/>
  <c r="E154" i="11"/>
  <c r="E156" i="11"/>
  <c r="E158" i="11"/>
  <c r="E160" i="11"/>
  <c r="E162" i="11"/>
  <c r="E164" i="11"/>
  <c r="E166" i="11"/>
  <c r="E168" i="11"/>
  <c r="E170" i="11"/>
  <c r="E172" i="11"/>
  <c r="E174" i="11"/>
  <c r="E178" i="11"/>
  <c r="E182" i="11"/>
  <c r="E186" i="11"/>
  <c r="E189" i="11"/>
  <c r="E191" i="11"/>
  <c r="E193" i="11"/>
  <c r="E176" i="11"/>
  <c r="E180" i="11"/>
  <c r="E184" i="11"/>
  <c r="E190" i="11"/>
  <c r="E192" i="11"/>
  <c r="E2" i="11"/>
  <c r="E76" i="11"/>
  <c r="E54" i="11"/>
  <c r="E32" i="11"/>
  <c r="E66" i="11"/>
  <c r="E63" i="11"/>
  <c r="E58" i="11"/>
  <c r="E34" i="11"/>
  <c r="E24" i="11"/>
  <c r="E83" i="11"/>
  <c r="E51" i="11"/>
  <c r="O3" i="9"/>
  <c r="N3" i="9"/>
  <c r="O6" i="9"/>
  <c r="O7" i="9"/>
  <c r="O5" i="9"/>
  <c r="O4" i="9"/>
  <c r="O8" i="9"/>
  <c r="O14" i="9"/>
  <c r="O15" i="9"/>
  <c r="O10" i="9"/>
  <c r="O12" i="9"/>
  <c r="O9" i="9"/>
  <c r="O16" i="9"/>
  <c r="O13" i="9"/>
  <c r="O11" i="9"/>
  <c r="O17" i="9"/>
  <c r="O18" i="9"/>
  <c r="O27" i="9"/>
  <c r="O26" i="9"/>
  <c r="O21" i="9"/>
  <c r="O20" i="9"/>
  <c r="O22" i="9"/>
  <c r="O24" i="9"/>
  <c r="O23" i="9"/>
  <c r="O25" i="9"/>
  <c r="O19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N6" i="9"/>
  <c r="N7" i="9"/>
  <c r="N5" i="9"/>
  <c r="N4" i="9"/>
  <c r="N8" i="9"/>
  <c r="N14" i="9"/>
  <c r="N15" i="9"/>
  <c r="N10" i="9"/>
  <c r="N12" i="9"/>
  <c r="N9" i="9"/>
  <c r="N16" i="9"/>
  <c r="N13" i="9"/>
  <c r="N11" i="9"/>
  <c r="N17" i="9"/>
  <c r="N18" i="9"/>
  <c r="N27" i="9"/>
  <c r="N26" i="9"/>
  <c r="N21" i="9"/>
  <c r="N20" i="9"/>
  <c r="N22" i="9"/>
  <c r="N24" i="9"/>
  <c r="N23" i="9"/>
  <c r="N25" i="9"/>
  <c r="N19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O174" i="9"/>
  <c r="O175" i="9"/>
  <c r="O176" i="9"/>
  <c r="O177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N174" i="9"/>
  <c r="N175" i="9"/>
  <c r="N176" i="9"/>
  <c r="N177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R187" i="9" l="1"/>
  <c r="P187" i="9" s="1"/>
  <c r="R179" i="9"/>
  <c r="P179" i="9" s="1"/>
  <c r="R171" i="9"/>
  <c r="P171" i="9" s="1"/>
  <c r="R163" i="9"/>
  <c r="P163" i="9" s="1"/>
  <c r="R155" i="9"/>
  <c r="P155" i="9" s="1"/>
  <c r="R139" i="9"/>
  <c r="P139" i="9" s="1"/>
  <c r="R135" i="9"/>
  <c r="P135" i="9" s="1"/>
  <c r="R131" i="9"/>
  <c r="P131" i="9" s="1"/>
  <c r="R127" i="9"/>
  <c r="P127" i="9" s="1"/>
  <c r="R123" i="9"/>
  <c r="P123" i="9" s="1"/>
  <c r="R118" i="9"/>
  <c r="P118" i="9" s="1"/>
  <c r="R114" i="9"/>
  <c r="P114" i="9" s="1"/>
  <c r="R110" i="9"/>
  <c r="P110" i="9" s="1"/>
  <c r="R106" i="9"/>
  <c r="P106" i="9" s="1"/>
  <c r="R102" i="9"/>
  <c r="P102" i="9" s="1"/>
  <c r="R98" i="9"/>
  <c r="P98" i="9" s="1"/>
  <c r="R94" i="9"/>
  <c r="P94" i="9" s="1"/>
  <c r="R90" i="9"/>
  <c r="P90" i="9" s="1"/>
  <c r="R84" i="9"/>
  <c r="P84" i="9" s="1"/>
  <c r="R81" i="9"/>
  <c r="P81" i="9" s="1"/>
  <c r="R76" i="9"/>
  <c r="P76" i="9" s="1"/>
  <c r="R71" i="9"/>
  <c r="P71" i="9" s="1"/>
  <c r="R138" i="9"/>
  <c r="P138" i="9" s="1"/>
  <c r="R133" i="9"/>
  <c r="P133" i="9" s="1"/>
  <c r="R129" i="9"/>
  <c r="P129" i="9" s="1"/>
  <c r="R125" i="9"/>
  <c r="P125" i="9" s="1"/>
  <c r="R121" i="9"/>
  <c r="P121" i="9" s="1"/>
  <c r="R116" i="9"/>
  <c r="P116" i="9" s="1"/>
  <c r="R112" i="9"/>
  <c r="P112" i="9" s="1"/>
  <c r="R108" i="9"/>
  <c r="P108" i="9" s="1"/>
  <c r="R104" i="9"/>
  <c r="P104" i="9" s="1"/>
  <c r="R100" i="9"/>
  <c r="P100" i="9" s="1"/>
  <c r="R96" i="9"/>
  <c r="P96" i="9" s="1"/>
  <c r="R92" i="9"/>
  <c r="P92" i="9" s="1"/>
  <c r="R88" i="9"/>
  <c r="P88" i="9" s="1"/>
  <c r="R80" i="9"/>
  <c r="P80" i="9" s="1"/>
  <c r="R77" i="9"/>
  <c r="P77" i="9" s="1"/>
  <c r="R73" i="9"/>
  <c r="P73" i="9" s="1"/>
  <c r="R191" i="9"/>
  <c r="P191" i="9" s="1"/>
  <c r="R183" i="9"/>
  <c r="P183" i="9" s="1"/>
  <c r="R175" i="9"/>
  <c r="P175" i="9" s="1"/>
  <c r="R167" i="9"/>
  <c r="P167" i="9" s="1"/>
  <c r="R159" i="9"/>
  <c r="P159" i="9" s="1"/>
  <c r="R151" i="9"/>
  <c r="P151" i="9" s="1"/>
  <c r="R193" i="9"/>
  <c r="P193" i="9" s="1"/>
  <c r="R189" i="9"/>
  <c r="P189" i="9" s="1"/>
  <c r="R185" i="9"/>
  <c r="P185" i="9" s="1"/>
  <c r="R181" i="9"/>
  <c r="P181" i="9" s="1"/>
  <c r="R177" i="9"/>
  <c r="P177" i="9" s="1"/>
  <c r="R173" i="9"/>
  <c r="P173" i="9" s="1"/>
  <c r="R169" i="9"/>
  <c r="P169" i="9" s="1"/>
  <c r="R165" i="9"/>
  <c r="P165" i="9" s="1"/>
  <c r="R161" i="9"/>
  <c r="P161" i="9" s="1"/>
  <c r="R157" i="9"/>
  <c r="P157" i="9" s="1"/>
  <c r="R153" i="9"/>
  <c r="P153" i="9" s="1"/>
  <c r="R149" i="9"/>
  <c r="P149" i="9" s="1"/>
  <c r="R145" i="9"/>
  <c r="P145" i="9" s="1"/>
  <c r="R141" i="9"/>
  <c r="P141" i="9" s="1"/>
  <c r="R137" i="9"/>
  <c r="P137" i="9" s="1"/>
  <c r="R120" i="9"/>
  <c r="P120" i="9" s="1"/>
  <c r="R87" i="9"/>
  <c r="P87" i="9" s="1"/>
  <c r="R78" i="9"/>
  <c r="P78" i="9" s="1"/>
  <c r="R74" i="9"/>
  <c r="P74" i="9" s="1"/>
  <c r="R147" i="9"/>
  <c r="P147" i="9" s="1"/>
  <c r="R143" i="9"/>
  <c r="P143" i="9" s="1"/>
  <c r="R140" i="9"/>
  <c r="P140" i="9" s="1"/>
  <c r="R136" i="9"/>
  <c r="P136" i="9" s="1"/>
  <c r="R119" i="9"/>
  <c r="P119" i="9" s="1"/>
  <c r="R86" i="9"/>
  <c r="P86" i="9" s="1"/>
  <c r="R82" i="9"/>
  <c r="P82" i="9" s="1"/>
  <c r="R75" i="9"/>
  <c r="P75" i="9" s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Y7" i="9"/>
  <c r="Y13" i="9"/>
  <c r="Y11" i="9"/>
  <c r="Y9" i="9"/>
  <c r="Y5" i="9"/>
  <c r="Y10" i="9"/>
  <c r="Y8" i="9"/>
  <c r="Y12" i="9"/>
  <c r="Y6" i="9"/>
  <c r="Z6" i="9" l="1"/>
  <c r="Z5" i="9"/>
  <c r="Z13" i="9"/>
  <c r="Z8" i="9"/>
  <c r="Z11" i="9"/>
  <c r="Z12" i="9"/>
  <c r="Z9" i="9"/>
  <c r="Z10" i="9"/>
  <c r="Z7" i="9"/>
</calcChain>
</file>

<file path=xl/sharedStrings.xml><?xml version="1.0" encoding="utf-8"?>
<sst xmlns="http://schemas.openxmlformats.org/spreadsheetml/2006/main" count="6873" uniqueCount="1144">
  <si>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</si>
  <si>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</si>
  <si>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</si>
  <si>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</si>
  <si>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</si>
  <si>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</si>
  <si>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</si>
  <si>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</si>
  <si>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</si>
  <si>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</si>
  <si>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</si>
  <si>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</si>
  <si>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</si>
  <si>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</si>
  <si>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</si>
  <si>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</si>
  <si>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</si>
  <si>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</si>
  <si>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</si>
  <si>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</si>
  <si>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</si>
  <si>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</si>
  <si>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</si>
  <si>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</si>
  <si>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</si>
  <si>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</si>
  <si>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</si>
  <si>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</si>
  <si>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</si>
  <si>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</si>
  <si>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</si>
  <si>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</si>
  <si>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</si>
  <si>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</si>
  <si>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</si>
  <si>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</si>
  <si>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</si>
  <si>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</si>
  <si>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</si>
  <si>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</si>
  <si>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</si>
  <si>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</si>
  <si>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</si>
  <si>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</si>
  <si>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</si>
  <si>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</si>
  <si>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</si>
  <si>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</si>
  <si>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</si>
  <si>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</si>
  <si>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</si>
  <si>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</si>
  <si>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</si>
  <si>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</si>
  <si>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</si>
  <si>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</si>
  <si>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</si>
  <si>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</si>
  <si>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</si>
  <si>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</si>
  <si>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</si>
  <si>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</si>
  <si>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</si>
  <si>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</si>
  <si>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</si>
  <si>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</si>
  <si>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Jonas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</si>
  <si>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</si>
  <si>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</si>
  <si>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</si>
  <si>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</si>
  <si>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</si>
  <si>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</si>
  <si>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</si>
  <si>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</si>
  <si>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</si>
  <si>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</si>
  <si>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</si>
  <si>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</si>
  <si>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</si>
  <si>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</si>
  <si>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</si>
  <si>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</si>
  <si>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</si>
  <si>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</si>
  <si>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</si>
  <si>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Zlatan</t>
  </si>
  <si>
    <t>Nicolas</t>
  </si>
  <si>
    <t>Cheick</t>
  </si>
  <si>
    <t>Riou</t>
  </si>
  <si>
    <t>Rémy</t>
  </si>
  <si>
    <t>Anthony</t>
  </si>
  <si>
    <t>Diabaté</t>
  </si>
  <si>
    <t>Lavezzi</t>
  </si>
  <si>
    <t>Ezequiel</t>
  </si>
  <si>
    <t>Rolan</t>
  </si>
  <si>
    <t>Diego</t>
  </si>
  <si>
    <t>Carvalho</t>
  </si>
  <si>
    <t>Ricardo</t>
  </si>
  <si>
    <t>Congré</t>
  </si>
  <si>
    <t>Daniel</t>
  </si>
  <si>
    <t>Cédric</t>
  </si>
  <si>
    <t>Matuidi</t>
  </si>
  <si>
    <t>Blaise</t>
  </si>
  <si>
    <t>Reims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</si>
  <si>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</si>
  <si>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</si>
  <si>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</si>
  <si>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</si>
  <si>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</si>
  <si>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</si>
  <si>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</si>
  <si>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</si>
  <si>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Samuel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</si>
  <si>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</si>
  <si>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</si>
  <si>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</si>
  <si>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</si>
  <si>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</si>
  <si>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</si>
  <si>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</si>
  <si>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</si>
  <si>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</si>
  <si>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</si>
  <si>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</si>
  <si>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Saint-Etienne</t>
  </si>
  <si>
    <t>Moutinho</t>
  </si>
  <si>
    <t>João</t>
  </si>
  <si>
    <t>Ben Yedder</t>
  </si>
  <si>
    <t>Wissam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</si>
  <si>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</si>
  <si>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</si>
  <si>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</si>
  <si>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</si>
  <si>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</si>
  <si>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</si>
  <si>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</si>
  <si>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</si>
  <si>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</si>
  <si>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</si>
  <si>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</si>
  <si>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</si>
  <si>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</si>
  <si>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</si>
  <si>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</si>
  <si>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Loïc</t>
  </si>
  <si>
    <t>Sall</t>
  </si>
  <si>
    <t>Moustapha Bayal</t>
  </si>
  <si>
    <t>Ruffier</t>
  </si>
  <si>
    <t>Stéphane</t>
  </si>
  <si>
    <t>Alessandrini</t>
  </si>
  <si>
    <t>Hamouma</t>
  </si>
  <si>
    <t>Khazri</t>
  </si>
  <si>
    <t>Wahbi</t>
  </si>
  <si>
    <t>Saivet</t>
  </si>
  <si>
    <t>Aurier</t>
  </si>
  <si>
    <t>Lecomte</t>
  </si>
  <si>
    <t>Silva</t>
  </si>
  <si>
    <t>Bernardo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</si>
  <si>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</si>
  <si>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</si>
  <si>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</si>
  <si>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</si>
  <si>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</si>
  <si>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</si>
  <si>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</si>
  <si>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</si>
  <si>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</si>
  <si>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</si>
  <si>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</si>
  <si>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</si>
  <si>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</si>
  <si>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</si>
  <si>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</si>
  <si>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</si>
  <si>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</si>
  <si>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</si>
  <si>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</si>
  <si>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</si>
  <si>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</si>
  <si>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Jesper</t>
  </si>
  <si>
    <t>Hansen</t>
  </si>
  <si>
    <t>Jonas Lössl</t>
  </si>
  <si>
    <t>Beauvue</t>
  </si>
  <si>
    <t>Claudio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</si>
  <si>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</si>
  <si>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</si>
  <si>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</si>
  <si>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</si>
  <si>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</si>
  <si>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</si>
  <si>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</si>
  <si>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</si>
  <si>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</si>
  <si>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Abdel</t>
  </si>
  <si>
    <t>Germain</t>
  </si>
  <si>
    <t>Valère</t>
  </si>
  <si>
    <t>Hilton</t>
  </si>
  <si>
    <t>Vitorino</t>
  </si>
  <si>
    <t>Vizcarrondo</t>
  </si>
  <si>
    <t>Oswaldo</t>
  </si>
  <si>
    <t>Bauthéac</t>
  </si>
  <si>
    <t>Eric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</si>
  <si>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</si>
  <si>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</si>
  <si>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</si>
  <si>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</si>
  <si>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</si>
  <si>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</si>
  <si>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</si>
  <si>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</si>
  <si>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</si>
  <si>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</si>
  <si>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</si>
  <si>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</si>
  <si>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</si>
  <si>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</si>
  <si>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</si>
  <si>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</si>
  <si>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</si>
  <si>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</si>
  <si>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</si>
  <si>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</si>
  <si>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</si>
  <si>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</si>
  <si>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</si>
  <si>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</si>
  <si>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</si>
  <si>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</si>
  <si>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</si>
  <si>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</si>
  <si>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</si>
  <si>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</si>
  <si>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</si>
  <si>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</si>
  <si>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</si>
  <si>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</si>
  <si>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</si>
  <si>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</si>
  <si>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</si>
  <si>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</si>
  <si>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</si>
  <si>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</si>
  <si>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</si>
  <si>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</si>
  <si>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</si>
  <si>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</si>
  <si>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</si>
  <si>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</si>
  <si>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</si>
  <si>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</si>
  <si>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</si>
  <si>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Troyes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</si>
  <si>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</si>
  <si>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</si>
  <si>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</si>
  <si>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</si>
  <si>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</si>
  <si>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</si>
  <si>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</si>
  <si>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</si>
  <si>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</si>
  <si>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</si>
  <si>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</si>
  <si>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</si>
  <si>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Ajaccio</t>
  </si>
  <si>
    <t>Ángel</t>
  </si>
  <si>
    <t>Feddaoui</t>
  </si>
  <si>
    <t>Mounir</t>
  </si>
  <si>
    <t>Delort</t>
  </si>
  <si>
    <t>Andy</t>
  </si>
  <si>
    <t>Ben Arfa</t>
  </si>
  <si>
    <t>Hatem</t>
  </si>
  <si>
    <t>Cheikh</t>
  </si>
  <si>
    <t>5.25</t>
  </si>
  <si>
    <t>Ngcongca</t>
  </si>
  <si>
    <t>Anele</t>
  </si>
  <si>
    <t>4.83</t>
  </si>
  <si>
    <t>Sio</t>
  </si>
  <si>
    <t>Giovanni</t>
  </si>
  <si>
    <t>Cana</t>
  </si>
  <si>
    <t>Lorik</t>
  </si>
  <si>
    <t>Civelli</t>
  </si>
  <si>
    <t>Renato</t>
  </si>
  <si>
    <t>Isla</t>
  </si>
  <si>
    <t>Mauricio</t>
  </si>
  <si>
    <t>Boufal</t>
  </si>
  <si>
    <t>Sofiane</t>
  </si>
  <si>
    <t>Nampalys</t>
  </si>
  <si>
    <t>Cornet</t>
  </si>
  <si>
    <t>Filippi</t>
  </si>
  <si>
    <t>Roderic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</si>
  <si>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</si>
  <si>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</si>
  <si>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</si>
  <si>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</si>
  <si>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</si>
  <si>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</si>
  <si>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</si>
  <si>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</si>
  <si>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</si>
  <si>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</si>
  <si>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</si>
  <si>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</si>
  <si>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</si>
  <si>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</si>
  <si>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</si>
  <si>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</si>
  <si>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</si>
  <si>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</si>
  <si>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</si>
  <si>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</si>
  <si>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</si>
  <si>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</si>
  <si>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</si>
  <si>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</si>
  <si>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</si>
  <si>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</si>
  <si>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</si>
  <si>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</si>
  <si>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</si>
  <si>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</si>
  <si>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</si>
  <si>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</si>
  <si>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</si>
  <si>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</si>
  <si>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</si>
  <si>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</si>
  <si>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</si>
  <si>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</si>
  <si>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</si>
  <si>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</si>
  <si>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</si>
  <si>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</si>
  <si>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</si>
  <si>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</si>
  <si>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</si>
  <si>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</si>
  <si>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</si>
  <si>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</si>
  <si>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</si>
  <si>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</si>
  <si>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</si>
  <si>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</si>
  <si>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</si>
  <si>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</si>
  <si>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</si>
  <si>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</si>
  <si>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</si>
  <si>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</si>
  <si>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</si>
  <si>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</si>
  <si>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</si>
  <si>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</si>
  <si>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</si>
  <si>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</si>
  <si>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</si>
  <si>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</si>
  <si>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</si>
  <si>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</si>
  <si>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</si>
  <si>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</si>
  <si>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</si>
  <si>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</si>
  <si>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</si>
  <si>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</si>
  <si>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</si>
  <si>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</si>
  <si>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</si>
  <si>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</si>
  <si>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</si>
  <si>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</si>
  <si>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</si>
  <si>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</si>
  <si>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</si>
  <si>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</si>
  <si>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</si>
  <si>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</si>
  <si>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</si>
  <si>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</si>
  <si>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</si>
  <si>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</si>
  <si>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</si>
  <si>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</si>
  <si>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</si>
  <si>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</si>
  <si>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</si>
  <si>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</si>
  <si>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</si>
  <si>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</si>
  <si>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</si>
  <si>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</si>
  <si>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</si>
  <si>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</si>
  <si>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</si>
  <si>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</si>
  <si>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</si>
  <si>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</si>
  <si>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</si>
  <si>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</si>
  <si>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</si>
  <si>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</si>
  <si>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</si>
  <si>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</si>
  <si>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</si>
  <si>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</si>
  <si>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</si>
  <si>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</si>
  <si>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</si>
  <si>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</si>
  <si>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</si>
  <si>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</si>
  <si>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</si>
  <si>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</si>
  <si>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</si>
  <si>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</si>
  <si>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</si>
  <si>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</si>
  <si>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</si>
  <si>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</si>
  <si>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</si>
  <si>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</si>
  <si>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</si>
  <si>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</si>
  <si>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</si>
  <si>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</si>
  <si>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</si>
  <si>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</si>
  <si>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</si>
  <si>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</si>
  <si>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</si>
  <si>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</si>
  <si>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</si>
  <si>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</si>
  <si>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</si>
  <si>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</si>
  <si>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</si>
  <si>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</si>
  <si>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</si>
  <si>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</si>
  <si>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</si>
  <si>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</si>
  <si>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</si>
  <si>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</si>
  <si>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</si>
  <si>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</si>
  <si>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</si>
  <si>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</si>
  <si>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</si>
  <si>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</si>
  <si>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</si>
  <si>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</si>
  <si>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</si>
  <si>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</si>
  <si>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</si>
  <si>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</si>
  <si>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</si>
  <si>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</si>
  <si>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</si>
  <si>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</si>
  <si>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</si>
  <si>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</si>
  <si>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</si>
  <si>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</si>
  <si>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</si>
  <si>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</si>
  <si>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</si>
  <si>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</si>
  <si>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</si>
  <si>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</si>
  <si>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</si>
  <si>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</si>
  <si>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Coeff</t>
  </si>
  <si>
    <t>Sabaly</t>
  </si>
  <si>
    <t>Youssouf</t>
  </si>
  <si>
    <t>Saunier</t>
  </si>
  <si>
    <t>Matthieu</t>
  </si>
  <si>
    <t>Toure</t>
  </si>
  <si>
    <t>Zargo</t>
  </si>
  <si>
    <t>Traore</t>
  </si>
  <si>
    <t>Hamari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</si>
  <si>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</si>
  <si>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</si>
  <si>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</si>
  <si>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</si>
  <si>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</si>
  <si>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</si>
  <si>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</si>
  <si>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</si>
  <si>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Didier Ibrahim</t>
  </si>
  <si>
    <t>Ndoye</t>
  </si>
  <si>
    <t>Salibur</t>
  </si>
  <si>
    <t>Yannis</t>
  </si>
  <si>
    <t>Seri</t>
  </si>
  <si>
    <t>Siebatcheu</t>
  </si>
  <si>
    <t>Theoson</t>
  </si>
  <si>
    <t>Bamba</t>
  </si>
  <si>
    <t>Jonathan</t>
  </si>
  <si>
    <t>5.79</t>
  </si>
  <si>
    <t>5.82</t>
  </si>
  <si>
    <t>Ngog</t>
  </si>
  <si>
    <t>Appiah</t>
  </si>
  <si>
    <t>Dennis</t>
  </si>
  <si>
    <t>Bessat</t>
  </si>
  <si>
    <t>Mangane</t>
  </si>
  <si>
    <t>Kader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</si>
  <si>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</si>
  <si>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</si>
  <si>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</si>
  <si>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</si>
  <si>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</si>
  <si>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</si>
  <si>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</si>
  <si>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</si>
  <si>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</si>
  <si>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</si>
  <si>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</si>
  <si>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</si>
  <si>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</si>
  <si>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Lamine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</si>
  <si>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</si>
  <si>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</si>
  <si>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</si>
  <si>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</si>
  <si>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</si>
  <si>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</si>
  <si>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</si>
  <si>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</si>
  <si>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</si>
  <si>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</si>
  <si>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</si>
  <si>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Oniangue</t>
  </si>
  <si>
    <t>Prince</t>
  </si>
  <si>
    <t>Kamano</t>
  </si>
  <si>
    <t>Francois</t>
  </si>
  <si>
    <t>5.36</t>
  </si>
  <si>
    <t>Yatabaré</t>
  </si>
  <si>
    <t>Mustapha</t>
  </si>
  <si>
    <t>Angoula</t>
  </si>
  <si>
    <t>Gael</t>
  </si>
  <si>
    <t>Karamoko</t>
  </si>
  <si>
    <t>Hamadou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</si>
  <si>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</si>
  <si>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</si>
  <si>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</si>
  <si>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</si>
  <si>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</si>
  <si>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</si>
  <si>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</si>
  <si>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</si>
  <si>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</si>
  <si>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</si>
  <si>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Georges-Kévin</t>
  </si>
  <si>
    <t>Quintero</t>
  </si>
  <si>
    <t>Juan</t>
  </si>
  <si>
    <t>4.62</t>
  </si>
  <si>
    <t>4.69</t>
  </si>
  <si>
    <t>Bakar</t>
  </si>
  <si>
    <t>Djamel</t>
  </si>
  <si>
    <t>Bammou</t>
  </si>
  <si>
    <t>Yacine</t>
  </si>
  <si>
    <t>4.90</t>
  </si>
  <si>
    <t>4.95</t>
  </si>
  <si>
    <t>Hélder Costa</t>
  </si>
  <si>
    <t>Thelin</t>
  </si>
  <si>
    <t>Isaac</t>
  </si>
  <si>
    <t>Bréchet</t>
  </si>
  <si>
    <t>Jeremie</t>
  </si>
  <si>
    <t>4.82</t>
  </si>
  <si>
    <t>5.41</t>
  </si>
  <si>
    <t>5.12</t>
  </si>
  <si>
    <t>5.56</t>
  </si>
  <si>
    <t>Roussillon</t>
  </si>
  <si>
    <t>Jérôme</t>
  </si>
  <si>
    <t>Weber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</si>
  <si>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</si>
  <si>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</si>
  <si>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</si>
  <si>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</si>
  <si>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</si>
  <si>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</si>
  <si>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</si>
  <si>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</si>
  <si>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</si>
  <si>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</si>
  <si>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</si>
  <si>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</si>
  <si>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Slimane</t>
  </si>
  <si>
    <t>Cioni</t>
  </si>
  <si>
    <t>5.57</t>
  </si>
  <si>
    <t>5.20</t>
  </si>
  <si>
    <t>6.10</t>
  </si>
  <si>
    <t>Malcuit</t>
  </si>
  <si>
    <t>Yambéré</t>
  </si>
  <si>
    <t>Steve</t>
  </si>
  <si>
    <t>Placide</t>
  </si>
  <si>
    <t>Johny</t>
  </si>
  <si>
    <t>Di María</t>
  </si>
  <si>
    <t>Hult</t>
  </si>
  <si>
    <t>Niklas</t>
  </si>
  <si>
    <t>Le Moigne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</si>
  <si>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</si>
  <si>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</si>
  <si>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</si>
  <si>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</si>
  <si>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</si>
  <si>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</si>
  <si>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</si>
  <si>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</si>
  <si>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</si>
  <si>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</si>
  <si>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</si>
  <si>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</si>
  <si>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</si>
  <si>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</si>
  <si>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</si>
  <si>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Larbi</t>
  </si>
  <si>
    <t>Mohamed Wael</t>
  </si>
  <si>
    <t>Pasalic</t>
  </si>
  <si>
    <t>Mario</t>
  </si>
  <si>
    <t>4.85</t>
  </si>
  <si>
    <t>4.88</t>
  </si>
  <si>
    <t>5.04</t>
  </si>
  <si>
    <t>Lemaître</t>
  </si>
  <si>
    <t>Reynald</t>
  </si>
  <si>
    <t>Sidibe</t>
  </si>
  <si>
    <t>5.64</t>
  </si>
  <si>
    <t>5.89</t>
  </si>
  <si>
    <t>Guivarch</t>
  </si>
  <si>
    <t>Theo</t>
  </si>
  <si>
    <t>Hassen</t>
  </si>
  <si>
    <t>Mouez</t>
  </si>
  <si>
    <t>4.96</t>
  </si>
  <si>
    <t>Deaux</t>
  </si>
  <si>
    <t>Didot</t>
  </si>
  <si>
    <t>Etienne</t>
  </si>
  <si>
    <t>6.04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</si>
  <si>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</si>
  <si>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</si>
  <si>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</si>
  <si>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</si>
  <si>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</si>
  <si>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</si>
  <si>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</si>
  <si>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</si>
  <si>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</si>
  <si>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Dja Djedje</t>
  </si>
  <si>
    <t>Aloé</t>
  </si>
  <si>
    <t>Andonian</t>
  </si>
  <si>
    <t>Tuiloma</t>
  </si>
  <si>
    <t>Rekik</t>
  </si>
  <si>
    <t>Manquillo</t>
  </si>
  <si>
    <t>De Ceglie</t>
  </si>
  <si>
    <t>B. Mendy</t>
  </si>
  <si>
    <t>M</t>
  </si>
  <si>
    <t>Exc.</t>
  </si>
  <si>
    <t>Romao</t>
  </si>
  <si>
    <t>Boutobba</t>
  </si>
  <si>
    <t>Lemina</t>
  </si>
  <si>
    <t>Nkoudou</t>
  </si>
  <si>
    <t>Sarr</t>
  </si>
  <si>
    <t>Diarra</t>
  </si>
  <si>
    <t>Lucas Silva</t>
  </si>
  <si>
    <t>Zambo Anguissa</t>
  </si>
  <si>
    <t>Ocampos</t>
  </si>
  <si>
    <t>A</t>
  </si>
  <si>
    <t>Batshuayi</t>
  </si>
  <si>
    <t>Porsan</t>
  </si>
  <si>
    <t>Omrani</t>
  </si>
  <si>
    <t>Gorgelin</t>
  </si>
  <si>
    <t>Mocio</t>
  </si>
  <si>
    <t>B. Koné</t>
  </si>
  <si>
    <t>Bedimo</t>
  </si>
  <si>
    <t>Bl.</t>
  </si>
  <si>
    <t>Rose</t>
  </si>
  <si>
    <t>Bisevac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</si>
  <si>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</si>
  <si>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</si>
  <si>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</si>
  <si>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</si>
  <si>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</si>
  <si>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</si>
  <si>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</si>
  <si>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</si>
  <si>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</si>
  <si>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</si>
  <si>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Mvuemba</t>
  </si>
  <si>
    <t>Tousart</t>
  </si>
  <si>
    <t>Kemen</t>
  </si>
  <si>
    <t>Del Castillo</t>
  </si>
  <si>
    <t>Sirigu</t>
  </si>
  <si>
    <t>Douchez</t>
  </si>
  <si>
    <t>Marquinhos</t>
  </si>
  <si>
    <t>Kimpembé</t>
  </si>
  <si>
    <t>Van der Wiel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</si>
  <si>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</si>
  <si>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</si>
  <si>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</si>
  <si>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</si>
  <si>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</si>
  <si>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</si>
  <si>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</si>
  <si>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</si>
  <si>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</si>
  <si>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</si>
  <si>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</si>
  <si>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</si>
  <si>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K. Gomis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</si>
  <si>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</si>
  <si>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</si>
  <si>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</si>
  <si>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</si>
  <si>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</si>
  <si>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</si>
  <si>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</si>
  <si>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</si>
  <si>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</si>
  <si>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</si>
  <si>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Wallyson</t>
  </si>
  <si>
    <t>Raheriharimanana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</si>
  <si>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</si>
  <si>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</si>
  <si>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</si>
  <si>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</si>
  <si>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</si>
  <si>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</si>
  <si>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</si>
  <si>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</si>
  <si>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</si>
  <si>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</si>
  <si>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Clerc</t>
  </si>
  <si>
    <t>Théophile-Catherine</t>
  </si>
  <si>
    <t>Brison</t>
  </si>
  <si>
    <t>Assou-Ekotto</t>
  </si>
  <si>
    <t>Polomat</t>
  </si>
  <si>
    <t>Pierre Gabriel</t>
  </si>
  <si>
    <t>F. Pogba</t>
  </si>
  <si>
    <t>Cohade</t>
  </si>
  <si>
    <t>Corgnet</t>
  </si>
  <si>
    <t>Diomandé</t>
  </si>
  <si>
    <t>Mollo</t>
  </si>
  <si>
    <t>Lemoine</t>
  </si>
  <si>
    <t>Pinheiro</t>
  </si>
  <si>
    <t>Pajot</t>
  </si>
  <si>
    <t>Maupay</t>
  </si>
  <si>
    <t>Beric</t>
  </si>
  <si>
    <t>ASSE</t>
  </si>
  <si>
    <t>Elana</t>
  </si>
  <si>
    <t>Maignan</t>
  </si>
  <si>
    <t>Butez</t>
  </si>
  <si>
    <t>Soumaoro</t>
  </si>
  <si>
    <t>Sidibé</t>
  </si>
  <si>
    <t>Béria</t>
  </si>
  <si>
    <t>Y. Koné</t>
  </si>
  <si>
    <t>Pavard</t>
  </si>
  <si>
    <t>Amadou</t>
  </si>
  <si>
    <t>Sunzu</t>
  </si>
  <si>
    <t>Balmont</t>
  </si>
  <si>
    <t>Meïté</t>
  </si>
  <si>
    <t>Obbadi</t>
  </si>
  <si>
    <t>Yeboah</t>
  </si>
  <si>
    <t>Mbemba</t>
  </si>
  <si>
    <t>Mavuba</t>
  </si>
  <si>
    <t>Frey</t>
  </si>
  <si>
    <t>Mendes</t>
  </si>
  <si>
    <t>Koubemba</t>
  </si>
  <si>
    <t>Araujo</t>
  </si>
  <si>
    <t>Tallo</t>
  </si>
  <si>
    <t>Guillaume</t>
  </si>
  <si>
    <t>Nangis</t>
  </si>
  <si>
    <t>Guirassy</t>
  </si>
  <si>
    <t>Losc</t>
  </si>
  <si>
    <t>Carrasso</t>
  </si>
  <si>
    <t>Prior</t>
  </si>
  <si>
    <t>L. Sané</t>
  </si>
  <si>
    <t>Pallois</t>
  </si>
  <si>
    <t>Contento</t>
  </si>
  <si>
    <t>Poundjé</t>
  </si>
  <si>
    <t>Yambére</t>
  </si>
  <si>
    <t>Guilbert</t>
  </si>
  <si>
    <t>Gajic</t>
  </si>
  <si>
    <t>Hassani</t>
  </si>
  <si>
    <t>Ambrose</t>
  </si>
  <si>
    <t>Pellenard</t>
  </si>
  <si>
    <t>Sertic</t>
  </si>
  <si>
    <t>B. Poko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</si>
  <si>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</si>
  <si>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</si>
  <si>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</si>
  <si>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</si>
  <si>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</si>
  <si>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</si>
  <si>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</si>
  <si>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</si>
  <si>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Jussiê</t>
  </si>
  <si>
    <t>Laborde</t>
  </si>
  <si>
    <t>FCGB</t>
  </si>
  <si>
    <t>Chaigneau</t>
  </si>
  <si>
    <t>Wachter</t>
  </si>
  <si>
    <t>Bellugou</t>
  </si>
  <si>
    <t>Le Goff</t>
  </si>
  <si>
    <t>L. Koné</t>
  </si>
  <si>
    <t>Z. Touré</t>
  </si>
  <si>
    <t>Paye</t>
  </si>
  <si>
    <t>Barthelmé</t>
  </si>
  <si>
    <t>Mostefa</t>
  </si>
  <si>
    <t>Mesloub</t>
  </si>
  <si>
    <t>Jouffre</t>
  </si>
  <si>
    <t>Abdullah</t>
  </si>
  <si>
    <t>Guerreiro</t>
  </si>
  <si>
    <t>Mulumba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</si>
  <si>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</si>
  <si>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</si>
  <si>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</si>
  <si>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</si>
  <si>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</si>
  <si>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</si>
  <si>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</si>
  <si>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</si>
  <si>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</si>
  <si>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</si>
  <si>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</si>
  <si>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</si>
  <si>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</si>
  <si>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</si>
  <si>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</si>
  <si>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</si>
  <si>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</si>
  <si>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</si>
  <si>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</si>
  <si>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</si>
  <si>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</si>
  <si>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Cornette</t>
  </si>
  <si>
    <t>Sanson</t>
  </si>
  <si>
    <t>Berigaud</t>
  </si>
  <si>
    <t>Mounié</t>
  </si>
  <si>
    <t>Ninga</t>
  </si>
  <si>
    <t>Deza</t>
  </si>
  <si>
    <t>MHSC</t>
  </si>
  <si>
    <t>Lafont</t>
  </si>
  <si>
    <t>Goicoechea</t>
  </si>
  <si>
    <t>Ahamada</t>
  </si>
  <si>
    <t>Akpa-Akpro</t>
  </si>
  <si>
    <t>Spajic</t>
  </si>
  <si>
    <t>Yago</t>
  </si>
  <si>
    <t>Spano</t>
  </si>
  <si>
    <t>Grigore</t>
  </si>
  <si>
    <t>Ninkov</t>
  </si>
  <si>
    <t>Matheus</t>
  </si>
  <si>
    <t>Veskovac</t>
  </si>
  <si>
    <t>Kana-Biyik</t>
  </si>
  <si>
    <t>Diop</t>
  </si>
  <si>
    <t>Tisserand</t>
  </si>
  <si>
    <t>Moubandjé</t>
  </si>
  <si>
    <t>Furman</t>
  </si>
  <si>
    <t>Sirieix</t>
  </si>
  <si>
    <t>Bodiger</t>
  </si>
  <si>
    <t>Doumbia</t>
  </si>
  <si>
    <t>Aguilar</t>
  </si>
  <si>
    <t>Regattin</t>
  </si>
  <si>
    <t>Trejo</t>
  </si>
  <si>
    <t>Blin</t>
  </si>
  <si>
    <t>Machach</t>
  </si>
  <si>
    <t>Somalia</t>
  </si>
  <si>
    <t>Roman</t>
  </si>
  <si>
    <t>Pesic</t>
  </si>
  <si>
    <t>Zaniou</t>
  </si>
  <si>
    <t>Ben Ali</t>
  </si>
  <si>
    <t>TFC</t>
  </si>
  <si>
    <t>Vincensini</t>
  </si>
  <si>
    <t>Marange</t>
  </si>
  <si>
    <t>Djiku</t>
  </si>
  <si>
    <t>Peybernes</t>
  </si>
  <si>
    <t>Modesto</t>
  </si>
  <si>
    <t>Jebbour</t>
  </si>
  <si>
    <t>Cahuzac</t>
  </si>
  <si>
    <t>Kikabidze</t>
  </si>
  <si>
    <t>Abd. Keita</t>
  </si>
  <si>
    <t>Maboulou</t>
  </si>
  <si>
    <t>Diallo</t>
  </si>
  <si>
    <t>Ngando</t>
  </si>
  <si>
    <t>Raspentino</t>
  </si>
  <si>
    <t>Houri</t>
  </si>
  <si>
    <t>Ayité</t>
  </si>
  <si>
    <t>Brandao</t>
  </si>
  <si>
    <t>Koné</t>
  </si>
  <si>
    <t>Coulibaly</t>
  </si>
  <si>
    <t>SCB</t>
  </si>
  <si>
    <t>Costil</t>
  </si>
  <si>
    <t>Sorin</t>
  </si>
  <si>
    <t>Danzé</t>
  </si>
  <si>
    <t>Mexer</t>
  </si>
  <si>
    <t>Zajkov</t>
  </si>
  <si>
    <t>Diagne</t>
  </si>
  <si>
    <t>Moreira</t>
  </si>
  <si>
    <t>Lenjani</t>
  </si>
  <si>
    <t>Pedro Mendes</t>
  </si>
  <si>
    <t>Baal</t>
  </si>
  <si>
    <t>M'Bengue</t>
  </si>
  <si>
    <t>Doucouré</t>
  </si>
  <si>
    <t>Hunou</t>
  </si>
  <si>
    <t>André</t>
  </si>
  <si>
    <t>Prcic</t>
  </si>
  <si>
    <t>Brüls</t>
  </si>
  <si>
    <t>G. Fernandes</t>
  </si>
  <si>
    <t>Janvier</t>
  </si>
  <si>
    <t>Hosiner</t>
  </si>
  <si>
    <t>Habibou</t>
  </si>
  <si>
    <t>Ntep</t>
  </si>
  <si>
    <t>Dembélé</t>
  </si>
  <si>
    <t>Boga</t>
  </si>
  <si>
    <t>Saïd</t>
  </si>
  <si>
    <t>Toivonen</t>
  </si>
  <si>
    <t>SRFC</t>
  </si>
  <si>
    <t>Agassa</t>
  </si>
  <si>
    <t>Conte</t>
  </si>
  <si>
    <t>Glombard</t>
  </si>
  <si>
    <t>Mandi</t>
  </si>
  <si>
    <t>Tacalfred</t>
  </si>
  <si>
    <t>Devaux</t>
  </si>
  <si>
    <t>Fortes</t>
  </si>
  <si>
    <t>Mfulu</t>
  </si>
  <si>
    <t>Bourillon</t>
  </si>
  <si>
    <t>Bulot</t>
  </si>
  <si>
    <t>Kankava</t>
  </si>
  <si>
    <t>Turan</t>
  </si>
  <si>
    <t>Rodriguez</t>
  </si>
  <si>
    <t>Kamara</t>
  </si>
  <si>
    <t>Peuget</t>
  </si>
  <si>
    <t>Charbonnier</t>
  </si>
  <si>
    <t>N'Gog</t>
  </si>
  <si>
    <t>Kyei</t>
  </si>
  <si>
    <t>Maanane</t>
  </si>
  <si>
    <t>SR</t>
  </si>
  <si>
    <t>Dupé</t>
  </si>
  <si>
    <t>Djidji</t>
  </si>
  <si>
    <t>N'Dongala</t>
  </si>
  <si>
    <t>Dubois</t>
  </si>
  <si>
    <t>Moimbé</t>
  </si>
  <si>
    <t>Kwateng</t>
  </si>
  <si>
    <t>Bedoya</t>
  </si>
  <si>
    <t>B. Touré</t>
  </si>
  <si>
    <t>A. Touré</t>
  </si>
  <si>
    <t>Rongier</t>
  </si>
  <si>
    <t>Gomis</t>
  </si>
  <si>
    <t>Thomasson</t>
  </si>
  <si>
    <t>Alégué</t>
  </si>
  <si>
    <t>Adryan</t>
  </si>
  <si>
    <t>Aristeguieta</t>
  </si>
  <si>
    <t>Audel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</si>
  <si>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</si>
  <si>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</si>
  <si>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</si>
  <si>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</si>
  <si>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</si>
  <si>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</si>
  <si>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</si>
  <si>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</si>
  <si>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</si>
  <si>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</si>
  <si>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Coentrao</t>
  </si>
  <si>
    <t>Borja Lopez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</si>
  <si>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</si>
  <si>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</si>
  <si>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</si>
  <si>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</si>
  <si>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</si>
  <si>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</si>
  <si>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</si>
  <si>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</si>
  <si>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1 / (-1)</t>
  </si>
  <si>
    <t>Helder Costa</t>
  </si>
  <si>
    <t>Mbappe-Lottin</t>
  </si>
  <si>
    <t>El Shaarawy</t>
  </si>
  <si>
    <t>ASM</t>
  </si>
  <si>
    <t>Lössl</t>
  </si>
  <si>
    <t>Jacobsen</t>
  </si>
  <si>
    <t>Lévêque</t>
  </si>
  <si>
    <t>Angoua</t>
  </si>
  <si>
    <t>Baca</t>
  </si>
  <si>
    <t>Sankoh</t>
  </si>
  <si>
    <t>Sorbon</t>
  </si>
  <si>
    <t>Héry</t>
  </si>
  <si>
    <t>Martins-Pereira</t>
  </si>
  <si>
    <t>Kerbrat</t>
  </si>
  <si>
    <t>M. Diallo</t>
  </si>
  <si>
    <t>Cardy</t>
  </si>
  <si>
    <t>Giresse</t>
  </si>
  <si>
    <t>Mathis</t>
  </si>
  <si>
    <t>Dos Santos</t>
  </si>
  <si>
    <t>Coco</t>
  </si>
  <si>
    <t>Blas</t>
  </si>
  <si>
    <t>Livolant</t>
  </si>
  <si>
    <t>Sankharé</t>
  </si>
  <si>
    <t>Alioui</t>
  </si>
  <si>
    <t>Achahbar</t>
  </si>
  <si>
    <t>Schwartz</t>
  </si>
  <si>
    <t>De Pauw</t>
  </si>
  <si>
    <t>Bègue</t>
  </si>
  <si>
    <t>EAG</t>
  </si>
  <si>
    <t>Adéoti</t>
  </si>
  <si>
    <t>Alhadhur</t>
  </si>
  <si>
    <t>Le Joncour</t>
  </si>
  <si>
    <t>Imorou</t>
  </si>
  <si>
    <t>Beaulieu</t>
  </si>
  <si>
    <t>Raineau</t>
  </si>
  <si>
    <t>Delaplace</t>
  </si>
  <si>
    <t>Nkololo</t>
  </si>
  <si>
    <t>Leborgne</t>
  </si>
  <si>
    <t>Ntibazonkiza</t>
  </si>
  <si>
    <t>SMC</t>
  </si>
  <si>
    <t>Petric</t>
  </si>
  <si>
    <t>Dreyer</t>
  </si>
  <si>
    <t>Bernardoni</t>
  </si>
  <si>
    <t>Grandel</t>
  </si>
  <si>
    <t>Rincon</t>
  </si>
  <si>
    <t>Lacour</t>
  </si>
  <si>
    <t>Mavinga</t>
  </si>
  <si>
    <t>Martial</t>
  </si>
  <si>
    <t>Karaboué</t>
  </si>
  <si>
    <t>Ayasse</t>
  </si>
  <si>
    <t>Court</t>
  </si>
  <si>
    <t>Darbion</t>
  </si>
  <si>
    <t>Othon</t>
  </si>
  <si>
    <t>Nivet</t>
  </si>
  <si>
    <t>Thiago</t>
  </si>
  <si>
    <t>Ben Saada</t>
  </si>
  <si>
    <t>Pi</t>
  </si>
  <si>
    <t>Camus</t>
  </si>
  <si>
    <t>Azamoum</t>
  </si>
  <si>
    <t>Hümmet</t>
  </si>
  <si>
    <t>Gueye</t>
  </si>
  <si>
    <t>Bienvenu</t>
  </si>
  <si>
    <t>Perea</t>
  </si>
  <si>
    <t>ESTAC</t>
  </si>
  <si>
    <t>Guerin</t>
  </si>
  <si>
    <t>Goda</t>
  </si>
  <si>
    <t>Ducourtioux</t>
  </si>
  <si>
    <t>Poggi</t>
  </si>
  <si>
    <t>Djokovic</t>
  </si>
  <si>
    <t>Youga</t>
  </si>
  <si>
    <t>Boutaïb</t>
  </si>
  <si>
    <t>Pujol</t>
  </si>
  <si>
    <t>Mayi</t>
  </si>
  <si>
    <t>Tshibumbu</t>
  </si>
  <si>
    <t>Zoua</t>
  </si>
  <si>
    <t>Dia</t>
  </si>
  <si>
    <t>GFCA</t>
  </si>
  <si>
    <t>Butelle</t>
  </si>
  <si>
    <t>Letellier</t>
  </si>
  <si>
    <t>Bouka Moutou</t>
  </si>
  <si>
    <t>K. Traoré</t>
  </si>
  <si>
    <t>I. Traoré</t>
  </si>
  <si>
    <t>Auriac</t>
  </si>
  <si>
    <t>Diers</t>
  </si>
  <si>
    <t>Eudeline</t>
  </si>
  <si>
    <t>Gomez</t>
  </si>
  <si>
    <t>Pessalli</t>
  </si>
  <si>
    <t>N'Gosso</t>
  </si>
  <si>
    <t>Capelle</t>
  </si>
  <si>
    <t>N'Doye</t>
  </si>
  <si>
    <t>Saïss</t>
  </si>
  <si>
    <t>Serin</t>
  </si>
  <si>
    <t>Karanovic</t>
  </si>
  <si>
    <t>Doré</t>
  </si>
  <si>
    <t>Nsamé</t>
  </si>
  <si>
    <t>SCO</t>
  </si>
  <si>
    <t>id</t>
  </si>
  <si>
    <t>id MPG</t>
  </si>
  <si>
    <t>Stats MPG</t>
  </si>
  <si>
    <t>id Stats MPG</t>
  </si>
  <si>
    <t>N'doye</t>
  </si>
  <si>
    <t>N'gog</t>
  </si>
  <si>
    <t>NKoulou</t>
  </si>
  <si>
    <t>Rabillard</t>
  </si>
  <si>
    <t>Ranieri</t>
  </si>
  <si>
    <t>Söderlund</t>
  </si>
  <si>
    <t>Gourcuff</t>
  </si>
  <si>
    <t>Gillet</t>
  </si>
  <si>
    <t>Erding</t>
  </si>
  <si>
    <t>Confais</t>
  </si>
  <si>
    <t>Yattara</t>
  </si>
  <si>
    <t>Lloris</t>
  </si>
  <si>
    <t>Gnagnon</t>
  </si>
  <si>
    <t>Thauvin</t>
  </si>
  <si>
    <t>Fletcher</t>
  </si>
  <si>
    <t>Walter</t>
  </si>
  <si>
    <t>Caddy</t>
  </si>
  <si>
    <t>Tabanou</t>
  </si>
  <si>
    <t>Tannane</t>
  </si>
  <si>
    <t>Amalfitano</t>
  </si>
  <si>
    <t>Eder</t>
  </si>
  <si>
    <t>Debuchy</t>
  </si>
  <si>
    <t>Arambarri</t>
  </si>
  <si>
    <t>Malcom</t>
  </si>
  <si>
    <t>Salles-Lamonge</t>
  </si>
  <si>
    <t>2 / (-1)</t>
  </si>
  <si>
    <t>El Kaoutari</t>
  </si>
  <si>
    <t>L. Bangoura</t>
  </si>
  <si>
    <t>Bifouma</t>
  </si>
  <si>
    <t>Love</t>
  </si>
  <si>
    <t>Chaibi</t>
  </si>
  <si>
    <t>Koukaou</t>
  </si>
  <si>
    <t>2 / (-2)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</si>
  <si>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</si>
  <si>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</si>
  <si>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</si>
  <si>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</si>
  <si>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</si>
  <si>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</si>
  <si>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</si>
  <si>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</si>
  <si>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</si>
  <si>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</si>
  <si>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Labidi</t>
  </si>
  <si>
    <t>Nkunku</t>
  </si>
  <si>
    <t>Selnaes</t>
  </si>
  <si>
    <t>Musavu-King</t>
  </si>
  <si>
    <t>Sotoca</t>
  </si>
  <si>
    <t>5 / (-1)</t>
  </si>
  <si>
    <t>Erasmus</t>
  </si>
  <si>
    <t>Ndom</t>
  </si>
  <si>
    <t>Jemerson</t>
  </si>
  <si>
    <t>4 / (-1)</t>
  </si>
  <si>
    <t>Chermiti</t>
  </si>
  <si>
    <t>Joués</t>
  </si>
  <si>
    <t>Prix</t>
  </si>
  <si>
    <t>Acheté</t>
  </si>
  <si>
    <t>Dabo (Mpl)</t>
  </si>
  <si>
    <t>1 / (-2)</t>
  </si>
  <si>
    <t>Rimane</t>
  </si>
  <si>
    <t>Méïté</t>
  </si>
  <si>
    <t>Taufflieb</t>
  </si>
  <si>
    <t>Koffi</t>
  </si>
  <si>
    <t>Ben Khémis</t>
  </si>
  <si>
    <t>Walongwa</t>
  </si>
  <si>
    <t>10 / (-1)</t>
  </si>
  <si>
    <t>(-2)</t>
  </si>
  <si>
    <t>Grandsir</t>
  </si>
  <si>
    <t>Laidouni</t>
  </si>
  <si>
    <t>J35</t>
  </si>
  <si>
    <t>J36</t>
  </si>
  <si>
    <t>J37</t>
  </si>
  <si>
    <t>J38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</si>
</sst>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0\ &quot;€&quot;;[Red]\-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4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0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8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6" borderId="28" xfId="0" applyFill="1" applyBorder="1"/>
    <xf numFmtId="0" fontId="6" fillId="0" borderId="10" xfId="0" applyFont="1" applyFill="1" applyBorder="1" applyAlignment="1">
      <alignment horizontal="right"/>
    </xf>
    <xf numFmtId="0" fontId="0" fillId="0" borderId="29" xfId="0" applyBorder="1"/>
    <xf numFmtId="0" fontId="0" fillId="0" borderId="30" xfId="0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1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1" xfId="0" applyBorder="1"/>
    <xf numFmtId="0" fontId="0" fillId="0" borderId="0" xfId="0" applyFont="1" applyFill="1" applyBorder="1" applyAlignment="1">
      <alignment horizontal="right"/>
    </xf>
    <xf numFmtId="1" fontId="0" fillId="7" borderId="0" xfId="0" applyNumberFormat="1" applyFill="1" applyBorder="1" applyAlignment="1">
      <alignment horizontal="right"/>
    </xf>
    <xf numFmtId="0" fontId="1" fillId="0" borderId="21" xfId="0" applyFont="1" applyFill="1" applyBorder="1"/>
    <xf numFmtId="0" fontId="0" fillId="0" borderId="32" xfId="0" applyBorder="1"/>
    <xf numFmtId="2" fontId="0" fillId="6" borderId="28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3" xfId="0" applyBorder="1"/>
    <xf numFmtId="2" fontId="0" fillId="6" borderId="34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7" fillId="10" borderId="11" xfId="0" applyFont="1" applyFill="1" applyBorder="1"/>
    <xf numFmtId="0" fontId="7" fillId="10" borderId="0" xfId="0" applyFont="1" applyFill="1" applyBorder="1"/>
    <xf numFmtId="0" fontId="7" fillId="10" borderId="12" xfId="0" applyFont="1" applyFill="1" applyBorder="1"/>
    <xf numFmtId="0" fontId="7" fillId="10" borderId="10" xfId="0" applyFont="1" applyFill="1" applyBorder="1"/>
    <xf numFmtId="0" fontId="7" fillId="10" borderId="21" xfId="0" applyFont="1" applyFill="1" applyBorder="1"/>
    <xf numFmtId="0" fontId="7" fillId="10" borderId="0" xfId="0" applyFont="1" applyFill="1" applyAlignment="1">
      <alignment horizontal="right"/>
    </xf>
    <xf numFmtId="0" fontId="7" fillId="10" borderId="10" xfId="0" applyFont="1" applyFill="1" applyBorder="1" applyAlignment="1">
      <alignment horizontal="right"/>
    </xf>
    <xf numFmtId="0" fontId="7" fillId="10" borderId="9" xfId="0" applyFont="1" applyFill="1" applyBorder="1" applyAlignment="1">
      <alignment horizontal="right"/>
    </xf>
    <xf numFmtId="0" fontId="7" fillId="10" borderId="9" xfId="0" applyFont="1" applyFill="1" applyBorder="1"/>
    <xf numFmtId="0" fontId="0" fillId="0" borderId="10" xfId="0" applyFont="1" applyFill="1" applyBorder="1" applyAlignment="1">
      <alignment horizontal="right"/>
    </xf>
    <xf numFmtId="0" fontId="0" fillId="0" borderId="35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164" fontId="0" fillId="0" borderId="0" xfId="0" applyNumberFormat="1" applyFill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5" xfId="0" applyFont="1" applyBorder="1"/>
    <xf numFmtId="0" fontId="0" fillId="0" borderId="30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0" fillId="7" borderId="10" xfId="0" applyFill="1" applyBorder="1"/>
    <xf numFmtId="0" fontId="6" fillId="8" borderId="10" xfId="0" applyFont="1" applyFill="1" applyBorder="1"/>
    <xf numFmtId="0" fontId="0" fillId="0" borderId="35" xfId="0" applyFont="1" applyFill="1" applyBorder="1"/>
    <xf numFmtId="0" fontId="0" fillId="9" borderId="9" xfId="0" applyFill="1" applyBorder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0" borderId="0" xfId="0" applyBorder="1" applyAlignment="1">
      <alignment horizontal="right"/>
    </xf>
    <xf numFmtId="1" fontId="0" fillId="0" borderId="10" xfId="0" applyNumberFormat="1" applyFill="1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1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164" fontId="7" fillId="10" borderId="0" xfId="0" applyNumberFormat="1" applyFont="1" applyFill="1" applyAlignment="1">
      <alignment horizontal="right"/>
    </xf>
    <xf numFmtId="0" fontId="6" fillId="10" borderId="9" xfId="0" applyFont="1" applyFill="1" applyBorder="1" applyAlignment="1">
      <alignment horizontal="right"/>
    </xf>
    <xf numFmtId="0" fontId="6" fillId="10" borderId="9" xfId="0" applyFont="1" applyFill="1" applyBorder="1"/>
    <xf numFmtId="0" fontId="7" fillId="0" borderId="0" xfId="0" applyFont="1" applyFill="1" applyAlignment="1">
      <alignment horizontal="right"/>
    </xf>
    <xf numFmtId="0" fontId="0" fillId="0" borderId="33" xfId="0" applyFill="1" applyBorder="1"/>
    <xf numFmtId="164" fontId="0" fillId="8" borderId="9" xfId="0" applyNumberFormat="1" applyFill="1" applyBorder="1"/>
    <xf numFmtId="1" fontId="0" fillId="8" borderId="9" xfId="0" applyNumberFormat="1" applyFill="1" applyBorder="1" applyAlignment="1">
      <alignment horizontal="right"/>
    </xf>
    <xf numFmtId="0" fontId="0" fillId="8" borderId="33" xfId="0" applyFill="1" applyBorder="1"/>
    <xf numFmtId="164" fontId="0" fillId="8" borderId="9" xfId="0" applyNumberFormat="1" applyFill="1" applyBorder="1" applyAlignment="1">
      <alignment horizontal="right"/>
    </xf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6" fillId="10" borderId="0" xfId="0" applyFont="1" applyFill="1" applyBorder="1"/>
    <xf numFmtId="0" fontId="0" fillId="7" borderId="10" xfId="0" applyFill="1" applyBorder="1" applyAlignment="1">
      <alignment horizontal="right"/>
    </xf>
    <xf numFmtId="0" fontId="0" fillId="0" borderId="36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10" borderId="9" xfId="0" applyFill="1" applyBorder="1" applyAlignment="1">
      <alignment horizontal="right"/>
    </xf>
    <xf numFmtId="0" fontId="0" fillId="10" borderId="9" xfId="0" applyFill="1" applyBorder="1"/>
    <xf numFmtId="0" fontId="0" fillId="10" borderId="10" xfId="0" applyFill="1" applyBorder="1"/>
    <xf numFmtId="0" fontId="1" fillId="0" borderId="35" xfId="0" applyFont="1" applyBorder="1"/>
    <xf numFmtId="2" fontId="0" fillId="6" borderId="21" xfId="0" applyNumberFormat="1" applyFill="1" applyBorder="1"/>
    <xf numFmtId="164" fontId="0" fillId="0" borderId="10" xfId="0" applyNumberFormat="1" applyFont="1" applyFill="1" applyBorder="1"/>
    <xf numFmtId="1" fontId="0" fillId="0" borderId="10" xfId="0" applyNumberFormat="1" applyFont="1" applyFill="1" applyBorder="1"/>
    <xf numFmtId="0" fontId="6" fillId="8" borderId="0" xfId="0" applyFont="1" applyFill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0" fontId="7" fillId="8" borderId="35" xfId="0" applyFont="1" applyFill="1" applyBorder="1"/>
    <xf numFmtId="0" fontId="7" fillId="8" borderId="25" xfId="0" applyFont="1" applyFill="1" applyBorder="1"/>
    <xf numFmtId="0" fontId="7" fillId="8" borderId="32" xfId="0" applyFont="1" applyFill="1" applyBorder="1"/>
    <xf numFmtId="0" fontId="7" fillId="8" borderId="24" xfId="0" applyFont="1" applyFill="1" applyBorder="1" applyAlignment="1">
      <alignment horizontal="right"/>
    </xf>
    <xf numFmtId="1" fontId="6" fillId="7" borderId="9" xfId="0" applyNumberFormat="1" applyFont="1" applyFill="1" applyBorder="1"/>
    <xf numFmtId="1" fontId="0" fillId="9" borderId="9" xfId="0" applyNumberFormat="1" applyFill="1" applyBorder="1"/>
    <xf numFmtId="1" fontId="7" fillId="10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1" xfId="0" applyFont="1" applyFill="1" applyBorder="1"/>
    <xf numFmtId="0" fontId="6" fillId="7" borderId="0" xfId="0" applyFont="1" applyFill="1" applyBorder="1"/>
    <xf numFmtId="0" fontId="0" fillId="8" borderId="12" xfId="0" applyFont="1" applyFill="1" applyBorder="1"/>
    <xf numFmtId="0" fontId="0" fillId="8" borderId="9" xfId="0" applyFont="1" applyFill="1" applyBorder="1"/>
    <xf numFmtId="0" fontId="0" fillId="8" borderId="13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30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8" borderId="11" xfId="0" applyFont="1" applyFill="1" applyBorder="1"/>
    <xf numFmtId="0" fontId="0" fillId="8" borderId="21" xfId="0" applyFon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20" fontId="0" fillId="0" borderId="0" xfId="0" applyNumberFormat="1"/>
    <xf numFmtId="0" fontId="0" fillId="0" borderId="0" xfId="0" applyAlignment="1">
      <alignment horizontal="center"/>
    </xf>
    <xf numFmtId="0" fontId="0" fillId="11" borderId="0" xfId="0" applyFill="1"/>
    <xf numFmtId="0" fontId="0" fillId="12" borderId="0" xfId="0" applyFill="1"/>
    <xf numFmtId="0" fontId="0" fillId="9" borderId="10" xfId="0" applyFill="1" applyBorder="1" applyAlignment="1">
      <alignment horizontal="right"/>
    </xf>
    <xf numFmtId="0" fontId="7" fillId="8" borderId="0" xfId="0" applyFont="1" applyFill="1" applyBorder="1" applyAlignment="1">
      <alignment horizontal="right"/>
    </xf>
    <xf numFmtId="0" fontId="7" fillId="8" borderId="24" xfId="0" applyFont="1" applyFill="1" applyBorder="1"/>
    <xf numFmtId="0" fontId="7" fillId="8" borderId="5" xfId="0" applyFont="1" applyFill="1" applyBorder="1"/>
    <xf numFmtId="0" fontId="7" fillId="8" borderId="29" xfId="0" applyFont="1" applyFill="1" applyBorder="1"/>
    <xf numFmtId="0" fontId="7" fillId="8" borderId="30" xfId="0" applyFont="1" applyFill="1" applyBorder="1"/>
    <xf numFmtId="0" fontId="6" fillId="8" borderId="0" xfId="0" applyFont="1" applyFill="1" applyAlignment="1">
      <alignment horizontal="right"/>
    </xf>
    <xf numFmtId="0" fontId="7" fillId="8" borderId="23" xfId="0" applyFont="1" applyFill="1" applyBorder="1"/>
    <xf numFmtId="2" fontId="7" fillId="6" borderId="28" xfId="0" applyNumberFormat="1" applyFont="1" applyFill="1" applyBorder="1"/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1" fontId="7" fillId="8" borderId="0" xfId="0" applyNumberFormat="1" applyFont="1" applyFill="1" applyBorder="1" applyAlignment="1">
      <alignment horizontal="right"/>
    </xf>
    <xf numFmtId="0" fontId="0" fillId="7" borderId="0" xfId="0" applyFill="1"/>
    <xf numFmtId="0" fontId="6" fillId="8" borderId="35" xfId="0" applyFont="1" applyFill="1" applyBorder="1"/>
    <xf numFmtId="0" fontId="6" fillId="9" borderId="9" xfId="0" applyFont="1" applyFill="1" applyBorder="1"/>
    <xf numFmtId="164" fontId="7" fillId="8" borderId="0" xfId="0" applyNumberFormat="1" applyFont="1" applyFill="1" applyAlignment="1">
      <alignment horizontal="right"/>
    </xf>
    <xf numFmtId="0" fontId="6" fillId="8" borderId="33" xfId="0" applyFont="1" applyFill="1" applyBorder="1"/>
    <xf numFmtId="0" fontId="0" fillId="0" borderId="33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164" fontId="7" fillId="8" borderId="9" xfId="0" applyNumberFormat="1" applyFont="1" applyFill="1" applyBorder="1" applyAlignment="1">
      <alignment horizontal="right"/>
    </xf>
    <xf numFmtId="0" fontId="0" fillId="9" borderId="10" xfId="0" applyFont="1" applyFill="1" applyBorder="1"/>
    <xf numFmtId="2" fontId="0" fillId="0" borderId="0" xfId="1" applyNumberFormat="1" applyFont="1"/>
    <xf numFmtId="0" fontId="6" fillId="8" borderId="10" xfId="0" applyFont="1" applyFill="1" applyBorder="1" applyAlignment="1">
      <alignment horizontal="right"/>
    </xf>
    <xf numFmtId="164" fontId="7" fillId="8" borderId="10" xfId="0" applyNumberFormat="1" applyFont="1" applyFill="1" applyBorder="1" applyAlignment="1">
      <alignment horizontal="right"/>
    </xf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1" fontId="6" fillId="7" borderId="0" xfId="0" applyNumberFormat="1" applyFont="1" applyFill="1" applyBorder="1" applyAlignment="1">
      <alignment horizontal="right"/>
    </xf>
    <xf numFmtId="1" fontId="6" fillId="7" borderId="0" xfId="0" applyNumberFormat="1" applyFont="1" applyFill="1" applyBorder="1"/>
    <xf numFmtId="0" fontId="0" fillId="7" borderId="0" xfId="0" applyFill="1" applyBorder="1" applyAlignment="1">
      <alignment horizontal="right"/>
    </xf>
    <xf numFmtId="0" fontId="6" fillId="7" borderId="0" xfId="0" applyFont="1" applyFill="1" applyBorder="1" applyAlignment="1">
      <alignment horizontal="right"/>
    </xf>
    <xf numFmtId="0" fontId="0" fillId="7" borderId="10" xfId="0" applyFont="1" applyFill="1" applyBorder="1"/>
    <xf numFmtId="0" fontId="6" fillId="0" borderId="0" xfId="0" applyFont="1" applyFill="1" applyBorder="1"/>
    <xf numFmtId="0" fontId="0" fillId="0" borderId="9" xfId="0" applyBorder="1" applyAlignment="1">
      <alignment horizontal="right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1" fillId="0" borderId="16" xfId="0" applyFont="1" applyBorder="1"/>
    <xf numFmtId="0" fontId="0" fillId="0" borderId="0" xfId="0" applyAlignment="1">
      <alignment horizontal="center"/>
    </xf>
    <xf numFmtId="0" fontId="0" fillId="0" borderId="7" xfId="0" applyBorder="1"/>
    <xf numFmtId="0" fontId="0" fillId="9" borderId="0" xfId="0" applyFont="1" applyFill="1" applyBorder="1"/>
    <xf numFmtId="0" fontId="0" fillId="7" borderId="10" xfId="0" applyFont="1" applyFill="1" applyBorder="1" applyAlignment="1">
      <alignment horizontal="right"/>
    </xf>
    <xf numFmtId="0" fontId="0" fillId="0" borderId="13" xfId="0" applyFont="1" applyFill="1" applyBorder="1"/>
    <xf numFmtId="164" fontId="0" fillId="0" borderId="9" xfId="0" applyNumberFormat="1" applyFont="1" applyFill="1" applyBorder="1"/>
    <xf numFmtId="165" fontId="0" fillId="0" borderId="0" xfId="0" applyNumberFormat="1"/>
    <xf numFmtId="0" fontId="0" fillId="0" borderId="37" xfId="0" applyBorder="1"/>
    <xf numFmtId="1" fontId="6" fillId="7" borderId="10" xfId="0" applyNumberFormat="1" applyFont="1" applyFill="1" applyBorder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24" xfId="0" applyFill="1" applyBorder="1"/>
    <xf numFmtId="165" fontId="0" fillId="0" borderId="11" xfId="0" applyNumberFormat="1" applyBorder="1"/>
    <xf numFmtId="0" fontId="0" fillId="7" borderId="0" xfId="0" applyFont="1" applyFill="1" applyBorder="1"/>
    <xf numFmtId="0" fontId="0" fillId="7" borderId="33" xfId="0" applyFill="1" applyBorder="1"/>
    <xf numFmtId="0" fontId="0" fillId="9" borderId="0" xfId="0" applyFill="1" applyBorder="1"/>
    <xf numFmtId="0" fontId="6" fillId="9" borderId="10" xfId="0" applyFont="1" applyFill="1" applyBorder="1"/>
    <xf numFmtId="0" fontId="0" fillId="0" borderId="23" xfId="0" applyFill="1" applyBorder="1"/>
    <xf numFmtId="0" fontId="1" fillId="0" borderId="4" xfId="0" applyFont="1" applyFill="1" applyBorder="1"/>
    <xf numFmtId="0" fontId="1" fillId="0" borderId="16" xfId="0" applyFont="1" applyFill="1" applyBorder="1"/>
    <xf numFmtId="0" fontId="0" fillId="9" borderId="0" xfId="0" applyFont="1" applyFill="1" applyBorder="1" applyAlignment="1">
      <alignment horizontal="right"/>
    </xf>
    <xf numFmtId="0" fontId="0" fillId="9" borderId="33" xfId="0" applyFill="1" applyBorder="1"/>
    <xf numFmtId="0" fontId="0" fillId="7" borderId="0" xfId="0" applyFill="1" applyBorder="1"/>
    <xf numFmtId="0" fontId="6" fillId="0" borderId="33" xfId="0" applyFont="1" applyFill="1" applyBorder="1" applyAlignment="1">
      <alignment horizontal="right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374.888352662034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25.87736875" createdVersion="4" refreshedVersion="4" minRefreshableVersion="3" recordCount="192">
  <cacheSource type="worksheet">
    <worksheetSource name="_MPG"/>
  </cacheSource>
  <cacheFields count="15">
    <cacheField name="Club" numFmtId="0">
      <sharedItems count="8">
        <s v="Les Bâtards"/>
        <s v="Mon équipe"/>
        <s v="FC Pine-Antoine"/>
        <s v="asse la revanche"/>
        <s v="Les galactiques"/>
        <s v="Gros Zguegue FC"/>
        <s v="Arâches FC"/>
        <s v="Croix-Rousse FC"/>
      </sharedItems>
    </cacheField>
    <cacheField name="Poste" numFmtId="0">
      <sharedItems/>
    </cacheField>
    <cacheField name="Nom" numFmtId="0">
      <sharedItems/>
    </cacheField>
    <cacheField name="Prénom" numFmtId="0">
      <sharedItems containsBlank="1"/>
    </cacheField>
    <cacheField name="Equipe" numFmtId="0">
      <sharedItems/>
    </cacheField>
    <cacheField name="€" numFmtId="0">
      <sharedItems containsSemiMixedTypes="0" containsString="0" containsNumber="1" containsInteger="1" minValue="1" maxValue="166"/>
    </cacheField>
    <cacheField name="But" numFmtId="0">
      <sharedItems containsSemiMixedTypes="0" containsString="0" containsNumber="1" containsInteger="1" minValue="0" maxValue="8"/>
    </cacheField>
    <cacheField name="MPG" numFmtId="0">
      <sharedItems containsSemiMixedTypes="0" containsString="0" containsNumber="1" containsInteger="1" minValue="0" maxValue="2"/>
    </cacheField>
    <cacheField name="Tot" numFmtId="0">
      <sharedItems containsSemiMixedTypes="0" containsString="0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.5" maxValue="7.1034482758620694"/>
    </cacheField>
    <cacheField name="Tit IRL" numFmtId="0">
      <sharedItems containsBlank="1" containsMixedTypes="1" containsNumber="1" containsInteger="1" minValue="0" maxValue="38"/>
    </cacheField>
    <cacheField name="Entrée IRL" numFmtId="0">
      <sharedItems containsBlank="1" containsMixedTypes="1" containsNumber="1" containsInteger="1" minValue="0" maxValue="19"/>
    </cacheField>
    <cacheField name="But IRL" numFmtId="0">
      <sharedItems containsBlank="1" containsMixedTypes="1" containsNumber="1" containsInteger="1" minValue="0" maxValue="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2">
  <r>
    <x v="0"/>
    <s v="Attaquant"/>
    <s v="Cavani"/>
    <s v="Edinson"/>
    <s v="Paris"/>
    <n v="92"/>
    <n v="0"/>
    <n v="0"/>
    <n v="0"/>
    <m/>
    <m/>
    <n v="5.72"/>
    <n v="24"/>
    <n v="8"/>
    <n v="19"/>
  </r>
  <r>
    <x v="0"/>
    <s v="Attaquant"/>
    <s v="Saivet"/>
    <s v="Henri"/>
    <s v="Bordeaux"/>
    <n v="14"/>
    <n v="0"/>
    <n v="0"/>
    <n v="0"/>
    <m/>
    <m/>
    <n v="5.4444444444444446"/>
    <n v="18"/>
    <n v="0"/>
    <n v="2"/>
  </r>
  <r>
    <x v="0"/>
    <s v="Attaquant"/>
    <s v="Rodelin"/>
    <s v="Ronny"/>
    <s v="Caen"/>
    <n v="8"/>
    <n v="0"/>
    <n v="0"/>
    <n v="0"/>
    <m/>
    <m/>
    <n v="5.2121212121212119"/>
    <n v="33"/>
    <n v="1"/>
    <n v="10"/>
  </r>
  <r>
    <x v="0"/>
    <s v="Attaquant"/>
    <s v="Jacques Zoua"/>
    <m/>
    <s v="Ajaccio"/>
    <n v="19"/>
    <n v="0"/>
    <n v="0"/>
    <n v="0"/>
    <m/>
    <m/>
    <n v="4.4074074074074074"/>
    <n v="26"/>
    <n v="5"/>
    <n v="5"/>
  </r>
  <r>
    <x v="0"/>
    <s v="Attaquant"/>
    <s v="Jean"/>
    <s v="Corentin"/>
    <s v="Troyes"/>
    <n v="20"/>
    <n v="1"/>
    <n v="0"/>
    <n v="1"/>
    <s v="4.67"/>
    <s v="4.75"/>
    <n v="4.6206896551724137"/>
    <n v="30"/>
    <n v="4"/>
    <n v="4"/>
  </r>
  <r>
    <x v="0"/>
    <s v="Attaquant"/>
    <s v="Sala"/>
    <s v="Emiliano"/>
    <s v="Nantes"/>
    <n v="28"/>
    <n v="0"/>
    <n v="0"/>
    <n v="0"/>
    <m/>
    <m/>
    <n v="4.7826086956521738"/>
    <n v="22"/>
    <n v="9"/>
    <n v="6"/>
  </r>
  <r>
    <x v="0"/>
    <s v="Défenseur"/>
    <s v="Sabaly"/>
    <s v="Youssouf"/>
    <s v="Nantes"/>
    <n v="6"/>
    <n v="0"/>
    <n v="0"/>
    <n v="0"/>
    <m/>
    <m/>
    <n v="5.1071428571428568"/>
    <n v="28"/>
    <n v="0"/>
    <n v="2"/>
  </r>
  <r>
    <x v="0"/>
    <s v="Défenseur"/>
    <s v="Coeff"/>
    <s v="Alexandre"/>
    <s v="Ajaccio"/>
    <n v="7"/>
    <n v="0"/>
    <n v="0"/>
    <n v="0"/>
    <m/>
    <m/>
    <n v="5.0454545454545459"/>
    <n v="22"/>
    <n v="2"/>
    <n v="0"/>
  </r>
  <r>
    <x v="0"/>
    <s v="Défenseur"/>
    <s v="Traore"/>
    <s v="Hamari"/>
    <s v="Reims"/>
    <n v="11"/>
    <n v="0"/>
    <n v="0"/>
    <n v="0"/>
    <m/>
    <m/>
    <n v="5"/>
    <n v="32"/>
    <n v="1"/>
    <n v="2"/>
  </r>
  <r>
    <x v="0"/>
    <s v="Défenseur"/>
    <s v="Corchia"/>
    <s v="Sébastien"/>
    <s v="Lille"/>
    <n v="23"/>
    <n v="0"/>
    <n v="0"/>
    <n v="0"/>
    <m/>
    <m/>
    <n v="5.2758620689655169"/>
    <n v="30"/>
    <n v="3"/>
    <n v="2"/>
  </r>
  <r>
    <x v="0"/>
    <s v="Défenseur"/>
    <s v="Toure"/>
    <s v="Zargo"/>
    <s v="Lorient"/>
    <n v="2"/>
    <n v="0"/>
    <n v="0"/>
    <n v="0"/>
    <m/>
    <m/>
    <n v="5"/>
    <n v="29"/>
    <n v="0"/>
    <n v="4"/>
  </r>
  <r>
    <x v="0"/>
    <s v="Défenseur"/>
    <s v="Andreu"/>
    <s v="Yoann"/>
    <s v="Angers"/>
    <n v="6"/>
    <n v="0"/>
    <n v="0"/>
    <n v="0"/>
    <m/>
    <m/>
    <n v="4.935483870967742"/>
    <n v="31"/>
    <n v="0"/>
    <n v="0"/>
  </r>
  <r>
    <x v="0"/>
    <s v="Défenseur"/>
    <s v="Armand"/>
    <s v="Sylvain"/>
    <s v="Rennes"/>
    <n v="24"/>
    <n v="0"/>
    <n v="0"/>
    <n v="0"/>
    <m/>
    <m/>
    <n v="4.9696969696969697"/>
    <n v="33"/>
    <n v="1"/>
    <n v="1"/>
  </r>
  <r>
    <x v="0"/>
    <s v="Défenseur"/>
    <s v="Saunier"/>
    <s v="Matthieu"/>
    <s v="Troyes"/>
    <n v="17"/>
    <n v="0"/>
    <n v="0"/>
    <n v="0"/>
    <m/>
    <m/>
    <n v="4.7777777777777777"/>
    <n v="28"/>
    <n v="0"/>
    <n v="0"/>
  </r>
  <r>
    <x v="0"/>
    <s v="Gardien"/>
    <s v="Leca"/>
    <s v="Jean-Louis"/>
    <s v="Bastia"/>
    <n v="18"/>
    <n v="0"/>
    <n v="0"/>
    <n v="0"/>
    <m/>
    <m/>
    <n v="5.5882352941176467"/>
    <n v="34"/>
    <n v="0"/>
    <n v="0"/>
  </r>
  <r>
    <x v="0"/>
    <s v="Gardien"/>
    <s v="Lecomte"/>
    <s v="Benjamin"/>
    <s v="Lorient"/>
    <n v="22"/>
    <n v="0"/>
    <n v="0"/>
    <n v="0"/>
    <m/>
    <m/>
    <n v="5.3888888888888893"/>
    <n v="37"/>
    <n v="0"/>
    <n v="0"/>
  </r>
  <r>
    <x v="0"/>
    <s v="Milieu"/>
    <s v="Seri"/>
    <s v="Jean"/>
    <s v="Nice"/>
    <n v="11"/>
    <n v="0"/>
    <n v="0"/>
    <n v="0"/>
    <m/>
    <m/>
    <n v="5.5428571428571427"/>
    <n v="35"/>
    <n v="3"/>
    <n v="3"/>
  </r>
  <r>
    <x v="0"/>
    <s v="Milieu"/>
    <s v="Mangani"/>
    <s v="Thomas"/>
    <s v="Angers"/>
    <n v="23"/>
    <n v="0"/>
    <n v="0"/>
    <n v="0"/>
    <m/>
    <m/>
    <n v="5.3793103448275863"/>
    <n v="31"/>
    <n v="2"/>
    <n v="5"/>
  </r>
  <r>
    <x v="0"/>
    <s v="Milieu"/>
    <s v="Féret"/>
    <s v="Julien"/>
    <s v="Caen"/>
    <n v="25"/>
    <n v="3"/>
    <n v="1"/>
    <n v="4"/>
    <s v="5.77"/>
    <s v="5.81"/>
    <n v="5.1891891891891895"/>
    <n v="37"/>
    <n v="1"/>
    <n v="4"/>
  </r>
  <r>
    <x v="0"/>
    <s v="Milieu"/>
    <s v="Martin"/>
    <s v="Jonas"/>
    <s v="Montpellier"/>
    <n v="20"/>
    <n v="0"/>
    <n v="0"/>
    <n v="0"/>
    <m/>
    <m/>
    <n v="5.5277777777777777"/>
    <n v="35"/>
    <n v="1"/>
    <n v="4"/>
  </r>
  <r>
    <x v="0"/>
    <s v="Milieu"/>
    <s v="Ndoye"/>
    <s v="Cheikh"/>
    <s v="Angers"/>
    <n v="41"/>
    <n v="0"/>
    <n v="0"/>
    <n v="0"/>
    <m/>
    <m/>
    <n v="5.0999999999999996"/>
    <n v="32"/>
    <n v="0"/>
    <n v="9"/>
  </r>
  <r>
    <x v="0"/>
    <s v="Milieu"/>
    <s v="Ndong"/>
    <s v="Didier Ibrahim"/>
    <s v="Lorient"/>
    <n v="12"/>
    <n v="0"/>
    <n v="0"/>
    <n v="0"/>
    <m/>
    <m/>
    <n v="5.0294117647058822"/>
    <n v="34"/>
    <n v="0"/>
    <n v="3"/>
  </r>
  <r>
    <x v="0"/>
    <s v="Milieu"/>
    <s v="Salibur"/>
    <s v="Yannis"/>
    <s v="Guingamp"/>
    <n v="8"/>
    <n v="0"/>
    <n v="0"/>
    <n v="0"/>
    <m/>
    <m/>
    <n v="5.2142857142857144"/>
    <n v="28"/>
    <n v="2"/>
    <n v="7"/>
  </r>
  <r>
    <x v="0"/>
    <s v="Milieu"/>
    <s v="Floyd Ayité"/>
    <m/>
    <s v="Bastia"/>
    <n v="20"/>
    <n v="0"/>
    <n v="0"/>
    <n v="0"/>
    <s v="6.00"/>
    <s v="6.00"/>
    <n v="4.8620689655172411"/>
    <n v="30"/>
    <n v="2"/>
    <n v="8"/>
  </r>
  <r>
    <x v="0"/>
    <s v="Milieu"/>
    <s v="Danic"/>
    <s v="Gaël"/>
    <s v="Bastia"/>
    <n v="12"/>
    <n v="0"/>
    <n v="0"/>
    <n v="0"/>
    <m/>
    <m/>
    <n v="4.9666666666666668"/>
    <n v="32"/>
    <n v="5"/>
    <n v="5"/>
  </r>
  <r>
    <x v="0"/>
    <s v="Milieu"/>
    <s v="Siebatcheu"/>
    <s v="Theoson"/>
    <s v="Reims"/>
    <n v="11"/>
    <n v="0"/>
    <n v="0"/>
    <n v="0"/>
    <m/>
    <m/>
    <n v="4.2"/>
    <n v="6"/>
    <n v="19"/>
    <n v="3"/>
  </r>
  <r>
    <x v="1"/>
    <s v="Attaquant"/>
    <s v="Bamba"/>
    <s v="Jonathan"/>
    <s v="Saint-Etienne"/>
    <n v="2"/>
    <n v="0"/>
    <n v="0"/>
    <n v="0"/>
    <m/>
    <m/>
    <n v="4.5"/>
    <n v="4"/>
    <n v="1"/>
    <n v="1"/>
  </r>
  <r>
    <x v="1"/>
    <s v="Attaquant"/>
    <s v="De Préville"/>
    <s v="Nicolas"/>
    <s v="Reims"/>
    <n v="31"/>
    <n v="0"/>
    <n v="0"/>
    <n v="0"/>
    <m/>
    <m/>
    <n v="5.382352941176471"/>
    <n v="34"/>
    <n v="2"/>
    <n v="7"/>
  </r>
  <r>
    <x v="1"/>
    <s v="Attaquant"/>
    <s v="Jeannot"/>
    <s v="Benjamin"/>
    <s v="Lorient"/>
    <n v="26"/>
    <n v="0"/>
    <n v="0"/>
    <n v="0"/>
    <m/>
    <m/>
    <n v="4.5238095238095237"/>
    <n v="19"/>
    <n v="10"/>
    <n v="7"/>
  </r>
  <r>
    <x v="1"/>
    <s v="Attaquant"/>
    <s v="Kalulu"/>
    <s v="Aldo"/>
    <s v="Lyon"/>
    <n v="1"/>
    <n v="1"/>
    <n v="0"/>
    <n v="1"/>
    <s v="4.67"/>
    <s v="4.67"/>
    <n v="6"/>
    <n v="1"/>
    <n v="9"/>
    <n v="2"/>
  </r>
  <r>
    <x v="1"/>
    <s v="Attaquant"/>
    <s v="Michy"/>
    <m/>
    <s v="Marseille"/>
    <n v="85"/>
    <n v="8"/>
    <n v="0"/>
    <n v="8"/>
    <s v="5.79"/>
    <s v="5.82"/>
    <n v="5.34375"/>
    <n v="32"/>
    <n v="4"/>
    <n v="17"/>
  </r>
  <r>
    <x v="1"/>
    <s v="Attaquant"/>
    <s v="Monnet-Paquet"/>
    <s v="Kevin"/>
    <s v="Saint-Etienne"/>
    <n v="13"/>
    <n v="0"/>
    <n v="0"/>
    <n v="0"/>
    <m/>
    <m/>
    <n v="4.76"/>
    <n v="25"/>
    <n v="6"/>
    <n v="2"/>
  </r>
  <r>
    <x v="1"/>
    <s v="Attaquant"/>
    <s v="Ngog"/>
    <s v="David"/>
    <s v="Reims"/>
    <n v="31"/>
    <n v="0"/>
    <n v="0"/>
    <n v="0"/>
    <m/>
    <m/>
    <n v="4.4545454545454541"/>
    <n v="11"/>
    <n v="5"/>
    <n v="3"/>
  </r>
  <r>
    <x v="1"/>
    <s v="Défenseur"/>
    <s v="Appiah"/>
    <s v="Dennis"/>
    <s v="Caen"/>
    <n v="6"/>
    <n v="0"/>
    <n v="0"/>
    <n v="0"/>
    <m/>
    <m/>
    <n v="4.7631578947368425"/>
    <n v="38"/>
    <n v="0"/>
    <n v="1"/>
  </r>
  <r>
    <x v="1"/>
    <s v="Défenseur"/>
    <s v="Bessat"/>
    <s v="Vincent"/>
    <s v="Caen"/>
    <n v="12"/>
    <n v="0"/>
    <n v="0"/>
    <n v="0"/>
    <m/>
    <m/>
    <n v="4.5757575757575761"/>
    <n v="32"/>
    <n v="3"/>
    <n v="1"/>
  </r>
  <r>
    <x v="1"/>
    <s v="Défenseur"/>
    <s v="Cana"/>
    <s v="Lorik"/>
    <s v="Nantes"/>
    <n v="7"/>
    <n v="0"/>
    <n v="0"/>
    <n v="0"/>
    <m/>
    <m/>
    <n v="4.6500000000000004"/>
    <n v="20"/>
    <n v="1"/>
    <n v="0"/>
  </r>
  <r>
    <x v="1"/>
    <s v="Défenseur"/>
    <s v="Congré"/>
    <s v="Daniel"/>
    <s v="Montpellier"/>
    <n v="12"/>
    <n v="0"/>
    <n v="0"/>
    <n v="0"/>
    <m/>
    <m/>
    <n v="5.2857142857142856"/>
    <n v="35"/>
    <n v="0"/>
    <n v="2"/>
  </r>
  <r>
    <x v="1"/>
    <s v="Défenseur"/>
    <s v="Filippi"/>
    <s v="Roderic"/>
    <s v="Ajaccio"/>
    <n v="6"/>
    <n v="0"/>
    <n v="0"/>
    <n v="0"/>
    <m/>
    <m/>
    <n v="5"/>
    <n v="21"/>
    <n v="5"/>
    <n v="2"/>
  </r>
  <r>
    <x v="1"/>
    <s v="Défenseur"/>
    <s v="Mangane"/>
    <s v="Kader"/>
    <s v="Ajaccio"/>
    <n v="5"/>
    <n v="0"/>
    <n v="0"/>
    <n v="0"/>
    <m/>
    <m/>
    <n v="4.75"/>
    <n v="28"/>
    <n v="3"/>
    <n v="1"/>
  </r>
  <r>
    <x v="1"/>
    <s v="Défenseur"/>
    <s v="Martinez"/>
    <s v="Pablo"/>
    <s v="Ajaccio"/>
    <n v="6"/>
    <n v="0"/>
    <n v="0"/>
    <n v="0"/>
    <m/>
    <m/>
    <n v="4.5199999999999996"/>
    <n v="26"/>
    <n v="2"/>
    <n v="0"/>
  </r>
  <r>
    <x v="1"/>
    <s v="Défenseur"/>
    <s v="Sylla"/>
    <s v="Issiaga"/>
    <s v="Ajaccio"/>
    <n v="7"/>
    <n v="0"/>
    <n v="0"/>
    <n v="0"/>
    <m/>
    <m/>
    <n v="4.8620689655172411"/>
    <n v="29"/>
    <n v="5"/>
    <n v="0"/>
  </r>
  <r>
    <x v="1"/>
    <s v="Défenseur"/>
    <s v="Yahia"/>
    <s v="Alaeddine"/>
    <s v="Caen"/>
    <n v="7"/>
    <n v="0"/>
    <n v="0"/>
    <n v="0"/>
    <m/>
    <m/>
    <n v="4.583333333333333"/>
    <n v="26"/>
    <n v="0"/>
    <n v="1"/>
  </r>
  <r>
    <x v="1"/>
    <s v="Gardien"/>
    <s v="Hansen"/>
    <s v="Jesper"/>
    <s v="Bastia"/>
    <n v="12"/>
    <n v="0"/>
    <n v="0"/>
    <n v="0"/>
    <m/>
    <m/>
    <n v="5.666666666666667"/>
    <n v="3"/>
    <n v="1"/>
    <n v="0"/>
  </r>
  <r>
    <x v="1"/>
    <s v="Gardien"/>
    <s v="Riou"/>
    <s v="Rémy"/>
    <s v="Nantes"/>
    <n v="16"/>
    <n v="0"/>
    <n v="0"/>
    <n v="0"/>
    <m/>
    <m/>
    <n v="5.387096774193548"/>
    <n v="31"/>
    <n v="0"/>
    <n v="0"/>
  </r>
  <r>
    <x v="1"/>
    <s v="Gardien"/>
    <s v="Trapp"/>
    <s v="Kevin"/>
    <s v="Paris"/>
    <n v="20"/>
    <n v="0"/>
    <n v="0"/>
    <n v="0"/>
    <m/>
    <m/>
    <n v="5.4571428571428573"/>
    <n v="35"/>
    <n v="0"/>
    <n v="0"/>
  </r>
  <r>
    <x v="1"/>
    <s v="Milieu"/>
    <s v="Alessandrini"/>
    <s v="Romain"/>
    <s v="Marseille"/>
    <n v="36"/>
    <n v="0"/>
    <n v="0"/>
    <n v="0"/>
    <m/>
    <m/>
    <n v="5.2"/>
    <n v="16"/>
    <n v="6"/>
    <n v="5"/>
  </r>
  <r>
    <x v="1"/>
    <s v="Milieu"/>
    <s v="Ben Arfa"/>
    <s v="Hatem"/>
    <s v="Nice"/>
    <n v="60"/>
    <n v="0"/>
    <n v="0"/>
    <n v="0"/>
    <m/>
    <m/>
    <n v="5.5454545454545459"/>
    <n v="33"/>
    <n v="1"/>
    <n v="16"/>
  </r>
  <r>
    <x v="1"/>
    <s v="Milieu"/>
    <s v="Cabot"/>
    <s v="Jimmy"/>
    <s v="Troyes"/>
    <n v="1"/>
    <n v="0"/>
    <n v="0"/>
    <n v="0"/>
    <m/>
    <m/>
    <n v="5.8571428571428568"/>
    <n v="7"/>
    <n v="8"/>
    <n v="3"/>
  </r>
  <r>
    <x v="1"/>
    <s v="Milieu"/>
    <s v="Fekir"/>
    <s v="Nabil"/>
    <s v="Lyon"/>
    <n v="40"/>
    <n v="0"/>
    <n v="0"/>
    <n v="0"/>
    <m/>
    <m/>
    <n v="6"/>
    <n v="5"/>
    <n v="4"/>
    <n v="4"/>
  </r>
  <r>
    <x v="1"/>
    <s v="Milieu"/>
    <s v="Ismael Traoré"/>
    <m/>
    <s v="Angers"/>
    <n v="6"/>
    <n v="0"/>
    <n v="0"/>
    <n v="0"/>
    <m/>
    <m/>
    <n v="4.7575757575757578"/>
    <n v="34"/>
    <n v="0"/>
    <n v="1"/>
  </r>
  <r>
    <x v="1"/>
    <s v="Milieu"/>
    <s v="Manceau"/>
    <s v="Vincent"/>
    <s v="Angers"/>
    <n v="6"/>
    <n v="0"/>
    <n v="0"/>
    <n v="0"/>
    <m/>
    <m/>
    <n v="4.6296296296296298"/>
    <n v="27"/>
    <n v="0"/>
    <n v="0"/>
  </r>
  <r>
    <x v="1"/>
    <s v="Milieu"/>
    <s v="Valbuena"/>
    <s v="Mathieu"/>
    <s v="Lyon"/>
    <n v="46"/>
    <n v="0"/>
    <n v="0"/>
    <n v="0"/>
    <m/>
    <m/>
    <n v="5.3636363636363633"/>
    <n v="21"/>
    <n v="5"/>
    <n v="1"/>
  </r>
  <r>
    <x v="2"/>
    <s v="Attaquant"/>
    <s v="Abdoul Camara"/>
    <m/>
    <s v="Angers"/>
    <n v="25"/>
    <n v="0"/>
    <n v="0"/>
    <n v="0"/>
    <m/>
    <m/>
    <n v="4.6470588235294121"/>
    <n v="17"/>
    <n v="0"/>
    <n v="2"/>
  </r>
  <r>
    <x v="2"/>
    <s v="Attaquant"/>
    <s v="Ben Yedder"/>
    <s v="Wissam"/>
    <s v="Toulouse"/>
    <n v="45"/>
    <n v="0"/>
    <n v="0"/>
    <n v="0"/>
    <m/>
    <m/>
    <n v="5.2647058823529411"/>
    <n v="34"/>
    <n v="1"/>
    <n v="18"/>
  </r>
  <r>
    <x v="2"/>
    <s v="Attaquant"/>
    <s v="Benzia"/>
    <s v="Yassine"/>
    <s v="Lille"/>
    <n v="25"/>
    <n v="0"/>
    <n v="0"/>
    <n v="0"/>
    <m/>
    <m/>
    <n v="4.7222222222222223"/>
    <n v="17"/>
    <n v="8"/>
    <n v="5"/>
  </r>
  <r>
    <x v="2"/>
    <s v="Attaquant"/>
    <s v="Lavezzi"/>
    <s v="Ezequiel"/>
    <s v="Paris"/>
    <n v="13"/>
    <n v="0"/>
    <n v="0"/>
    <n v="0"/>
    <m/>
    <m/>
    <n v="4.333333333333333"/>
    <n v="3"/>
    <n v="13"/>
    <n v="2"/>
  </r>
  <r>
    <x v="2"/>
    <s v="Attaquant"/>
    <s v="Paul-Georges Ntep"/>
    <m/>
    <s v="Rennes"/>
    <n v="24"/>
    <n v="2"/>
    <n v="1"/>
    <n v="3"/>
    <s v="6.20"/>
    <s v="6.20"/>
    <n v="5.166666666666667"/>
    <n v="11"/>
    <n v="3"/>
    <n v="2"/>
  </r>
  <r>
    <x v="2"/>
    <s v="Défenseur"/>
    <s v="Da Silva"/>
    <s v="Damien"/>
    <s v="Caen"/>
    <n v="21"/>
    <n v="1"/>
    <n v="1"/>
    <n v="2"/>
    <s v="5.17"/>
    <s v="5.67"/>
    <n v="5.1071428571428568"/>
    <n v="28"/>
    <n v="0"/>
    <n v="2"/>
  </r>
  <r>
    <x v="2"/>
    <s v="Défenseur"/>
    <s v="Gassama"/>
    <s v="Lamine"/>
    <s v="Lorient"/>
    <n v="7"/>
    <n v="0"/>
    <n v="0"/>
    <n v="0"/>
    <m/>
    <m/>
    <n v="4.741935483870968"/>
    <n v="31"/>
    <n v="0"/>
    <n v="0"/>
  </r>
  <r>
    <x v="2"/>
    <s v="Défenseur"/>
    <s v="Jallet"/>
    <s v="Christophe"/>
    <s v="Lyon"/>
    <n v="22"/>
    <n v="0"/>
    <n v="0"/>
    <n v="0"/>
    <m/>
    <m/>
    <n v="5.6"/>
    <n v="20"/>
    <n v="3"/>
    <n v="1"/>
  </r>
  <r>
    <x v="2"/>
    <s v="Défenseur"/>
    <s v="Morel"/>
    <s v="Jeremy"/>
    <s v="Lyon"/>
    <n v="24"/>
    <n v="0"/>
    <n v="0"/>
    <n v="0"/>
    <m/>
    <m/>
    <n v="5.1785714285714288"/>
    <n v="27"/>
    <n v="4"/>
    <n v="0"/>
  </r>
  <r>
    <x v="2"/>
    <s v="Défenseur"/>
    <s v="Pogba"/>
    <s v="Florentin"/>
    <s v="Saint-Etienne"/>
    <n v="11"/>
    <n v="0"/>
    <n v="0"/>
    <n v="0"/>
    <m/>
    <m/>
    <n v="5.0454545454545459"/>
    <n v="21"/>
    <n v="3"/>
    <n v="0"/>
  </r>
  <r>
    <x v="2"/>
    <s v="Défenseur"/>
    <s v="Sall"/>
    <s v="Moustapha Bayal"/>
    <s v="Saint-Etienne"/>
    <n v="14"/>
    <n v="0"/>
    <n v="0"/>
    <n v="0"/>
    <m/>
    <m/>
    <n v="5.115384615384615"/>
    <n v="27"/>
    <n v="1"/>
    <n v="3"/>
  </r>
  <r>
    <x v="2"/>
    <s v="Défenseur"/>
    <s v="Thomas"/>
    <s v="Romain"/>
    <s v="Angers"/>
    <n v="11"/>
    <n v="0"/>
    <n v="0"/>
    <n v="0"/>
    <m/>
    <m/>
    <n v="4.9722222222222223"/>
    <n v="36"/>
    <n v="0"/>
    <n v="2"/>
  </r>
  <r>
    <x v="2"/>
    <s v="Défenseur"/>
    <s v="Umtiti"/>
    <s v="Samuel"/>
    <s v="Lyon"/>
    <n v="22"/>
    <n v="0"/>
    <n v="0"/>
    <n v="0"/>
    <m/>
    <m/>
    <n v="5.5"/>
    <n v="30"/>
    <n v="0"/>
    <n v="1"/>
  </r>
  <r>
    <x v="2"/>
    <s v="Défenseur"/>
    <s v="Zeffane"/>
    <s v="Mehdi"/>
    <s v="Rennes"/>
    <n v="18"/>
    <n v="0"/>
    <n v="0"/>
    <n v="0"/>
    <m/>
    <m/>
    <n v="4.666666666666667"/>
    <n v="9"/>
    <n v="7"/>
    <n v="1"/>
  </r>
  <r>
    <x v="2"/>
    <s v="Gardien"/>
    <s v="Deschateaux"/>
    <s v="Louis"/>
    <s v="Caen"/>
    <n v="1"/>
    <n v="0"/>
    <n v="0"/>
    <n v="0"/>
    <m/>
    <m/>
    <m/>
    <m/>
    <m/>
    <m/>
  </r>
  <r>
    <x v="2"/>
    <s v="Gardien"/>
    <s v="Reulet"/>
    <s v="Paul"/>
    <s v="Caen"/>
    <n v="1"/>
    <n v="0"/>
    <n v="0"/>
    <n v="0"/>
    <m/>
    <m/>
    <s v=""/>
    <n v="0"/>
    <n v="0"/>
    <n v="0"/>
  </r>
  <r>
    <x v="2"/>
    <s v="Gardien"/>
    <s v="Vercoutre"/>
    <s v="Rémy"/>
    <s v="Caen"/>
    <n v="23"/>
    <n v="0"/>
    <n v="0"/>
    <n v="0"/>
    <s v="5.50"/>
    <s v="5.39"/>
    <n v="5.3947368421052628"/>
    <n v="38"/>
    <n v="0"/>
    <n v="0"/>
  </r>
  <r>
    <x v="2"/>
    <s v="Milieu"/>
    <s v="Augustin"/>
    <s v="Jean-Kevin"/>
    <s v="Paris"/>
    <n v="7"/>
    <n v="0"/>
    <n v="0"/>
    <n v="0"/>
    <m/>
    <m/>
    <n v="4.75"/>
    <n v="4"/>
    <n v="9"/>
    <n v="1"/>
  </r>
  <r>
    <x v="2"/>
    <s v="Milieu"/>
    <s v="Beauvue"/>
    <s v="Claudio"/>
    <s v="Lyon"/>
    <n v="27"/>
    <n v="0"/>
    <n v="0"/>
    <n v="0"/>
    <m/>
    <m/>
    <n v="4.7333333333333334"/>
    <n v="15"/>
    <n v="4"/>
    <n v="5"/>
  </r>
  <r>
    <x v="2"/>
    <s v="Milieu"/>
    <s v="Benezet"/>
    <s v="Nicolas"/>
    <s v="Guingamp"/>
    <n v="22"/>
    <n v="0"/>
    <n v="0"/>
    <n v="0"/>
    <m/>
    <m/>
    <n v="5.7857142857142856"/>
    <n v="14"/>
    <n v="5"/>
    <n v="4"/>
  </r>
  <r>
    <x v="2"/>
    <s v="Milieu"/>
    <s v="Boudebouz"/>
    <s v="Ryad"/>
    <s v="Montpellier"/>
    <n v="25"/>
    <n v="0"/>
    <n v="0"/>
    <n v="0"/>
    <m/>
    <m/>
    <n v="5.4054054054054053"/>
    <n v="37"/>
    <n v="1"/>
    <n v="2"/>
  </r>
  <r>
    <x v="2"/>
    <s v="Milieu"/>
    <s v="Darder"/>
    <s v="Sergi"/>
    <s v="Lyon"/>
    <n v="15"/>
    <n v="0"/>
    <n v="0"/>
    <n v="0"/>
    <m/>
    <m/>
    <n v="5.2777777777777777"/>
    <n v="18"/>
    <n v="8"/>
    <n v="2"/>
  </r>
  <r>
    <x v="2"/>
    <s v="Milieu"/>
    <s v="Grenier"/>
    <s v="Clément"/>
    <s v="Lyon"/>
    <n v="22"/>
    <n v="0"/>
    <n v="0"/>
    <n v="0"/>
    <m/>
    <m/>
    <n v="5"/>
    <n v="10"/>
    <n v="8"/>
    <n v="2"/>
  </r>
  <r>
    <x v="2"/>
    <s v="Milieu"/>
    <s v="Koziello"/>
    <s v="Vincent"/>
    <s v="Nice"/>
    <n v="7"/>
    <n v="0"/>
    <n v="0"/>
    <n v="0"/>
    <m/>
    <m/>
    <n v="5.3125"/>
    <n v="32"/>
    <n v="3"/>
    <n v="3"/>
  </r>
  <r>
    <x v="2"/>
    <s v="Milieu"/>
    <s v="Matuidi"/>
    <s v="Blaise"/>
    <s v="Paris"/>
    <n v="56"/>
    <n v="0"/>
    <n v="0"/>
    <n v="0"/>
    <m/>
    <m/>
    <n v="5.958333333333333"/>
    <n v="23"/>
    <n v="8"/>
    <n v="4"/>
  </r>
  <r>
    <x v="2"/>
    <s v="Milieu"/>
    <s v="Oniangue"/>
    <s v="Prince"/>
    <s v="Reims"/>
    <n v="12"/>
    <n v="0"/>
    <n v="0"/>
    <n v="0"/>
    <m/>
    <m/>
    <n v="4.7826086956521738"/>
    <n v="23"/>
    <n v="4"/>
    <n v="4"/>
  </r>
  <r>
    <x v="3"/>
    <s v="Attaquant"/>
    <s v="Briand"/>
    <s v="Jimmy"/>
    <s v="Guingamp"/>
    <n v="56"/>
    <n v="0"/>
    <n v="0"/>
    <n v="0"/>
    <m/>
    <m/>
    <n v="4.90625"/>
    <n v="33"/>
    <n v="2"/>
    <n v="7"/>
  </r>
  <r>
    <x v="3"/>
    <s v="Attaquant"/>
    <s v="Delort"/>
    <s v="Andy"/>
    <s v="Caen"/>
    <n v="56"/>
    <n v="0"/>
    <n v="0"/>
    <n v="0"/>
    <m/>
    <m/>
    <n v="5.166666666666667"/>
    <n v="34"/>
    <n v="2"/>
    <n v="12"/>
  </r>
  <r>
    <x v="3"/>
    <s v="Attaquant"/>
    <s v="Kamano"/>
    <s v="Francois"/>
    <s v="Bastia"/>
    <n v="10"/>
    <n v="0"/>
    <n v="0"/>
    <n v="0"/>
    <m/>
    <m/>
    <n v="4.5"/>
    <n v="17"/>
    <n v="6"/>
    <n v="3"/>
  </r>
  <r>
    <x v="3"/>
    <s v="Attaquant"/>
    <s v="Majeed Waris"/>
    <m/>
    <s v="Lorient"/>
    <n v="43"/>
    <n v="0"/>
    <n v="0"/>
    <n v="0"/>
    <m/>
    <m/>
    <n v="5.4210526315789478"/>
    <n v="20"/>
    <n v="1"/>
    <n v="10"/>
  </r>
  <r>
    <x v="3"/>
    <s v="Attaquant"/>
    <s v="Moukandjo"/>
    <s v="Benjamin"/>
    <s v="Lorient"/>
    <n v="63"/>
    <n v="8"/>
    <n v="0"/>
    <n v="8"/>
    <s v="5.36"/>
    <s v="5.39"/>
    <n v="5"/>
    <n v="26"/>
    <n v="5"/>
    <n v="13"/>
  </r>
  <r>
    <x v="3"/>
    <s v="Attaquant"/>
    <s v="Yatabaré"/>
    <s v="Mustapha"/>
    <s v="Montpellier"/>
    <n v="12"/>
    <n v="0"/>
    <n v="0"/>
    <n v="0"/>
    <m/>
    <m/>
    <n v="4.7058823529411766"/>
    <n v="15"/>
    <n v="13"/>
    <n v="4"/>
  </r>
  <r>
    <x v="3"/>
    <s v="Défenseur"/>
    <s v="Angoula"/>
    <s v="Gael"/>
    <s v="Angers"/>
    <n v="2"/>
    <n v="0"/>
    <n v="0"/>
    <n v="0"/>
    <m/>
    <m/>
    <n v="4.6363636363636367"/>
    <n v="10"/>
    <n v="3"/>
    <n v="0"/>
  </r>
  <r>
    <x v="3"/>
    <s v="Défenseur"/>
    <s v="Basa"/>
    <s v="Marko"/>
    <s v="Lille"/>
    <n v="17"/>
    <n v="0"/>
    <n v="0"/>
    <n v="0"/>
    <s v="4.67"/>
    <s v="4.83"/>
    <n v="5.6"/>
    <n v="15"/>
    <n v="0"/>
    <n v="0"/>
  </r>
  <r>
    <x v="3"/>
    <s v="Défenseur"/>
    <s v="Karamoko"/>
    <s v="Hamadou"/>
    <s v="Lorient"/>
    <n v="1"/>
    <n v="0"/>
    <n v="0"/>
    <n v="0"/>
    <m/>
    <m/>
    <m/>
    <m/>
    <m/>
    <m/>
  </r>
  <r>
    <x v="3"/>
    <s v="Défenseur"/>
    <s v="Palmieri"/>
    <s v="Julian"/>
    <s v="Bastia"/>
    <n v="12"/>
    <n v="0"/>
    <n v="0"/>
    <n v="0"/>
    <m/>
    <m/>
    <n v="4.8484848484848486"/>
    <n v="33"/>
    <n v="1"/>
    <n v="2"/>
  </r>
  <r>
    <x v="3"/>
    <s v="Défenseur"/>
    <s v="Perrin"/>
    <s v="Loïc"/>
    <s v="Saint-Etienne"/>
    <n v="41"/>
    <n v="0"/>
    <n v="0"/>
    <n v="0"/>
    <m/>
    <m/>
    <n v="5.5"/>
    <n v="24"/>
    <n v="0"/>
    <n v="3"/>
  </r>
  <r>
    <x v="3"/>
    <s v="Défenseur"/>
    <s v="Saiss"/>
    <s v="Romain"/>
    <s v="Angers"/>
    <n v="7"/>
    <n v="0"/>
    <n v="0"/>
    <n v="0"/>
    <m/>
    <m/>
    <n v="5.2"/>
    <n v="35"/>
    <n v="0"/>
    <n v="2"/>
  </r>
  <r>
    <x v="3"/>
    <s v="Défenseur"/>
    <s v="Squillaci"/>
    <s v="Sébastien"/>
    <s v="Bastia"/>
    <n v="16"/>
    <n v="2"/>
    <n v="0"/>
    <n v="2"/>
    <s v="5.00"/>
    <s v="5.14"/>
    <n v="5.166666666666667"/>
    <n v="29"/>
    <n v="2"/>
    <n v="2"/>
  </r>
  <r>
    <x v="3"/>
    <s v="Gardien"/>
    <s v="Moulin"/>
    <s v="Jessy"/>
    <s v="Saint-Etienne"/>
    <n v="1"/>
    <n v="0"/>
    <n v="0"/>
    <n v="0"/>
    <m/>
    <m/>
    <s v=""/>
    <n v="0"/>
    <n v="0"/>
    <n v="0"/>
  </r>
  <r>
    <x v="3"/>
    <s v="Gardien"/>
    <s v="Ruffier"/>
    <s v="Stéphane"/>
    <s v="Saint-Etienne"/>
    <n v="37"/>
    <n v="0"/>
    <n v="0"/>
    <n v="0"/>
    <s v="5.38"/>
    <s v="5.27"/>
    <n v="5.5263157894736841"/>
    <n v="38"/>
    <n v="0"/>
    <n v="0"/>
  </r>
  <r>
    <x v="3"/>
    <s v="Milieu"/>
    <s v="Dirar"/>
    <s v="Nabil"/>
    <s v="Monaco"/>
    <n v="7"/>
    <n v="0"/>
    <n v="0"/>
    <n v="0"/>
    <m/>
    <m/>
    <n v="5.6111111111111107"/>
    <n v="20"/>
    <n v="0"/>
    <n v="2"/>
  </r>
  <r>
    <x v="3"/>
    <s v="Milieu"/>
    <s v="Eysseric"/>
    <s v="Valentin"/>
    <s v="Saint-Etienne"/>
    <n v="23"/>
    <n v="0"/>
    <n v="0"/>
    <n v="0"/>
    <m/>
    <m/>
    <n v="5.1578947368421053"/>
    <n v="19"/>
    <n v="10"/>
    <n v="6"/>
  </r>
  <r>
    <x v="3"/>
    <s v="Milieu"/>
    <s v="Ferri"/>
    <s v="Jordan"/>
    <s v="Lyon"/>
    <n v="21"/>
    <n v="0"/>
    <n v="0"/>
    <n v="0"/>
    <m/>
    <m/>
    <n v="5.4137931034482758"/>
    <n v="26"/>
    <n v="8"/>
    <n v="2"/>
  </r>
  <r>
    <x v="3"/>
    <s v="Milieu"/>
    <s v="Ketkeophomphone"/>
    <s v="Billy"/>
    <s v="Angers"/>
    <n v="7"/>
    <n v="0"/>
    <n v="0"/>
    <n v="0"/>
    <m/>
    <m/>
    <e v="#N/A"/>
    <e v="#N/A"/>
    <e v="#N/A"/>
    <e v="#N/A"/>
  </r>
  <r>
    <x v="3"/>
    <s v="Milieu"/>
    <s v="Nkoudou Mbida"/>
    <s v="Georges-Kévin"/>
    <s v="Marseille"/>
    <n v="23"/>
    <n v="0"/>
    <n v="0"/>
    <n v="0"/>
    <m/>
    <m/>
    <n v="5"/>
    <n v="22"/>
    <n v="6"/>
    <n v="5"/>
  </r>
  <r>
    <x v="3"/>
    <s v="Milieu"/>
    <s v="Pied"/>
    <s v="Jérémy"/>
    <s v="Nice"/>
    <n v="10"/>
    <n v="0"/>
    <n v="0"/>
    <n v="0"/>
    <m/>
    <m/>
    <n v="5.3636363636363633"/>
    <n v="33"/>
    <n v="0"/>
    <n v="0"/>
  </r>
  <r>
    <x v="3"/>
    <s v="Milieu"/>
    <s v="Quintero"/>
    <s v="Juan"/>
    <s v="Rennes"/>
    <n v="18"/>
    <n v="0"/>
    <n v="0"/>
    <n v="0"/>
    <m/>
    <m/>
    <n v="4.8"/>
    <n v="9"/>
    <n v="3"/>
    <n v="1"/>
  </r>
  <r>
    <x v="3"/>
    <s v="Milieu"/>
    <s v="Sunu"/>
    <s v="Gilles"/>
    <s v="Angers"/>
    <n v="16"/>
    <n v="1"/>
    <n v="0"/>
    <n v="1"/>
    <s v="4.62"/>
    <s v="4.69"/>
    <e v="#N/A"/>
    <e v="#N/A"/>
    <e v="#N/A"/>
    <e v="#N/A"/>
  </r>
  <r>
    <x v="4"/>
    <s v="Attaquant"/>
    <s v="Bakar"/>
    <s v="Djamel"/>
    <s v="Montpellier"/>
    <n v="7"/>
    <n v="0"/>
    <n v="0"/>
    <n v="0"/>
    <m/>
    <m/>
    <n v="3.5"/>
    <n v="2"/>
    <n v="4"/>
    <n v="0"/>
  </r>
  <r>
    <x v="4"/>
    <s v="Attaquant"/>
    <s v="Bammou"/>
    <s v="Yacine"/>
    <s v="Nantes"/>
    <n v="48"/>
    <n v="0"/>
    <n v="0"/>
    <n v="0"/>
    <m/>
    <m/>
    <n v="4.75"/>
    <n v="17"/>
    <n v="15"/>
    <n v="4"/>
  </r>
  <r>
    <x v="4"/>
    <s v="Attaquant"/>
    <s v="Crivelli"/>
    <s v="Enzo"/>
    <s v="Bordeaux"/>
    <n v="7"/>
    <n v="2"/>
    <n v="0"/>
    <n v="2"/>
    <s v="4.90"/>
    <s v="4.95"/>
    <n v="4.625"/>
    <n v="15"/>
    <n v="14"/>
    <n v="3"/>
  </r>
  <r>
    <x v="4"/>
    <s v="Attaquant"/>
    <s v="Hélder Costa"/>
    <m/>
    <s v="Monaco"/>
    <n v="6"/>
    <n v="0"/>
    <n v="0"/>
    <n v="0"/>
    <m/>
    <m/>
    <n v="4.9333333333333336"/>
    <n v="15"/>
    <n v="10"/>
    <n v="3"/>
  </r>
  <r>
    <x v="4"/>
    <s v="Attaquant"/>
    <s v="Rolan"/>
    <s v="Diego"/>
    <s v="Bordeaux"/>
    <n v="48"/>
    <n v="0"/>
    <n v="0"/>
    <n v="0"/>
    <m/>
    <m/>
    <n v="4.9130434782608692"/>
    <n v="22"/>
    <n v="9"/>
    <n v="7"/>
  </r>
  <r>
    <x v="4"/>
    <s v="Attaquant"/>
    <s v="Roux"/>
    <s v="Nolan"/>
    <s v="Saint-Etienne"/>
    <n v="49"/>
    <n v="0"/>
    <n v="0"/>
    <n v="0"/>
    <m/>
    <m/>
    <n v="4.9090909090909092"/>
    <n v="21"/>
    <n v="8"/>
    <n v="9"/>
  </r>
  <r>
    <x v="4"/>
    <s v="Attaquant"/>
    <s v="Thelin"/>
    <s v="Isaac"/>
    <s v="Bordeaux"/>
    <n v="9"/>
    <n v="0"/>
    <n v="0"/>
    <n v="0"/>
    <m/>
    <m/>
    <n v="4"/>
    <n v="3"/>
    <n v="4"/>
    <n v="0"/>
  </r>
  <r>
    <x v="4"/>
    <s v="Défenseur"/>
    <s v="Bréchet"/>
    <s v="Jeremie"/>
    <s v="Ajaccio"/>
    <n v="3"/>
    <n v="0"/>
    <n v="0"/>
    <n v="0"/>
    <m/>
    <m/>
    <n v="4.8571428571428568"/>
    <n v="23"/>
    <n v="0"/>
    <n v="0"/>
  </r>
  <r>
    <x v="4"/>
    <s v="Défenseur"/>
    <s v="Civelli"/>
    <s v="Renato"/>
    <s v="Lille"/>
    <n v="13"/>
    <n v="0"/>
    <n v="0"/>
    <n v="0"/>
    <s v="4.82"/>
    <s v="5.41"/>
    <n v="5.15625"/>
    <n v="32"/>
    <n v="0"/>
    <n v="0"/>
  </r>
  <r>
    <x v="4"/>
    <s v="Défenseur"/>
    <s v="David Luiz"/>
    <m/>
    <s v="Paris"/>
    <n v="63"/>
    <n v="0"/>
    <n v="0"/>
    <n v="0"/>
    <m/>
    <m/>
    <n v="5.5217391304347823"/>
    <n v="23"/>
    <n v="2"/>
    <n v="1"/>
  </r>
  <r>
    <x v="4"/>
    <s v="Défenseur"/>
    <s v="Isla"/>
    <s v="Mauricio"/>
    <s v="Marseille"/>
    <n v="9"/>
    <n v="0"/>
    <n v="1"/>
    <n v="1"/>
    <s v="5.12"/>
    <s v="5.56"/>
    <n v="5.5"/>
    <n v="20"/>
    <n v="3"/>
    <n v="2"/>
  </r>
  <r>
    <x v="4"/>
    <s v="Défenseur"/>
    <s v="Rolando"/>
    <m/>
    <s v="Marseille"/>
    <n v="5"/>
    <n v="0"/>
    <n v="0"/>
    <n v="0"/>
    <s v="5.33"/>
    <s v="5.83"/>
    <n v="5.0555555555555554"/>
    <n v="18"/>
    <n v="1"/>
    <n v="1"/>
  </r>
  <r>
    <x v="4"/>
    <s v="Défenseur"/>
    <s v="Roussillon"/>
    <s v="Jérôme"/>
    <s v="Montpellier"/>
    <n v="9"/>
    <n v="0"/>
    <n v="0"/>
    <n v="0"/>
    <m/>
    <m/>
    <n v="5.28125"/>
    <n v="31"/>
    <n v="2"/>
    <n v="3"/>
  </r>
  <r>
    <x v="4"/>
    <s v="Défenseur"/>
    <s v="Weber"/>
    <s v="Anthony"/>
    <s v="Reims"/>
    <n v="7"/>
    <n v="0"/>
    <n v="0"/>
    <n v="0"/>
    <m/>
    <m/>
    <n v="4.8888888888888893"/>
    <n v="19"/>
    <n v="0"/>
    <n v="1"/>
  </r>
  <r>
    <x v="4"/>
    <s v="Gardien"/>
    <s v="Enyeama"/>
    <s v="Vincent"/>
    <s v="Lille"/>
    <n v="62"/>
    <n v="0"/>
    <n v="0"/>
    <n v="0"/>
    <s v="5.33"/>
    <s v="5.21"/>
    <n v="5.6"/>
    <n v="35"/>
    <n v="0"/>
    <n v="0"/>
  </r>
  <r>
    <x v="4"/>
    <s v="Gardien"/>
    <s v="Maury"/>
    <s v="Clément"/>
    <s v="Ajaccio"/>
    <n v="17"/>
    <n v="0"/>
    <n v="0"/>
    <n v="0"/>
    <m/>
    <m/>
    <n v="4.9117647058823533"/>
    <n v="34"/>
    <n v="0"/>
    <n v="0"/>
  </r>
  <r>
    <x v="4"/>
    <s v="Gardien"/>
    <s v="Samassa"/>
    <s v="Mamadou"/>
    <s v="Guingamp"/>
    <n v="3"/>
    <n v="0"/>
    <n v="0"/>
    <n v="0"/>
    <m/>
    <m/>
    <n v="5"/>
    <n v="1"/>
    <n v="0"/>
    <n v="0"/>
  </r>
  <r>
    <x v="4"/>
    <s v="Milieu"/>
    <s v="Boufal"/>
    <s v="Sofiane"/>
    <s v="Lille"/>
    <n v="54"/>
    <n v="3"/>
    <n v="1"/>
    <n v="4"/>
    <s v="5.50"/>
    <s v="5.50"/>
    <n v="5.8148148148148149"/>
    <n v="27"/>
    <n v="2"/>
    <n v="11"/>
  </r>
  <r>
    <x v="4"/>
    <s v="Milieu"/>
    <s v="Feddaoui"/>
    <s v="Mounir"/>
    <s v="Ajaccio"/>
    <n v="1"/>
    <n v="0"/>
    <n v="0"/>
    <n v="0"/>
    <m/>
    <m/>
    <m/>
    <m/>
    <m/>
    <m/>
  </r>
  <r>
    <x v="4"/>
    <s v="Milieu"/>
    <s v="Lemar"/>
    <s v="Thomas"/>
    <s v="Monaco"/>
    <n v="13"/>
    <n v="2"/>
    <n v="0"/>
    <n v="2"/>
    <s v="5.75"/>
    <s v="5.75"/>
    <n v="5.7619047619047619"/>
    <n v="20"/>
    <n v="6"/>
    <n v="5"/>
  </r>
  <r>
    <x v="4"/>
    <s v="Milieu"/>
    <s v="Lucas Moura"/>
    <m/>
    <s v="Paris"/>
    <n v="42"/>
    <n v="0"/>
    <n v="0"/>
    <n v="0"/>
    <m/>
    <m/>
    <n v="5.666666666666667"/>
    <n v="26"/>
    <n v="10"/>
    <n v="9"/>
  </r>
  <r>
    <x v="4"/>
    <s v="Milieu"/>
    <s v="Mendy"/>
    <s v="Alexandre"/>
    <s v="Nice"/>
    <n v="1"/>
    <n v="0"/>
    <n v="0"/>
    <n v="0"/>
    <m/>
    <m/>
    <n v="4"/>
    <n v="3"/>
    <n v="14"/>
    <n v="1"/>
  </r>
  <r>
    <x v="4"/>
    <s v="Milieu"/>
    <s v="Mendy"/>
    <s v="Nampalys"/>
    <s v="Nice"/>
    <n v="18"/>
    <n v="1"/>
    <n v="0"/>
    <n v="1"/>
    <s v="5.14"/>
    <s v="5.25"/>
    <n v="4"/>
    <n v="3"/>
    <n v="14"/>
    <n v="1"/>
  </r>
  <r>
    <x v="4"/>
    <s v="Milieu"/>
    <s v="Ounas"/>
    <s v="Adam"/>
    <s v="Bordeaux"/>
    <n v="1"/>
    <n v="0"/>
    <n v="0"/>
    <n v="0"/>
    <m/>
    <m/>
    <n v="5.125"/>
    <n v="15"/>
    <n v="8"/>
    <n v="5"/>
  </r>
  <r>
    <x v="4"/>
    <s v="Milieu"/>
    <s v="Philippoteaux"/>
    <s v="Romain"/>
    <s v="Lorient"/>
    <n v="5"/>
    <n v="0"/>
    <n v="0"/>
    <n v="0"/>
    <m/>
    <m/>
    <n v="4.5625"/>
    <n v="16"/>
    <n v="15"/>
    <n v="0"/>
  </r>
  <r>
    <x v="5"/>
    <s v="Attaquant"/>
    <s v="Bazile"/>
    <s v="Herve"/>
    <s v="Caen"/>
    <n v="12"/>
    <n v="0"/>
    <n v="0"/>
    <n v="0"/>
    <m/>
    <m/>
    <n v="4.615384615384615"/>
    <n v="11"/>
    <n v="13"/>
    <n v="0"/>
  </r>
  <r>
    <x v="5"/>
    <s v="Attaquant"/>
    <s v="Camara"/>
    <s v="Souleymane"/>
    <s v="Montpellier"/>
    <n v="10"/>
    <n v="3"/>
    <n v="0"/>
    <n v="3"/>
    <s v="5.80"/>
    <s v="5.90"/>
    <n v="5.0434782608695654"/>
    <n v="22"/>
    <n v="11"/>
    <n v="7"/>
  </r>
  <r>
    <x v="5"/>
    <s v="Attaquant"/>
    <s v="Ibrahimovic"/>
    <s v="Zlatan"/>
    <s v="Paris"/>
    <n v="166"/>
    <n v="0"/>
    <n v="0"/>
    <n v="0"/>
    <m/>
    <m/>
    <n v="7.1034482758620694"/>
    <n v="29"/>
    <n v="2"/>
    <n v="38"/>
  </r>
  <r>
    <x v="5"/>
    <s v="Attaquant"/>
    <s v="Lacazette"/>
    <s v="Alexandre"/>
    <s v="Lyon"/>
    <n v="38"/>
    <n v="0"/>
    <n v="0"/>
    <n v="0"/>
    <m/>
    <m/>
    <n v="5.617647058823529"/>
    <n v="34"/>
    <n v="0"/>
    <n v="21"/>
  </r>
  <r>
    <x v="5"/>
    <s v="Attaquant"/>
    <s v="Sissoko"/>
    <s v="Slimane"/>
    <s v="Angers"/>
    <n v="1"/>
    <n v="0"/>
    <n v="0"/>
    <n v="0"/>
    <m/>
    <m/>
    <e v="#N/A"/>
    <e v="#N/A"/>
    <e v="#N/A"/>
    <e v="#N/A"/>
  </r>
  <r>
    <x v="5"/>
    <s v="Défenseur"/>
    <s v="Cioni"/>
    <s v="Gilles"/>
    <s v="Bastia"/>
    <n v="4"/>
    <n v="0"/>
    <n v="0"/>
    <n v="0"/>
    <m/>
    <m/>
    <n v="4.7222222222222223"/>
    <n v="17"/>
    <n v="3"/>
    <n v="0"/>
  </r>
  <r>
    <x v="5"/>
    <s v="Défenseur"/>
    <s v="Kurzawa"/>
    <s v="Layvin"/>
    <s v="Paris"/>
    <n v="15"/>
    <n v="2"/>
    <n v="1"/>
    <n v="3"/>
    <s v="5.57"/>
    <s v="6.50"/>
    <n v="6.3571428571428568"/>
    <n v="14"/>
    <n v="2"/>
    <n v="3"/>
  </r>
  <r>
    <x v="5"/>
    <s v="Défenseur"/>
    <s v="Lautoa"/>
    <s v="Wesley"/>
    <s v="Lorient"/>
    <n v="12"/>
    <n v="0"/>
    <n v="0"/>
    <n v="0"/>
    <s v="5.20"/>
    <s v="6.10"/>
    <n v="4.916666666666667"/>
    <n v="11"/>
    <n v="2"/>
    <n v="0"/>
  </r>
  <r>
    <x v="5"/>
    <s v="Défenseur"/>
    <s v="Malcuit"/>
    <s v="Kevin"/>
    <s v="Saint-Etienne"/>
    <n v="3"/>
    <n v="0"/>
    <n v="0"/>
    <n v="0"/>
    <m/>
    <m/>
    <n v="5.1111111111111107"/>
    <n v="10"/>
    <n v="0"/>
    <n v="0"/>
  </r>
  <r>
    <x v="5"/>
    <s v="Défenseur"/>
    <s v="Ngcongca"/>
    <s v="Anele"/>
    <s v="Troyes"/>
    <n v="6"/>
    <n v="0"/>
    <n v="0"/>
    <n v="0"/>
    <m/>
    <m/>
    <n v="4.4736842105263159"/>
    <n v="18"/>
    <n v="2"/>
    <n v="0"/>
  </r>
  <r>
    <x v="5"/>
    <s v="Défenseur"/>
    <s v="Signorino"/>
    <s v="Franck"/>
    <s v="Reims"/>
    <n v="7"/>
    <n v="0"/>
    <n v="0"/>
    <n v="0"/>
    <m/>
    <m/>
    <n v="4.6551724137931032"/>
    <n v="29"/>
    <n v="0"/>
    <n v="0"/>
  </r>
  <r>
    <x v="5"/>
    <s v="Défenseur"/>
    <s v="Vizcarrondo"/>
    <s v="Oswaldo"/>
    <s v="Nantes"/>
    <n v="15"/>
    <n v="0"/>
    <n v="0"/>
    <n v="0"/>
    <m/>
    <m/>
    <n v="4.6206896551724137"/>
    <n v="29"/>
    <n v="1"/>
    <n v="0"/>
  </r>
  <r>
    <x v="5"/>
    <s v="Défenseur"/>
    <s v="Yambéré"/>
    <s v="Cédric"/>
    <s v="Bordeaux"/>
    <n v="12"/>
    <n v="0"/>
    <n v="0"/>
    <n v="0"/>
    <m/>
    <m/>
    <n v="5.08"/>
    <n v="24"/>
    <n v="3"/>
    <n v="3"/>
  </r>
  <r>
    <x v="5"/>
    <s v="Gardien"/>
    <s v="Mandanda"/>
    <s v="Steve"/>
    <s v="Marseille"/>
    <n v="22"/>
    <n v="0"/>
    <n v="0"/>
    <n v="0"/>
    <m/>
    <m/>
    <n v="5.333333333333333"/>
    <n v="36"/>
    <n v="0"/>
    <n v="0"/>
  </r>
  <r>
    <x v="5"/>
    <s v="Gardien"/>
    <s v="Placide"/>
    <s v="Johny"/>
    <s v="Reims"/>
    <n v="12"/>
    <n v="0"/>
    <n v="0"/>
    <n v="0"/>
    <m/>
    <m/>
    <n v="5.0555555555555554"/>
    <n v="17"/>
    <n v="2"/>
    <n v="0"/>
  </r>
  <r>
    <x v="5"/>
    <s v="Milieu"/>
    <s v="Di María"/>
    <s v="Ángel"/>
    <s v="Paris"/>
    <n v="105"/>
    <n v="0"/>
    <n v="0"/>
    <n v="0"/>
    <m/>
    <m/>
    <n v="6.64"/>
    <n v="26"/>
    <n v="3"/>
    <n v="10"/>
  </r>
  <r>
    <x v="5"/>
    <s v="Milieu"/>
    <s v="Diego"/>
    <m/>
    <s v="Reims"/>
    <n v="13"/>
    <n v="0"/>
    <n v="0"/>
    <n v="0"/>
    <m/>
    <m/>
    <n v="5.0555555555555554"/>
    <n v="15"/>
    <n v="8"/>
    <n v="3"/>
  </r>
  <r>
    <x v="5"/>
    <s v="Milieu"/>
    <s v="Henrique"/>
    <s v="Pedro"/>
    <s v="Rennes"/>
    <n v="11"/>
    <n v="0"/>
    <n v="0"/>
    <n v="0"/>
    <m/>
    <m/>
    <n v="4.6875"/>
    <n v="15"/>
    <n v="8"/>
    <n v="3"/>
  </r>
  <r>
    <x v="5"/>
    <s v="Milieu"/>
    <s v="Hult"/>
    <s v="Niklas"/>
    <s v="Nice"/>
    <n v="6"/>
    <n v="0"/>
    <n v="0"/>
    <n v="0"/>
    <m/>
    <m/>
    <n v="5.25"/>
    <n v="9"/>
    <n v="5"/>
    <n v="1"/>
  </r>
  <r>
    <x v="5"/>
    <s v="Milieu"/>
    <s v="Le Moigne"/>
    <s v="Jerome"/>
    <s v="Ajaccio"/>
    <n v="6"/>
    <n v="0"/>
    <n v="0"/>
    <n v="0"/>
    <m/>
    <m/>
    <n v="4.7857142857142856"/>
    <n v="27"/>
    <n v="4"/>
    <n v="0"/>
  </r>
  <r>
    <x v="5"/>
    <s v="Milieu"/>
    <s v="Makengo"/>
    <s v="Jean-Victor"/>
    <s v="Caen"/>
    <n v="1"/>
    <n v="0"/>
    <n v="0"/>
    <n v="0"/>
    <m/>
    <m/>
    <n v="4.8"/>
    <n v="5"/>
    <n v="5"/>
    <n v="0"/>
  </r>
  <r>
    <x v="5"/>
    <s v="Milieu"/>
    <s v="Martin"/>
    <s v="Marvin"/>
    <s v="Lille"/>
    <n v="7"/>
    <n v="0"/>
    <n v="0"/>
    <n v="0"/>
    <m/>
    <m/>
    <n v="4.75"/>
    <n v="4"/>
    <n v="8"/>
    <n v="0"/>
  </r>
  <r>
    <x v="5"/>
    <s v="Milieu"/>
    <s v="Seube"/>
    <s v="Nicolas"/>
    <s v="Caen"/>
    <n v="10"/>
    <n v="0"/>
    <n v="0"/>
    <n v="0"/>
    <m/>
    <m/>
    <n v="4.76"/>
    <n v="24"/>
    <n v="9"/>
    <n v="0"/>
  </r>
  <r>
    <x v="5"/>
    <s v="Milieu"/>
    <s v="Thiago Xavier"/>
    <m/>
    <s v="Troyes"/>
    <n v="6"/>
    <n v="0"/>
    <n v="0"/>
    <n v="0"/>
    <m/>
    <m/>
    <n v="4.6923076923076925"/>
    <n v="13"/>
    <n v="3"/>
    <n v="2"/>
  </r>
  <r>
    <x v="6"/>
    <s v="Attaquant"/>
    <s v="Cornet"/>
    <s v="Maxwell"/>
    <s v="Lyon"/>
    <n v="12"/>
    <n v="0"/>
    <n v="0"/>
    <n v="0"/>
    <m/>
    <m/>
    <n v="5.4375"/>
    <n v="16"/>
    <n v="15"/>
    <n v="8"/>
  </r>
  <r>
    <x v="6"/>
    <s v="Attaquant"/>
    <s v="Diabaté"/>
    <s v="Cheick"/>
    <s v="Bordeaux"/>
    <n v="35"/>
    <n v="0"/>
    <n v="0"/>
    <n v="0"/>
    <m/>
    <m/>
    <n v="5.2352941176470589"/>
    <n v="17"/>
    <n v="5"/>
    <n v="10"/>
  </r>
  <r>
    <x v="6"/>
    <s v="Attaquant"/>
    <s v="Grosicki"/>
    <s v="Kamil"/>
    <s v="Rennes"/>
    <n v="30"/>
    <n v="0"/>
    <n v="0"/>
    <n v="0"/>
    <m/>
    <m/>
    <n v="5"/>
    <n v="14"/>
    <n v="19"/>
    <n v="9"/>
  </r>
  <r>
    <x v="6"/>
    <s v="Attaquant"/>
    <s v="Lacina Traoré"/>
    <m/>
    <s v="Monaco"/>
    <n v="13"/>
    <n v="0"/>
    <n v="0"/>
    <n v="0"/>
    <m/>
    <m/>
    <n v="4.3"/>
    <n v="11"/>
    <n v="8"/>
    <n v="3"/>
  </r>
  <r>
    <x v="6"/>
    <s v="Attaquant"/>
    <s v="Privat"/>
    <s v="Sloan"/>
    <s v="Guingamp"/>
    <n v="38"/>
    <n v="0"/>
    <n v="0"/>
    <n v="0"/>
    <m/>
    <m/>
    <n v="5.2142857142857144"/>
    <n v="14"/>
    <n v="13"/>
    <n v="7"/>
  </r>
  <r>
    <x v="6"/>
    <s v="Défenseur"/>
    <s v="Aurier"/>
    <s v="Serge"/>
    <s v="Paris"/>
    <n v="40"/>
    <n v="0"/>
    <n v="0"/>
    <n v="0"/>
    <m/>
    <m/>
    <n v="5.8571428571428568"/>
    <n v="21"/>
    <n v="0"/>
    <n v="2"/>
  </r>
  <r>
    <x v="6"/>
    <s v="Défenseur"/>
    <s v="Baysse"/>
    <s v="Paul"/>
    <s v="Nice"/>
    <n v="21"/>
    <n v="0"/>
    <n v="0"/>
    <n v="0"/>
    <m/>
    <m/>
    <n v="5.2413793103448274"/>
    <n v="29"/>
    <n v="1"/>
    <n v="0"/>
  </r>
  <r>
    <x v="6"/>
    <s v="Défenseur"/>
    <s v="Ben Youssef"/>
    <s v="Syam"/>
    <s v="Caen"/>
    <n v="8"/>
    <n v="0"/>
    <n v="0"/>
    <n v="0"/>
    <m/>
    <m/>
    <n v="5.117647058823529"/>
    <n v="16"/>
    <n v="2"/>
    <n v="3"/>
  </r>
  <r>
    <x v="6"/>
    <s v="Défenseur"/>
    <s v="Carvalho"/>
    <s v="Ricardo"/>
    <s v="Monaco"/>
    <n v="19"/>
    <n v="0"/>
    <n v="0"/>
    <n v="0"/>
    <m/>
    <m/>
    <n v="5.0303030303030303"/>
    <n v="33"/>
    <n v="0"/>
    <n v="2"/>
  </r>
  <r>
    <x v="6"/>
    <s v="Défenseur"/>
    <s v="Maxwell"/>
    <m/>
    <s v="Paris"/>
    <n v="18"/>
    <n v="0"/>
    <n v="0"/>
    <n v="0"/>
    <s v="4.75"/>
    <s v="5.31"/>
    <n v="5.666666666666667"/>
    <n v="24"/>
    <n v="4"/>
    <n v="3"/>
  </r>
  <r>
    <x v="6"/>
    <s v="Défenseur"/>
    <s v="Mendy"/>
    <s v="Benjamin"/>
    <s v="Marseille"/>
    <n v="17"/>
    <n v="0"/>
    <n v="0"/>
    <n v="0"/>
    <m/>
    <m/>
    <n v="5.2727272727272725"/>
    <n v="22"/>
    <n v="2"/>
    <n v="1"/>
  </r>
  <r>
    <x v="6"/>
    <s v="Défenseur"/>
    <s v="N'Koulou"/>
    <s v="Nicolas"/>
    <s v="Marseille"/>
    <n v="34"/>
    <n v="0"/>
    <n v="0"/>
    <n v="0"/>
    <s v="5.00"/>
    <s v="5.54"/>
    <n v="5.0606060606060606"/>
    <n v="33"/>
    <n v="0"/>
    <n v="0"/>
  </r>
  <r>
    <x v="6"/>
    <s v="Défenseur"/>
    <s v="Touré"/>
    <s v="Almamy"/>
    <s v="Monaco"/>
    <n v="6"/>
    <n v="0"/>
    <n v="0"/>
    <n v="0"/>
    <m/>
    <m/>
    <n v="5.625"/>
    <n v="9"/>
    <n v="1"/>
    <n v="3"/>
  </r>
  <r>
    <x v="6"/>
    <s v="Défenseur"/>
    <s v="Wallace"/>
    <m/>
    <s v="Monaco"/>
    <n v="17"/>
    <n v="0"/>
    <n v="0"/>
    <n v="0"/>
    <m/>
    <m/>
    <n v="4.88"/>
    <n v="25"/>
    <n v="1"/>
    <n v="1"/>
  </r>
  <r>
    <x v="6"/>
    <s v="Gardien"/>
    <s v="Cardinale"/>
    <s v="Yoann"/>
    <s v="Nice"/>
    <n v="4"/>
    <n v="0"/>
    <n v="0"/>
    <n v="0"/>
    <m/>
    <m/>
    <n v="5.3076923076923075"/>
    <n v="25"/>
    <n v="1"/>
    <n v="0"/>
  </r>
  <r>
    <x v="6"/>
    <s v="Gardien"/>
    <s v="Lopes"/>
    <s v="Anthony"/>
    <s v="Lyon"/>
    <n v="28"/>
    <n v="0"/>
    <n v="0"/>
    <n v="0"/>
    <s v="5.23"/>
    <s v="5.23"/>
    <n v="5.4324324324324325"/>
    <n v="37"/>
    <n v="0"/>
    <n v="0"/>
  </r>
  <r>
    <x v="6"/>
    <s v="Milieu"/>
    <s v="Bauthéac"/>
    <s v="Eric"/>
    <s v="Lille"/>
    <n v="19"/>
    <n v="0"/>
    <n v="0"/>
    <n v="0"/>
    <m/>
    <m/>
    <n v="4.72"/>
    <n v="25"/>
    <n v="3"/>
    <n v="2"/>
  </r>
  <r>
    <x v="6"/>
    <s v="Milieu"/>
    <s v="Cabella"/>
    <s v="Rémy"/>
    <s v="Marseille"/>
    <n v="25"/>
    <n v="2"/>
    <n v="0"/>
    <n v="2"/>
    <s v="5.75"/>
    <s v="5.81"/>
    <n v="5.3"/>
    <n v="30"/>
    <n v="4"/>
    <n v="5"/>
  </r>
  <r>
    <x v="6"/>
    <s v="Milieu"/>
    <s v="Gonalons"/>
    <s v="Maxime"/>
    <s v="Lyon"/>
    <n v="23"/>
    <n v="0"/>
    <n v="0"/>
    <n v="0"/>
    <m/>
    <m/>
    <n v="5.666666666666667"/>
    <n v="33"/>
    <n v="0"/>
    <n v="0"/>
  </r>
  <r>
    <x v="6"/>
    <s v="Milieu"/>
    <s v="Hamouma"/>
    <s v="Romain"/>
    <s v="Saint-Etienne"/>
    <n v="41"/>
    <n v="0"/>
    <n v="0"/>
    <n v="0"/>
    <m/>
    <m/>
    <n v="5"/>
    <n v="17"/>
    <n v="7"/>
    <n v="3"/>
  </r>
  <r>
    <x v="6"/>
    <s v="Milieu"/>
    <s v="Larbi"/>
    <s v="Mohamed Wael"/>
    <s v="Ajaccio"/>
    <n v="6"/>
    <n v="0"/>
    <n v="0"/>
    <n v="0"/>
    <m/>
    <m/>
    <n v="4.9230769230769234"/>
    <n v="26"/>
    <n v="4"/>
    <n v="8"/>
  </r>
  <r>
    <x v="6"/>
    <s v="Milieu"/>
    <s v="Moutinho"/>
    <s v="João"/>
    <s v="Monaco"/>
    <n v="23"/>
    <n v="0"/>
    <n v="0"/>
    <n v="0"/>
    <s v="5.14"/>
    <s v="5.21"/>
    <n v="5.458333333333333"/>
    <n v="24"/>
    <n v="1"/>
    <n v="1"/>
  </r>
  <r>
    <x v="6"/>
    <s v="Milieu"/>
    <s v="Pasalic"/>
    <s v="Mario"/>
    <s v="Monaco"/>
    <n v="23"/>
    <n v="0"/>
    <n v="0"/>
    <n v="0"/>
    <m/>
    <m/>
    <n v="5.1818181818181817"/>
    <n v="12"/>
    <n v="4"/>
    <n v="3"/>
  </r>
  <r>
    <x v="7"/>
    <s v="Attaquant"/>
    <s v="Braithwaite"/>
    <s v="Martin"/>
    <s v="Toulouse"/>
    <n v="40"/>
    <n v="4"/>
    <n v="0"/>
    <n v="4"/>
    <s v="4.85"/>
    <s v="4.88"/>
    <n v="5.0909090909090908"/>
    <n v="33"/>
    <n v="3"/>
    <n v="11"/>
  </r>
  <r>
    <x v="7"/>
    <s v="Attaquant"/>
    <s v="Germain"/>
    <s v="Valère"/>
    <s v="Nice"/>
    <n v="30"/>
    <n v="5"/>
    <n v="0"/>
    <n v="5"/>
    <s v="5.00"/>
    <s v="5.04"/>
    <n v="5.1944444444444446"/>
    <n v="36"/>
    <n v="2"/>
    <n v="14"/>
  </r>
  <r>
    <x v="7"/>
    <s v="Attaquant"/>
    <s v="Rodrigue Ninga"/>
    <m/>
    <s v="Montpellier"/>
    <n v="8"/>
    <n v="0"/>
    <n v="0"/>
    <n v="0"/>
    <m/>
    <m/>
    <n v="4.9565217391304346"/>
    <n v="20"/>
    <n v="6"/>
    <n v="7"/>
  </r>
  <r>
    <x v="7"/>
    <s v="Attaquant"/>
    <s v="Sio"/>
    <s v="Giovanni"/>
    <s v="Rennes"/>
    <n v="40"/>
    <n v="0"/>
    <n v="0"/>
    <n v="0"/>
    <m/>
    <m/>
    <n v="4.6896551724137927"/>
    <n v="28"/>
    <n v="6"/>
    <n v="7"/>
  </r>
  <r>
    <x v="7"/>
    <s v="Défenseur"/>
    <s v="Fabinho"/>
    <m/>
    <s v="Monaco"/>
    <n v="32"/>
    <n v="0"/>
    <n v="0"/>
    <n v="0"/>
    <m/>
    <m/>
    <n v="5.617647058823529"/>
    <n v="34"/>
    <n v="0"/>
    <n v="6"/>
  </r>
  <r>
    <x v="7"/>
    <s v="Défenseur"/>
    <s v="Hilton"/>
    <s v="Vitorino"/>
    <s v="Montpellier"/>
    <n v="34"/>
    <n v="0"/>
    <n v="0"/>
    <n v="0"/>
    <m/>
    <m/>
    <n v="5.1944444444444446"/>
    <n v="36"/>
    <n v="0"/>
    <n v="1"/>
  </r>
  <r>
    <x v="7"/>
    <s v="Défenseur"/>
    <s v="Lemaître"/>
    <s v="Reynald"/>
    <s v="Guingamp"/>
    <n v="2"/>
    <n v="0"/>
    <n v="0"/>
    <n v="0"/>
    <m/>
    <m/>
    <n v="4.166666666666667"/>
    <n v="5"/>
    <n v="1"/>
    <n v="0"/>
  </r>
  <r>
    <x v="7"/>
    <s v="Défenseur"/>
    <s v="Sidibe"/>
    <s v="Djibril"/>
    <s v="Lille"/>
    <n v="31"/>
    <n v="0"/>
    <n v="0"/>
    <n v="0"/>
    <m/>
    <m/>
    <n v="5.4722222222222223"/>
    <n v="36"/>
    <n v="1"/>
    <n v="4"/>
  </r>
  <r>
    <x v="7"/>
    <s v="Défenseur"/>
    <s v="Thiago Silva"/>
    <m/>
    <s v="Paris"/>
    <n v="53"/>
    <n v="0"/>
    <n v="0"/>
    <n v="0"/>
    <s v="5.64"/>
    <s v="5.89"/>
    <n v="6.068965517241379"/>
    <n v="29"/>
    <n v="1"/>
    <n v="1"/>
  </r>
  <r>
    <x v="7"/>
    <s v="Défenseur"/>
    <s v="William Matheus"/>
    <m/>
    <s v="Toulouse"/>
    <n v="2"/>
    <n v="0"/>
    <n v="0"/>
    <n v="0"/>
    <m/>
    <m/>
    <n v="4.8571428571428568"/>
    <n v="14"/>
    <n v="0"/>
    <n v="0"/>
  </r>
  <r>
    <x v="7"/>
    <s v="Gardien"/>
    <s v="Guivarch"/>
    <s v="Theo"/>
    <s v="Guingamp"/>
    <n v="1"/>
    <n v="0"/>
    <n v="0"/>
    <n v="0"/>
    <m/>
    <m/>
    <s v=""/>
    <n v="0"/>
    <n v="0"/>
    <n v="0"/>
  </r>
  <r>
    <x v="7"/>
    <s v="Gardien"/>
    <s v="Hassen"/>
    <s v="Mouez"/>
    <s v="Nice"/>
    <n v="12"/>
    <n v="0"/>
    <n v="0"/>
    <n v="0"/>
    <m/>
    <m/>
    <n v="5.583333333333333"/>
    <n v="12"/>
    <n v="2"/>
    <n v="0"/>
  </r>
  <r>
    <x v="7"/>
    <s v="Gardien"/>
    <s v="Jonas Lössl"/>
    <m/>
    <s v="Guingamp"/>
    <n v="20"/>
    <n v="0"/>
    <n v="0"/>
    <n v="0"/>
    <s v="5.17"/>
    <s v="4.96"/>
    <n v="5.3513513513513518"/>
    <n v="37"/>
    <n v="0"/>
    <n v="0"/>
  </r>
  <r>
    <x v="7"/>
    <s v="Milieu"/>
    <s v="Barrada"/>
    <s v="Abdel"/>
    <s v="Marseille"/>
    <n v="27"/>
    <n v="0"/>
    <n v="1"/>
    <n v="1"/>
    <s v="5.20"/>
    <s v="5.25"/>
    <n v="5.6842105263157894"/>
    <n v="17"/>
    <n v="7"/>
    <n v="1"/>
  </r>
  <r>
    <x v="7"/>
    <s v="Milieu"/>
    <s v="Deaux"/>
    <s v="Lucas"/>
    <s v="Nantes"/>
    <n v="7"/>
    <n v="0"/>
    <n v="0"/>
    <n v="0"/>
    <m/>
    <m/>
    <n v="5"/>
    <n v="13"/>
    <n v="3"/>
    <n v="0"/>
  </r>
  <r>
    <x v="7"/>
    <s v="Milieu"/>
    <s v="Didot"/>
    <s v="Etienne"/>
    <s v="Toulouse"/>
    <n v="7"/>
    <n v="0"/>
    <n v="0"/>
    <n v="0"/>
    <m/>
    <m/>
    <n v="4.7142857142857144"/>
    <n v="21"/>
    <n v="2"/>
    <n v="0"/>
  </r>
  <r>
    <x v="7"/>
    <s v="Milieu"/>
    <s v="Khazri"/>
    <s v="Wahbi"/>
    <s v="Bordeaux"/>
    <n v="49"/>
    <n v="0"/>
    <n v="0"/>
    <n v="0"/>
    <m/>
    <m/>
    <n v="5.8"/>
    <n v="20"/>
    <n v="0"/>
    <n v="5"/>
  </r>
  <r>
    <x v="7"/>
    <s v="Milieu"/>
    <s v="Lass Diarra"/>
    <m/>
    <s v="Marseille"/>
    <n v="44"/>
    <n v="0"/>
    <n v="2"/>
    <n v="2"/>
    <s v="5.83"/>
    <s v="6.04"/>
    <n v="5.48"/>
    <n v="25"/>
    <n v="1"/>
    <n v="1"/>
  </r>
  <r>
    <x v="7"/>
    <s v="Milieu"/>
    <s v="Silva"/>
    <s v="Bernardo"/>
    <s v="Monaco"/>
    <n v="61"/>
    <n v="0"/>
    <n v="0"/>
    <n v="0"/>
    <m/>
    <m/>
    <n v="5.2592592592592595"/>
    <n v="22"/>
    <n v="10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T4:X13" firstHeaderRow="0" firstDataRow="1" firstDataCol="1"/>
  <pivotFields count="15">
    <pivotField axis="axisRow" showAll="0">
      <items count="9">
        <item x="2"/>
        <item x="5"/>
        <item x="0"/>
        <item x="1"/>
        <item x="3"/>
        <item x="7"/>
        <item x="4"/>
        <item x="6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90" workbookViewId="0">
      <selection activeCell="B103" sqref="B103"/>
    </sheetView>
  </sheetViews>
  <sheetFormatPr baseColWidth="10" defaultColWidth="9.140625" defaultRowHeight="15" x14ac:dyDescent="0.25"/>
  <cols>
    <col min="1" max="1" width="10.28515625" bestFit="1" customWidth="1"/>
    <col min="2" max="2" width="23.7109375" bestFit="1" customWidth="1"/>
    <col min="3" max="3" width="27.7109375" bestFit="1" customWidth="1"/>
    <col min="4" max="4" width="12.140625" bestFit="1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216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214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350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214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212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215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213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213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217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216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243</v>
      </c>
      <c r="C8" s="10" t="s">
        <v>216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217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243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212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243</v>
      </c>
      <c r="C10" s="12" t="s">
        <v>213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243</v>
      </c>
      <c r="C11" s="12" t="s">
        <v>217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215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351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217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230</v>
      </c>
      <c r="C14" s="10" t="s">
        <v>213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230</v>
      </c>
      <c r="C15" s="12" t="s">
        <v>215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212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350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213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217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214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382</v>
      </c>
      <c r="C21" s="10" t="s">
        <v>217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383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383</v>
      </c>
      <c r="C23" s="12" t="s">
        <v>217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213</v>
      </c>
      <c r="K23" s="5">
        <v>0.14028776978417265</v>
      </c>
    </row>
    <row r="24" spans="1:11" x14ac:dyDescent="0.25">
      <c r="A24" s="12" t="s">
        <v>8</v>
      </c>
      <c r="B24" s="12" t="s">
        <v>383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383</v>
      </c>
      <c r="C25" s="12" t="s">
        <v>216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232</v>
      </c>
      <c r="C26" s="10" t="s">
        <v>213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212</v>
      </c>
      <c r="K26" s="5">
        <v>0.1079136690647482</v>
      </c>
    </row>
    <row r="27" spans="1:11" x14ac:dyDescent="0.25">
      <c r="A27" s="12" t="s">
        <v>8</v>
      </c>
      <c r="B27" s="12" t="s">
        <v>232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232</v>
      </c>
      <c r="C28" s="12" t="s">
        <v>214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384</v>
      </c>
      <c r="C29" s="10" t="s">
        <v>214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214</v>
      </c>
      <c r="K29" s="5">
        <v>0.14748201438848921</v>
      </c>
    </row>
    <row r="30" spans="1:11" x14ac:dyDescent="0.25">
      <c r="A30" s="10" t="s">
        <v>5</v>
      </c>
      <c r="B30" s="10" t="s">
        <v>235</v>
      </c>
      <c r="C30" s="10" t="s">
        <v>212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235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235</v>
      </c>
      <c r="C32" s="12" t="s">
        <v>215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215</v>
      </c>
      <c r="K32" s="5">
        <v>0.12949640287769784</v>
      </c>
    </row>
    <row r="33" spans="1:11" x14ac:dyDescent="0.25">
      <c r="A33" s="12" t="s">
        <v>5</v>
      </c>
      <c r="B33" s="12" t="s">
        <v>235</v>
      </c>
      <c r="C33" s="12" t="s">
        <v>214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385</v>
      </c>
      <c r="C34" s="10" t="s">
        <v>212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385</v>
      </c>
      <c r="C35" s="12" t="s">
        <v>217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216</v>
      </c>
      <c r="K35" s="5">
        <v>0.14028776978417265</v>
      </c>
    </row>
    <row r="36" spans="1:11" x14ac:dyDescent="0.25">
      <c r="A36" s="12" t="s">
        <v>5</v>
      </c>
      <c r="B36" s="12" t="s">
        <v>385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231</v>
      </c>
      <c r="C37" s="10" t="s">
        <v>217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217</v>
      </c>
      <c r="K38" s="5">
        <v>0.12589928057553956</v>
      </c>
    </row>
    <row r="39" spans="1:11" x14ac:dyDescent="0.25">
      <c r="A39" s="10" t="s">
        <v>5</v>
      </c>
      <c r="B39" s="10" t="s">
        <v>429</v>
      </c>
      <c r="C39" s="10" t="s">
        <v>217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429</v>
      </c>
      <c r="C40" s="12" t="s">
        <v>216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223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351</v>
      </c>
      <c r="K41" s="5">
        <v>1</v>
      </c>
    </row>
    <row r="42" spans="1:11" x14ac:dyDescent="0.25">
      <c r="A42" s="12" t="s">
        <v>8</v>
      </c>
      <c r="B42" s="12" t="s">
        <v>223</v>
      </c>
      <c r="C42" s="12" t="s">
        <v>217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223</v>
      </c>
      <c r="C43" s="12" t="s">
        <v>216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223</v>
      </c>
      <c r="C44" s="12" t="s">
        <v>215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386</v>
      </c>
      <c r="C45" s="10" t="s">
        <v>217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430</v>
      </c>
      <c r="C46" s="10" t="s">
        <v>217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430</v>
      </c>
      <c r="C47" s="12" t="s">
        <v>215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430</v>
      </c>
      <c r="C48" s="12" t="s">
        <v>214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387</v>
      </c>
      <c r="C49" s="10" t="s">
        <v>213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387</v>
      </c>
      <c r="C50" s="12" t="s">
        <v>214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388</v>
      </c>
      <c r="C51" s="10" t="s">
        <v>214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388</v>
      </c>
      <c r="C52" s="12" t="s">
        <v>215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388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244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389</v>
      </c>
      <c r="C55" s="10" t="s">
        <v>212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389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390</v>
      </c>
      <c r="C57" s="10" t="s">
        <v>217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390</v>
      </c>
      <c r="C58" s="12" t="s">
        <v>214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212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216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391</v>
      </c>
      <c r="C62" s="10" t="s">
        <v>212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391</v>
      </c>
      <c r="C63" s="12" t="s">
        <v>215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391</v>
      </c>
      <c r="C64" s="12" t="s">
        <v>213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391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234</v>
      </c>
      <c r="C66" s="10" t="s">
        <v>215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234</v>
      </c>
      <c r="C67" s="12" t="s">
        <v>212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234</v>
      </c>
      <c r="C68" s="12" t="s">
        <v>214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222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431</v>
      </c>
      <c r="C70" s="10" t="s">
        <v>213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227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233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216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392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392</v>
      </c>
      <c r="C75" s="12" t="s">
        <v>213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212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393</v>
      </c>
      <c r="C77" s="10" t="s">
        <v>213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393</v>
      </c>
      <c r="C78" s="12" t="s">
        <v>216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432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432</v>
      </c>
      <c r="C80" s="12" t="s">
        <v>213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432</v>
      </c>
      <c r="C81" s="12" t="s">
        <v>217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394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433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215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214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212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216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220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220</v>
      </c>
      <c r="C91" s="12" t="s">
        <v>217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220</v>
      </c>
      <c r="C92" s="12" t="s">
        <v>215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220</v>
      </c>
      <c r="C93" s="12" t="s">
        <v>214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220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220</v>
      </c>
      <c r="C95" s="12" t="s">
        <v>212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395</v>
      </c>
      <c r="C96" s="10" t="s">
        <v>213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395</v>
      </c>
      <c r="C97" s="12" t="s">
        <v>215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396</v>
      </c>
      <c r="C98" s="10" t="s">
        <v>213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396</v>
      </c>
      <c r="C99" s="12" t="s">
        <v>214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228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228</v>
      </c>
      <c r="C101" s="12" t="s">
        <v>212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434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454</v>
      </c>
      <c r="C103" s="10" t="s">
        <v>215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454</v>
      </c>
      <c r="C104" s="12" t="s">
        <v>213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454</v>
      </c>
      <c r="C105" s="12" t="s">
        <v>217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218</v>
      </c>
      <c r="C107" s="10" t="s">
        <v>214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218</v>
      </c>
      <c r="C108" s="12" t="s">
        <v>216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236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397</v>
      </c>
      <c r="C110" s="10" t="s">
        <v>213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215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435</v>
      </c>
      <c r="C113" s="10" t="s">
        <v>214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214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213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436</v>
      </c>
      <c r="C116" s="10" t="s">
        <v>214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299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206</v>
      </c>
      <c r="C118" s="10" t="s">
        <v>214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437</v>
      </c>
      <c r="C119" s="10" t="s">
        <v>214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398</v>
      </c>
      <c r="C120" s="10" t="s">
        <v>215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398</v>
      </c>
      <c r="C121" s="12" t="s">
        <v>214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214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399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438</v>
      </c>
      <c r="C124" s="10" t="s">
        <v>215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438</v>
      </c>
      <c r="C125" s="12" t="s">
        <v>216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300</v>
      </c>
      <c r="C126" s="10" t="s">
        <v>212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301</v>
      </c>
      <c r="C127" s="10" t="s">
        <v>212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400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302</v>
      </c>
      <c r="C129" s="10" t="s">
        <v>215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401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215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402</v>
      </c>
      <c r="C132" s="10" t="s">
        <v>214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403</v>
      </c>
      <c r="C133" s="10" t="s">
        <v>214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216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214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455</v>
      </c>
      <c r="C136" s="10" t="s">
        <v>214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245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404</v>
      </c>
      <c r="C138" s="10" t="s">
        <v>212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214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213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405</v>
      </c>
      <c r="C141" s="10" t="s">
        <v>215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405</v>
      </c>
      <c r="C142" s="12" t="s">
        <v>212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406</v>
      </c>
      <c r="C143" s="10" t="s">
        <v>215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406</v>
      </c>
      <c r="C144" s="12" t="s">
        <v>216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182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182</v>
      </c>
      <c r="C146" s="12" t="s">
        <v>217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407</v>
      </c>
      <c r="C147" s="10" t="s">
        <v>213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439</v>
      </c>
      <c r="C148" s="10" t="s">
        <v>215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440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441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408</v>
      </c>
      <c r="C151" s="10" t="s">
        <v>215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303</v>
      </c>
      <c r="C152" s="10" t="s">
        <v>215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303</v>
      </c>
      <c r="C153" s="12" t="s">
        <v>216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442</v>
      </c>
      <c r="C154" s="10" t="s">
        <v>214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248</v>
      </c>
      <c r="C156" s="10" t="s">
        <v>217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304</v>
      </c>
      <c r="C157" s="10" t="s">
        <v>212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304</v>
      </c>
      <c r="C158" s="12" t="s">
        <v>217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409</v>
      </c>
      <c r="C159" s="10" t="s">
        <v>212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226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443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247</v>
      </c>
      <c r="C162" s="10" t="s">
        <v>217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247</v>
      </c>
      <c r="C163" s="12" t="s">
        <v>213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444</v>
      </c>
      <c r="C164" s="10" t="s">
        <v>215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410</v>
      </c>
      <c r="C165" s="10" t="s">
        <v>213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411</v>
      </c>
      <c r="C166" s="10" t="s">
        <v>212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219</v>
      </c>
      <c r="C167" s="10" t="s">
        <v>212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445</v>
      </c>
      <c r="C168" s="10" t="s">
        <v>216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216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412</v>
      </c>
      <c r="C170" s="10" t="s">
        <v>214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413</v>
      </c>
      <c r="C171" s="10" t="s">
        <v>215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414</v>
      </c>
      <c r="C172" s="10" t="s">
        <v>214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446</v>
      </c>
      <c r="C173" s="10" t="s">
        <v>214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96</v>
      </c>
      <c r="C174" s="10" t="s">
        <v>216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238</v>
      </c>
      <c r="C175" s="10" t="s">
        <v>217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238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238</v>
      </c>
      <c r="C177" s="12" t="s">
        <v>213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249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249</v>
      </c>
      <c r="C179" s="12" t="s">
        <v>214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249</v>
      </c>
      <c r="C180" s="12" t="s">
        <v>217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249</v>
      </c>
      <c r="C181" s="12" t="s">
        <v>215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249</v>
      </c>
      <c r="C182" s="12" t="s">
        <v>216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250</v>
      </c>
      <c r="C183" s="10" t="s">
        <v>217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415</v>
      </c>
      <c r="C184" s="10" t="s">
        <v>213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415</v>
      </c>
      <c r="C185" s="12" t="s">
        <v>216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305</v>
      </c>
      <c r="C186" s="10" t="s">
        <v>215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416</v>
      </c>
      <c r="C187" s="10" t="s">
        <v>216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225</v>
      </c>
      <c r="C188" s="10" t="s">
        <v>212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417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418</v>
      </c>
      <c r="C190" s="10" t="s">
        <v>216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214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246</v>
      </c>
      <c r="C192" s="10" t="s">
        <v>213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419</v>
      </c>
      <c r="C193" s="10" t="s">
        <v>212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420</v>
      </c>
      <c r="C194" s="10" t="s">
        <v>213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456</v>
      </c>
      <c r="C195" s="10" t="s">
        <v>216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421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457</v>
      </c>
      <c r="C197" s="10" t="s">
        <v>216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422</v>
      </c>
      <c r="C198" s="10" t="s">
        <v>215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447</v>
      </c>
      <c r="C199" s="10" t="s">
        <v>214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448</v>
      </c>
      <c r="C200" s="10" t="s">
        <v>216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458</v>
      </c>
      <c r="C201" s="10" t="s">
        <v>215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306</v>
      </c>
      <c r="C202" s="10" t="s">
        <v>214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307</v>
      </c>
      <c r="C203" s="10" t="s">
        <v>215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308</v>
      </c>
      <c r="C204" s="10" t="s">
        <v>215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459</v>
      </c>
      <c r="C205" s="10" t="s">
        <v>216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212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423</v>
      </c>
      <c r="C207" s="10" t="s">
        <v>216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424</v>
      </c>
      <c r="C208" s="10" t="s">
        <v>212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425</v>
      </c>
      <c r="C209" s="10" t="s">
        <v>217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251</v>
      </c>
      <c r="C210" s="10" t="s">
        <v>217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309</v>
      </c>
      <c r="C211" s="10" t="s">
        <v>217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309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310</v>
      </c>
      <c r="C213" s="10" t="s">
        <v>215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311</v>
      </c>
      <c r="C214" s="10" t="s">
        <v>215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312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313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313</v>
      </c>
      <c r="C217" s="12" t="s">
        <v>216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214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314</v>
      </c>
      <c r="C219" s="10" t="s">
        <v>216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315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426</v>
      </c>
      <c r="C221" s="10" t="s">
        <v>216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316</v>
      </c>
      <c r="C222" s="10" t="s">
        <v>217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317</v>
      </c>
      <c r="C223" s="10" t="s">
        <v>213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318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449</v>
      </c>
      <c r="C225" s="10" t="s">
        <v>212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237</v>
      </c>
      <c r="C226" s="10" t="s">
        <v>217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319</v>
      </c>
      <c r="C227" s="10" t="s">
        <v>213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320</v>
      </c>
      <c r="C228" s="10" t="s">
        <v>214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321</v>
      </c>
      <c r="C229" s="10" t="s">
        <v>214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322</v>
      </c>
      <c r="C230" s="10" t="s">
        <v>212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450</v>
      </c>
      <c r="C231" s="10" t="s">
        <v>212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323</v>
      </c>
      <c r="C232" s="10" t="s">
        <v>215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323</v>
      </c>
      <c r="C233" s="12" t="s">
        <v>213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451</v>
      </c>
      <c r="C234" s="10" t="s">
        <v>213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324</v>
      </c>
      <c r="C235" s="10" t="s">
        <v>215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324</v>
      </c>
      <c r="C236" s="12" t="s">
        <v>213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325</v>
      </c>
      <c r="C237" s="10" t="s">
        <v>213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326</v>
      </c>
      <c r="C238" s="10" t="s">
        <v>216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327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327</v>
      </c>
      <c r="C240" s="12" t="s">
        <v>216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452</v>
      </c>
      <c r="C241" s="10" t="s">
        <v>216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328</v>
      </c>
      <c r="C242" s="10" t="s">
        <v>215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328</v>
      </c>
      <c r="C243" s="12" t="s">
        <v>213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328</v>
      </c>
      <c r="C244" s="12" t="s">
        <v>216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328</v>
      </c>
      <c r="C245" s="12" t="s">
        <v>214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329</v>
      </c>
      <c r="C246" s="10" t="s">
        <v>213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330</v>
      </c>
      <c r="C247" s="10" t="s">
        <v>213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241</v>
      </c>
      <c r="C248" s="10" t="s">
        <v>213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331</v>
      </c>
      <c r="C249" s="10" t="s">
        <v>213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332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332</v>
      </c>
      <c r="C251" s="12" t="s">
        <v>214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333</v>
      </c>
      <c r="C252" s="10" t="s">
        <v>216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427</v>
      </c>
      <c r="C253" s="10" t="s">
        <v>216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240</v>
      </c>
      <c r="C254" s="10" t="s">
        <v>217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334</v>
      </c>
      <c r="C255" s="10" t="s">
        <v>213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239</v>
      </c>
      <c r="C256" s="10" t="s">
        <v>217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335</v>
      </c>
      <c r="C257" s="10" t="s">
        <v>216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336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224</v>
      </c>
      <c r="C259" s="10" t="s">
        <v>217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224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337</v>
      </c>
      <c r="C261" s="10" t="s">
        <v>217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338</v>
      </c>
      <c r="C262" s="10" t="s">
        <v>216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339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460</v>
      </c>
      <c r="C264" s="10" t="s">
        <v>213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340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341</v>
      </c>
      <c r="C266" s="10" t="s">
        <v>212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342</v>
      </c>
      <c r="C267" s="10" t="s">
        <v>215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343</v>
      </c>
      <c r="C268" s="10" t="s">
        <v>212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344</v>
      </c>
      <c r="C269" s="10" t="s">
        <v>214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453</v>
      </c>
      <c r="C270" s="10" t="s">
        <v>212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428</v>
      </c>
      <c r="C271" s="10" t="s">
        <v>216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461</v>
      </c>
      <c r="C272" s="10" t="s">
        <v>217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345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242</v>
      </c>
      <c r="C274" s="10" t="s">
        <v>213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462</v>
      </c>
      <c r="C275" s="10" t="s">
        <v>217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346</v>
      </c>
      <c r="C276" s="10" t="s">
        <v>213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347</v>
      </c>
      <c r="C277" s="10" t="s">
        <v>217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348</v>
      </c>
      <c r="C278" s="10" t="s">
        <v>214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349</v>
      </c>
      <c r="C279" s="10" t="s">
        <v>216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194"/>
  <sheetViews>
    <sheetView topLeftCell="B2" workbookViewId="0">
      <selection activeCell="D2" sqref="D2"/>
    </sheetView>
  </sheetViews>
  <sheetFormatPr baseColWidth="10" defaultColWidth="9.140625" defaultRowHeight="15" x14ac:dyDescent="0.25"/>
  <cols>
    <col min="1" max="1" width="6.140625" hidden="1" customWidth="1"/>
    <col min="2" max="2" width="27.7109375" bestFit="1" customWidth="1"/>
    <col min="3" max="4" width="10.28515625" bestFit="1" customWidth="1"/>
    <col min="5" max="5" width="12.5703125" bestFit="1" customWidth="1"/>
    <col min="6" max="6" width="11.5703125" bestFit="1" customWidth="1"/>
    <col min="7" max="7" width="4.28515625" customWidth="1"/>
    <col min="8" max="8" width="6.28515625" hidden="1" customWidth="1"/>
    <col min="9" max="9" width="7.42578125" hidden="1" customWidth="1"/>
    <col min="10" max="10" width="6.140625" hidden="1" customWidth="1"/>
    <col min="11" max="11" width="7.140625" hidden="1" customWidth="1"/>
    <col min="12" max="12" width="17.5703125" hidden="1" customWidth="1"/>
    <col min="16" max="16" width="16.140625" customWidth="1"/>
    <col min="17" max="18" width="0" hidden="1" customWidth="1"/>
    <col min="20" max="20" width="15.5703125" customWidth="1"/>
    <col min="21" max="21" width="10.7109375" customWidth="1"/>
    <col min="22" max="22" width="7.140625" bestFit="1" customWidth="1"/>
    <col min="23" max="23" width="7.85546875" customWidth="1"/>
    <col min="24" max="24" width="14.140625" customWidth="1"/>
    <col min="25" max="25" width="10.140625" bestFit="1" customWidth="1"/>
  </cols>
  <sheetData>
    <row r="2" spans="1:27" x14ac:dyDescent="0.25">
      <c r="A2" t="s">
        <v>1067</v>
      </c>
      <c r="B2" t="s">
        <v>79</v>
      </c>
      <c r="C2" t="s">
        <v>0</v>
      </c>
      <c r="D2" t="s">
        <v>71</v>
      </c>
      <c r="E2" t="s">
        <v>72</v>
      </c>
      <c r="F2" t="s">
        <v>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78</v>
      </c>
      <c r="M2" t="s">
        <v>80</v>
      </c>
      <c r="N2" t="s">
        <v>82</v>
      </c>
      <c r="O2" t="s">
        <v>83</v>
      </c>
      <c r="P2" t="s">
        <v>81</v>
      </c>
    </row>
    <row r="3" spans="1:27" x14ac:dyDescent="0.25">
      <c r="A3" t="str">
        <f>F3 &amp; " - " &amp; D3</f>
        <v>Paris - Cavani</v>
      </c>
      <c r="B3" t="s">
        <v>215</v>
      </c>
      <c r="C3" t="s">
        <v>5</v>
      </c>
      <c r="D3" t="s">
        <v>106</v>
      </c>
      <c r="E3" t="s">
        <v>107</v>
      </c>
      <c r="F3" t="s">
        <v>67</v>
      </c>
      <c r="G3">
        <v>92</v>
      </c>
      <c r="H3">
        <v>0</v>
      </c>
      <c r="I3">
        <v>0</v>
      </c>
      <c r="J3">
        <v>0</v>
      </c>
      <c r="M3">
        <f t="shared" ref="M3:M16" si="0">IF(VLOOKUP(VLOOKUP($A3,_JOUEURS,2,FALSE),_DATA,8,FALSE)=0,"",VLOOKUP(VLOOKUP($A3,_JOUEURS,2,FALSE),_DATA,8,FALSE))</f>
        <v>5.72</v>
      </c>
      <c r="N3">
        <f t="shared" ref="N3:N16" si="1">VLOOKUP(VLOOKUP($A3,_JOUEURS,2,FALSE),_DATA,5,FALSE)</f>
        <v>24</v>
      </c>
      <c r="O3">
        <f t="shared" ref="O3:O16" si="2">VLOOKUP(VLOOKUP($A3,_JOUEURS,2,FALSE),_DATA,6,FALSE)</f>
        <v>8</v>
      </c>
      <c r="P3">
        <f>VALUE(IF(R3="",0,R3))</f>
        <v>19</v>
      </c>
      <c r="Q3">
        <f t="shared" ref="Q3:Q34" si="3">VLOOKUP(VLOOKUP($A3,_JOUEURS,2,FALSE),_DATA,7,FALSE)</f>
        <v>19</v>
      </c>
      <c r="R3" t="str">
        <f>SUBSTITUTE(SUBSTITUTE(SUBSTITUTE(Q3," / ",""),"(-1)",""),"(-2)","")</f>
        <v>19</v>
      </c>
      <c r="Z3">
        <v>31</v>
      </c>
    </row>
    <row r="4" spans="1:27" x14ac:dyDescent="0.25">
      <c r="A4" t="str">
        <f t="shared" ref="A4:A67" si="4">F4 &amp; " - " &amp; D4</f>
        <v>Bordeaux - Saivet</v>
      </c>
      <c r="B4" t="s">
        <v>215</v>
      </c>
      <c r="C4" t="s">
        <v>5</v>
      </c>
      <c r="D4" t="s">
        <v>154</v>
      </c>
      <c r="E4" t="s">
        <v>120</v>
      </c>
      <c r="F4" t="s">
        <v>50</v>
      </c>
      <c r="G4">
        <v>14</v>
      </c>
      <c r="H4">
        <v>0</v>
      </c>
      <c r="I4">
        <v>0</v>
      </c>
      <c r="J4">
        <v>0</v>
      </c>
      <c r="M4">
        <f t="shared" si="0"/>
        <v>5.4444444444444446</v>
      </c>
      <c r="N4">
        <f t="shared" si="1"/>
        <v>18</v>
      </c>
      <c r="O4">
        <f t="shared" si="2"/>
        <v>0</v>
      </c>
      <c r="P4">
        <f t="shared" ref="P4:P67" si="5">VALUE(IF(R4="",0,R4))</f>
        <v>2</v>
      </c>
      <c r="Q4">
        <f t="shared" si="3"/>
        <v>2</v>
      </c>
      <c r="R4" t="str">
        <f t="shared" ref="R4:R67" si="6">SUBSTITUTE(SUBSTITUTE(SUBSTITUTE(Q4," / ",""),"(-1)",""),"(-2)","")</f>
        <v>2</v>
      </c>
      <c r="T4" s="2" t="s">
        <v>162</v>
      </c>
      <c r="U4" t="s">
        <v>159</v>
      </c>
      <c r="V4" t="s">
        <v>160</v>
      </c>
      <c r="W4" t="s">
        <v>164</v>
      </c>
      <c r="X4" t="s">
        <v>161</v>
      </c>
      <c r="Y4" s="7" t="s">
        <v>165</v>
      </c>
      <c r="Z4" s="7" t="s">
        <v>221</v>
      </c>
    </row>
    <row r="5" spans="1:27" x14ac:dyDescent="0.25">
      <c r="A5" t="str">
        <f t="shared" si="4"/>
        <v>Caen - Rodelin</v>
      </c>
      <c r="B5" t="s">
        <v>215</v>
      </c>
      <c r="C5" t="s">
        <v>5</v>
      </c>
      <c r="D5" t="s">
        <v>466</v>
      </c>
      <c r="E5" t="s">
        <v>467</v>
      </c>
      <c r="F5" t="s">
        <v>56</v>
      </c>
      <c r="G5">
        <v>8</v>
      </c>
      <c r="H5">
        <v>0</v>
      </c>
      <c r="I5">
        <v>0</v>
      </c>
      <c r="J5">
        <v>0</v>
      </c>
      <c r="M5">
        <f t="shared" si="0"/>
        <v>5.2121212121212119</v>
      </c>
      <c r="N5">
        <f t="shared" si="1"/>
        <v>33</v>
      </c>
      <c r="O5">
        <f t="shared" si="2"/>
        <v>1</v>
      </c>
      <c r="P5">
        <f t="shared" si="5"/>
        <v>10</v>
      </c>
      <c r="Q5" t="str">
        <f t="shared" si="3"/>
        <v>10 / (-1)</v>
      </c>
      <c r="R5" t="str">
        <f t="shared" si="6"/>
        <v>10</v>
      </c>
      <c r="T5" s="3" t="s">
        <v>214</v>
      </c>
      <c r="U5" s="4">
        <v>26</v>
      </c>
      <c r="V5" s="4">
        <v>525</v>
      </c>
      <c r="W5" s="4">
        <v>66</v>
      </c>
      <c r="X5" s="8">
        <v>5.1025739341974772</v>
      </c>
      <c r="Y5" s="8">
        <f>GETPIVOTDATA("Nb titu",$T$4,"Club",T5)/GETPIVOTDATA("Nb joueurs",$T$4,"Club",T5)</f>
        <v>20.192307692307693</v>
      </c>
      <c r="Z5" s="14">
        <f>Y5/Z$3</f>
        <v>0.65136476426799006</v>
      </c>
      <c r="AA5" s="274"/>
    </row>
    <row r="6" spans="1:27" x14ac:dyDescent="0.25">
      <c r="A6" t="str">
        <f t="shared" si="4"/>
        <v>Ajaccio - Jacques Zoua</v>
      </c>
      <c r="B6" t="s">
        <v>215</v>
      </c>
      <c r="C6" t="s">
        <v>5</v>
      </c>
      <c r="D6" t="s">
        <v>408</v>
      </c>
      <c r="F6" t="s">
        <v>265</v>
      </c>
      <c r="G6">
        <v>19</v>
      </c>
      <c r="H6">
        <v>0</v>
      </c>
      <c r="I6">
        <v>0</v>
      </c>
      <c r="J6">
        <v>0</v>
      </c>
      <c r="M6">
        <f t="shared" si="0"/>
        <v>4.4074074074074074</v>
      </c>
      <c r="N6">
        <f t="shared" si="1"/>
        <v>26</v>
      </c>
      <c r="O6">
        <f t="shared" si="2"/>
        <v>5</v>
      </c>
      <c r="P6">
        <f t="shared" si="5"/>
        <v>5</v>
      </c>
      <c r="Q6">
        <f t="shared" si="3"/>
        <v>5</v>
      </c>
      <c r="R6" t="str">
        <f t="shared" si="6"/>
        <v>5</v>
      </c>
      <c r="T6" s="3" t="s">
        <v>216</v>
      </c>
      <c r="U6" s="4">
        <v>24</v>
      </c>
      <c r="V6" s="4" t="e">
        <v>#N/A</v>
      </c>
      <c r="W6" s="4" t="e">
        <v>#N/A</v>
      </c>
      <c r="X6" s="8" t="e">
        <v>#N/A</v>
      </c>
      <c r="Y6" s="8" t="e">
        <f>GETPIVOTDATA("Nb titu",$T$4,"Club",T6)/GETPIVOTDATA("Nb joueurs",$T$4,"Club",T6)</f>
        <v>#N/A</v>
      </c>
      <c r="Z6" s="14" t="e">
        <f t="shared" ref="Z6:Z13" si="7">Y6/Z$3</f>
        <v>#N/A</v>
      </c>
      <c r="AA6" s="274"/>
    </row>
    <row r="7" spans="1:27" x14ac:dyDescent="0.25">
      <c r="A7" t="str">
        <f t="shared" si="4"/>
        <v>Troyes - Jean</v>
      </c>
      <c r="B7" t="s">
        <v>215</v>
      </c>
      <c r="C7" t="s">
        <v>5</v>
      </c>
      <c r="D7" t="s">
        <v>109</v>
      </c>
      <c r="E7" t="s">
        <v>186</v>
      </c>
      <c r="F7" t="s">
        <v>252</v>
      </c>
      <c r="G7">
        <v>20</v>
      </c>
      <c r="H7">
        <v>1</v>
      </c>
      <c r="I7">
        <v>0</v>
      </c>
      <c r="J7">
        <v>1</v>
      </c>
      <c r="K7" t="s">
        <v>263</v>
      </c>
      <c r="L7" t="s">
        <v>465</v>
      </c>
      <c r="M7">
        <f t="shared" si="0"/>
        <v>4.6206896551724137</v>
      </c>
      <c r="N7">
        <f t="shared" si="1"/>
        <v>30</v>
      </c>
      <c r="O7">
        <f t="shared" si="2"/>
        <v>4</v>
      </c>
      <c r="P7">
        <f t="shared" si="5"/>
        <v>4</v>
      </c>
      <c r="Q7">
        <f t="shared" si="3"/>
        <v>4</v>
      </c>
      <c r="R7" t="str">
        <f t="shared" si="6"/>
        <v>4</v>
      </c>
      <c r="T7" s="3" t="s">
        <v>215</v>
      </c>
      <c r="U7" s="4">
        <v>26</v>
      </c>
      <c r="V7" s="4">
        <v>757</v>
      </c>
      <c r="W7" s="4">
        <v>108</v>
      </c>
      <c r="X7" s="8">
        <v>5.0879762020629524</v>
      </c>
      <c r="Y7" s="8">
        <f t="shared" ref="Y7:Y12" si="8">GETPIVOTDATA("Nb titu",$T$4,"Club",T7)/GETPIVOTDATA("Nb joueurs",$T$4,"Club",T7)</f>
        <v>29.115384615384617</v>
      </c>
      <c r="Z7" s="14">
        <f t="shared" si="7"/>
        <v>0.93920595533498763</v>
      </c>
      <c r="AA7" s="274"/>
    </row>
    <row r="8" spans="1:27" x14ac:dyDescent="0.25">
      <c r="A8" t="str">
        <f t="shared" si="4"/>
        <v>Nantes - Sala</v>
      </c>
      <c r="B8" t="s">
        <v>215</v>
      </c>
      <c r="C8" t="s">
        <v>5</v>
      </c>
      <c r="D8" t="s">
        <v>468</v>
      </c>
      <c r="E8" t="s">
        <v>469</v>
      </c>
      <c r="F8" t="s">
        <v>43</v>
      </c>
      <c r="G8">
        <v>28</v>
      </c>
      <c r="H8">
        <v>0</v>
      </c>
      <c r="I8">
        <v>0</v>
      </c>
      <c r="J8">
        <v>0</v>
      </c>
      <c r="M8">
        <f t="shared" si="0"/>
        <v>4.7826086956521738</v>
      </c>
      <c r="N8">
        <f t="shared" si="1"/>
        <v>22</v>
      </c>
      <c r="O8">
        <f t="shared" si="2"/>
        <v>9</v>
      </c>
      <c r="P8">
        <f t="shared" si="5"/>
        <v>6</v>
      </c>
      <c r="Q8">
        <f t="shared" si="3"/>
        <v>6</v>
      </c>
      <c r="R8" t="str">
        <f t="shared" si="6"/>
        <v>6</v>
      </c>
      <c r="T8" s="3" t="s">
        <v>213</v>
      </c>
      <c r="U8" s="4">
        <v>26</v>
      </c>
      <c r="V8" s="4">
        <v>593</v>
      </c>
      <c r="W8" s="4">
        <v>77</v>
      </c>
      <c r="X8" s="8">
        <v>5.0699552086935755</v>
      </c>
      <c r="Y8" s="8">
        <f t="shared" si="8"/>
        <v>22.807692307692307</v>
      </c>
      <c r="Z8" s="14">
        <f t="shared" si="7"/>
        <v>0.73573200992555832</v>
      </c>
      <c r="AA8" s="274"/>
    </row>
    <row r="9" spans="1:27" x14ac:dyDescent="0.25">
      <c r="A9" t="str">
        <f t="shared" si="4"/>
        <v>Nantes - Sabaly</v>
      </c>
      <c r="B9" t="s">
        <v>215</v>
      </c>
      <c r="C9" t="s">
        <v>13</v>
      </c>
      <c r="D9" t="s">
        <v>473</v>
      </c>
      <c r="E9" t="s">
        <v>474</v>
      </c>
      <c r="F9" t="s">
        <v>43</v>
      </c>
      <c r="G9">
        <v>6</v>
      </c>
      <c r="H9">
        <v>0</v>
      </c>
      <c r="I9">
        <v>0</v>
      </c>
      <c r="J9">
        <v>0</v>
      </c>
      <c r="M9">
        <f t="shared" si="0"/>
        <v>5.1071428571428568</v>
      </c>
      <c r="N9">
        <f t="shared" si="1"/>
        <v>28</v>
      </c>
      <c r="O9">
        <f t="shared" si="2"/>
        <v>0</v>
      </c>
      <c r="P9">
        <f t="shared" si="5"/>
        <v>2</v>
      </c>
      <c r="Q9">
        <f t="shared" si="3"/>
        <v>2</v>
      </c>
      <c r="R9" t="str">
        <f t="shared" si="6"/>
        <v>2</v>
      </c>
      <c r="T9" s="3" t="s">
        <v>212</v>
      </c>
      <c r="U9" s="4">
        <v>23</v>
      </c>
      <c r="V9" s="4" t="e">
        <v>#N/A</v>
      </c>
      <c r="W9" s="4" t="e">
        <v>#N/A</v>
      </c>
      <c r="X9" s="8" t="e">
        <v>#N/A</v>
      </c>
      <c r="Y9" s="8" t="e">
        <f t="shared" si="8"/>
        <v>#N/A</v>
      </c>
      <c r="Z9" s="14" t="e">
        <f t="shared" si="7"/>
        <v>#N/A</v>
      </c>
      <c r="AA9" s="274"/>
    </row>
    <row r="10" spans="1:27" x14ac:dyDescent="0.25">
      <c r="A10" t="str">
        <f t="shared" si="4"/>
        <v>Ajaccio - Coeff</v>
      </c>
      <c r="B10" t="s">
        <v>215</v>
      </c>
      <c r="C10" t="s">
        <v>13</v>
      </c>
      <c r="D10" t="s">
        <v>472</v>
      </c>
      <c r="E10" t="s">
        <v>46</v>
      </c>
      <c r="F10" t="s">
        <v>265</v>
      </c>
      <c r="G10">
        <v>7</v>
      </c>
      <c r="H10">
        <v>0</v>
      </c>
      <c r="I10">
        <v>0</v>
      </c>
      <c r="J10">
        <v>0</v>
      </c>
      <c r="M10">
        <f t="shared" si="0"/>
        <v>5.0454545454545459</v>
      </c>
      <c r="N10">
        <f t="shared" si="1"/>
        <v>22</v>
      </c>
      <c r="O10">
        <f t="shared" si="2"/>
        <v>2</v>
      </c>
      <c r="P10">
        <f t="shared" si="5"/>
        <v>0</v>
      </c>
      <c r="Q10">
        <f t="shared" si="3"/>
        <v>0</v>
      </c>
      <c r="R10" t="str">
        <f t="shared" si="6"/>
        <v>0</v>
      </c>
      <c r="T10" s="3" t="s">
        <v>9</v>
      </c>
      <c r="U10" s="4">
        <v>19</v>
      </c>
      <c r="V10" s="4">
        <v>438</v>
      </c>
      <c r="W10" s="4">
        <v>65</v>
      </c>
      <c r="X10" s="8">
        <v>5.2322810776657951</v>
      </c>
      <c r="Y10" s="8">
        <f t="shared" si="8"/>
        <v>23.05263157894737</v>
      </c>
      <c r="Z10" s="14">
        <f t="shared" si="7"/>
        <v>0.74363327674023771</v>
      </c>
      <c r="AA10" s="274"/>
    </row>
    <row r="11" spans="1:27" x14ac:dyDescent="0.25">
      <c r="A11" t="str">
        <f t="shared" si="4"/>
        <v>Reims - Traore</v>
      </c>
      <c r="B11" t="s">
        <v>215</v>
      </c>
      <c r="C11" t="s">
        <v>13</v>
      </c>
      <c r="D11" t="s">
        <v>479</v>
      </c>
      <c r="E11" t="s">
        <v>480</v>
      </c>
      <c r="F11" t="s">
        <v>104</v>
      </c>
      <c r="G11">
        <v>11</v>
      </c>
      <c r="H11">
        <v>0</v>
      </c>
      <c r="I11">
        <v>0</v>
      </c>
      <c r="J11">
        <v>0</v>
      </c>
      <c r="M11">
        <f t="shared" si="0"/>
        <v>5</v>
      </c>
      <c r="N11">
        <f t="shared" si="1"/>
        <v>32</v>
      </c>
      <c r="O11">
        <f t="shared" si="2"/>
        <v>1</v>
      </c>
      <c r="P11">
        <f t="shared" si="5"/>
        <v>2</v>
      </c>
      <c r="Q11">
        <f t="shared" si="3"/>
        <v>2</v>
      </c>
      <c r="R11" t="str">
        <f t="shared" si="6"/>
        <v>2</v>
      </c>
      <c r="T11" s="3" t="s">
        <v>217</v>
      </c>
      <c r="U11" s="4">
        <v>25</v>
      </c>
      <c r="V11" s="4">
        <v>441</v>
      </c>
      <c r="W11" s="4">
        <v>66</v>
      </c>
      <c r="X11" s="8">
        <v>4.930581045915658</v>
      </c>
      <c r="Y11" s="8">
        <f t="shared" si="8"/>
        <v>17.64</v>
      </c>
      <c r="Z11" s="14">
        <f t="shared" si="7"/>
        <v>0.56903225806451618</v>
      </c>
      <c r="AA11" s="274"/>
    </row>
    <row r="12" spans="1:27" x14ac:dyDescent="0.25">
      <c r="A12" t="str">
        <f t="shared" si="4"/>
        <v>Lille - Corchia</v>
      </c>
      <c r="B12" t="s">
        <v>215</v>
      </c>
      <c r="C12" t="s">
        <v>13</v>
      </c>
      <c r="D12" t="s">
        <v>122</v>
      </c>
      <c r="E12" t="s">
        <v>123</v>
      </c>
      <c r="F12" t="s">
        <v>53</v>
      </c>
      <c r="G12">
        <v>23</v>
      </c>
      <c r="H12">
        <v>0</v>
      </c>
      <c r="I12">
        <v>0</v>
      </c>
      <c r="J12">
        <v>0</v>
      </c>
      <c r="M12">
        <f t="shared" si="0"/>
        <v>5.2758620689655169</v>
      </c>
      <c r="N12">
        <f t="shared" si="1"/>
        <v>30</v>
      </c>
      <c r="O12">
        <f t="shared" si="2"/>
        <v>3</v>
      </c>
      <c r="P12">
        <f t="shared" si="5"/>
        <v>2</v>
      </c>
      <c r="Q12">
        <f t="shared" si="3"/>
        <v>2</v>
      </c>
      <c r="R12" t="str">
        <f t="shared" si="6"/>
        <v>2</v>
      </c>
      <c r="T12" s="3" t="s">
        <v>10</v>
      </c>
      <c r="U12" s="4">
        <v>23</v>
      </c>
      <c r="V12" s="4">
        <v>513</v>
      </c>
      <c r="W12" s="4">
        <v>74</v>
      </c>
      <c r="X12" s="8">
        <v>5.2142857362420374</v>
      </c>
      <c r="Y12" s="8">
        <f t="shared" si="8"/>
        <v>22.304347826086957</v>
      </c>
      <c r="Z12" s="14">
        <f t="shared" si="7"/>
        <v>0.71949509116409538</v>
      </c>
      <c r="AA12" s="274"/>
    </row>
    <row r="13" spans="1:27" x14ac:dyDescent="0.25">
      <c r="A13" t="str">
        <f t="shared" si="4"/>
        <v>Lorient - Toure</v>
      </c>
      <c r="B13" t="s">
        <v>215</v>
      </c>
      <c r="C13" t="s">
        <v>13</v>
      </c>
      <c r="D13" t="s">
        <v>477</v>
      </c>
      <c r="E13" t="s">
        <v>478</v>
      </c>
      <c r="F13" t="s">
        <v>57</v>
      </c>
      <c r="G13">
        <v>2</v>
      </c>
      <c r="H13">
        <v>0</v>
      </c>
      <c r="I13">
        <v>0</v>
      </c>
      <c r="J13">
        <v>0</v>
      </c>
      <c r="M13">
        <f t="shared" si="0"/>
        <v>5</v>
      </c>
      <c r="N13">
        <f t="shared" si="1"/>
        <v>29</v>
      </c>
      <c r="O13">
        <f t="shared" si="2"/>
        <v>0</v>
      </c>
      <c r="P13">
        <f t="shared" si="5"/>
        <v>4</v>
      </c>
      <c r="Q13">
        <f t="shared" si="3"/>
        <v>4</v>
      </c>
      <c r="R13" t="str">
        <f t="shared" si="6"/>
        <v>4</v>
      </c>
      <c r="T13" s="3" t="s">
        <v>163</v>
      </c>
      <c r="U13" s="4">
        <v>192</v>
      </c>
      <c r="V13" s="4" t="e">
        <v>#N/A</v>
      </c>
      <c r="W13" s="4" t="e">
        <v>#N/A</v>
      </c>
      <c r="X13" s="8" t="e">
        <v>#N/A</v>
      </c>
      <c r="Y13" s="9" t="e">
        <f>GETPIVOTDATA("Nb titu",$T$4)/GETPIVOTDATA("Nb joueurs",$T$4)</f>
        <v>#N/A</v>
      </c>
      <c r="Z13" s="14" t="e">
        <f t="shared" si="7"/>
        <v>#N/A</v>
      </c>
    </row>
    <row r="14" spans="1:27" x14ac:dyDescent="0.25">
      <c r="A14" t="str">
        <f t="shared" si="4"/>
        <v>Angers - Andreu</v>
      </c>
      <c r="B14" t="s">
        <v>215</v>
      </c>
      <c r="C14" t="s">
        <v>13</v>
      </c>
      <c r="D14" t="s">
        <v>470</v>
      </c>
      <c r="E14" t="s">
        <v>471</v>
      </c>
      <c r="F14" t="s">
        <v>262</v>
      </c>
      <c r="G14">
        <v>6</v>
      </c>
      <c r="H14">
        <v>0</v>
      </c>
      <c r="I14">
        <v>0</v>
      </c>
      <c r="J14">
        <v>0</v>
      </c>
      <c r="M14">
        <f t="shared" si="0"/>
        <v>4.935483870967742</v>
      </c>
      <c r="N14">
        <f t="shared" si="1"/>
        <v>31</v>
      </c>
      <c r="O14">
        <f t="shared" si="2"/>
        <v>0</v>
      </c>
      <c r="P14">
        <f t="shared" si="5"/>
        <v>0</v>
      </c>
      <c r="Q14">
        <f t="shared" si="3"/>
        <v>0</v>
      </c>
      <c r="R14" t="str">
        <f t="shared" si="6"/>
        <v>0</v>
      </c>
    </row>
    <row r="15" spans="1:27" x14ac:dyDescent="0.25">
      <c r="A15" t="str">
        <f t="shared" si="4"/>
        <v>Rennes - Armand</v>
      </c>
      <c r="B15" t="s">
        <v>215</v>
      </c>
      <c r="C15" t="s">
        <v>13</v>
      </c>
      <c r="D15" t="s">
        <v>207</v>
      </c>
      <c r="E15" t="s">
        <v>185</v>
      </c>
      <c r="F15" t="s">
        <v>61</v>
      </c>
      <c r="G15">
        <v>24</v>
      </c>
      <c r="H15">
        <v>0</v>
      </c>
      <c r="I15">
        <v>0</v>
      </c>
      <c r="J15">
        <v>0</v>
      </c>
      <c r="M15">
        <f t="shared" si="0"/>
        <v>4.9696969696969697</v>
      </c>
      <c r="N15">
        <f t="shared" si="1"/>
        <v>33</v>
      </c>
      <c r="O15">
        <f t="shared" si="2"/>
        <v>1</v>
      </c>
      <c r="P15">
        <f t="shared" si="5"/>
        <v>1</v>
      </c>
      <c r="Q15">
        <f t="shared" si="3"/>
        <v>1</v>
      </c>
      <c r="R15" t="str">
        <f t="shared" si="6"/>
        <v>1</v>
      </c>
    </row>
    <row r="16" spans="1:27" x14ac:dyDescent="0.25">
      <c r="A16" t="str">
        <f t="shared" si="4"/>
        <v>Troyes - Saunier</v>
      </c>
      <c r="B16" t="s">
        <v>215</v>
      </c>
      <c r="C16" t="s">
        <v>13</v>
      </c>
      <c r="D16" t="s">
        <v>475</v>
      </c>
      <c r="E16" t="s">
        <v>476</v>
      </c>
      <c r="F16" t="s">
        <v>252</v>
      </c>
      <c r="G16">
        <v>17</v>
      </c>
      <c r="H16">
        <v>0</v>
      </c>
      <c r="I16">
        <v>0</v>
      </c>
      <c r="J16">
        <v>0</v>
      </c>
      <c r="M16">
        <f t="shared" si="0"/>
        <v>4.7777777777777777</v>
      </c>
      <c r="N16">
        <f t="shared" si="1"/>
        <v>28</v>
      </c>
      <c r="O16">
        <f t="shared" si="2"/>
        <v>0</v>
      </c>
      <c r="P16">
        <f t="shared" si="5"/>
        <v>0</v>
      </c>
      <c r="Q16" t="str">
        <f t="shared" si="3"/>
        <v>(-2)</v>
      </c>
      <c r="R16" t="str">
        <f t="shared" si="6"/>
        <v/>
      </c>
    </row>
    <row r="17" spans="1:18" x14ac:dyDescent="0.25">
      <c r="A17" t="str">
        <f t="shared" si="4"/>
        <v>Bastia - Leca</v>
      </c>
      <c r="B17" t="s">
        <v>215</v>
      </c>
      <c r="C17" t="s">
        <v>12</v>
      </c>
      <c r="D17" t="s">
        <v>481</v>
      </c>
      <c r="E17" t="s">
        <v>482</v>
      </c>
      <c r="F17" t="s">
        <v>108</v>
      </c>
      <c r="G17">
        <v>18</v>
      </c>
      <c r="H17">
        <v>0</v>
      </c>
      <c r="I17">
        <v>0</v>
      </c>
      <c r="J17">
        <v>0</v>
      </c>
      <c r="M17">
        <f t="shared" ref="M17:M34" si="9">IF(VLOOKUP(VLOOKUP($A17,_JOUEURS,2,FALSE),_DATA,8,FALSE)=0,"",VLOOKUP(VLOOKUP($A17,_JOUEURS,2,FALSE),_DATA,8,FALSE))</f>
        <v>5.5882352941176467</v>
      </c>
      <c r="N17">
        <f t="shared" ref="N17:N34" si="10">VLOOKUP(VLOOKUP($A17,_JOUEURS,2,FALSE),_DATA,5,FALSE)</f>
        <v>34</v>
      </c>
      <c r="O17">
        <f t="shared" ref="O17:O34" si="11">VLOOKUP(VLOOKUP($A17,_JOUEURS,2,FALSE),_DATA,6,FALSE)</f>
        <v>0</v>
      </c>
      <c r="P17">
        <f t="shared" si="5"/>
        <v>0</v>
      </c>
      <c r="Q17">
        <f t="shared" si="3"/>
        <v>0</v>
      </c>
      <c r="R17" t="str">
        <f t="shared" si="6"/>
        <v>0</v>
      </c>
    </row>
    <row r="18" spans="1:18" x14ac:dyDescent="0.25">
      <c r="A18" t="str">
        <f t="shared" si="4"/>
        <v>Lorient - Lecomte</v>
      </c>
      <c r="B18" t="s">
        <v>215</v>
      </c>
      <c r="C18" t="s">
        <v>12</v>
      </c>
      <c r="D18" t="s">
        <v>156</v>
      </c>
      <c r="E18" t="s">
        <v>58</v>
      </c>
      <c r="F18" t="s">
        <v>57</v>
      </c>
      <c r="G18">
        <v>22</v>
      </c>
      <c r="H18">
        <v>0</v>
      </c>
      <c r="I18">
        <v>0</v>
      </c>
      <c r="J18">
        <v>0</v>
      </c>
      <c r="M18">
        <f t="shared" si="9"/>
        <v>5.3888888888888893</v>
      </c>
      <c r="N18">
        <f t="shared" si="10"/>
        <v>37</v>
      </c>
      <c r="O18">
        <f t="shared" si="11"/>
        <v>0</v>
      </c>
      <c r="P18">
        <f t="shared" si="5"/>
        <v>0</v>
      </c>
      <c r="Q18">
        <f t="shared" si="3"/>
        <v>0</v>
      </c>
      <c r="R18" t="str">
        <f t="shared" si="6"/>
        <v>0</v>
      </c>
    </row>
    <row r="19" spans="1:18" x14ac:dyDescent="0.25">
      <c r="A19" t="str">
        <f t="shared" si="4"/>
        <v>Nice - Seri</v>
      </c>
      <c r="B19" t="s">
        <v>215</v>
      </c>
      <c r="C19" t="s">
        <v>8</v>
      </c>
      <c r="D19" t="s">
        <v>493</v>
      </c>
      <c r="E19" t="s">
        <v>109</v>
      </c>
      <c r="F19" t="s">
        <v>59</v>
      </c>
      <c r="G19">
        <v>11</v>
      </c>
      <c r="H19">
        <v>0</v>
      </c>
      <c r="I19">
        <v>0</v>
      </c>
      <c r="J19">
        <v>0</v>
      </c>
      <c r="M19">
        <f t="shared" ref="M19:M28" si="12">IF(VLOOKUP(VLOOKUP($A19,_JOUEURS,2,FALSE),_DATA,8,FALSE)=0,"",VLOOKUP(VLOOKUP($A19,_JOUEURS,2,FALSE),_DATA,8,FALSE))</f>
        <v>5.5428571428571427</v>
      </c>
      <c r="N19">
        <f t="shared" ref="N19:N28" si="13">VLOOKUP(VLOOKUP($A19,_JOUEURS,2,FALSE),_DATA,5,FALSE)</f>
        <v>35</v>
      </c>
      <c r="O19">
        <f t="shared" ref="O19:O28" si="14">VLOOKUP(VLOOKUP($A19,_JOUEURS,2,FALSE),_DATA,6,FALSE)</f>
        <v>3</v>
      </c>
      <c r="P19">
        <f t="shared" si="5"/>
        <v>3</v>
      </c>
      <c r="Q19">
        <f t="shared" si="3"/>
        <v>3</v>
      </c>
      <c r="R19" t="str">
        <f t="shared" si="6"/>
        <v>3</v>
      </c>
    </row>
    <row r="20" spans="1:18" x14ac:dyDescent="0.25">
      <c r="A20" t="str">
        <f t="shared" si="4"/>
        <v>Angers - Mangani</v>
      </c>
      <c r="B20" t="s">
        <v>215</v>
      </c>
      <c r="C20" t="s">
        <v>8</v>
      </c>
      <c r="D20" t="s">
        <v>487</v>
      </c>
      <c r="E20" t="s">
        <v>49</v>
      </c>
      <c r="F20" t="s">
        <v>262</v>
      </c>
      <c r="G20">
        <v>23</v>
      </c>
      <c r="H20">
        <v>0</v>
      </c>
      <c r="I20">
        <v>0</v>
      </c>
      <c r="J20">
        <v>0</v>
      </c>
      <c r="M20">
        <f t="shared" si="12"/>
        <v>5.3793103448275863</v>
      </c>
      <c r="N20">
        <f t="shared" si="13"/>
        <v>31</v>
      </c>
      <c r="O20">
        <f t="shared" si="14"/>
        <v>2</v>
      </c>
      <c r="P20">
        <f t="shared" si="5"/>
        <v>5</v>
      </c>
      <c r="Q20">
        <f t="shared" si="3"/>
        <v>5</v>
      </c>
      <c r="R20" t="str">
        <f t="shared" si="6"/>
        <v>5</v>
      </c>
    </row>
    <row r="21" spans="1:18" x14ac:dyDescent="0.25">
      <c r="A21" t="str">
        <f t="shared" si="4"/>
        <v>Caen - Féret</v>
      </c>
      <c r="B21" t="s">
        <v>215</v>
      </c>
      <c r="C21" t="s">
        <v>8</v>
      </c>
      <c r="D21" t="s">
        <v>63</v>
      </c>
      <c r="E21" t="s">
        <v>64</v>
      </c>
      <c r="F21" t="s">
        <v>56</v>
      </c>
      <c r="G21">
        <v>25</v>
      </c>
      <c r="H21">
        <v>3</v>
      </c>
      <c r="I21">
        <v>1</v>
      </c>
      <c r="J21">
        <v>4</v>
      </c>
      <c r="K21" t="s">
        <v>485</v>
      </c>
      <c r="L21" t="s">
        <v>486</v>
      </c>
      <c r="M21">
        <f t="shared" si="12"/>
        <v>5.1891891891891895</v>
      </c>
      <c r="N21">
        <f t="shared" si="13"/>
        <v>37</v>
      </c>
      <c r="O21">
        <f t="shared" si="14"/>
        <v>1</v>
      </c>
      <c r="P21">
        <f t="shared" si="5"/>
        <v>4</v>
      </c>
      <c r="Q21">
        <f t="shared" si="3"/>
        <v>4</v>
      </c>
      <c r="R21" t="str">
        <f t="shared" si="6"/>
        <v>4</v>
      </c>
    </row>
    <row r="22" spans="1:18" x14ac:dyDescent="0.25">
      <c r="A22" t="str">
        <f t="shared" si="4"/>
        <v>Montpellier - Martin</v>
      </c>
      <c r="B22" t="s">
        <v>215</v>
      </c>
      <c r="C22" t="s">
        <v>8</v>
      </c>
      <c r="D22" t="s">
        <v>65</v>
      </c>
      <c r="E22" t="s">
        <v>66</v>
      </c>
      <c r="F22" t="s">
        <v>40</v>
      </c>
      <c r="G22">
        <v>20</v>
      </c>
      <c r="H22">
        <v>0</v>
      </c>
      <c r="I22">
        <v>0</v>
      </c>
      <c r="J22">
        <v>0</v>
      </c>
      <c r="M22">
        <f t="shared" si="12"/>
        <v>5.5277777777777777</v>
      </c>
      <c r="N22">
        <f t="shared" si="13"/>
        <v>35</v>
      </c>
      <c r="O22">
        <f t="shared" si="14"/>
        <v>1</v>
      </c>
      <c r="P22">
        <f t="shared" si="5"/>
        <v>4</v>
      </c>
      <c r="Q22">
        <f t="shared" si="3"/>
        <v>4</v>
      </c>
      <c r="R22" t="str">
        <f t="shared" si="6"/>
        <v>4</v>
      </c>
    </row>
    <row r="23" spans="1:18" x14ac:dyDescent="0.25">
      <c r="A23" t="str">
        <f t="shared" si="4"/>
        <v>Angers - Ndoye</v>
      </c>
      <c r="B23" t="s">
        <v>215</v>
      </c>
      <c r="C23" t="s">
        <v>8</v>
      </c>
      <c r="D23" t="s">
        <v>490</v>
      </c>
      <c r="E23" t="s">
        <v>273</v>
      </c>
      <c r="F23" t="s">
        <v>262</v>
      </c>
      <c r="G23">
        <v>41</v>
      </c>
      <c r="H23">
        <v>0</v>
      </c>
      <c r="I23">
        <v>0</v>
      </c>
      <c r="J23">
        <v>0</v>
      </c>
      <c r="M23">
        <f t="shared" si="12"/>
        <v>5.0999999999999996</v>
      </c>
      <c r="N23">
        <f t="shared" si="13"/>
        <v>32</v>
      </c>
      <c r="O23">
        <f t="shared" si="14"/>
        <v>0</v>
      </c>
      <c r="P23">
        <f t="shared" si="5"/>
        <v>9</v>
      </c>
      <c r="Q23">
        <f t="shared" si="3"/>
        <v>9</v>
      </c>
      <c r="R23" t="str">
        <f t="shared" si="6"/>
        <v>9</v>
      </c>
    </row>
    <row r="24" spans="1:18" x14ac:dyDescent="0.25">
      <c r="A24" t="str">
        <f t="shared" si="4"/>
        <v>Lorient - Ndong</v>
      </c>
      <c r="B24" t="s">
        <v>215</v>
      </c>
      <c r="C24" t="s">
        <v>8</v>
      </c>
      <c r="D24" t="s">
        <v>488</v>
      </c>
      <c r="E24" t="s">
        <v>489</v>
      </c>
      <c r="F24" t="s">
        <v>57</v>
      </c>
      <c r="G24">
        <v>12</v>
      </c>
      <c r="H24">
        <v>0</v>
      </c>
      <c r="I24">
        <v>0</v>
      </c>
      <c r="J24">
        <v>0</v>
      </c>
      <c r="M24">
        <f t="shared" si="12"/>
        <v>5.0294117647058822</v>
      </c>
      <c r="N24">
        <f t="shared" si="13"/>
        <v>34</v>
      </c>
      <c r="O24">
        <f t="shared" si="14"/>
        <v>0</v>
      </c>
      <c r="P24">
        <f t="shared" si="5"/>
        <v>3</v>
      </c>
      <c r="Q24">
        <f t="shared" si="3"/>
        <v>3</v>
      </c>
      <c r="R24" t="str">
        <f t="shared" si="6"/>
        <v>3</v>
      </c>
    </row>
    <row r="25" spans="1:18" x14ac:dyDescent="0.25">
      <c r="A25" t="str">
        <f t="shared" si="4"/>
        <v>Guingamp - Salibur</v>
      </c>
      <c r="B25" t="s">
        <v>215</v>
      </c>
      <c r="C25" t="s">
        <v>8</v>
      </c>
      <c r="D25" t="s">
        <v>491</v>
      </c>
      <c r="E25" t="s">
        <v>492</v>
      </c>
      <c r="F25" t="s">
        <v>70</v>
      </c>
      <c r="G25">
        <v>8</v>
      </c>
      <c r="H25">
        <v>0</v>
      </c>
      <c r="I25">
        <v>0</v>
      </c>
      <c r="J25">
        <v>0</v>
      </c>
      <c r="M25">
        <f t="shared" si="12"/>
        <v>5.2142857142857144</v>
      </c>
      <c r="N25">
        <f t="shared" si="13"/>
        <v>28</v>
      </c>
      <c r="O25">
        <f t="shared" si="14"/>
        <v>2</v>
      </c>
      <c r="P25">
        <f t="shared" si="5"/>
        <v>7</v>
      </c>
      <c r="Q25">
        <f t="shared" si="3"/>
        <v>7</v>
      </c>
      <c r="R25" t="str">
        <f t="shared" si="6"/>
        <v>7</v>
      </c>
    </row>
    <row r="26" spans="1:18" x14ac:dyDescent="0.25">
      <c r="A26" t="str">
        <f t="shared" si="4"/>
        <v>Bastia - Floyd Ayité</v>
      </c>
      <c r="B26" t="s">
        <v>215</v>
      </c>
      <c r="C26" t="s">
        <v>8</v>
      </c>
      <c r="D26" t="s">
        <v>405</v>
      </c>
      <c r="F26" t="s">
        <v>108</v>
      </c>
      <c r="G26">
        <v>20</v>
      </c>
      <c r="H26">
        <v>0</v>
      </c>
      <c r="I26">
        <v>0</v>
      </c>
      <c r="J26">
        <v>0</v>
      </c>
      <c r="K26" t="s">
        <v>255</v>
      </c>
      <c r="L26" t="s">
        <v>255</v>
      </c>
      <c r="M26">
        <f t="shared" si="12"/>
        <v>4.8620689655172411</v>
      </c>
      <c r="N26">
        <f t="shared" si="13"/>
        <v>30</v>
      </c>
      <c r="O26">
        <f t="shared" si="14"/>
        <v>2</v>
      </c>
      <c r="P26">
        <f t="shared" si="5"/>
        <v>8</v>
      </c>
      <c r="Q26">
        <f t="shared" si="3"/>
        <v>8</v>
      </c>
      <c r="R26" t="str">
        <f t="shared" si="6"/>
        <v>8</v>
      </c>
    </row>
    <row r="27" spans="1:18" x14ac:dyDescent="0.25">
      <c r="A27" t="str">
        <f t="shared" si="4"/>
        <v>Bastia - Danic</v>
      </c>
      <c r="B27" t="s">
        <v>215</v>
      </c>
      <c r="C27" t="s">
        <v>8</v>
      </c>
      <c r="D27" t="s">
        <v>483</v>
      </c>
      <c r="E27" t="s">
        <v>484</v>
      </c>
      <c r="F27" t="s">
        <v>108</v>
      </c>
      <c r="G27">
        <v>12</v>
      </c>
      <c r="H27">
        <v>0</v>
      </c>
      <c r="I27">
        <v>0</v>
      </c>
      <c r="J27">
        <v>0</v>
      </c>
      <c r="M27">
        <f t="shared" si="12"/>
        <v>4.9666666666666668</v>
      </c>
      <c r="N27">
        <f t="shared" si="13"/>
        <v>32</v>
      </c>
      <c r="O27">
        <f t="shared" si="14"/>
        <v>5</v>
      </c>
      <c r="P27">
        <f t="shared" si="5"/>
        <v>5</v>
      </c>
      <c r="Q27">
        <f t="shared" si="3"/>
        <v>5</v>
      </c>
      <c r="R27" t="str">
        <f t="shared" si="6"/>
        <v>5</v>
      </c>
    </row>
    <row r="28" spans="1:18" x14ac:dyDescent="0.25">
      <c r="A28" t="str">
        <f t="shared" si="4"/>
        <v>Reims - Siebatcheu</v>
      </c>
      <c r="B28" t="s">
        <v>215</v>
      </c>
      <c r="C28" t="s">
        <v>8</v>
      </c>
      <c r="D28" t="s">
        <v>494</v>
      </c>
      <c r="E28" t="s">
        <v>495</v>
      </c>
      <c r="F28" t="s">
        <v>104</v>
      </c>
      <c r="G28">
        <v>11</v>
      </c>
      <c r="H28">
        <v>0</v>
      </c>
      <c r="I28">
        <v>0</v>
      </c>
      <c r="J28">
        <v>0</v>
      </c>
      <c r="M28">
        <f t="shared" si="12"/>
        <v>4.2</v>
      </c>
      <c r="N28">
        <f t="shared" si="13"/>
        <v>6</v>
      </c>
      <c r="O28">
        <f t="shared" si="14"/>
        <v>19</v>
      </c>
      <c r="P28">
        <f t="shared" si="5"/>
        <v>3</v>
      </c>
      <c r="Q28">
        <f t="shared" si="3"/>
        <v>3</v>
      </c>
      <c r="R28" t="str">
        <f t="shared" si="6"/>
        <v>3</v>
      </c>
    </row>
    <row r="29" spans="1:18" x14ac:dyDescent="0.25">
      <c r="A29" t="str">
        <f t="shared" si="4"/>
        <v>Saint-Etienne - Bamba</v>
      </c>
      <c r="B29" t="s">
        <v>213</v>
      </c>
      <c r="C29" t="s">
        <v>5</v>
      </c>
      <c r="D29" t="s">
        <v>496</v>
      </c>
      <c r="E29" t="s">
        <v>497</v>
      </c>
      <c r="F29" t="s">
        <v>125</v>
      </c>
      <c r="G29">
        <v>2</v>
      </c>
      <c r="H29">
        <v>0</v>
      </c>
      <c r="I29">
        <v>0</v>
      </c>
      <c r="J29">
        <v>0</v>
      </c>
      <c r="M29">
        <f t="shared" si="9"/>
        <v>4.5</v>
      </c>
      <c r="N29">
        <f t="shared" si="10"/>
        <v>4</v>
      </c>
      <c r="O29">
        <f t="shared" si="11"/>
        <v>1</v>
      </c>
      <c r="P29">
        <f t="shared" si="5"/>
        <v>1</v>
      </c>
      <c r="Q29">
        <f t="shared" si="3"/>
        <v>1</v>
      </c>
      <c r="R29" t="str">
        <f t="shared" si="6"/>
        <v>1</v>
      </c>
    </row>
    <row r="30" spans="1:18" x14ac:dyDescent="0.25">
      <c r="A30" t="str">
        <f t="shared" si="4"/>
        <v>Reims - De Préville</v>
      </c>
      <c r="B30" t="s">
        <v>213</v>
      </c>
      <c r="C30" t="s">
        <v>5</v>
      </c>
      <c r="D30" t="s">
        <v>204</v>
      </c>
      <c r="E30" t="s">
        <v>87</v>
      </c>
      <c r="F30" t="s">
        <v>104</v>
      </c>
      <c r="G30">
        <v>31</v>
      </c>
      <c r="H30">
        <v>0</v>
      </c>
      <c r="I30">
        <v>0</v>
      </c>
      <c r="J30">
        <v>0</v>
      </c>
      <c r="M30">
        <f t="shared" si="9"/>
        <v>5.382352941176471</v>
      </c>
      <c r="N30">
        <f t="shared" si="10"/>
        <v>34</v>
      </c>
      <c r="O30">
        <f t="shared" si="11"/>
        <v>2</v>
      </c>
      <c r="P30">
        <f t="shared" si="5"/>
        <v>7</v>
      </c>
      <c r="Q30">
        <f t="shared" si="3"/>
        <v>7</v>
      </c>
      <c r="R30" t="str">
        <f t="shared" si="6"/>
        <v>7</v>
      </c>
    </row>
    <row r="31" spans="1:18" x14ac:dyDescent="0.25">
      <c r="A31" t="str">
        <f t="shared" si="4"/>
        <v>Lorient - Jeannot</v>
      </c>
      <c r="B31" t="s">
        <v>213</v>
      </c>
      <c r="C31" t="s">
        <v>5</v>
      </c>
      <c r="D31" t="s">
        <v>187</v>
      </c>
      <c r="E31" t="s">
        <v>58</v>
      </c>
      <c r="F31" t="s">
        <v>57</v>
      </c>
      <c r="G31">
        <v>26</v>
      </c>
      <c r="H31">
        <v>0</v>
      </c>
      <c r="I31">
        <v>0</v>
      </c>
      <c r="J31">
        <v>0</v>
      </c>
      <c r="M31">
        <f t="shared" si="9"/>
        <v>4.5238095238095237</v>
      </c>
      <c r="N31">
        <f t="shared" si="10"/>
        <v>19</v>
      </c>
      <c r="O31">
        <f t="shared" si="11"/>
        <v>10</v>
      </c>
      <c r="P31">
        <f t="shared" si="5"/>
        <v>7</v>
      </c>
      <c r="Q31">
        <f t="shared" si="3"/>
        <v>7</v>
      </c>
      <c r="R31" t="str">
        <f t="shared" si="6"/>
        <v>7</v>
      </c>
    </row>
    <row r="32" spans="1:18" x14ac:dyDescent="0.25">
      <c r="A32" t="str">
        <f t="shared" si="4"/>
        <v>Lyon - Kalulu</v>
      </c>
      <c r="B32" t="s">
        <v>213</v>
      </c>
      <c r="C32" t="s">
        <v>5</v>
      </c>
      <c r="D32" t="s">
        <v>259</v>
      </c>
      <c r="E32" t="s">
        <v>179</v>
      </c>
      <c r="F32" t="s">
        <v>47</v>
      </c>
      <c r="G32">
        <v>1</v>
      </c>
      <c r="H32">
        <v>1</v>
      </c>
      <c r="I32">
        <v>0</v>
      </c>
      <c r="J32">
        <v>1</v>
      </c>
      <c r="K32" t="s">
        <v>263</v>
      </c>
      <c r="L32" t="s">
        <v>263</v>
      </c>
      <c r="M32">
        <f t="shared" si="9"/>
        <v>6</v>
      </c>
      <c r="N32">
        <f t="shared" si="10"/>
        <v>1</v>
      </c>
      <c r="O32">
        <f t="shared" si="11"/>
        <v>9</v>
      </c>
      <c r="P32">
        <f t="shared" si="5"/>
        <v>2</v>
      </c>
      <c r="Q32">
        <f t="shared" si="3"/>
        <v>2</v>
      </c>
      <c r="R32" t="str">
        <f t="shared" si="6"/>
        <v>2</v>
      </c>
    </row>
    <row r="33" spans="1:18" x14ac:dyDescent="0.25">
      <c r="A33" t="str">
        <f t="shared" si="4"/>
        <v>Marseille - Michy</v>
      </c>
      <c r="B33" t="s">
        <v>213</v>
      </c>
      <c r="C33" t="s">
        <v>5</v>
      </c>
      <c r="D33" t="s">
        <v>230</v>
      </c>
      <c r="F33" t="s">
        <v>44</v>
      </c>
      <c r="G33">
        <v>85</v>
      </c>
      <c r="H33">
        <v>8</v>
      </c>
      <c r="I33">
        <v>0</v>
      </c>
      <c r="J33">
        <v>8</v>
      </c>
      <c r="K33" t="s">
        <v>498</v>
      </c>
      <c r="L33" t="s">
        <v>499</v>
      </c>
      <c r="M33">
        <f t="shared" si="9"/>
        <v>5.34375</v>
      </c>
      <c r="N33">
        <f t="shared" si="10"/>
        <v>32</v>
      </c>
      <c r="O33">
        <f t="shared" si="11"/>
        <v>4</v>
      </c>
      <c r="P33">
        <f t="shared" si="5"/>
        <v>17</v>
      </c>
      <c r="Q33">
        <f t="shared" si="3"/>
        <v>17</v>
      </c>
      <c r="R33" t="str">
        <f t="shared" si="6"/>
        <v>17</v>
      </c>
    </row>
    <row r="34" spans="1:18" x14ac:dyDescent="0.25">
      <c r="A34" t="str">
        <f t="shared" si="4"/>
        <v>Saint-Etienne - Monnet-Paquet</v>
      </c>
      <c r="B34" t="s">
        <v>213</v>
      </c>
      <c r="C34" t="s">
        <v>5</v>
      </c>
      <c r="D34" t="s">
        <v>132</v>
      </c>
      <c r="E34" t="s">
        <v>133</v>
      </c>
      <c r="F34" t="s">
        <v>125</v>
      </c>
      <c r="G34">
        <v>13</v>
      </c>
      <c r="H34">
        <v>0</v>
      </c>
      <c r="I34">
        <v>0</v>
      </c>
      <c r="J34">
        <v>0</v>
      </c>
      <c r="M34">
        <f t="shared" si="9"/>
        <v>4.76</v>
      </c>
      <c r="N34">
        <f t="shared" si="10"/>
        <v>25</v>
      </c>
      <c r="O34">
        <f t="shared" si="11"/>
        <v>6</v>
      </c>
      <c r="P34">
        <f t="shared" si="5"/>
        <v>2</v>
      </c>
      <c r="Q34">
        <f t="shared" si="3"/>
        <v>2</v>
      </c>
      <c r="R34" t="str">
        <f t="shared" si="6"/>
        <v>2</v>
      </c>
    </row>
    <row r="35" spans="1:18" x14ac:dyDescent="0.25">
      <c r="A35" t="str">
        <f t="shared" si="4"/>
        <v>Reims - Ngog</v>
      </c>
      <c r="B35" t="s">
        <v>213</v>
      </c>
      <c r="C35" t="s">
        <v>5</v>
      </c>
      <c r="D35" t="s">
        <v>500</v>
      </c>
      <c r="E35" t="s">
        <v>84</v>
      </c>
      <c r="F35" t="s">
        <v>104</v>
      </c>
      <c r="G35">
        <v>31</v>
      </c>
      <c r="H35">
        <v>0</v>
      </c>
      <c r="I35">
        <v>0</v>
      </c>
      <c r="J35">
        <v>0</v>
      </c>
      <c r="M35">
        <f t="shared" ref="M35:M68" si="15">IF(VLOOKUP(VLOOKUP($A35,_JOUEURS,2,FALSE),_DATA,8,FALSE)=0,"",VLOOKUP(VLOOKUP($A35,_JOUEURS,2,FALSE),_DATA,8,FALSE))</f>
        <v>4.4545454545454541</v>
      </c>
      <c r="N35">
        <f t="shared" ref="N35:N68" si="16">VLOOKUP(VLOOKUP($A35,_JOUEURS,2,FALSE),_DATA,5,FALSE)</f>
        <v>11</v>
      </c>
      <c r="O35">
        <f t="shared" ref="O35:O68" si="17">VLOOKUP(VLOOKUP($A35,_JOUEURS,2,FALSE),_DATA,6,FALSE)</f>
        <v>5</v>
      </c>
      <c r="P35">
        <f t="shared" si="5"/>
        <v>3</v>
      </c>
      <c r="Q35">
        <f t="shared" ref="Q35:Q68" si="18">VLOOKUP(VLOOKUP($A35,_JOUEURS,2,FALSE),_DATA,7,FALSE)</f>
        <v>3</v>
      </c>
      <c r="R35" t="str">
        <f t="shared" si="6"/>
        <v>3</v>
      </c>
    </row>
    <row r="36" spans="1:18" x14ac:dyDescent="0.25">
      <c r="A36" t="str">
        <f t="shared" si="4"/>
        <v>Caen - Appiah</v>
      </c>
      <c r="B36" t="s">
        <v>213</v>
      </c>
      <c r="C36" t="s">
        <v>13</v>
      </c>
      <c r="D36" t="s">
        <v>501</v>
      </c>
      <c r="E36" t="s">
        <v>502</v>
      </c>
      <c r="F36" t="s">
        <v>56</v>
      </c>
      <c r="G36">
        <v>6</v>
      </c>
      <c r="H36">
        <v>0</v>
      </c>
      <c r="I36">
        <v>0</v>
      </c>
      <c r="J36">
        <v>0</v>
      </c>
      <c r="M36">
        <f t="shared" si="15"/>
        <v>4.7631578947368425</v>
      </c>
      <c r="N36">
        <f t="shared" si="16"/>
        <v>38</v>
      </c>
      <c r="O36">
        <f t="shared" si="17"/>
        <v>0</v>
      </c>
      <c r="P36">
        <f t="shared" si="5"/>
        <v>1</v>
      </c>
      <c r="Q36">
        <f t="shared" si="18"/>
        <v>1</v>
      </c>
      <c r="R36" t="str">
        <f t="shared" si="6"/>
        <v>1</v>
      </c>
    </row>
    <row r="37" spans="1:18" x14ac:dyDescent="0.25">
      <c r="A37" t="str">
        <f t="shared" si="4"/>
        <v>Caen - Bessat</v>
      </c>
      <c r="B37" t="s">
        <v>213</v>
      </c>
      <c r="C37" t="s">
        <v>13</v>
      </c>
      <c r="D37" t="s">
        <v>503</v>
      </c>
      <c r="E37" t="s">
        <v>115</v>
      </c>
      <c r="F37" t="s">
        <v>56</v>
      </c>
      <c r="G37">
        <v>12</v>
      </c>
      <c r="H37">
        <v>0</v>
      </c>
      <c r="I37">
        <v>0</v>
      </c>
      <c r="J37">
        <v>0</v>
      </c>
      <c r="M37">
        <f t="shared" si="15"/>
        <v>4.5757575757575761</v>
      </c>
      <c r="N37">
        <f t="shared" si="16"/>
        <v>32</v>
      </c>
      <c r="O37">
        <f t="shared" si="17"/>
        <v>3</v>
      </c>
      <c r="P37">
        <f t="shared" si="5"/>
        <v>1</v>
      </c>
      <c r="Q37">
        <f t="shared" si="18"/>
        <v>1</v>
      </c>
      <c r="R37" t="str">
        <f t="shared" si="6"/>
        <v>1</v>
      </c>
    </row>
    <row r="38" spans="1:18" x14ac:dyDescent="0.25">
      <c r="A38" t="str">
        <f t="shared" si="4"/>
        <v>Nantes - Cana</v>
      </c>
      <c r="B38" t="s">
        <v>213</v>
      </c>
      <c r="C38" t="s">
        <v>13</v>
      </c>
      <c r="D38" t="s">
        <v>280</v>
      </c>
      <c r="E38" t="s">
        <v>281</v>
      </c>
      <c r="F38" t="s">
        <v>43</v>
      </c>
      <c r="G38">
        <v>7</v>
      </c>
      <c r="H38">
        <v>0</v>
      </c>
      <c r="I38">
        <v>0</v>
      </c>
      <c r="J38">
        <v>0</v>
      </c>
      <c r="M38">
        <f t="shared" si="15"/>
        <v>4.6500000000000004</v>
      </c>
      <c r="N38">
        <f t="shared" si="16"/>
        <v>20</v>
      </c>
      <c r="O38">
        <f t="shared" si="17"/>
        <v>1</v>
      </c>
      <c r="P38">
        <f t="shared" si="5"/>
        <v>0</v>
      </c>
      <c r="Q38" t="str">
        <f t="shared" si="18"/>
        <v>(-1)</v>
      </c>
      <c r="R38" t="str">
        <f t="shared" si="6"/>
        <v/>
      </c>
    </row>
    <row r="39" spans="1:18" x14ac:dyDescent="0.25">
      <c r="A39" t="str">
        <f t="shared" si="4"/>
        <v>Montpellier - Congré</v>
      </c>
      <c r="B39" t="s">
        <v>213</v>
      </c>
      <c r="C39" t="s">
        <v>13</v>
      </c>
      <c r="D39" t="s">
        <v>99</v>
      </c>
      <c r="E39" t="s">
        <v>100</v>
      </c>
      <c r="F39" t="s">
        <v>40</v>
      </c>
      <c r="G39">
        <v>12</v>
      </c>
      <c r="H39">
        <v>0</v>
      </c>
      <c r="I39">
        <v>0</v>
      </c>
      <c r="J39">
        <v>0</v>
      </c>
      <c r="M39">
        <f t="shared" si="15"/>
        <v>5.2857142857142856</v>
      </c>
      <c r="N39">
        <f t="shared" si="16"/>
        <v>35</v>
      </c>
      <c r="O39">
        <f t="shared" si="17"/>
        <v>0</v>
      </c>
      <c r="P39">
        <f t="shared" si="5"/>
        <v>2</v>
      </c>
      <c r="Q39">
        <f t="shared" si="18"/>
        <v>2</v>
      </c>
      <c r="R39" t="str">
        <f t="shared" si="6"/>
        <v>2</v>
      </c>
    </row>
    <row r="40" spans="1:18" x14ac:dyDescent="0.25">
      <c r="A40" t="str">
        <f t="shared" si="4"/>
        <v>Ajaccio - Filippi</v>
      </c>
      <c r="B40" t="s">
        <v>213</v>
      </c>
      <c r="C40" t="s">
        <v>13</v>
      </c>
      <c r="D40" t="s">
        <v>290</v>
      </c>
      <c r="E40" t="s">
        <v>291</v>
      </c>
      <c r="F40" t="s">
        <v>265</v>
      </c>
      <c r="G40">
        <v>6</v>
      </c>
      <c r="H40">
        <v>0</v>
      </c>
      <c r="I40">
        <v>0</v>
      </c>
      <c r="J40">
        <v>0</v>
      </c>
      <c r="M40">
        <f t="shared" si="15"/>
        <v>5</v>
      </c>
      <c r="N40">
        <f t="shared" si="16"/>
        <v>21</v>
      </c>
      <c r="O40">
        <f t="shared" si="17"/>
        <v>5</v>
      </c>
      <c r="P40">
        <f t="shared" si="5"/>
        <v>2</v>
      </c>
      <c r="Q40" t="str">
        <f t="shared" si="18"/>
        <v>2 / (-2)</v>
      </c>
      <c r="R40" t="str">
        <f t="shared" si="6"/>
        <v>2</v>
      </c>
    </row>
    <row r="41" spans="1:18" x14ac:dyDescent="0.25">
      <c r="A41" t="str">
        <f t="shared" si="4"/>
        <v>Ajaccio - Mangane</v>
      </c>
      <c r="B41" t="s">
        <v>213</v>
      </c>
      <c r="C41" t="s">
        <v>13</v>
      </c>
      <c r="D41" t="s">
        <v>504</v>
      </c>
      <c r="E41" t="s">
        <v>505</v>
      </c>
      <c r="F41" t="s">
        <v>265</v>
      </c>
      <c r="G41">
        <v>5</v>
      </c>
      <c r="H41">
        <v>0</v>
      </c>
      <c r="I41">
        <v>0</v>
      </c>
      <c r="J41">
        <v>0</v>
      </c>
      <c r="M41">
        <f t="shared" si="15"/>
        <v>4.75</v>
      </c>
      <c r="N41">
        <f t="shared" si="16"/>
        <v>28</v>
      </c>
      <c r="O41">
        <f t="shared" si="17"/>
        <v>3</v>
      </c>
      <c r="P41">
        <f t="shared" si="5"/>
        <v>1</v>
      </c>
      <c r="Q41">
        <f t="shared" si="18"/>
        <v>1</v>
      </c>
      <c r="R41" t="str">
        <f t="shared" si="6"/>
        <v>1</v>
      </c>
    </row>
    <row r="42" spans="1:18" x14ac:dyDescent="0.25">
      <c r="A42" t="str">
        <f t="shared" si="4"/>
        <v>Ajaccio - Martinez</v>
      </c>
      <c r="B42" t="s">
        <v>213</v>
      </c>
      <c r="C42" t="s">
        <v>13</v>
      </c>
      <c r="D42" t="s">
        <v>506</v>
      </c>
      <c r="E42" t="s">
        <v>507</v>
      </c>
      <c r="F42" t="s">
        <v>265</v>
      </c>
      <c r="G42">
        <v>6</v>
      </c>
      <c r="H42">
        <v>0</v>
      </c>
      <c r="I42">
        <v>0</v>
      </c>
      <c r="J42">
        <v>0</v>
      </c>
      <c r="M42">
        <f t="shared" si="15"/>
        <v>4.5199999999999996</v>
      </c>
      <c r="N42">
        <f t="shared" si="16"/>
        <v>26</v>
      </c>
      <c r="O42">
        <f t="shared" si="17"/>
        <v>2</v>
      </c>
      <c r="P42">
        <f t="shared" si="5"/>
        <v>0</v>
      </c>
      <c r="Q42" t="str">
        <f t="shared" si="18"/>
        <v>(-1)</v>
      </c>
      <c r="R42" t="str">
        <f t="shared" si="6"/>
        <v/>
      </c>
    </row>
    <row r="43" spans="1:18" x14ac:dyDescent="0.25">
      <c r="A43" t="str">
        <f t="shared" si="4"/>
        <v>Ajaccio - Sylla</v>
      </c>
      <c r="B43" t="s">
        <v>213</v>
      </c>
      <c r="C43" t="s">
        <v>13</v>
      </c>
      <c r="D43" t="s">
        <v>508</v>
      </c>
      <c r="E43" t="s">
        <v>509</v>
      </c>
      <c r="F43" t="s">
        <v>265</v>
      </c>
      <c r="G43">
        <v>7</v>
      </c>
      <c r="H43">
        <v>0</v>
      </c>
      <c r="I43">
        <v>0</v>
      </c>
      <c r="J43">
        <v>0</v>
      </c>
      <c r="M43">
        <f t="shared" si="15"/>
        <v>4.8620689655172411</v>
      </c>
      <c r="N43">
        <f t="shared" si="16"/>
        <v>29</v>
      </c>
      <c r="O43">
        <f t="shared" si="17"/>
        <v>5</v>
      </c>
      <c r="P43">
        <f t="shared" si="5"/>
        <v>0</v>
      </c>
      <c r="Q43" t="str">
        <f t="shared" si="18"/>
        <v>(-1)</v>
      </c>
      <c r="R43" t="str">
        <f t="shared" si="6"/>
        <v/>
      </c>
    </row>
    <row r="44" spans="1:18" x14ac:dyDescent="0.25">
      <c r="A44" t="str">
        <f t="shared" si="4"/>
        <v>Caen - Yahia</v>
      </c>
      <c r="B44" t="s">
        <v>213</v>
      </c>
      <c r="C44" t="s">
        <v>13</v>
      </c>
      <c r="D44" t="s">
        <v>510</v>
      </c>
      <c r="E44" t="s">
        <v>511</v>
      </c>
      <c r="F44" t="s">
        <v>56</v>
      </c>
      <c r="G44">
        <v>7</v>
      </c>
      <c r="H44">
        <v>0</v>
      </c>
      <c r="I44">
        <v>0</v>
      </c>
      <c r="J44">
        <v>0</v>
      </c>
      <c r="M44">
        <f t="shared" si="15"/>
        <v>4.583333333333333</v>
      </c>
      <c r="N44">
        <f t="shared" si="16"/>
        <v>26</v>
      </c>
      <c r="O44">
        <f t="shared" si="17"/>
        <v>0</v>
      </c>
      <c r="P44">
        <f t="shared" si="5"/>
        <v>1</v>
      </c>
      <c r="Q44" t="str">
        <f t="shared" si="18"/>
        <v>1 / (-1)</v>
      </c>
      <c r="R44" t="str">
        <f t="shared" si="6"/>
        <v>1</v>
      </c>
    </row>
    <row r="45" spans="1:18" x14ac:dyDescent="0.25">
      <c r="A45" t="str">
        <f t="shared" si="4"/>
        <v>Bastia - Hansen</v>
      </c>
      <c r="B45" t="s">
        <v>213</v>
      </c>
      <c r="C45" t="s">
        <v>12</v>
      </c>
      <c r="D45" t="s">
        <v>181</v>
      </c>
      <c r="E45" t="s">
        <v>180</v>
      </c>
      <c r="F45" t="s">
        <v>108</v>
      </c>
      <c r="G45">
        <v>12</v>
      </c>
      <c r="H45">
        <v>0</v>
      </c>
      <c r="I45">
        <v>0</v>
      </c>
      <c r="J45">
        <v>0</v>
      </c>
      <c r="M45">
        <f t="shared" si="15"/>
        <v>5.666666666666667</v>
      </c>
      <c r="N45">
        <f t="shared" si="16"/>
        <v>3</v>
      </c>
      <c r="O45">
        <f t="shared" si="17"/>
        <v>1</v>
      </c>
      <c r="P45">
        <f t="shared" si="5"/>
        <v>0</v>
      </c>
      <c r="Q45">
        <f t="shared" si="18"/>
        <v>0</v>
      </c>
      <c r="R45" t="str">
        <f t="shared" si="6"/>
        <v>0</v>
      </c>
    </row>
    <row r="46" spans="1:18" x14ac:dyDescent="0.25">
      <c r="A46" t="str">
        <f t="shared" si="4"/>
        <v>Nantes - Riou</v>
      </c>
      <c r="B46" t="s">
        <v>213</v>
      </c>
      <c r="C46" t="s">
        <v>12</v>
      </c>
      <c r="D46" t="s">
        <v>89</v>
      </c>
      <c r="E46" t="s">
        <v>90</v>
      </c>
      <c r="F46" t="s">
        <v>43</v>
      </c>
      <c r="G46">
        <v>16</v>
      </c>
      <c r="H46">
        <v>0</v>
      </c>
      <c r="I46">
        <v>0</v>
      </c>
      <c r="J46">
        <v>0</v>
      </c>
      <c r="M46">
        <f t="shared" si="15"/>
        <v>5.387096774193548</v>
      </c>
      <c r="N46">
        <f t="shared" si="16"/>
        <v>31</v>
      </c>
      <c r="O46">
        <f t="shared" si="17"/>
        <v>0</v>
      </c>
      <c r="P46">
        <f t="shared" si="5"/>
        <v>0</v>
      </c>
      <c r="Q46">
        <f t="shared" si="18"/>
        <v>0</v>
      </c>
      <c r="R46" t="str">
        <f t="shared" si="6"/>
        <v>0</v>
      </c>
    </row>
    <row r="47" spans="1:18" x14ac:dyDescent="0.25">
      <c r="A47" t="str">
        <f t="shared" si="4"/>
        <v>Paris - Trapp</v>
      </c>
      <c r="B47" t="s">
        <v>213</v>
      </c>
      <c r="C47" t="s">
        <v>12</v>
      </c>
      <c r="D47" t="s">
        <v>292</v>
      </c>
      <c r="E47" t="s">
        <v>133</v>
      </c>
      <c r="F47" t="s">
        <v>67</v>
      </c>
      <c r="G47">
        <v>20</v>
      </c>
      <c r="H47">
        <v>0</v>
      </c>
      <c r="I47">
        <v>0</v>
      </c>
      <c r="J47">
        <v>0</v>
      </c>
      <c r="M47">
        <f t="shared" si="15"/>
        <v>5.4571428571428573</v>
      </c>
      <c r="N47">
        <f t="shared" si="16"/>
        <v>35</v>
      </c>
      <c r="O47">
        <f t="shared" si="17"/>
        <v>0</v>
      </c>
      <c r="P47">
        <f t="shared" si="5"/>
        <v>0</v>
      </c>
      <c r="Q47">
        <f t="shared" si="18"/>
        <v>0</v>
      </c>
      <c r="R47" t="str">
        <f t="shared" si="6"/>
        <v>0</v>
      </c>
    </row>
    <row r="48" spans="1:18" x14ac:dyDescent="0.25">
      <c r="A48" t="str">
        <f t="shared" si="4"/>
        <v>Marseille - Alessandrini</v>
      </c>
      <c r="B48" t="s">
        <v>213</v>
      </c>
      <c r="C48" t="s">
        <v>8</v>
      </c>
      <c r="D48" t="s">
        <v>150</v>
      </c>
      <c r="E48" t="s">
        <v>112</v>
      </c>
      <c r="F48" t="s">
        <v>44</v>
      </c>
      <c r="G48">
        <v>36</v>
      </c>
      <c r="H48">
        <v>0</v>
      </c>
      <c r="I48">
        <v>0</v>
      </c>
      <c r="J48">
        <v>0</v>
      </c>
      <c r="M48">
        <f t="shared" si="15"/>
        <v>5.2</v>
      </c>
      <c r="N48">
        <f t="shared" si="16"/>
        <v>16</v>
      </c>
      <c r="O48">
        <f t="shared" si="17"/>
        <v>6</v>
      </c>
      <c r="P48">
        <f t="shared" si="5"/>
        <v>5</v>
      </c>
      <c r="Q48">
        <f t="shared" si="18"/>
        <v>5</v>
      </c>
      <c r="R48" t="str">
        <f t="shared" si="6"/>
        <v>5</v>
      </c>
    </row>
    <row r="49" spans="1:18" x14ac:dyDescent="0.25">
      <c r="A49" t="str">
        <f t="shared" si="4"/>
        <v>Nice - Ben Arfa</v>
      </c>
      <c r="B49" t="s">
        <v>213</v>
      </c>
      <c r="C49" t="s">
        <v>8</v>
      </c>
      <c r="D49" t="s">
        <v>271</v>
      </c>
      <c r="E49" t="s">
        <v>272</v>
      </c>
      <c r="F49" t="s">
        <v>59</v>
      </c>
      <c r="G49">
        <v>60</v>
      </c>
      <c r="H49">
        <v>0</v>
      </c>
      <c r="I49">
        <v>0</v>
      </c>
      <c r="J49">
        <v>0</v>
      </c>
      <c r="M49">
        <f t="shared" si="15"/>
        <v>5.5454545454545459</v>
      </c>
      <c r="N49">
        <f t="shared" si="16"/>
        <v>33</v>
      </c>
      <c r="O49">
        <f t="shared" si="17"/>
        <v>1</v>
      </c>
      <c r="P49">
        <f t="shared" si="5"/>
        <v>16</v>
      </c>
      <c r="Q49">
        <f t="shared" si="18"/>
        <v>16</v>
      </c>
      <c r="R49" t="str">
        <f t="shared" si="6"/>
        <v>16</v>
      </c>
    </row>
    <row r="50" spans="1:18" x14ac:dyDescent="0.25">
      <c r="A50" t="str">
        <f t="shared" si="4"/>
        <v>Troyes - Cabot</v>
      </c>
      <c r="B50" t="s">
        <v>213</v>
      </c>
      <c r="C50" t="s">
        <v>8</v>
      </c>
      <c r="D50" t="s">
        <v>512</v>
      </c>
      <c r="E50" t="s">
        <v>297</v>
      </c>
      <c r="F50" t="s">
        <v>252</v>
      </c>
      <c r="G50">
        <v>1</v>
      </c>
      <c r="H50">
        <v>0</v>
      </c>
      <c r="I50">
        <v>0</v>
      </c>
      <c r="J50">
        <v>0</v>
      </c>
      <c r="M50">
        <f t="shared" si="15"/>
        <v>5.8571428571428568</v>
      </c>
      <c r="N50">
        <f t="shared" si="16"/>
        <v>7</v>
      </c>
      <c r="O50">
        <f t="shared" si="17"/>
        <v>8</v>
      </c>
      <c r="P50">
        <f t="shared" si="5"/>
        <v>3</v>
      </c>
      <c r="Q50">
        <f t="shared" si="18"/>
        <v>3</v>
      </c>
      <c r="R50" t="str">
        <f t="shared" si="6"/>
        <v>3</v>
      </c>
    </row>
    <row r="51" spans="1:18" x14ac:dyDescent="0.25">
      <c r="A51" t="str">
        <f t="shared" si="4"/>
        <v>Lyon - Fekir</v>
      </c>
      <c r="B51" t="s">
        <v>213</v>
      </c>
      <c r="C51" t="s">
        <v>8</v>
      </c>
      <c r="D51" t="s">
        <v>464</v>
      </c>
      <c r="E51" t="s">
        <v>513</v>
      </c>
      <c r="F51" t="s">
        <v>47</v>
      </c>
      <c r="G51">
        <v>40</v>
      </c>
      <c r="H51">
        <v>0</v>
      </c>
      <c r="I51">
        <v>0</v>
      </c>
      <c r="J51">
        <v>0</v>
      </c>
      <c r="M51">
        <f t="shared" si="15"/>
        <v>6</v>
      </c>
      <c r="N51">
        <f t="shared" si="16"/>
        <v>5</v>
      </c>
      <c r="O51">
        <f t="shared" si="17"/>
        <v>4</v>
      </c>
      <c r="P51">
        <f t="shared" si="5"/>
        <v>4</v>
      </c>
      <c r="Q51">
        <f t="shared" si="18"/>
        <v>4</v>
      </c>
      <c r="R51" t="str">
        <f t="shared" si="6"/>
        <v>4</v>
      </c>
    </row>
    <row r="52" spans="1:18" x14ac:dyDescent="0.25">
      <c r="A52" t="str">
        <f t="shared" si="4"/>
        <v>Angers - Ismael Traoré</v>
      </c>
      <c r="B52" t="s">
        <v>213</v>
      </c>
      <c r="C52" t="s">
        <v>8</v>
      </c>
      <c r="D52" t="s">
        <v>329</v>
      </c>
      <c r="F52" t="s">
        <v>262</v>
      </c>
      <c r="G52">
        <v>6</v>
      </c>
      <c r="H52">
        <v>0</v>
      </c>
      <c r="I52">
        <v>0</v>
      </c>
      <c r="J52">
        <v>0</v>
      </c>
      <c r="M52">
        <f t="shared" si="15"/>
        <v>4.7575757575757578</v>
      </c>
      <c r="N52">
        <f t="shared" si="16"/>
        <v>34</v>
      </c>
      <c r="O52">
        <f t="shared" si="17"/>
        <v>0</v>
      </c>
      <c r="P52">
        <f t="shared" si="5"/>
        <v>1</v>
      </c>
      <c r="Q52">
        <f t="shared" si="18"/>
        <v>1</v>
      </c>
      <c r="R52" t="str">
        <f t="shared" si="6"/>
        <v>1</v>
      </c>
    </row>
    <row r="53" spans="1:18" x14ac:dyDescent="0.25">
      <c r="A53" t="str">
        <f t="shared" si="4"/>
        <v>Angers - Manceau</v>
      </c>
      <c r="B53" t="s">
        <v>213</v>
      </c>
      <c r="C53" t="s">
        <v>8</v>
      </c>
      <c r="D53" t="s">
        <v>514</v>
      </c>
      <c r="E53" t="s">
        <v>115</v>
      </c>
      <c r="F53" t="s">
        <v>262</v>
      </c>
      <c r="G53">
        <v>6</v>
      </c>
      <c r="H53">
        <v>0</v>
      </c>
      <c r="I53">
        <v>0</v>
      </c>
      <c r="J53">
        <v>0</v>
      </c>
      <c r="M53">
        <f t="shared" si="15"/>
        <v>4.6296296296296298</v>
      </c>
      <c r="N53">
        <f t="shared" si="16"/>
        <v>27</v>
      </c>
      <c r="O53">
        <f t="shared" si="17"/>
        <v>0</v>
      </c>
      <c r="P53">
        <f t="shared" si="5"/>
        <v>0</v>
      </c>
      <c r="Q53">
        <f t="shared" si="18"/>
        <v>0</v>
      </c>
      <c r="R53" t="str">
        <f t="shared" si="6"/>
        <v>0</v>
      </c>
    </row>
    <row r="54" spans="1:18" x14ac:dyDescent="0.25">
      <c r="A54" t="str">
        <f t="shared" si="4"/>
        <v>Lyon - Valbuena</v>
      </c>
      <c r="B54" t="s">
        <v>213</v>
      </c>
      <c r="C54" t="s">
        <v>8</v>
      </c>
      <c r="D54" t="s">
        <v>298</v>
      </c>
      <c r="E54" t="s">
        <v>62</v>
      </c>
      <c r="F54" t="s">
        <v>47</v>
      </c>
      <c r="G54">
        <v>46</v>
      </c>
      <c r="H54">
        <v>0</v>
      </c>
      <c r="I54">
        <v>0</v>
      </c>
      <c r="J54">
        <v>0</v>
      </c>
      <c r="M54">
        <f t="shared" si="15"/>
        <v>5.3636363636363633</v>
      </c>
      <c r="N54">
        <f t="shared" si="16"/>
        <v>21</v>
      </c>
      <c r="O54">
        <f t="shared" si="17"/>
        <v>5</v>
      </c>
      <c r="P54">
        <f t="shared" si="5"/>
        <v>1</v>
      </c>
      <c r="Q54">
        <f t="shared" si="18"/>
        <v>1</v>
      </c>
      <c r="R54" t="str">
        <f t="shared" si="6"/>
        <v>1</v>
      </c>
    </row>
    <row r="55" spans="1:18" x14ac:dyDescent="0.25">
      <c r="A55" t="str">
        <f t="shared" si="4"/>
        <v>Angers - Abdoul Camara</v>
      </c>
      <c r="B55" t="s">
        <v>214</v>
      </c>
      <c r="C55" t="s">
        <v>5</v>
      </c>
      <c r="D55" t="s">
        <v>436</v>
      </c>
      <c r="F55" t="s">
        <v>262</v>
      </c>
      <c r="G55">
        <v>25</v>
      </c>
      <c r="H55">
        <v>0</v>
      </c>
      <c r="I55">
        <v>0</v>
      </c>
      <c r="J55">
        <v>0</v>
      </c>
      <c r="M55">
        <f t="shared" si="15"/>
        <v>4.6470588235294121</v>
      </c>
      <c r="N55">
        <f t="shared" si="16"/>
        <v>17</v>
      </c>
      <c r="O55">
        <f t="shared" si="17"/>
        <v>0</v>
      </c>
      <c r="P55">
        <f t="shared" si="5"/>
        <v>2</v>
      </c>
      <c r="Q55">
        <f t="shared" si="18"/>
        <v>2</v>
      </c>
      <c r="R55" t="str">
        <f t="shared" si="6"/>
        <v>2</v>
      </c>
    </row>
    <row r="56" spans="1:18" x14ac:dyDescent="0.25">
      <c r="A56" t="str">
        <f t="shared" si="4"/>
        <v>Toulouse - Ben Yedder</v>
      </c>
      <c r="B56" t="s">
        <v>214</v>
      </c>
      <c r="C56" t="s">
        <v>5</v>
      </c>
      <c r="D56" t="s">
        <v>128</v>
      </c>
      <c r="E56" t="s">
        <v>129</v>
      </c>
      <c r="F56" t="s">
        <v>60</v>
      </c>
      <c r="G56">
        <v>45</v>
      </c>
      <c r="H56">
        <v>0</v>
      </c>
      <c r="I56">
        <v>0</v>
      </c>
      <c r="J56">
        <v>0</v>
      </c>
      <c r="M56">
        <f t="shared" si="15"/>
        <v>5.2647058823529411</v>
      </c>
      <c r="N56">
        <f t="shared" si="16"/>
        <v>34</v>
      </c>
      <c r="O56">
        <f t="shared" si="17"/>
        <v>1</v>
      </c>
      <c r="P56">
        <f t="shared" si="5"/>
        <v>18</v>
      </c>
      <c r="Q56">
        <f t="shared" si="18"/>
        <v>18</v>
      </c>
      <c r="R56" t="str">
        <f t="shared" si="6"/>
        <v>18</v>
      </c>
    </row>
    <row r="57" spans="1:18" x14ac:dyDescent="0.25">
      <c r="A57" t="str">
        <f t="shared" si="4"/>
        <v>Lille - Benzia</v>
      </c>
      <c r="B57" t="s">
        <v>214</v>
      </c>
      <c r="C57" t="s">
        <v>5</v>
      </c>
      <c r="D57" t="s">
        <v>515</v>
      </c>
      <c r="E57" t="s">
        <v>516</v>
      </c>
      <c r="F57" t="s">
        <v>53</v>
      </c>
      <c r="G57">
        <v>25</v>
      </c>
      <c r="H57">
        <v>0</v>
      </c>
      <c r="I57">
        <v>0</v>
      </c>
      <c r="J57">
        <v>0</v>
      </c>
      <c r="M57">
        <f t="shared" si="15"/>
        <v>4.7222222222222223</v>
      </c>
      <c r="N57">
        <f t="shared" si="16"/>
        <v>17</v>
      </c>
      <c r="O57">
        <f t="shared" si="17"/>
        <v>8</v>
      </c>
      <c r="P57">
        <f t="shared" si="5"/>
        <v>5</v>
      </c>
      <c r="Q57">
        <f t="shared" si="18"/>
        <v>5</v>
      </c>
      <c r="R57" t="str">
        <f t="shared" si="6"/>
        <v>5</v>
      </c>
    </row>
    <row r="58" spans="1:18" x14ac:dyDescent="0.25">
      <c r="A58" t="str">
        <f t="shared" si="4"/>
        <v>Paris - Lavezzi</v>
      </c>
      <c r="B58" t="s">
        <v>214</v>
      </c>
      <c r="C58" t="s">
        <v>5</v>
      </c>
      <c r="D58" t="s">
        <v>93</v>
      </c>
      <c r="E58" t="s">
        <v>94</v>
      </c>
      <c r="F58" t="s">
        <v>67</v>
      </c>
      <c r="G58">
        <v>13</v>
      </c>
      <c r="H58">
        <v>0</v>
      </c>
      <c r="I58">
        <v>0</v>
      </c>
      <c r="J58">
        <v>0</v>
      </c>
      <c r="M58">
        <f t="shared" si="15"/>
        <v>4.333333333333333</v>
      </c>
      <c r="N58">
        <f t="shared" si="16"/>
        <v>3</v>
      </c>
      <c r="O58">
        <f t="shared" si="17"/>
        <v>13</v>
      </c>
      <c r="P58">
        <f t="shared" si="5"/>
        <v>2</v>
      </c>
      <c r="Q58">
        <f t="shared" si="18"/>
        <v>2</v>
      </c>
      <c r="R58" t="str">
        <f t="shared" si="6"/>
        <v>2</v>
      </c>
    </row>
    <row r="59" spans="1:18" x14ac:dyDescent="0.25">
      <c r="A59" t="str">
        <f t="shared" si="4"/>
        <v>Rennes - Paul-Georges Ntep</v>
      </c>
      <c r="B59" t="s">
        <v>214</v>
      </c>
      <c r="C59" t="s">
        <v>5</v>
      </c>
      <c r="D59" t="s">
        <v>206</v>
      </c>
      <c r="F59" t="s">
        <v>61</v>
      </c>
      <c r="G59">
        <v>24</v>
      </c>
      <c r="H59">
        <v>2</v>
      </c>
      <c r="I59">
        <v>1</v>
      </c>
      <c r="J59">
        <v>3</v>
      </c>
      <c r="K59" t="s">
        <v>517</v>
      </c>
      <c r="L59" t="s">
        <v>517</v>
      </c>
      <c r="M59">
        <f t="shared" si="15"/>
        <v>5.166666666666667</v>
      </c>
      <c r="N59">
        <f t="shared" si="16"/>
        <v>11</v>
      </c>
      <c r="O59">
        <f t="shared" si="17"/>
        <v>3</v>
      </c>
      <c r="P59">
        <f t="shared" si="5"/>
        <v>2</v>
      </c>
      <c r="Q59">
        <f t="shared" si="18"/>
        <v>2</v>
      </c>
      <c r="R59" t="str">
        <f t="shared" si="6"/>
        <v>2</v>
      </c>
    </row>
    <row r="60" spans="1:18" x14ac:dyDescent="0.25">
      <c r="A60" t="str">
        <f t="shared" si="4"/>
        <v>Caen - Da Silva</v>
      </c>
      <c r="B60" t="s">
        <v>214</v>
      </c>
      <c r="C60" t="s">
        <v>13</v>
      </c>
      <c r="D60" t="s">
        <v>54</v>
      </c>
      <c r="E60" t="s">
        <v>55</v>
      </c>
      <c r="F60" t="s">
        <v>56</v>
      </c>
      <c r="G60">
        <v>21</v>
      </c>
      <c r="H60">
        <v>1</v>
      </c>
      <c r="I60">
        <v>1</v>
      </c>
      <c r="J60">
        <v>2</v>
      </c>
      <c r="K60" t="s">
        <v>264</v>
      </c>
      <c r="L60" t="s">
        <v>257</v>
      </c>
      <c r="M60">
        <f t="shared" si="15"/>
        <v>5.1071428571428568</v>
      </c>
      <c r="N60">
        <f t="shared" si="16"/>
        <v>28</v>
      </c>
      <c r="O60">
        <f t="shared" si="17"/>
        <v>0</v>
      </c>
      <c r="P60">
        <f t="shared" si="5"/>
        <v>2</v>
      </c>
      <c r="Q60">
        <f t="shared" si="18"/>
        <v>2</v>
      </c>
      <c r="R60" t="str">
        <f t="shared" si="6"/>
        <v>2</v>
      </c>
    </row>
    <row r="61" spans="1:18" x14ac:dyDescent="0.25">
      <c r="A61" t="str">
        <f t="shared" si="4"/>
        <v>Lorient - Gassama</v>
      </c>
      <c r="B61" t="s">
        <v>214</v>
      </c>
      <c r="C61" t="s">
        <v>13</v>
      </c>
      <c r="D61" t="s">
        <v>518</v>
      </c>
      <c r="E61" t="s">
        <v>519</v>
      </c>
      <c r="F61" t="s">
        <v>57</v>
      </c>
      <c r="G61">
        <v>7</v>
      </c>
      <c r="H61">
        <v>0</v>
      </c>
      <c r="I61">
        <v>0</v>
      </c>
      <c r="J61">
        <v>0</v>
      </c>
      <c r="M61">
        <f t="shared" si="15"/>
        <v>4.741935483870968</v>
      </c>
      <c r="N61">
        <f t="shared" si="16"/>
        <v>31</v>
      </c>
      <c r="O61">
        <f t="shared" si="17"/>
        <v>0</v>
      </c>
      <c r="P61">
        <f t="shared" si="5"/>
        <v>0</v>
      </c>
      <c r="Q61">
        <f t="shared" si="18"/>
        <v>0</v>
      </c>
      <c r="R61" t="str">
        <f t="shared" si="6"/>
        <v>0</v>
      </c>
    </row>
    <row r="62" spans="1:18" x14ac:dyDescent="0.25">
      <c r="A62" t="str">
        <f t="shared" si="4"/>
        <v>Lyon - Jallet</v>
      </c>
      <c r="B62" t="s">
        <v>214</v>
      </c>
      <c r="C62" t="s">
        <v>13</v>
      </c>
      <c r="D62" t="s">
        <v>110</v>
      </c>
      <c r="E62" t="s">
        <v>111</v>
      </c>
      <c r="F62" t="s">
        <v>47</v>
      </c>
      <c r="G62">
        <v>22</v>
      </c>
      <c r="H62">
        <v>0</v>
      </c>
      <c r="I62">
        <v>0</v>
      </c>
      <c r="J62">
        <v>0</v>
      </c>
      <c r="M62">
        <f t="shared" si="15"/>
        <v>5.6</v>
      </c>
      <c r="N62">
        <f t="shared" si="16"/>
        <v>20</v>
      </c>
      <c r="O62">
        <f t="shared" si="17"/>
        <v>3</v>
      </c>
      <c r="P62">
        <f t="shared" si="5"/>
        <v>1</v>
      </c>
      <c r="Q62">
        <f t="shared" si="18"/>
        <v>1</v>
      </c>
      <c r="R62" t="str">
        <f t="shared" si="6"/>
        <v>1</v>
      </c>
    </row>
    <row r="63" spans="1:18" x14ac:dyDescent="0.25">
      <c r="A63" t="str">
        <f t="shared" si="4"/>
        <v>Lyon - Morel</v>
      </c>
      <c r="B63" t="s">
        <v>214</v>
      </c>
      <c r="C63" t="s">
        <v>13</v>
      </c>
      <c r="D63" t="s">
        <v>136</v>
      </c>
      <c r="E63" t="s">
        <v>137</v>
      </c>
      <c r="F63" t="s">
        <v>47</v>
      </c>
      <c r="G63">
        <v>24</v>
      </c>
      <c r="H63">
        <v>0</v>
      </c>
      <c r="I63">
        <v>0</v>
      </c>
      <c r="J63">
        <v>0</v>
      </c>
      <c r="M63">
        <f t="shared" si="15"/>
        <v>5.1785714285714288</v>
      </c>
      <c r="N63">
        <f t="shared" si="16"/>
        <v>27</v>
      </c>
      <c r="O63">
        <f t="shared" si="17"/>
        <v>4</v>
      </c>
      <c r="P63">
        <f t="shared" si="5"/>
        <v>0</v>
      </c>
      <c r="Q63">
        <f t="shared" si="18"/>
        <v>0</v>
      </c>
      <c r="R63" t="str">
        <f t="shared" si="6"/>
        <v>0</v>
      </c>
    </row>
    <row r="64" spans="1:18" x14ac:dyDescent="0.25">
      <c r="A64" t="str">
        <f t="shared" si="4"/>
        <v>Saint-Etienne - Pogba</v>
      </c>
      <c r="B64" t="s">
        <v>214</v>
      </c>
      <c r="C64" t="s">
        <v>13</v>
      </c>
      <c r="D64" t="s">
        <v>520</v>
      </c>
      <c r="E64" t="s">
        <v>229</v>
      </c>
      <c r="F64" t="s">
        <v>125</v>
      </c>
      <c r="G64">
        <v>11</v>
      </c>
      <c r="H64">
        <v>0</v>
      </c>
      <c r="I64">
        <v>0</v>
      </c>
      <c r="J64">
        <v>0</v>
      </c>
      <c r="M64">
        <f t="shared" si="15"/>
        <v>5.0454545454545459</v>
      </c>
      <c r="N64">
        <f t="shared" si="16"/>
        <v>21</v>
      </c>
      <c r="O64">
        <f t="shared" si="17"/>
        <v>3</v>
      </c>
      <c r="P64">
        <f t="shared" si="5"/>
        <v>0</v>
      </c>
      <c r="Q64">
        <f t="shared" si="18"/>
        <v>0</v>
      </c>
      <c r="R64" t="str">
        <f t="shared" si="6"/>
        <v>0</v>
      </c>
    </row>
    <row r="65" spans="1:18" x14ac:dyDescent="0.25">
      <c r="A65" t="str">
        <f t="shared" si="4"/>
        <v>Saint-Etienne - Sall</v>
      </c>
      <c r="B65" t="s">
        <v>214</v>
      </c>
      <c r="C65" t="s">
        <v>13</v>
      </c>
      <c r="D65" t="s">
        <v>146</v>
      </c>
      <c r="E65" t="s">
        <v>147</v>
      </c>
      <c r="F65" t="s">
        <v>125</v>
      </c>
      <c r="G65">
        <v>14</v>
      </c>
      <c r="H65">
        <v>0</v>
      </c>
      <c r="I65">
        <v>0</v>
      </c>
      <c r="J65">
        <v>0</v>
      </c>
      <c r="M65">
        <f t="shared" si="15"/>
        <v>5.115384615384615</v>
      </c>
      <c r="N65">
        <f t="shared" si="16"/>
        <v>27</v>
      </c>
      <c r="O65">
        <f t="shared" si="17"/>
        <v>1</v>
      </c>
      <c r="P65">
        <f t="shared" si="5"/>
        <v>3</v>
      </c>
      <c r="Q65">
        <f t="shared" si="18"/>
        <v>3</v>
      </c>
      <c r="R65" t="str">
        <f t="shared" si="6"/>
        <v>3</v>
      </c>
    </row>
    <row r="66" spans="1:18" x14ac:dyDescent="0.25">
      <c r="A66" t="str">
        <f t="shared" si="4"/>
        <v>Angers - Thomas</v>
      </c>
      <c r="B66" t="s">
        <v>214</v>
      </c>
      <c r="C66" t="s">
        <v>13</v>
      </c>
      <c r="D66" t="s">
        <v>49</v>
      </c>
      <c r="E66" t="s">
        <v>112</v>
      </c>
      <c r="F66" t="s">
        <v>262</v>
      </c>
      <c r="G66">
        <v>11</v>
      </c>
      <c r="H66">
        <v>0</v>
      </c>
      <c r="I66">
        <v>0</v>
      </c>
      <c r="J66">
        <v>0</v>
      </c>
      <c r="M66">
        <f t="shared" si="15"/>
        <v>4.9722222222222223</v>
      </c>
      <c r="N66">
        <f t="shared" si="16"/>
        <v>36</v>
      </c>
      <c r="O66">
        <f t="shared" si="17"/>
        <v>0</v>
      </c>
      <c r="P66">
        <f t="shared" si="5"/>
        <v>2</v>
      </c>
      <c r="Q66">
        <f t="shared" si="18"/>
        <v>2</v>
      </c>
      <c r="R66" t="str">
        <f t="shared" si="6"/>
        <v>2</v>
      </c>
    </row>
    <row r="67" spans="1:18" x14ac:dyDescent="0.25">
      <c r="A67" t="str">
        <f t="shared" si="4"/>
        <v>Lyon - Umtiti</v>
      </c>
      <c r="B67" t="s">
        <v>214</v>
      </c>
      <c r="C67" t="s">
        <v>13</v>
      </c>
      <c r="D67" t="s">
        <v>521</v>
      </c>
      <c r="E67" t="s">
        <v>113</v>
      </c>
      <c r="F67" t="s">
        <v>47</v>
      </c>
      <c r="G67">
        <v>22</v>
      </c>
      <c r="H67">
        <v>0</v>
      </c>
      <c r="I67">
        <v>0</v>
      </c>
      <c r="J67">
        <v>0</v>
      </c>
      <c r="M67">
        <f t="shared" si="15"/>
        <v>5.5</v>
      </c>
      <c r="N67">
        <f t="shared" si="16"/>
        <v>30</v>
      </c>
      <c r="O67">
        <f t="shared" si="17"/>
        <v>0</v>
      </c>
      <c r="P67">
        <f t="shared" si="5"/>
        <v>1</v>
      </c>
      <c r="Q67">
        <f t="shared" si="18"/>
        <v>1</v>
      </c>
      <c r="R67" t="str">
        <f t="shared" si="6"/>
        <v>1</v>
      </c>
    </row>
    <row r="68" spans="1:18" x14ac:dyDescent="0.25">
      <c r="A68" t="str">
        <f t="shared" ref="A68:A131" si="19">F68 &amp; " - " &amp; D68</f>
        <v>Rennes - Zeffane</v>
      </c>
      <c r="B68" t="s">
        <v>214</v>
      </c>
      <c r="C68" t="s">
        <v>13</v>
      </c>
      <c r="D68" t="s">
        <v>192</v>
      </c>
      <c r="E68" t="s">
        <v>190</v>
      </c>
      <c r="F68" t="s">
        <v>61</v>
      </c>
      <c r="G68">
        <v>18</v>
      </c>
      <c r="H68">
        <v>0</v>
      </c>
      <c r="I68">
        <v>0</v>
      </c>
      <c r="J68">
        <v>0</v>
      </c>
      <c r="M68">
        <f t="shared" si="15"/>
        <v>4.666666666666667</v>
      </c>
      <c r="N68">
        <f t="shared" si="16"/>
        <v>9</v>
      </c>
      <c r="O68">
        <f t="shared" si="17"/>
        <v>7</v>
      </c>
      <c r="P68">
        <f t="shared" ref="P68" si="20">VALUE(IF(R68="",0,R68))</f>
        <v>1</v>
      </c>
      <c r="Q68">
        <f t="shared" si="18"/>
        <v>1</v>
      </c>
      <c r="R68" t="str">
        <f t="shared" ref="R68:R131" si="21">SUBSTITUTE(SUBSTITUTE(SUBSTITUTE(Q68," / ",""),"(-1)",""),"(-2)","")</f>
        <v>1</v>
      </c>
    </row>
    <row r="69" spans="1:18" x14ac:dyDescent="0.25">
      <c r="A69" t="str">
        <f t="shared" si="19"/>
        <v>Caen - Deschateaux</v>
      </c>
      <c r="B69" t="s">
        <v>214</v>
      </c>
      <c r="C69" t="s">
        <v>12</v>
      </c>
      <c r="D69" t="s">
        <v>522</v>
      </c>
      <c r="E69" t="s">
        <v>523</v>
      </c>
      <c r="F69" t="s">
        <v>56</v>
      </c>
      <c r="G69">
        <v>1</v>
      </c>
      <c r="H69">
        <v>0</v>
      </c>
      <c r="I69">
        <v>0</v>
      </c>
      <c r="J69">
        <v>0</v>
      </c>
      <c r="R69" t="str">
        <f t="shared" si="21"/>
        <v/>
      </c>
    </row>
    <row r="70" spans="1:18" x14ac:dyDescent="0.25">
      <c r="A70" t="str">
        <f t="shared" si="19"/>
        <v>Caen - Reulet</v>
      </c>
      <c r="B70" t="s">
        <v>214</v>
      </c>
      <c r="C70" t="s">
        <v>12</v>
      </c>
      <c r="D70" t="s">
        <v>524</v>
      </c>
      <c r="E70" t="s">
        <v>176</v>
      </c>
      <c r="F70" t="s">
        <v>56</v>
      </c>
      <c r="G70">
        <v>1</v>
      </c>
      <c r="H70">
        <v>0</v>
      </c>
      <c r="I70">
        <v>0</v>
      </c>
      <c r="J70">
        <v>0</v>
      </c>
      <c r="M70" t="str">
        <f t="shared" ref="M70:M88" si="22">IF(VLOOKUP(VLOOKUP($A70,_JOUEURS,2,FALSE),_DATA,8,FALSE)=0,"",VLOOKUP(VLOOKUP($A70,_JOUEURS,2,FALSE),_DATA,8,FALSE))</f>
        <v/>
      </c>
      <c r="N70">
        <f t="shared" ref="N70:N88" si="23">VLOOKUP(VLOOKUP($A70,_JOUEURS,2,FALSE),_DATA,5,FALSE)</f>
        <v>0</v>
      </c>
      <c r="O70">
        <f t="shared" ref="O70:O88" si="24">VLOOKUP(VLOOKUP($A70,_JOUEURS,2,FALSE),_DATA,6,FALSE)</f>
        <v>0</v>
      </c>
      <c r="P70">
        <f t="shared" ref="P70:P132" si="25">VALUE(IF(R70="",0,R70))</f>
        <v>0</v>
      </c>
      <c r="Q70">
        <f t="shared" ref="Q70:Q88" si="26">VLOOKUP(VLOOKUP($A70,_JOUEURS,2,FALSE),_DATA,7,FALSE)</f>
        <v>0</v>
      </c>
      <c r="R70" t="str">
        <f t="shared" si="21"/>
        <v>0</v>
      </c>
    </row>
    <row r="71" spans="1:18" x14ac:dyDescent="0.25">
      <c r="A71" t="str">
        <f t="shared" si="19"/>
        <v>Caen - Vercoutre</v>
      </c>
      <c r="B71" t="s">
        <v>214</v>
      </c>
      <c r="C71" t="s">
        <v>12</v>
      </c>
      <c r="D71" t="s">
        <v>116</v>
      </c>
      <c r="E71" t="s">
        <v>90</v>
      </c>
      <c r="F71" t="s">
        <v>56</v>
      </c>
      <c r="G71">
        <v>23</v>
      </c>
      <c r="H71">
        <v>0</v>
      </c>
      <c r="I71">
        <v>0</v>
      </c>
      <c r="J71">
        <v>0</v>
      </c>
      <c r="K71" t="s">
        <v>256</v>
      </c>
      <c r="L71" t="s">
        <v>525</v>
      </c>
      <c r="M71">
        <f t="shared" si="22"/>
        <v>5.3947368421052628</v>
      </c>
      <c r="N71">
        <f t="shared" si="23"/>
        <v>38</v>
      </c>
      <c r="O71">
        <f t="shared" si="24"/>
        <v>0</v>
      </c>
      <c r="P71">
        <f t="shared" si="25"/>
        <v>0</v>
      </c>
      <c r="Q71">
        <f t="shared" si="26"/>
        <v>0</v>
      </c>
      <c r="R71" t="str">
        <f t="shared" si="21"/>
        <v>0</v>
      </c>
    </row>
    <row r="72" spans="1:18" x14ac:dyDescent="0.25">
      <c r="A72" t="str">
        <f t="shared" si="19"/>
        <v>Paris - Augustin</v>
      </c>
      <c r="B72" t="s">
        <v>214</v>
      </c>
      <c r="C72" t="s">
        <v>8</v>
      </c>
      <c r="D72" t="s">
        <v>381</v>
      </c>
      <c r="E72" t="s">
        <v>526</v>
      </c>
      <c r="F72" t="s">
        <v>67</v>
      </c>
      <c r="G72">
        <v>7</v>
      </c>
      <c r="H72">
        <v>0</v>
      </c>
      <c r="I72">
        <v>0</v>
      </c>
      <c r="J72">
        <v>0</v>
      </c>
      <c r="M72">
        <f t="shared" si="22"/>
        <v>4.75</v>
      </c>
      <c r="N72">
        <f t="shared" si="23"/>
        <v>4</v>
      </c>
      <c r="O72">
        <f t="shared" si="24"/>
        <v>9</v>
      </c>
      <c r="P72">
        <f t="shared" si="25"/>
        <v>1</v>
      </c>
      <c r="Q72">
        <f t="shared" si="26"/>
        <v>1</v>
      </c>
      <c r="R72" t="str">
        <f t="shared" si="21"/>
        <v>1</v>
      </c>
    </row>
    <row r="73" spans="1:18" x14ac:dyDescent="0.25">
      <c r="A73" t="str">
        <f t="shared" si="19"/>
        <v>Lyon - Beauvue</v>
      </c>
      <c r="B73" t="s">
        <v>214</v>
      </c>
      <c r="C73" t="s">
        <v>8</v>
      </c>
      <c r="D73" t="s">
        <v>183</v>
      </c>
      <c r="E73" t="s">
        <v>184</v>
      </c>
      <c r="F73" t="s">
        <v>47</v>
      </c>
      <c r="G73">
        <v>27</v>
      </c>
      <c r="H73">
        <v>0</v>
      </c>
      <c r="I73">
        <v>0</v>
      </c>
      <c r="J73">
        <v>0</v>
      </c>
      <c r="M73">
        <f t="shared" si="22"/>
        <v>4.7333333333333334</v>
      </c>
      <c r="N73">
        <f t="shared" si="23"/>
        <v>15</v>
      </c>
      <c r="O73">
        <f t="shared" si="24"/>
        <v>4</v>
      </c>
      <c r="P73">
        <f t="shared" si="25"/>
        <v>5</v>
      </c>
      <c r="Q73">
        <f t="shared" si="26"/>
        <v>5</v>
      </c>
      <c r="R73" t="str">
        <f t="shared" si="21"/>
        <v>5</v>
      </c>
    </row>
    <row r="74" spans="1:18" x14ac:dyDescent="0.25">
      <c r="A74" t="str">
        <f t="shared" si="19"/>
        <v>Guingamp - Benezet</v>
      </c>
      <c r="B74" t="s">
        <v>214</v>
      </c>
      <c r="C74" t="s">
        <v>8</v>
      </c>
      <c r="D74" t="s">
        <v>178</v>
      </c>
      <c r="E74" t="s">
        <v>87</v>
      </c>
      <c r="F74" t="s">
        <v>70</v>
      </c>
      <c r="G74">
        <v>22</v>
      </c>
      <c r="H74">
        <v>0</v>
      </c>
      <c r="I74">
        <v>0</v>
      </c>
      <c r="J74">
        <v>0</v>
      </c>
      <c r="M74">
        <f t="shared" si="22"/>
        <v>5.7857142857142856</v>
      </c>
      <c r="N74">
        <f t="shared" si="23"/>
        <v>14</v>
      </c>
      <c r="O74">
        <f t="shared" si="24"/>
        <v>5</v>
      </c>
      <c r="P74">
        <f t="shared" si="25"/>
        <v>4</v>
      </c>
      <c r="Q74">
        <f t="shared" si="26"/>
        <v>4</v>
      </c>
      <c r="R74" t="str">
        <f t="shared" si="21"/>
        <v>4</v>
      </c>
    </row>
    <row r="75" spans="1:18" x14ac:dyDescent="0.25">
      <c r="A75" t="str">
        <f t="shared" si="19"/>
        <v>Montpellier - Boudebouz</v>
      </c>
      <c r="B75" t="s">
        <v>214</v>
      </c>
      <c r="C75" t="s">
        <v>8</v>
      </c>
      <c r="D75" t="s">
        <v>527</v>
      </c>
      <c r="E75" t="s">
        <v>528</v>
      </c>
      <c r="F75" t="s">
        <v>40</v>
      </c>
      <c r="G75">
        <v>25</v>
      </c>
      <c r="H75">
        <v>0</v>
      </c>
      <c r="I75">
        <v>0</v>
      </c>
      <c r="J75">
        <v>0</v>
      </c>
      <c r="M75">
        <f t="shared" si="22"/>
        <v>5.4054054054054053</v>
      </c>
      <c r="N75">
        <f t="shared" si="23"/>
        <v>37</v>
      </c>
      <c r="O75">
        <f t="shared" si="24"/>
        <v>1</v>
      </c>
      <c r="P75">
        <f t="shared" si="25"/>
        <v>2</v>
      </c>
      <c r="Q75">
        <f t="shared" si="26"/>
        <v>2</v>
      </c>
      <c r="R75" t="str">
        <f t="shared" si="21"/>
        <v>2</v>
      </c>
    </row>
    <row r="76" spans="1:18" x14ac:dyDescent="0.25">
      <c r="A76" t="str">
        <f t="shared" si="19"/>
        <v>Lyon - Darder</v>
      </c>
      <c r="B76" t="s">
        <v>214</v>
      </c>
      <c r="C76" t="s">
        <v>8</v>
      </c>
      <c r="D76" t="s">
        <v>294</v>
      </c>
      <c r="E76" t="s">
        <v>295</v>
      </c>
      <c r="F76" t="s">
        <v>47</v>
      </c>
      <c r="G76">
        <v>15</v>
      </c>
      <c r="H76">
        <v>0</v>
      </c>
      <c r="I76">
        <v>0</v>
      </c>
      <c r="J76">
        <v>0</v>
      </c>
      <c r="M76">
        <f t="shared" si="22"/>
        <v>5.2777777777777777</v>
      </c>
      <c r="N76">
        <f t="shared" si="23"/>
        <v>18</v>
      </c>
      <c r="O76">
        <f t="shared" si="24"/>
        <v>8</v>
      </c>
      <c r="P76">
        <f t="shared" si="25"/>
        <v>2</v>
      </c>
      <c r="Q76">
        <f t="shared" si="26"/>
        <v>2</v>
      </c>
      <c r="R76" t="str">
        <f t="shared" si="21"/>
        <v>2</v>
      </c>
    </row>
    <row r="77" spans="1:18" x14ac:dyDescent="0.25">
      <c r="A77" t="str">
        <f t="shared" si="19"/>
        <v>Lyon - Grenier</v>
      </c>
      <c r="B77" t="s">
        <v>214</v>
      </c>
      <c r="C77" t="s">
        <v>8</v>
      </c>
      <c r="D77" t="s">
        <v>529</v>
      </c>
      <c r="E77" t="s">
        <v>138</v>
      </c>
      <c r="F77" t="s">
        <v>47</v>
      </c>
      <c r="G77">
        <v>22</v>
      </c>
      <c r="H77">
        <v>0</v>
      </c>
      <c r="I77">
        <v>0</v>
      </c>
      <c r="J77">
        <v>0</v>
      </c>
      <c r="M77">
        <f t="shared" si="22"/>
        <v>5</v>
      </c>
      <c r="N77">
        <f t="shared" si="23"/>
        <v>10</v>
      </c>
      <c r="O77">
        <f t="shared" si="24"/>
        <v>8</v>
      </c>
      <c r="P77">
        <f t="shared" si="25"/>
        <v>2</v>
      </c>
      <c r="Q77">
        <f t="shared" si="26"/>
        <v>2</v>
      </c>
      <c r="R77" t="str">
        <f t="shared" si="21"/>
        <v>2</v>
      </c>
    </row>
    <row r="78" spans="1:18" x14ac:dyDescent="0.25">
      <c r="A78" t="str">
        <f t="shared" si="19"/>
        <v>Nice - Koziello</v>
      </c>
      <c r="B78" t="s">
        <v>214</v>
      </c>
      <c r="C78" t="s">
        <v>8</v>
      </c>
      <c r="D78" t="s">
        <v>530</v>
      </c>
      <c r="E78" t="s">
        <v>115</v>
      </c>
      <c r="F78" t="s">
        <v>59</v>
      </c>
      <c r="G78">
        <v>7</v>
      </c>
      <c r="H78">
        <v>0</v>
      </c>
      <c r="I78">
        <v>0</v>
      </c>
      <c r="J78">
        <v>0</v>
      </c>
      <c r="M78">
        <f t="shared" si="22"/>
        <v>5.3125</v>
      </c>
      <c r="N78">
        <f t="shared" si="23"/>
        <v>32</v>
      </c>
      <c r="O78">
        <f t="shared" si="24"/>
        <v>3</v>
      </c>
      <c r="P78">
        <f t="shared" si="25"/>
        <v>3</v>
      </c>
      <c r="Q78">
        <f t="shared" si="26"/>
        <v>3</v>
      </c>
      <c r="R78" t="str">
        <f t="shared" si="21"/>
        <v>3</v>
      </c>
    </row>
    <row r="79" spans="1:18" x14ac:dyDescent="0.25">
      <c r="A79" t="str">
        <f t="shared" si="19"/>
        <v>Paris - Matuidi</v>
      </c>
      <c r="B79" t="s">
        <v>214</v>
      </c>
      <c r="C79" t="s">
        <v>8</v>
      </c>
      <c r="D79" t="s">
        <v>102</v>
      </c>
      <c r="E79" t="s">
        <v>103</v>
      </c>
      <c r="F79" t="s">
        <v>67</v>
      </c>
      <c r="G79">
        <v>56</v>
      </c>
      <c r="H79">
        <v>0</v>
      </c>
      <c r="I79">
        <v>0</v>
      </c>
      <c r="J79">
        <v>0</v>
      </c>
      <c r="M79">
        <f t="shared" si="22"/>
        <v>5.958333333333333</v>
      </c>
      <c r="N79">
        <f t="shared" si="23"/>
        <v>23</v>
      </c>
      <c r="O79">
        <f t="shared" si="24"/>
        <v>8</v>
      </c>
      <c r="P79">
        <f t="shared" si="25"/>
        <v>4</v>
      </c>
      <c r="Q79">
        <f t="shared" si="26"/>
        <v>4</v>
      </c>
      <c r="R79" t="str">
        <f t="shared" si="21"/>
        <v>4</v>
      </c>
    </row>
    <row r="80" spans="1:18" x14ac:dyDescent="0.25">
      <c r="A80" t="str">
        <f t="shared" si="19"/>
        <v>Reims - Oniangue</v>
      </c>
      <c r="B80" t="s">
        <v>214</v>
      </c>
      <c r="C80" t="s">
        <v>8</v>
      </c>
      <c r="D80" t="s">
        <v>531</v>
      </c>
      <c r="E80" t="s">
        <v>532</v>
      </c>
      <c r="F80" t="s">
        <v>104</v>
      </c>
      <c r="G80">
        <v>12</v>
      </c>
      <c r="H80">
        <v>0</v>
      </c>
      <c r="I80">
        <v>0</v>
      </c>
      <c r="J80">
        <v>0</v>
      </c>
      <c r="M80">
        <f t="shared" si="22"/>
        <v>4.7826086956521738</v>
      </c>
      <c r="N80">
        <f t="shared" si="23"/>
        <v>23</v>
      </c>
      <c r="O80">
        <f t="shared" si="24"/>
        <v>4</v>
      </c>
      <c r="P80">
        <f t="shared" si="25"/>
        <v>4</v>
      </c>
      <c r="Q80" t="str">
        <f t="shared" si="26"/>
        <v>4 / (-1)</v>
      </c>
      <c r="R80" t="str">
        <f t="shared" si="21"/>
        <v>4</v>
      </c>
    </row>
    <row r="81" spans="1:18" x14ac:dyDescent="0.25">
      <c r="A81" t="str">
        <f t="shared" si="19"/>
        <v>Guingamp - Briand</v>
      </c>
      <c r="B81" t="s">
        <v>212</v>
      </c>
      <c r="C81" t="s">
        <v>5</v>
      </c>
      <c r="D81" t="s">
        <v>296</v>
      </c>
      <c r="E81" t="s">
        <v>297</v>
      </c>
      <c r="F81" t="s">
        <v>70</v>
      </c>
      <c r="G81">
        <v>56</v>
      </c>
      <c r="H81">
        <v>0</v>
      </c>
      <c r="I81">
        <v>0</v>
      </c>
      <c r="J81">
        <v>0</v>
      </c>
      <c r="M81">
        <f t="shared" si="22"/>
        <v>4.90625</v>
      </c>
      <c r="N81">
        <f t="shared" si="23"/>
        <v>33</v>
      </c>
      <c r="O81">
        <f t="shared" si="24"/>
        <v>2</v>
      </c>
      <c r="P81">
        <f t="shared" si="25"/>
        <v>7</v>
      </c>
      <c r="Q81">
        <f t="shared" si="26"/>
        <v>7</v>
      </c>
      <c r="R81" t="str">
        <f t="shared" si="21"/>
        <v>7</v>
      </c>
    </row>
    <row r="82" spans="1:18" x14ac:dyDescent="0.25">
      <c r="A82" t="str">
        <f t="shared" si="19"/>
        <v>Caen - Delort</v>
      </c>
      <c r="B82" t="s">
        <v>212</v>
      </c>
      <c r="C82" t="s">
        <v>5</v>
      </c>
      <c r="D82" t="s">
        <v>269</v>
      </c>
      <c r="E82" t="s">
        <v>270</v>
      </c>
      <c r="F82" t="s">
        <v>56</v>
      </c>
      <c r="G82">
        <v>56</v>
      </c>
      <c r="H82">
        <v>0</v>
      </c>
      <c r="I82">
        <v>0</v>
      </c>
      <c r="J82">
        <v>0</v>
      </c>
      <c r="M82">
        <f t="shared" si="22"/>
        <v>5.166666666666667</v>
      </c>
      <c r="N82">
        <f t="shared" si="23"/>
        <v>34</v>
      </c>
      <c r="O82">
        <f t="shared" si="24"/>
        <v>2</v>
      </c>
      <c r="P82">
        <f t="shared" si="25"/>
        <v>12</v>
      </c>
      <c r="Q82">
        <f t="shared" si="26"/>
        <v>12</v>
      </c>
      <c r="R82" t="str">
        <f t="shared" si="21"/>
        <v>12</v>
      </c>
    </row>
    <row r="83" spans="1:18" x14ac:dyDescent="0.25">
      <c r="A83" t="str">
        <f t="shared" si="19"/>
        <v>Bastia - Kamano</v>
      </c>
      <c r="B83" t="s">
        <v>212</v>
      </c>
      <c r="C83" t="s">
        <v>5</v>
      </c>
      <c r="D83" t="s">
        <v>533</v>
      </c>
      <c r="E83" t="s">
        <v>534</v>
      </c>
      <c r="F83" t="s">
        <v>108</v>
      </c>
      <c r="G83">
        <v>10</v>
      </c>
      <c r="H83">
        <v>0</v>
      </c>
      <c r="I83">
        <v>0</v>
      </c>
      <c r="J83">
        <v>0</v>
      </c>
      <c r="M83">
        <f t="shared" si="22"/>
        <v>4.5</v>
      </c>
      <c r="N83">
        <f t="shared" si="23"/>
        <v>17</v>
      </c>
      <c r="O83">
        <f t="shared" si="24"/>
        <v>6</v>
      </c>
      <c r="P83">
        <f t="shared" si="25"/>
        <v>3</v>
      </c>
      <c r="Q83">
        <f t="shared" si="26"/>
        <v>3</v>
      </c>
      <c r="R83" t="str">
        <f t="shared" si="21"/>
        <v>3</v>
      </c>
    </row>
    <row r="84" spans="1:18" x14ac:dyDescent="0.25">
      <c r="A84" t="str">
        <f t="shared" si="19"/>
        <v>Lorient - Majeed Waris</v>
      </c>
      <c r="B84" t="s">
        <v>212</v>
      </c>
      <c r="C84" t="s">
        <v>5</v>
      </c>
      <c r="D84" t="s">
        <v>389</v>
      </c>
      <c r="F84" t="s">
        <v>57</v>
      </c>
      <c r="G84">
        <v>43</v>
      </c>
      <c r="H84">
        <v>0</v>
      </c>
      <c r="I84">
        <v>0</v>
      </c>
      <c r="J84">
        <v>0</v>
      </c>
      <c r="M84">
        <f t="shared" si="22"/>
        <v>5.4210526315789478</v>
      </c>
      <c r="N84">
        <f t="shared" si="23"/>
        <v>20</v>
      </c>
      <c r="O84">
        <f t="shared" si="24"/>
        <v>1</v>
      </c>
      <c r="P84">
        <f t="shared" si="25"/>
        <v>10</v>
      </c>
      <c r="Q84">
        <f t="shared" si="26"/>
        <v>10</v>
      </c>
      <c r="R84" t="str">
        <f t="shared" si="21"/>
        <v>10</v>
      </c>
    </row>
    <row r="85" spans="1:18" x14ac:dyDescent="0.25">
      <c r="A85" t="str">
        <f t="shared" si="19"/>
        <v>Lorient - Moukandjo</v>
      </c>
      <c r="B85" t="s">
        <v>212</v>
      </c>
      <c r="C85" t="s">
        <v>5</v>
      </c>
      <c r="D85" t="s">
        <v>119</v>
      </c>
      <c r="E85" t="s">
        <v>58</v>
      </c>
      <c r="F85" t="s">
        <v>57</v>
      </c>
      <c r="G85">
        <v>63</v>
      </c>
      <c r="H85">
        <v>8</v>
      </c>
      <c r="I85">
        <v>0</v>
      </c>
      <c r="J85">
        <v>8</v>
      </c>
      <c r="K85" t="s">
        <v>535</v>
      </c>
      <c r="L85" t="s">
        <v>525</v>
      </c>
      <c r="M85">
        <f t="shared" si="22"/>
        <v>5</v>
      </c>
      <c r="N85">
        <f t="shared" si="23"/>
        <v>26</v>
      </c>
      <c r="O85">
        <f t="shared" si="24"/>
        <v>5</v>
      </c>
      <c r="P85">
        <f t="shared" si="25"/>
        <v>13</v>
      </c>
      <c r="Q85">
        <f t="shared" si="26"/>
        <v>13</v>
      </c>
      <c r="R85" t="str">
        <f t="shared" si="21"/>
        <v>13</v>
      </c>
    </row>
    <row r="86" spans="1:18" x14ac:dyDescent="0.25">
      <c r="A86" t="str">
        <f t="shared" si="19"/>
        <v>Montpellier - Yatabaré</v>
      </c>
      <c r="B86" t="s">
        <v>212</v>
      </c>
      <c r="C86" t="s">
        <v>5</v>
      </c>
      <c r="D86" t="s">
        <v>536</v>
      </c>
      <c r="E86" t="s">
        <v>537</v>
      </c>
      <c r="F86" t="s">
        <v>40</v>
      </c>
      <c r="G86">
        <v>12</v>
      </c>
      <c r="H86">
        <v>0</v>
      </c>
      <c r="I86">
        <v>0</v>
      </c>
      <c r="J86">
        <v>0</v>
      </c>
      <c r="M86">
        <f t="shared" si="22"/>
        <v>4.7058823529411766</v>
      </c>
      <c r="N86">
        <f t="shared" si="23"/>
        <v>15</v>
      </c>
      <c r="O86">
        <f t="shared" si="24"/>
        <v>13</v>
      </c>
      <c r="P86">
        <f t="shared" si="25"/>
        <v>4</v>
      </c>
      <c r="Q86">
        <f t="shared" si="26"/>
        <v>4</v>
      </c>
      <c r="R86" t="str">
        <f t="shared" si="21"/>
        <v>4</v>
      </c>
    </row>
    <row r="87" spans="1:18" x14ac:dyDescent="0.25">
      <c r="A87" t="str">
        <f t="shared" si="19"/>
        <v>Angers - Angoula</v>
      </c>
      <c r="B87" t="s">
        <v>212</v>
      </c>
      <c r="C87" t="s">
        <v>13</v>
      </c>
      <c r="D87" t="s">
        <v>538</v>
      </c>
      <c r="E87" t="s">
        <v>539</v>
      </c>
      <c r="F87" t="s">
        <v>262</v>
      </c>
      <c r="G87">
        <v>2</v>
      </c>
      <c r="H87">
        <v>0</v>
      </c>
      <c r="I87">
        <v>0</v>
      </c>
      <c r="J87">
        <v>0</v>
      </c>
      <c r="M87">
        <f t="shared" si="22"/>
        <v>4.6363636363636367</v>
      </c>
      <c r="N87">
        <f t="shared" si="23"/>
        <v>10</v>
      </c>
      <c r="O87">
        <f t="shared" si="24"/>
        <v>3</v>
      </c>
      <c r="P87">
        <f t="shared" si="25"/>
        <v>0</v>
      </c>
      <c r="Q87">
        <f t="shared" si="26"/>
        <v>0</v>
      </c>
      <c r="R87" t="str">
        <f t="shared" si="21"/>
        <v>0</v>
      </c>
    </row>
    <row r="88" spans="1:18" x14ac:dyDescent="0.25">
      <c r="A88" t="str">
        <f t="shared" si="19"/>
        <v>Lille - Basa</v>
      </c>
      <c r="B88" t="s">
        <v>212</v>
      </c>
      <c r="C88" t="s">
        <v>13</v>
      </c>
      <c r="D88" t="s">
        <v>51</v>
      </c>
      <c r="E88" t="s">
        <v>52</v>
      </c>
      <c r="F88" t="s">
        <v>53</v>
      </c>
      <c r="G88">
        <v>17</v>
      </c>
      <c r="H88">
        <v>0</v>
      </c>
      <c r="I88">
        <v>0</v>
      </c>
      <c r="J88">
        <v>0</v>
      </c>
      <c r="K88" t="s">
        <v>263</v>
      </c>
      <c r="L88" t="s">
        <v>277</v>
      </c>
      <c r="M88">
        <f t="shared" si="22"/>
        <v>5.6</v>
      </c>
      <c r="N88">
        <f t="shared" si="23"/>
        <v>15</v>
      </c>
      <c r="O88">
        <f t="shared" si="24"/>
        <v>0</v>
      </c>
      <c r="P88">
        <f t="shared" si="25"/>
        <v>0</v>
      </c>
      <c r="Q88">
        <f t="shared" si="26"/>
        <v>0</v>
      </c>
      <c r="R88" t="str">
        <f t="shared" si="21"/>
        <v>0</v>
      </c>
    </row>
    <row r="89" spans="1:18" x14ac:dyDescent="0.25">
      <c r="A89" t="str">
        <f t="shared" si="19"/>
        <v>Lorient - Karamoko</v>
      </c>
      <c r="B89" t="s">
        <v>212</v>
      </c>
      <c r="C89" t="s">
        <v>13</v>
      </c>
      <c r="D89" t="s">
        <v>540</v>
      </c>
      <c r="E89" t="s">
        <v>541</v>
      </c>
      <c r="F89" t="s">
        <v>57</v>
      </c>
      <c r="G89">
        <v>1</v>
      </c>
      <c r="H89">
        <v>0</v>
      </c>
      <c r="I89">
        <v>0</v>
      </c>
      <c r="J89">
        <v>0</v>
      </c>
      <c r="R89" t="str">
        <f t="shared" si="21"/>
        <v/>
      </c>
    </row>
    <row r="90" spans="1:18" x14ac:dyDescent="0.25">
      <c r="A90" t="str">
        <f t="shared" si="19"/>
        <v>Bastia - Palmieri</v>
      </c>
      <c r="B90" t="s">
        <v>212</v>
      </c>
      <c r="C90" t="s">
        <v>13</v>
      </c>
      <c r="D90" t="s">
        <v>168</v>
      </c>
      <c r="E90" t="s">
        <v>169</v>
      </c>
      <c r="F90" t="s">
        <v>108</v>
      </c>
      <c r="G90">
        <v>12</v>
      </c>
      <c r="H90">
        <v>0</v>
      </c>
      <c r="I90">
        <v>0</v>
      </c>
      <c r="J90">
        <v>0</v>
      </c>
      <c r="M90">
        <f t="shared" ref="M90:M121" si="27">IF(VLOOKUP(VLOOKUP($A90,_JOUEURS,2,FALSE),_DATA,8,FALSE)=0,"",VLOOKUP(VLOOKUP($A90,_JOUEURS,2,FALSE),_DATA,8,FALSE))</f>
        <v>4.8484848484848486</v>
      </c>
      <c r="N90">
        <f t="shared" ref="N90:N121" si="28">VLOOKUP(VLOOKUP($A90,_JOUEURS,2,FALSE),_DATA,5,FALSE)</f>
        <v>33</v>
      </c>
      <c r="O90">
        <f t="shared" ref="O90:O121" si="29">VLOOKUP(VLOOKUP($A90,_JOUEURS,2,FALSE),_DATA,6,FALSE)</f>
        <v>1</v>
      </c>
      <c r="P90">
        <f t="shared" si="25"/>
        <v>2</v>
      </c>
      <c r="Q90">
        <f t="shared" ref="Q90:Q121" si="30">VLOOKUP(VLOOKUP($A90,_JOUEURS,2,FALSE),_DATA,7,FALSE)</f>
        <v>2</v>
      </c>
      <c r="R90" t="str">
        <f t="shared" si="21"/>
        <v>2</v>
      </c>
    </row>
    <row r="91" spans="1:18" x14ac:dyDescent="0.25">
      <c r="A91" t="str">
        <f t="shared" si="19"/>
        <v>Saint-Etienne - Perrin</v>
      </c>
      <c r="B91" t="s">
        <v>212</v>
      </c>
      <c r="C91" t="s">
        <v>13</v>
      </c>
      <c r="D91" t="s">
        <v>144</v>
      </c>
      <c r="E91" t="s">
        <v>145</v>
      </c>
      <c r="F91" t="s">
        <v>125</v>
      </c>
      <c r="G91">
        <v>41</v>
      </c>
      <c r="H91">
        <v>0</v>
      </c>
      <c r="I91">
        <v>0</v>
      </c>
      <c r="J91">
        <v>0</v>
      </c>
      <c r="M91">
        <f t="shared" si="27"/>
        <v>5.5</v>
      </c>
      <c r="N91">
        <f t="shared" si="28"/>
        <v>24</v>
      </c>
      <c r="O91">
        <f t="shared" si="29"/>
        <v>0</v>
      </c>
      <c r="P91">
        <f t="shared" si="25"/>
        <v>3</v>
      </c>
      <c r="Q91">
        <f t="shared" si="30"/>
        <v>3</v>
      </c>
      <c r="R91" t="str">
        <f t="shared" si="21"/>
        <v>3</v>
      </c>
    </row>
    <row r="92" spans="1:18" x14ac:dyDescent="0.25">
      <c r="A92" t="str">
        <f t="shared" si="19"/>
        <v>Angers - Saiss</v>
      </c>
      <c r="B92" t="s">
        <v>212</v>
      </c>
      <c r="C92" t="s">
        <v>13</v>
      </c>
      <c r="D92" t="s">
        <v>542</v>
      </c>
      <c r="E92" t="s">
        <v>112</v>
      </c>
      <c r="F92" t="s">
        <v>262</v>
      </c>
      <c r="G92">
        <v>7</v>
      </c>
      <c r="H92">
        <v>0</v>
      </c>
      <c r="I92">
        <v>0</v>
      </c>
      <c r="J92">
        <v>0</v>
      </c>
      <c r="M92">
        <f t="shared" si="27"/>
        <v>5.2</v>
      </c>
      <c r="N92">
        <f t="shared" si="28"/>
        <v>35</v>
      </c>
      <c r="O92">
        <f t="shared" si="29"/>
        <v>0</v>
      </c>
      <c r="P92">
        <f t="shared" si="25"/>
        <v>2</v>
      </c>
      <c r="Q92">
        <f t="shared" si="30"/>
        <v>2</v>
      </c>
      <c r="R92" t="str">
        <f t="shared" si="21"/>
        <v>2</v>
      </c>
    </row>
    <row r="93" spans="1:18" x14ac:dyDescent="0.25">
      <c r="A93" t="str">
        <f t="shared" si="19"/>
        <v>Bastia - Squillaci</v>
      </c>
      <c r="B93" t="s">
        <v>212</v>
      </c>
      <c r="C93" t="s">
        <v>13</v>
      </c>
      <c r="D93" t="s">
        <v>170</v>
      </c>
      <c r="E93" t="s">
        <v>123</v>
      </c>
      <c r="F93" t="s">
        <v>108</v>
      </c>
      <c r="G93">
        <v>16</v>
      </c>
      <c r="H93">
        <v>2</v>
      </c>
      <c r="I93">
        <v>0</v>
      </c>
      <c r="J93">
        <v>2</v>
      </c>
      <c r="K93" t="s">
        <v>254</v>
      </c>
      <c r="L93" t="s">
        <v>543</v>
      </c>
      <c r="M93">
        <f t="shared" si="27"/>
        <v>5.166666666666667</v>
      </c>
      <c r="N93">
        <f t="shared" si="28"/>
        <v>29</v>
      </c>
      <c r="O93">
        <f t="shared" si="29"/>
        <v>2</v>
      </c>
      <c r="P93">
        <f t="shared" si="25"/>
        <v>2</v>
      </c>
      <c r="Q93">
        <f t="shared" si="30"/>
        <v>2</v>
      </c>
      <c r="R93" t="str">
        <f t="shared" si="21"/>
        <v>2</v>
      </c>
    </row>
    <row r="94" spans="1:18" x14ac:dyDescent="0.25">
      <c r="A94" t="str">
        <f t="shared" si="19"/>
        <v>Saint-Etienne - Moulin</v>
      </c>
      <c r="B94" t="s">
        <v>212</v>
      </c>
      <c r="C94" t="s">
        <v>12</v>
      </c>
      <c r="D94" t="s">
        <v>544</v>
      </c>
      <c r="E94" t="s">
        <v>545</v>
      </c>
      <c r="F94" t="s">
        <v>125</v>
      </c>
      <c r="G94">
        <v>1</v>
      </c>
      <c r="H94">
        <v>0</v>
      </c>
      <c r="I94">
        <v>0</v>
      </c>
      <c r="J94">
        <v>0</v>
      </c>
      <c r="M94" t="str">
        <f t="shared" si="27"/>
        <v/>
      </c>
      <c r="N94">
        <f t="shared" si="28"/>
        <v>0</v>
      </c>
      <c r="O94">
        <f t="shared" si="29"/>
        <v>0</v>
      </c>
      <c r="P94">
        <f t="shared" si="25"/>
        <v>0</v>
      </c>
      <c r="Q94">
        <f t="shared" si="30"/>
        <v>0</v>
      </c>
      <c r="R94" t="str">
        <f t="shared" si="21"/>
        <v>0</v>
      </c>
    </row>
    <row r="95" spans="1:18" x14ac:dyDescent="0.25">
      <c r="A95" t="str">
        <f t="shared" si="19"/>
        <v>Saint-Etienne - Ruffier</v>
      </c>
      <c r="B95" t="s">
        <v>212</v>
      </c>
      <c r="C95" t="s">
        <v>12</v>
      </c>
      <c r="D95" t="s">
        <v>148</v>
      </c>
      <c r="E95" t="s">
        <v>149</v>
      </c>
      <c r="F95" t="s">
        <v>125</v>
      </c>
      <c r="G95">
        <v>37</v>
      </c>
      <c r="H95">
        <v>0</v>
      </c>
      <c r="I95">
        <v>0</v>
      </c>
      <c r="J95">
        <v>0</v>
      </c>
      <c r="K95" t="s">
        <v>546</v>
      </c>
      <c r="L95" t="s">
        <v>547</v>
      </c>
      <c r="M95">
        <f t="shared" si="27"/>
        <v>5.5263157894736841</v>
      </c>
      <c r="N95">
        <f t="shared" si="28"/>
        <v>38</v>
      </c>
      <c r="O95">
        <f t="shared" si="29"/>
        <v>0</v>
      </c>
      <c r="P95">
        <f t="shared" si="25"/>
        <v>0</v>
      </c>
      <c r="Q95">
        <f t="shared" si="30"/>
        <v>0</v>
      </c>
      <c r="R95" t="str">
        <f t="shared" si="21"/>
        <v>0</v>
      </c>
    </row>
    <row r="96" spans="1:18" x14ac:dyDescent="0.25">
      <c r="A96" t="str">
        <f t="shared" si="19"/>
        <v>Monaco - Dirar</v>
      </c>
      <c r="B96" t="s">
        <v>212</v>
      </c>
      <c r="C96" t="s">
        <v>8</v>
      </c>
      <c r="D96" t="s">
        <v>548</v>
      </c>
      <c r="E96" t="s">
        <v>513</v>
      </c>
      <c r="F96" t="s">
        <v>41</v>
      </c>
      <c r="G96">
        <v>7</v>
      </c>
      <c r="H96">
        <v>0</v>
      </c>
      <c r="I96">
        <v>0</v>
      </c>
      <c r="J96">
        <v>0</v>
      </c>
      <c r="M96">
        <f t="shared" si="27"/>
        <v>5.6111111111111107</v>
      </c>
      <c r="N96">
        <f t="shared" si="28"/>
        <v>20</v>
      </c>
      <c r="O96">
        <f t="shared" si="29"/>
        <v>0</v>
      </c>
      <c r="P96">
        <f t="shared" si="25"/>
        <v>2</v>
      </c>
      <c r="Q96">
        <f t="shared" si="30"/>
        <v>2</v>
      </c>
      <c r="R96" t="str">
        <f t="shared" si="21"/>
        <v>2</v>
      </c>
    </row>
    <row r="97" spans="1:18" x14ac:dyDescent="0.25">
      <c r="A97" t="str">
        <f t="shared" si="19"/>
        <v>Saint-Etienne - Eysseric</v>
      </c>
      <c r="B97" t="s">
        <v>212</v>
      </c>
      <c r="C97" t="s">
        <v>8</v>
      </c>
      <c r="D97" t="s">
        <v>203</v>
      </c>
      <c r="E97" t="s">
        <v>173</v>
      </c>
      <c r="F97" t="s">
        <v>125</v>
      </c>
      <c r="G97">
        <v>23</v>
      </c>
      <c r="H97">
        <v>0</v>
      </c>
      <c r="I97">
        <v>0</v>
      </c>
      <c r="J97">
        <v>0</v>
      </c>
      <c r="M97">
        <f t="shared" si="27"/>
        <v>5.1578947368421053</v>
      </c>
      <c r="N97">
        <f t="shared" si="28"/>
        <v>19</v>
      </c>
      <c r="O97">
        <f t="shared" si="29"/>
        <v>10</v>
      </c>
      <c r="P97">
        <f t="shared" si="25"/>
        <v>6</v>
      </c>
      <c r="Q97">
        <f t="shared" si="30"/>
        <v>6</v>
      </c>
      <c r="R97" t="str">
        <f t="shared" si="21"/>
        <v>6</v>
      </c>
    </row>
    <row r="98" spans="1:18" x14ac:dyDescent="0.25">
      <c r="A98" t="str">
        <f t="shared" si="19"/>
        <v>Lyon - Ferri</v>
      </c>
      <c r="B98" t="s">
        <v>212</v>
      </c>
      <c r="C98" t="s">
        <v>8</v>
      </c>
      <c r="D98" t="s">
        <v>139</v>
      </c>
      <c r="E98" t="s">
        <v>105</v>
      </c>
      <c r="F98" t="s">
        <v>47</v>
      </c>
      <c r="G98">
        <v>21</v>
      </c>
      <c r="H98">
        <v>0</v>
      </c>
      <c r="I98">
        <v>0</v>
      </c>
      <c r="J98">
        <v>0</v>
      </c>
      <c r="M98">
        <f t="shared" si="27"/>
        <v>5.4137931034482758</v>
      </c>
      <c r="N98">
        <f t="shared" si="28"/>
        <v>26</v>
      </c>
      <c r="O98">
        <f t="shared" si="29"/>
        <v>8</v>
      </c>
      <c r="P98">
        <f t="shared" si="25"/>
        <v>2</v>
      </c>
      <c r="Q98">
        <f t="shared" si="30"/>
        <v>2</v>
      </c>
      <c r="R98" t="str">
        <f t="shared" si="21"/>
        <v>2</v>
      </c>
    </row>
    <row r="99" spans="1:18" x14ac:dyDescent="0.25">
      <c r="A99" t="str">
        <f t="shared" si="19"/>
        <v>Angers - Ketkeophomphone</v>
      </c>
      <c r="B99" t="s">
        <v>212</v>
      </c>
      <c r="C99" t="s">
        <v>8</v>
      </c>
      <c r="D99" t="s">
        <v>549</v>
      </c>
      <c r="E99" t="s">
        <v>550</v>
      </c>
      <c r="F99" t="s">
        <v>262</v>
      </c>
      <c r="G99">
        <v>7</v>
      </c>
      <c r="H99">
        <v>0</v>
      </c>
      <c r="I99">
        <v>0</v>
      </c>
      <c r="J99">
        <v>0</v>
      </c>
      <c r="M99">
        <f t="shared" si="27"/>
        <v>5.03125</v>
      </c>
      <c r="N99">
        <f t="shared" si="28"/>
        <v>31</v>
      </c>
      <c r="O99">
        <f t="shared" si="29"/>
        <v>4</v>
      </c>
      <c r="P99">
        <f t="shared" si="25"/>
        <v>5</v>
      </c>
      <c r="Q99">
        <f t="shared" si="30"/>
        <v>5</v>
      </c>
      <c r="R99" t="str">
        <f t="shared" si="21"/>
        <v>5</v>
      </c>
    </row>
    <row r="100" spans="1:18" x14ac:dyDescent="0.25">
      <c r="A100" t="str">
        <f t="shared" si="19"/>
        <v>Marseille - Nkoudou Mbida</v>
      </c>
      <c r="B100" t="s">
        <v>212</v>
      </c>
      <c r="C100" t="s">
        <v>8</v>
      </c>
      <c r="D100" t="s">
        <v>551</v>
      </c>
      <c r="E100" t="s">
        <v>552</v>
      </c>
      <c r="F100" t="s">
        <v>44</v>
      </c>
      <c r="G100">
        <v>23</v>
      </c>
      <c r="H100">
        <v>0</v>
      </c>
      <c r="I100">
        <v>0</v>
      </c>
      <c r="J100">
        <v>0</v>
      </c>
      <c r="M100">
        <f t="shared" si="27"/>
        <v>5</v>
      </c>
      <c r="N100">
        <f t="shared" si="28"/>
        <v>22</v>
      </c>
      <c r="O100">
        <f t="shared" si="29"/>
        <v>6</v>
      </c>
      <c r="P100">
        <f t="shared" si="25"/>
        <v>5</v>
      </c>
      <c r="Q100">
        <f t="shared" si="30"/>
        <v>5</v>
      </c>
      <c r="R100" t="str">
        <f t="shared" si="21"/>
        <v>5</v>
      </c>
    </row>
    <row r="101" spans="1:18" x14ac:dyDescent="0.25">
      <c r="A101" t="str">
        <f t="shared" si="19"/>
        <v>Nice - Pied</v>
      </c>
      <c r="B101" t="s">
        <v>212</v>
      </c>
      <c r="C101" t="s">
        <v>8</v>
      </c>
      <c r="D101" t="s">
        <v>68</v>
      </c>
      <c r="E101" t="s">
        <v>69</v>
      </c>
      <c r="F101" t="s">
        <v>59</v>
      </c>
      <c r="G101">
        <v>10</v>
      </c>
      <c r="H101">
        <v>0</v>
      </c>
      <c r="I101">
        <v>0</v>
      </c>
      <c r="J101">
        <v>0</v>
      </c>
      <c r="M101">
        <f t="shared" si="27"/>
        <v>5.3636363636363633</v>
      </c>
      <c r="N101">
        <f t="shared" si="28"/>
        <v>33</v>
      </c>
      <c r="O101">
        <f t="shared" si="29"/>
        <v>0</v>
      </c>
      <c r="P101">
        <f t="shared" si="25"/>
        <v>0</v>
      </c>
      <c r="Q101">
        <f t="shared" si="30"/>
        <v>0</v>
      </c>
      <c r="R101" t="str">
        <f t="shared" si="21"/>
        <v>0</v>
      </c>
    </row>
    <row r="102" spans="1:18" x14ac:dyDescent="0.25">
      <c r="A102" t="str">
        <f t="shared" si="19"/>
        <v>Rennes - Quintero</v>
      </c>
      <c r="B102" t="s">
        <v>212</v>
      </c>
      <c r="C102" t="s">
        <v>8</v>
      </c>
      <c r="D102" t="s">
        <v>553</v>
      </c>
      <c r="E102" t="s">
        <v>554</v>
      </c>
      <c r="F102" t="s">
        <v>61</v>
      </c>
      <c r="G102">
        <v>18</v>
      </c>
      <c r="H102">
        <v>0</v>
      </c>
      <c r="I102">
        <v>0</v>
      </c>
      <c r="J102">
        <v>0</v>
      </c>
      <c r="M102">
        <f t="shared" si="27"/>
        <v>4.8</v>
      </c>
      <c r="N102">
        <f t="shared" si="28"/>
        <v>9</v>
      </c>
      <c r="O102">
        <f t="shared" si="29"/>
        <v>3</v>
      </c>
      <c r="P102">
        <f t="shared" si="25"/>
        <v>1</v>
      </c>
      <c r="Q102">
        <f t="shared" si="30"/>
        <v>1</v>
      </c>
      <c r="R102" t="str">
        <f t="shared" si="21"/>
        <v>1</v>
      </c>
    </row>
    <row r="103" spans="1:18" x14ac:dyDescent="0.25">
      <c r="A103" t="str">
        <f t="shared" si="19"/>
        <v>Angers - Sunu</v>
      </c>
      <c r="B103" t="s">
        <v>212</v>
      </c>
      <c r="C103" t="s">
        <v>8</v>
      </c>
      <c r="D103" t="s">
        <v>191</v>
      </c>
      <c r="E103" t="s">
        <v>167</v>
      </c>
      <c r="F103" t="s">
        <v>262</v>
      </c>
      <c r="G103">
        <v>16</v>
      </c>
      <c r="H103">
        <v>1</v>
      </c>
      <c r="I103">
        <v>0</v>
      </c>
      <c r="J103">
        <v>1</v>
      </c>
      <c r="K103" t="s">
        <v>555</v>
      </c>
      <c r="L103" t="s">
        <v>556</v>
      </c>
      <c r="M103">
        <f t="shared" si="27"/>
        <v>4.59375</v>
      </c>
      <c r="N103">
        <f t="shared" si="28"/>
        <v>32</v>
      </c>
      <c r="O103">
        <f t="shared" si="29"/>
        <v>0</v>
      </c>
      <c r="P103">
        <f t="shared" si="25"/>
        <v>2</v>
      </c>
      <c r="Q103">
        <f t="shared" si="30"/>
        <v>2</v>
      </c>
      <c r="R103" t="str">
        <f t="shared" si="21"/>
        <v>2</v>
      </c>
    </row>
    <row r="104" spans="1:18" x14ac:dyDescent="0.25">
      <c r="A104" t="str">
        <f t="shared" si="19"/>
        <v>Montpellier - Bakar</v>
      </c>
      <c r="B104" t="s">
        <v>217</v>
      </c>
      <c r="C104" t="s">
        <v>5</v>
      </c>
      <c r="D104" t="s">
        <v>557</v>
      </c>
      <c r="E104" t="s">
        <v>558</v>
      </c>
      <c r="F104" t="s">
        <v>40</v>
      </c>
      <c r="G104">
        <v>7</v>
      </c>
      <c r="H104">
        <v>0</v>
      </c>
      <c r="I104">
        <v>0</v>
      </c>
      <c r="J104">
        <v>0</v>
      </c>
      <c r="M104">
        <f t="shared" si="27"/>
        <v>3.5</v>
      </c>
      <c r="N104">
        <f t="shared" si="28"/>
        <v>2</v>
      </c>
      <c r="O104">
        <f t="shared" si="29"/>
        <v>4</v>
      </c>
      <c r="P104">
        <f t="shared" si="25"/>
        <v>0</v>
      </c>
      <c r="Q104">
        <f t="shared" si="30"/>
        <v>0</v>
      </c>
      <c r="R104" t="str">
        <f t="shared" si="21"/>
        <v>0</v>
      </c>
    </row>
    <row r="105" spans="1:18" x14ac:dyDescent="0.25">
      <c r="A105" t="str">
        <f t="shared" si="19"/>
        <v>Nantes - Bammou</v>
      </c>
      <c r="B105" t="s">
        <v>217</v>
      </c>
      <c r="C105" t="s">
        <v>5</v>
      </c>
      <c r="D105" t="s">
        <v>559</v>
      </c>
      <c r="E105" t="s">
        <v>560</v>
      </c>
      <c r="F105" t="s">
        <v>43</v>
      </c>
      <c r="G105">
        <v>48</v>
      </c>
      <c r="H105">
        <v>0</v>
      </c>
      <c r="I105">
        <v>0</v>
      </c>
      <c r="J105">
        <v>0</v>
      </c>
      <c r="M105">
        <f t="shared" si="27"/>
        <v>4.75</v>
      </c>
      <c r="N105">
        <f t="shared" si="28"/>
        <v>17</v>
      </c>
      <c r="O105">
        <f t="shared" si="29"/>
        <v>15</v>
      </c>
      <c r="P105">
        <f t="shared" si="25"/>
        <v>4</v>
      </c>
      <c r="Q105">
        <f t="shared" si="30"/>
        <v>4</v>
      </c>
      <c r="R105" t="str">
        <f t="shared" si="21"/>
        <v>4</v>
      </c>
    </row>
    <row r="106" spans="1:18" x14ac:dyDescent="0.25">
      <c r="A106" t="str">
        <f t="shared" si="19"/>
        <v>Bordeaux - Crivelli</v>
      </c>
      <c r="B106" t="s">
        <v>217</v>
      </c>
      <c r="C106" t="s">
        <v>5</v>
      </c>
      <c r="D106" t="s">
        <v>171</v>
      </c>
      <c r="E106" t="s">
        <v>172</v>
      </c>
      <c r="F106" t="s">
        <v>50</v>
      </c>
      <c r="G106">
        <v>7</v>
      </c>
      <c r="H106">
        <v>2</v>
      </c>
      <c r="I106">
        <v>0</v>
      </c>
      <c r="J106">
        <v>2</v>
      </c>
      <c r="K106" t="s">
        <v>561</v>
      </c>
      <c r="L106" t="s">
        <v>562</v>
      </c>
      <c r="M106">
        <f t="shared" si="27"/>
        <v>4.625</v>
      </c>
      <c r="N106">
        <f t="shared" si="28"/>
        <v>15</v>
      </c>
      <c r="O106">
        <f t="shared" si="29"/>
        <v>14</v>
      </c>
      <c r="P106">
        <f t="shared" si="25"/>
        <v>3</v>
      </c>
      <c r="Q106">
        <f t="shared" si="30"/>
        <v>3</v>
      </c>
      <c r="R106" t="str">
        <f t="shared" si="21"/>
        <v>3</v>
      </c>
    </row>
    <row r="107" spans="1:18" x14ac:dyDescent="0.25">
      <c r="A107" t="str">
        <f t="shared" si="19"/>
        <v>Monaco - Hélder Costa</v>
      </c>
      <c r="B107" t="s">
        <v>217</v>
      </c>
      <c r="C107" t="s">
        <v>5</v>
      </c>
      <c r="D107" t="s">
        <v>563</v>
      </c>
      <c r="F107" t="s">
        <v>41</v>
      </c>
      <c r="G107">
        <v>6</v>
      </c>
      <c r="H107">
        <v>0</v>
      </c>
      <c r="I107">
        <v>0</v>
      </c>
      <c r="J107">
        <v>0</v>
      </c>
      <c r="M107">
        <f t="shared" si="27"/>
        <v>4.9333333333333336</v>
      </c>
      <c r="N107">
        <f t="shared" si="28"/>
        <v>15</v>
      </c>
      <c r="O107">
        <f t="shared" si="29"/>
        <v>10</v>
      </c>
      <c r="P107">
        <f t="shared" si="25"/>
        <v>3</v>
      </c>
      <c r="Q107">
        <f t="shared" si="30"/>
        <v>3</v>
      </c>
      <c r="R107" t="str">
        <f t="shared" si="21"/>
        <v>3</v>
      </c>
    </row>
    <row r="108" spans="1:18" x14ac:dyDescent="0.25">
      <c r="A108" t="str">
        <f t="shared" si="19"/>
        <v>Bordeaux - Rolan</v>
      </c>
      <c r="B108" t="s">
        <v>217</v>
      </c>
      <c r="C108" t="s">
        <v>5</v>
      </c>
      <c r="D108" t="s">
        <v>95</v>
      </c>
      <c r="E108" t="s">
        <v>96</v>
      </c>
      <c r="F108" t="s">
        <v>50</v>
      </c>
      <c r="G108">
        <v>48</v>
      </c>
      <c r="H108">
        <v>0</v>
      </c>
      <c r="I108">
        <v>0</v>
      </c>
      <c r="J108">
        <v>0</v>
      </c>
      <c r="M108">
        <f t="shared" si="27"/>
        <v>4.9130434782608692</v>
      </c>
      <c r="N108">
        <f t="shared" si="28"/>
        <v>22</v>
      </c>
      <c r="O108">
        <f t="shared" si="29"/>
        <v>9</v>
      </c>
      <c r="P108">
        <f t="shared" si="25"/>
        <v>7</v>
      </c>
      <c r="Q108">
        <f t="shared" si="30"/>
        <v>7</v>
      </c>
      <c r="R108" t="str">
        <f t="shared" si="21"/>
        <v>7</v>
      </c>
    </row>
    <row r="109" spans="1:18" x14ac:dyDescent="0.25">
      <c r="A109" t="str">
        <f t="shared" si="19"/>
        <v>Saint-Etienne - Roux</v>
      </c>
      <c r="B109" t="s">
        <v>217</v>
      </c>
      <c r="C109" t="s">
        <v>5</v>
      </c>
      <c r="D109" t="s">
        <v>142</v>
      </c>
      <c r="E109" t="s">
        <v>143</v>
      </c>
      <c r="F109" t="s">
        <v>125</v>
      </c>
      <c r="G109">
        <v>49</v>
      </c>
      <c r="H109">
        <v>0</v>
      </c>
      <c r="I109">
        <v>0</v>
      </c>
      <c r="J109">
        <v>0</v>
      </c>
      <c r="M109">
        <f t="shared" si="27"/>
        <v>4.9090909090909092</v>
      </c>
      <c r="N109">
        <f t="shared" si="28"/>
        <v>21</v>
      </c>
      <c r="O109">
        <f t="shared" si="29"/>
        <v>8</v>
      </c>
      <c r="P109">
        <f t="shared" si="25"/>
        <v>9</v>
      </c>
      <c r="Q109">
        <f t="shared" si="30"/>
        <v>9</v>
      </c>
      <c r="R109" t="str">
        <f t="shared" si="21"/>
        <v>9</v>
      </c>
    </row>
    <row r="110" spans="1:18" x14ac:dyDescent="0.25">
      <c r="A110" t="str">
        <f t="shared" si="19"/>
        <v>Bordeaux - Thelin</v>
      </c>
      <c r="B110" t="s">
        <v>217</v>
      </c>
      <c r="C110" t="s">
        <v>5</v>
      </c>
      <c r="D110" t="s">
        <v>564</v>
      </c>
      <c r="E110" t="s">
        <v>565</v>
      </c>
      <c r="F110" t="s">
        <v>50</v>
      </c>
      <c r="G110">
        <v>9</v>
      </c>
      <c r="H110">
        <v>0</v>
      </c>
      <c r="I110">
        <v>0</v>
      </c>
      <c r="J110">
        <v>0</v>
      </c>
      <c r="M110">
        <f t="shared" si="27"/>
        <v>4</v>
      </c>
      <c r="N110">
        <f t="shared" si="28"/>
        <v>3</v>
      </c>
      <c r="O110">
        <f t="shared" si="29"/>
        <v>4</v>
      </c>
      <c r="P110">
        <f t="shared" si="25"/>
        <v>0</v>
      </c>
      <c r="Q110">
        <f t="shared" si="30"/>
        <v>0</v>
      </c>
      <c r="R110" t="str">
        <f t="shared" si="21"/>
        <v>0</v>
      </c>
    </row>
    <row r="111" spans="1:18" x14ac:dyDescent="0.25">
      <c r="A111" t="str">
        <f t="shared" si="19"/>
        <v>Ajaccio - Bréchet</v>
      </c>
      <c r="B111" t="s">
        <v>217</v>
      </c>
      <c r="C111" t="s">
        <v>13</v>
      </c>
      <c r="D111" t="s">
        <v>566</v>
      </c>
      <c r="E111" t="s">
        <v>567</v>
      </c>
      <c r="F111" t="s">
        <v>265</v>
      </c>
      <c r="G111">
        <v>3</v>
      </c>
      <c r="H111">
        <v>0</v>
      </c>
      <c r="I111">
        <v>0</v>
      </c>
      <c r="J111">
        <v>0</v>
      </c>
      <c r="M111">
        <f t="shared" si="27"/>
        <v>4.8571428571428568</v>
      </c>
      <c r="N111">
        <f t="shared" si="28"/>
        <v>23</v>
      </c>
      <c r="O111">
        <f t="shared" si="29"/>
        <v>0</v>
      </c>
      <c r="P111">
        <f t="shared" si="25"/>
        <v>0</v>
      </c>
      <c r="Q111">
        <f t="shared" si="30"/>
        <v>0</v>
      </c>
      <c r="R111" t="str">
        <f t="shared" si="21"/>
        <v>0</v>
      </c>
    </row>
    <row r="112" spans="1:18" x14ac:dyDescent="0.25">
      <c r="A112" t="str">
        <f t="shared" si="19"/>
        <v>Lille - Civelli</v>
      </c>
      <c r="B112" t="s">
        <v>217</v>
      </c>
      <c r="C112" t="s">
        <v>13</v>
      </c>
      <c r="D112" t="s">
        <v>282</v>
      </c>
      <c r="E112" t="s">
        <v>283</v>
      </c>
      <c r="F112" t="s">
        <v>53</v>
      </c>
      <c r="G112">
        <v>13</v>
      </c>
      <c r="H112">
        <v>0</v>
      </c>
      <c r="I112">
        <v>0</v>
      </c>
      <c r="J112">
        <v>0</v>
      </c>
      <c r="K112" t="s">
        <v>568</v>
      </c>
      <c r="L112" t="s">
        <v>569</v>
      </c>
      <c r="M112">
        <f t="shared" si="27"/>
        <v>5.15625</v>
      </c>
      <c r="N112">
        <f t="shared" si="28"/>
        <v>32</v>
      </c>
      <c r="O112">
        <f t="shared" si="29"/>
        <v>0</v>
      </c>
      <c r="P112">
        <f t="shared" si="25"/>
        <v>0</v>
      </c>
      <c r="Q112">
        <f t="shared" si="30"/>
        <v>0</v>
      </c>
      <c r="R112" t="str">
        <f t="shared" si="21"/>
        <v>0</v>
      </c>
    </row>
    <row r="113" spans="1:18" x14ac:dyDescent="0.25">
      <c r="A113" t="str">
        <f t="shared" si="19"/>
        <v>Paris - David Luiz</v>
      </c>
      <c r="B113" t="s">
        <v>217</v>
      </c>
      <c r="C113" t="s">
        <v>13</v>
      </c>
      <c r="D113" t="s">
        <v>14</v>
      </c>
      <c r="F113" t="s">
        <v>67</v>
      </c>
      <c r="G113">
        <v>63</v>
      </c>
      <c r="H113">
        <v>0</v>
      </c>
      <c r="I113">
        <v>0</v>
      </c>
      <c r="J113">
        <v>0</v>
      </c>
      <c r="M113">
        <f t="shared" si="27"/>
        <v>5.5217391304347823</v>
      </c>
      <c r="N113">
        <f t="shared" si="28"/>
        <v>23</v>
      </c>
      <c r="O113">
        <f t="shared" si="29"/>
        <v>2</v>
      </c>
      <c r="P113">
        <f t="shared" si="25"/>
        <v>1</v>
      </c>
      <c r="Q113">
        <f t="shared" si="30"/>
        <v>1</v>
      </c>
      <c r="R113" t="str">
        <f t="shared" si="21"/>
        <v>1</v>
      </c>
    </row>
    <row r="114" spans="1:18" x14ac:dyDescent="0.25">
      <c r="A114" t="str">
        <f t="shared" si="19"/>
        <v>Marseille - Isla</v>
      </c>
      <c r="B114" t="s">
        <v>217</v>
      </c>
      <c r="C114" t="s">
        <v>13</v>
      </c>
      <c r="D114" t="s">
        <v>284</v>
      </c>
      <c r="E114" t="s">
        <v>285</v>
      </c>
      <c r="F114" t="s">
        <v>44</v>
      </c>
      <c r="G114">
        <v>9</v>
      </c>
      <c r="H114">
        <v>0</v>
      </c>
      <c r="I114">
        <v>1</v>
      </c>
      <c r="J114">
        <v>1</v>
      </c>
      <c r="K114" t="s">
        <v>570</v>
      </c>
      <c r="L114" t="s">
        <v>571</v>
      </c>
      <c r="M114">
        <f t="shared" si="27"/>
        <v>5.5</v>
      </c>
      <c r="N114">
        <f t="shared" si="28"/>
        <v>20</v>
      </c>
      <c r="O114">
        <f t="shared" si="29"/>
        <v>3</v>
      </c>
      <c r="P114">
        <f t="shared" si="25"/>
        <v>2</v>
      </c>
      <c r="Q114">
        <f t="shared" si="30"/>
        <v>2</v>
      </c>
      <c r="R114" t="str">
        <f t="shared" si="21"/>
        <v>2</v>
      </c>
    </row>
    <row r="115" spans="1:18" x14ac:dyDescent="0.25">
      <c r="A115" t="str">
        <f t="shared" si="19"/>
        <v>Marseille - Rolando</v>
      </c>
      <c r="B115" t="s">
        <v>217</v>
      </c>
      <c r="C115" t="s">
        <v>13</v>
      </c>
      <c r="D115" t="s">
        <v>239</v>
      </c>
      <c r="F115" t="s">
        <v>44</v>
      </c>
      <c r="G115">
        <v>5</v>
      </c>
      <c r="H115">
        <v>0</v>
      </c>
      <c r="I115">
        <v>0</v>
      </c>
      <c r="J115">
        <v>0</v>
      </c>
      <c r="K115" t="s">
        <v>258</v>
      </c>
      <c r="L115" t="s">
        <v>261</v>
      </c>
      <c r="M115">
        <f t="shared" si="27"/>
        <v>5.0555555555555554</v>
      </c>
      <c r="N115">
        <f t="shared" si="28"/>
        <v>18</v>
      </c>
      <c r="O115">
        <f t="shared" si="29"/>
        <v>1</v>
      </c>
      <c r="P115">
        <f t="shared" si="25"/>
        <v>1</v>
      </c>
      <c r="Q115">
        <f t="shared" si="30"/>
        <v>1</v>
      </c>
      <c r="R115" t="str">
        <f t="shared" si="21"/>
        <v>1</v>
      </c>
    </row>
    <row r="116" spans="1:18" x14ac:dyDescent="0.25">
      <c r="A116" t="str">
        <f t="shared" si="19"/>
        <v>Montpellier - Roussillon</v>
      </c>
      <c r="B116" t="s">
        <v>217</v>
      </c>
      <c r="C116" t="s">
        <v>13</v>
      </c>
      <c r="D116" t="s">
        <v>572</v>
      </c>
      <c r="E116" t="s">
        <v>573</v>
      </c>
      <c r="F116" t="s">
        <v>40</v>
      </c>
      <c r="G116">
        <v>9</v>
      </c>
      <c r="H116">
        <v>0</v>
      </c>
      <c r="I116">
        <v>0</v>
      </c>
      <c r="J116">
        <v>0</v>
      </c>
      <c r="M116">
        <f t="shared" si="27"/>
        <v>5.28125</v>
      </c>
      <c r="N116">
        <f t="shared" si="28"/>
        <v>31</v>
      </c>
      <c r="O116">
        <f t="shared" si="29"/>
        <v>2</v>
      </c>
      <c r="P116">
        <f t="shared" si="25"/>
        <v>3</v>
      </c>
      <c r="Q116">
        <f t="shared" si="30"/>
        <v>3</v>
      </c>
      <c r="R116" t="str">
        <f t="shared" si="21"/>
        <v>3</v>
      </c>
    </row>
    <row r="117" spans="1:18" x14ac:dyDescent="0.25">
      <c r="A117" t="str">
        <f t="shared" si="19"/>
        <v>Reims - Weber</v>
      </c>
      <c r="B117" t="s">
        <v>217</v>
      </c>
      <c r="C117" t="s">
        <v>13</v>
      </c>
      <c r="D117" t="s">
        <v>574</v>
      </c>
      <c r="E117" t="s">
        <v>91</v>
      </c>
      <c r="F117" t="s">
        <v>104</v>
      </c>
      <c r="G117">
        <v>7</v>
      </c>
      <c r="H117">
        <v>0</v>
      </c>
      <c r="I117">
        <v>0</v>
      </c>
      <c r="J117">
        <v>0</v>
      </c>
      <c r="M117">
        <f t="shared" si="27"/>
        <v>4.8888888888888893</v>
      </c>
      <c r="N117">
        <f t="shared" si="28"/>
        <v>19</v>
      </c>
      <c r="O117">
        <f t="shared" si="29"/>
        <v>0</v>
      </c>
      <c r="P117">
        <f t="shared" si="25"/>
        <v>1</v>
      </c>
      <c r="Q117">
        <f t="shared" si="30"/>
        <v>1</v>
      </c>
      <c r="R117" t="str">
        <f t="shared" si="21"/>
        <v>1</v>
      </c>
    </row>
    <row r="118" spans="1:18" x14ac:dyDescent="0.25">
      <c r="A118" t="str">
        <f t="shared" si="19"/>
        <v>Lille - Enyeama</v>
      </c>
      <c r="B118" t="s">
        <v>217</v>
      </c>
      <c r="C118" t="s">
        <v>12</v>
      </c>
      <c r="D118" t="s">
        <v>114</v>
      </c>
      <c r="E118" t="s">
        <v>115</v>
      </c>
      <c r="F118" t="s">
        <v>53</v>
      </c>
      <c r="G118">
        <v>62</v>
      </c>
      <c r="H118">
        <v>0</v>
      </c>
      <c r="I118">
        <v>0</v>
      </c>
      <c r="J118">
        <v>0</v>
      </c>
      <c r="K118" t="s">
        <v>258</v>
      </c>
      <c r="L118" t="s">
        <v>575</v>
      </c>
      <c r="M118">
        <f t="shared" si="27"/>
        <v>5.6</v>
      </c>
      <c r="N118">
        <f t="shared" si="28"/>
        <v>35</v>
      </c>
      <c r="O118">
        <f t="shared" si="29"/>
        <v>0</v>
      </c>
      <c r="P118">
        <f t="shared" si="25"/>
        <v>0</v>
      </c>
      <c r="Q118">
        <f t="shared" si="30"/>
        <v>0</v>
      </c>
      <c r="R118" t="str">
        <f t="shared" si="21"/>
        <v>0</v>
      </c>
    </row>
    <row r="119" spans="1:18" x14ac:dyDescent="0.25">
      <c r="A119" t="str">
        <f t="shared" si="19"/>
        <v>Ajaccio - Maury</v>
      </c>
      <c r="B119" t="s">
        <v>217</v>
      </c>
      <c r="C119" t="s">
        <v>12</v>
      </c>
      <c r="D119" t="s">
        <v>211</v>
      </c>
      <c r="E119" t="s">
        <v>138</v>
      </c>
      <c r="F119" t="s">
        <v>265</v>
      </c>
      <c r="G119">
        <v>17</v>
      </c>
      <c r="H119">
        <v>0</v>
      </c>
      <c r="I119">
        <v>0</v>
      </c>
      <c r="J119">
        <v>0</v>
      </c>
      <c r="M119">
        <f t="shared" si="27"/>
        <v>4.9117647058823533</v>
      </c>
      <c r="N119">
        <f t="shared" si="28"/>
        <v>34</v>
      </c>
      <c r="O119">
        <f t="shared" si="29"/>
        <v>0</v>
      </c>
      <c r="P119">
        <f t="shared" si="25"/>
        <v>0</v>
      </c>
      <c r="Q119">
        <f t="shared" si="30"/>
        <v>0</v>
      </c>
      <c r="R119" t="str">
        <f t="shared" si="21"/>
        <v>0</v>
      </c>
    </row>
    <row r="120" spans="1:18" x14ac:dyDescent="0.25">
      <c r="A120" t="str">
        <f t="shared" si="19"/>
        <v>Guingamp - Samassa</v>
      </c>
      <c r="B120" t="s">
        <v>217</v>
      </c>
      <c r="C120" t="s">
        <v>12</v>
      </c>
      <c r="D120" t="s">
        <v>576</v>
      </c>
      <c r="E120" t="s">
        <v>577</v>
      </c>
      <c r="F120" t="s">
        <v>70</v>
      </c>
      <c r="G120">
        <v>3</v>
      </c>
      <c r="H120">
        <v>0</v>
      </c>
      <c r="I120">
        <v>0</v>
      </c>
      <c r="J120">
        <v>0</v>
      </c>
      <c r="M120">
        <f t="shared" si="27"/>
        <v>5</v>
      </c>
      <c r="N120">
        <f t="shared" si="28"/>
        <v>1</v>
      </c>
      <c r="O120">
        <f t="shared" si="29"/>
        <v>0</v>
      </c>
      <c r="P120">
        <f t="shared" si="25"/>
        <v>0</v>
      </c>
      <c r="Q120">
        <f t="shared" si="30"/>
        <v>0</v>
      </c>
      <c r="R120" t="str">
        <f t="shared" si="21"/>
        <v>0</v>
      </c>
    </row>
    <row r="121" spans="1:18" x14ac:dyDescent="0.25">
      <c r="A121" t="str">
        <f t="shared" si="19"/>
        <v>Lille - Boufal</v>
      </c>
      <c r="B121" t="s">
        <v>217</v>
      </c>
      <c r="C121" t="s">
        <v>8</v>
      </c>
      <c r="D121" t="s">
        <v>286</v>
      </c>
      <c r="E121" t="s">
        <v>287</v>
      </c>
      <c r="F121" t="s">
        <v>53</v>
      </c>
      <c r="G121">
        <v>54</v>
      </c>
      <c r="H121">
        <v>3</v>
      </c>
      <c r="I121">
        <v>1</v>
      </c>
      <c r="J121">
        <v>4</v>
      </c>
      <c r="K121" t="s">
        <v>256</v>
      </c>
      <c r="L121" t="s">
        <v>256</v>
      </c>
      <c r="M121">
        <f t="shared" si="27"/>
        <v>5.8148148148148149</v>
      </c>
      <c r="N121">
        <f t="shared" si="28"/>
        <v>27</v>
      </c>
      <c r="O121">
        <f t="shared" si="29"/>
        <v>2</v>
      </c>
      <c r="P121">
        <f t="shared" si="25"/>
        <v>11</v>
      </c>
      <c r="Q121">
        <f t="shared" si="30"/>
        <v>11</v>
      </c>
      <c r="R121" t="str">
        <f t="shared" si="21"/>
        <v>11</v>
      </c>
    </row>
    <row r="122" spans="1:18" x14ac:dyDescent="0.25">
      <c r="A122" t="str">
        <f t="shared" si="19"/>
        <v>Ajaccio - Feddaoui</v>
      </c>
      <c r="B122" t="s">
        <v>217</v>
      </c>
      <c r="C122" t="s">
        <v>8</v>
      </c>
      <c r="D122" t="s">
        <v>267</v>
      </c>
      <c r="E122" t="s">
        <v>268</v>
      </c>
      <c r="F122" t="s">
        <v>265</v>
      </c>
      <c r="G122">
        <v>1</v>
      </c>
      <c r="H122">
        <v>0</v>
      </c>
      <c r="I122">
        <v>0</v>
      </c>
      <c r="J122">
        <v>0</v>
      </c>
      <c r="R122" t="str">
        <f t="shared" si="21"/>
        <v/>
      </c>
    </row>
    <row r="123" spans="1:18" x14ac:dyDescent="0.25">
      <c r="A123" t="str">
        <f t="shared" si="19"/>
        <v>Monaco - Lemar</v>
      </c>
      <c r="B123" t="s">
        <v>217</v>
      </c>
      <c r="C123" t="s">
        <v>8</v>
      </c>
      <c r="D123" t="s">
        <v>177</v>
      </c>
      <c r="E123" t="s">
        <v>49</v>
      </c>
      <c r="F123" t="s">
        <v>41</v>
      </c>
      <c r="G123">
        <v>13</v>
      </c>
      <c r="H123">
        <v>2</v>
      </c>
      <c r="I123">
        <v>0</v>
      </c>
      <c r="J123">
        <v>2</v>
      </c>
      <c r="K123" t="s">
        <v>578</v>
      </c>
      <c r="L123" t="s">
        <v>578</v>
      </c>
      <c r="M123">
        <f t="shared" ref="M123:M154" si="31">IF(VLOOKUP(VLOOKUP($A123,_JOUEURS,2,FALSE),_DATA,8,FALSE)=0,"",VLOOKUP(VLOOKUP($A123,_JOUEURS,2,FALSE),_DATA,8,FALSE))</f>
        <v>5.7619047619047619</v>
      </c>
      <c r="N123">
        <f t="shared" ref="N123:N154" si="32">VLOOKUP(VLOOKUP($A123,_JOUEURS,2,FALSE),_DATA,5,FALSE)</f>
        <v>20</v>
      </c>
      <c r="O123">
        <f t="shared" ref="O123:O154" si="33">VLOOKUP(VLOOKUP($A123,_JOUEURS,2,FALSE),_DATA,6,FALSE)</f>
        <v>6</v>
      </c>
      <c r="P123">
        <f t="shared" si="25"/>
        <v>5</v>
      </c>
      <c r="Q123">
        <f t="shared" ref="Q123:Q154" si="34">VLOOKUP(VLOOKUP($A123,_JOUEURS,2,FALSE),_DATA,7,FALSE)</f>
        <v>5</v>
      </c>
      <c r="R123" t="str">
        <f t="shared" si="21"/>
        <v>5</v>
      </c>
    </row>
    <row r="124" spans="1:18" x14ac:dyDescent="0.25">
      <c r="A124" t="str">
        <f t="shared" si="19"/>
        <v>Paris - Lucas Moura</v>
      </c>
      <c r="B124" t="s">
        <v>217</v>
      </c>
      <c r="C124" t="s">
        <v>8</v>
      </c>
      <c r="D124" t="s">
        <v>390</v>
      </c>
      <c r="F124" t="s">
        <v>67</v>
      </c>
      <c r="G124">
        <v>42</v>
      </c>
      <c r="H124">
        <v>0</v>
      </c>
      <c r="I124">
        <v>0</v>
      </c>
      <c r="J124">
        <v>0</v>
      </c>
      <c r="M124">
        <f t="shared" si="31"/>
        <v>5.666666666666667</v>
      </c>
      <c r="N124">
        <f t="shared" si="32"/>
        <v>26</v>
      </c>
      <c r="O124">
        <f t="shared" si="33"/>
        <v>10</v>
      </c>
      <c r="P124">
        <f t="shared" si="25"/>
        <v>9</v>
      </c>
      <c r="Q124">
        <f t="shared" si="34"/>
        <v>9</v>
      </c>
      <c r="R124" t="str">
        <f t="shared" si="21"/>
        <v>9</v>
      </c>
    </row>
    <row r="125" spans="1:18" x14ac:dyDescent="0.25">
      <c r="A125" t="str">
        <f t="shared" si="19"/>
        <v>Nice - Mendy</v>
      </c>
      <c r="B125" t="s">
        <v>217</v>
      </c>
      <c r="C125" t="s">
        <v>8</v>
      </c>
      <c r="D125" t="s">
        <v>579</v>
      </c>
      <c r="E125" t="s">
        <v>46</v>
      </c>
      <c r="F125" t="s">
        <v>59</v>
      </c>
      <c r="G125">
        <v>1</v>
      </c>
      <c r="H125">
        <v>0</v>
      </c>
      <c r="I125">
        <v>0</v>
      </c>
      <c r="J125">
        <v>0</v>
      </c>
      <c r="M125">
        <f t="shared" si="31"/>
        <v>4</v>
      </c>
      <c r="N125">
        <f t="shared" si="32"/>
        <v>3</v>
      </c>
      <c r="O125">
        <f t="shared" si="33"/>
        <v>14</v>
      </c>
      <c r="P125">
        <f t="shared" si="25"/>
        <v>1</v>
      </c>
      <c r="Q125">
        <f t="shared" si="34"/>
        <v>1</v>
      </c>
      <c r="R125" t="str">
        <f t="shared" si="21"/>
        <v>1</v>
      </c>
    </row>
    <row r="126" spans="1:18" x14ac:dyDescent="0.25">
      <c r="A126" t="str">
        <f t="shared" si="19"/>
        <v>Nice - Mendy</v>
      </c>
      <c r="B126" t="s">
        <v>217</v>
      </c>
      <c r="C126" t="s">
        <v>8</v>
      </c>
      <c r="D126" t="s">
        <v>579</v>
      </c>
      <c r="E126" t="s">
        <v>288</v>
      </c>
      <c r="F126" t="s">
        <v>59</v>
      </c>
      <c r="G126">
        <v>18</v>
      </c>
      <c r="H126">
        <v>1</v>
      </c>
      <c r="I126">
        <v>0</v>
      </c>
      <c r="J126">
        <v>1</v>
      </c>
      <c r="K126" t="s">
        <v>543</v>
      </c>
      <c r="L126" t="s">
        <v>274</v>
      </c>
      <c r="M126">
        <f t="shared" si="31"/>
        <v>4</v>
      </c>
      <c r="N126">
        <f t="shared" si="32"/>
        <v>3</v>
      </c>
      <c r="O126">
        <f t="shared" si="33"/>
        <v>14</v>
      </c>
      <c r="P126">
        <f t="shared" si="25"/>
        <v>1</v>
      </c>
      <c r="Q126">
        <f t="shared" si="34"/>
        <v>1</v>
      </c>
      <c r="R126" t="str">
        <f t="shared" si="21"/>
        <v>1</v>
      </c>
    </row>
    <row r="127" spans="1:18" x14ac:dyDescent="0.25">
      <c r="A127" t="str">
        <f t="shared" si="19"/>
        <v>Bordeaux - Ounas</v>
      </c>
      <c r="B127" t="s">
        <v>217</v>
      </c>
      <c r="C127" t="s">
        <v>8</v>
      </c>
      <c r="D127" t="s">
        <v>580</v>
      </c>
      <c r="E127" t="s">
        <v>581</v>
      </c>
      <c r="F127" t="s">
        <v>50</v>
      </c>
      <c r="G127">
        <v>1</v>
      </c>
      <c r="H127">
        <v>0</v>
      </c>
      <c r="I127">
        <v>0</v>
      </c>
      <c r="J127">
        <v>0</v>
      </c>
      <c r="M127">
        <f t="shared" si="31"/>
        <v>5.125</v>
      </c>
      <c r="N127">
        <f t="shared" si="32"/>
        <v>15</v>
      </c>
      <c r="O127">
        <f t="shared" si="33"/>
        <v>8</v>
      </c>
      <c r="P127">
        <f t="shared" si="25"/>
        <v>5</v>
      </c>
      <c r="Q127">
        <f t="shared" si="34"/>
        <v>5</v>
      </c>
      <c r="R127" t="str">
        <f t="shared" si="21"/>
        <v>5</v>
      </c>
    </row>
    <row r="128" spans="1:18" x14ac:dyDescent="0.25">
      <c r="A128" t="str">
        <f t="shared" si="19"/>
        <v>Lorient - Philippoteaux</v>
      </c>
      <c r="B128" t="s">
        <v>217</v>
      </c>
      <c r="C128" t="s">
        <v>8</v>
      </c>
      <c r="D128" t="s">
        <v>253</v>
      </c>
      <c r="E128" t="s">
        <v>112</v>
      </c>
      <c r="F128" t="s">
        <v>57</v>
      </c>
      <c r="G128">
        <v>5</v>
      </c>
      <c r="H128">
        <v>0</v>
      </c>
      <c r="I128">
        <v>0</v>
      </c>
      <c r="J128">
        <v>0</v>
      </c>
      <c r="M128">
        <f t="shared" si="31"/>
        <v>4.5625</v>
      </c>
      <c r="N128">
        <f t="shared" si="32"/>
        <v>16</v>
      </c>
      <c r="O128">
        <f t="shared" si="33"/>
        <v>15</v>
      </c>
      <c r="P128">
        <f t="shared" si="25"/>
        <v>0</v>
      </c>
      <c r="Q128">
        <f t="shared" si="34"/>
        <v>0</v>
      </c>
      <c r="R128" t="str">
        <f t="shared" si="21"/>
        <v>0</v>
      </c>
    </row>
    <row r="129" spans="1:18" x14ac:dyDescent="0.25">
      <c r="A129" t="str">
        <f t="shared" si="19"/>
        <v>Caen - Bazile</v>
      </c>
      <c r="B129" t="s">
        <v>216</v>
      </c>
      <c r="C129" t="s">
        <v>5</v>
      </c>
      <c r="D129" t="s">
        <v>582</v>
      </c>
      <c r="E129" t="s">
        <v>583</v>
      </c>
      <c r="F129" t="s">
        <v>56</v>
      </c>
      <c r="G129">
        <v>12</v>
      </c>
      <c r="H129">
        <v>0</v>
      </c>
      <c r="I129">
        <v>0</v>
      </c>
      <c r="J129">
        <v>0</v>
      </c>
      <c r="M129">
        <f t="shared" si="31"/>
        <v>4.615384615384615</v>
      </c>
      <c r="N129">
        <f t="shared" si="32"/>
        <v>11</v>
      </c>
      <c r="O129">
        <f t="shared" si="33"/>
        <v>13</v>
      </c>
      <c r="P129">
        <f t="shared" si="25"/>
        <v>0</v>
      </c>
      <c r="Q129">
        <f t="shared" si="34"/>
        <v>0</v>
      </c>
      <c r="R129" t="str">
        <f t="shared" si="21"/>
        <v>0</v>
      </c>
    </row>
    <row r="130" spans="1:18" x14ac:dyDescent="0.25">
      <c r="A130" t="str">
        <f t="shared" si="19"/>
        <v>Montpellier - Camara</v>
      </c>
      <c r="B130" t="s">
        <v>216</v>
      </c>
      <c r="C130" t="s">
        <v>5</v>
      </c>
      <c r="D130" t="s">
        <v>130</v>
      </c>
      <c r="E130" t="s">
        <v>131</v>
      </c>
      <c r="F130" t="s">
        <v>40</v>
      </c>
      <c r="G130">
        <v>10</v>
      </c>
      <c r="H130">
        <v>3</v>
      </c>
      <c r="I130">
        <v>0</v>
      </c>
      <c r="J130">
        <v>3</v>
      </c>
      <c r="K130" t="s">
        <v>584</v>
      </c>
      <c r="L130" t="s">
        <v>585</v>
      </c>
      <c r="M130">
        <f t="shared" si="31"/>
        <v>5.0434782608695654</v>
      </c>
      <c r="N130">
        <f t="shared" si="32"/>
        <v>22</v>
      </c>
      <c r="O130">
        <f t="shared" si="33"/>
        <v>11</v>
      </c>
      <c r="P130">
        <f t="shared" si="25"/>
        <v>7</v>
      </c>
      <c r="Q130">
        <f t="shared" si="34"/>
        <v>7</v>
      </c>
      <c r="R130" t="str">
        <f t="shared" si="21"/>
        <v>7</v>
      </c>
    </row>
    <row r="131" spans="1:18" x14ac:dyDescent="0.25">
      <c r="A131" t="str">
        <f t="shared" si="19"/>
        <v>Paris - Ibrahimovic</v>
      </c>
      <c r="B131" t="s">
        <v>216</v>
      </c>
      <c r="C131" t="s">
        <v>5</v>
      </c>
      <c r="D131" t="s">
        <v>85</v>
      </c>
      <c r="E131" t="s">
        <v>86</v>
      </c>
      <c r="F131" t="s">
        <v>67</v>
      </c>
      <c r="G131">
        <v>166</v>
      </c>
      <c r="H131">
        <v>0</v>
      </c>
      <c r="I131">
        <v>0</v>
      </c>
      <c r="J131">
        <v>0</v>
      </c>
      <c r="M131">
        <f t="shared" si="31"/>
        <v>7.1034482758620694</v>
      </c>
      <c r="N131">
        <f t="shared" si="32"/>
        <v>29</v>
      </c>
      <c r="O131">
        <f t="shared" si="33"/>
        <v>2</v>
      </c>
      <c r="P131">
        <f t="shared" si="25"/>
        <v>38</v>
      </c>
      <c r="Q131">
        <f t="shared" si="34"/>
        <v>38</v>
      </c>
      <c r="R131" t="str">
        <f t="shared" si="21"/>
        <v>38</v>
      </c>
    </row>
    <row r="132" spans="1:18" x14ac:dyDescent="0.25">
      <c r="A132" t="str">
        <f t="shared" ref="A132:A194" si="35">F132 &amp; " - " &amp; D132</f>
        <v>Lyon - Lacazette</v>
      </c>
      <c r="B132" t="s">
        <v>216</v>
      </c>
      <c r="C132" t="s">
        <v>5</v>
      </c>
      <c r="D132" t="s">
        <v>45</v>
      </c>
      <c r="E132" t="s">
        <v>46</v>
      </c>
      <c r="F132" t="s">
        <v>47</v>
      </c>
      <c r="G132">
        <v>38</v>
      </c>
      <c r="H132">
        <v>0</v>
      </c>
      <c r="I132">
        <v>0</v>
      </c>
      <c r="J132">
        <v>0</v>
      </c>
      <c r="M132">
        <f t="shared" si="31"/>
        <v>5.617647058823529</v>
      </c>
      <c r="N132">
        <f t="shared" si="32"/>
        <v>34</v>
      </c>
      <c r="O132">
        <f t="shared" si="33"/>
        <v>0</v>
      </c>
      <c r="P132">
        <f t="shared" si="25"/>
        <v>21</v>
      </c>
      <c r="Q132">
        <f t="shared" si="34"/>
        <v>21</v>
      </c>
      <c r="R132" t="str">
        <f t="shared" ref="R132:R194" si="36">SUBSTITUTE(SUBSTITUTE(SUBSTITUTE(Q132," / ",""),"(-1)",""),"(-2)","")</f>
        <v>21</v>
      </c>
    </row>
    <row r="133" spans="1:18" x14ac:dyDescent="0.25">
      <c r="A133" t="str">
        <f t="shared" si="35"/>
        <v>Angers - Sissoko</v>
      </c>
      <c r="B133" t="s">
        <v>216</v>
      </c>
      <c r="C133" t="s">
        <v>5</v>
      </c>
      <c r="D133" t="s">
        <v>586</v>
      </c>
      <c r="E133" t="s">
        <v>587</v>
      </c>
      <c r="F133" t="s">
        <v>262</v>
      </c>
      <c r="G133">
        <v>1</v>
      </c>
      <c r="H133">
        <v>0</v>
      </c>
      <c r="I133">
        <v>0</v>
      </c>
      <c r="J133">
        <v>0</v>
      </c>
      <c r="M133">
        <f t="shared" si="31"/>
        <v>4</v>
      </c>
      <c r="N133">
        <f t="shared" si="32"/>
        <v>2</v>
      </c>
      <c r="O133">
        <f t="shared" si="33"/>
        <v>10</v>
      </c>
      <c r="P133">
        <f t="shared" ref="P133:P193" si="37">VALUE(IF(R133="",0,R133))</f>
        <v>0</v>
      </c>
      <c r="Q133">
        <f t="shared" si="34"/>
        <v>0</v>
      </c>
      <c r="R133" t="str">
        <f t="shared" si="36"/>
        <v>0</v>
      </c>
    </row>
    <row r="134" spans="1:18" x14ac:dyDescent="0.25">
      <c r="A134" t="str">
        <f t="shared" si="35"/>
        <v>Bastia - Cioni</v>
      </c>
      <c r="B134" t="s">
        <v>216</v>
      </c>
      <c r="C134" t="s">
        <v>13</v>
      </c>
      <c r="D134" t="s">
        <v>588</v>
      </c>
      <c r="E134" t="s">
        <v>167</v>
      </c>
      <c r="F134" t="s">
        <v>108</v>
      </c>
      <c r="G134">
        <v>4</v>
      </c>
      <c r="H134">
        <v>0</v>
      </c>
      <c r="I134">
        <v>0</v>
      </c>
      <c r="J134">
        <v>0</v>
      </c>
      <c r="M134">
        <f t="shared" si="31"/>
        <v>4.7222222222222223</v>
      </c>
      <c r="N134">
        <f t="shared" si="32"/>
        <v>17</v>
      </c>
      <c r="O134">
        <f t="shared" si="33"/>
        <v>3</v>
      </c>
      <c r="P134">
        <f t="shared" si="37"/>
        <v>0</v>
      </c>
      <c r="Q134">
        <f t="shared" si="34"/>
        <v>0</v>
      </c>
      <c r="R134" t="str">
        <f t="shared" si="36"/>
        <v>0</v>
      </c>
    </row>
    <row r="135" spans="1:18" x14ac:dyDescent="0.25">
      <c r="A135" t="str">
        <f t="shared" si="35"/>
        <v>Paris - Kurzawa</v>
      </c>
      <c r="B135" t="s">
        <v>216</v>
      </c>
      <c r="C135" t="s">
        <v>13</v>
      </c>
      <c r="D135" t="s">
        <v>134</v>
      </c>
      <c r="E135" t="s">
        <v>135</v>
      </c>
      <c r="F135" t="s">
        <v>67</v>
      </c>
      <c r="G135">
        <v>15</v>
      </c>
      <c r="H135">
        <v>2</v>
      </c>
      <c r="I135">
        <v>1</v>
      </c>
      <c r="J135">
        <v>3</v>
      </c>
      <c r="K135" t="s">
        <v>589</v>
      </c>
      <c r="L135" t="s">
        <v>260</v>
      </c>
      <c r="M135">
        <f t="shared" si="31"/>
        <v>6.3571428571428568</v>
      </c>
      <c r="N135">
        <f t="shared" si="32"/>
        <v>14</v>
      </c>
      <c r="O135">
        <f t="shared" si="33"/>
        <v>2</v>
      </c>
      <c r="P135">
        <f t="shared" si="37"/>
        <v>3</v>
      </c>
      <c r="Q135">
        <f t="shared" si="34"/>
        <v>3</v>
      </c>
      <c r="R135" t="str">
        <f t="shared" si="36"/>
        <v>3</v>
      </c>
    </row>
    <row r="136" spans="1:18" x14ac:dyDescent="0.25">
      <c r="A136" t="str">
        <f t="shared" si="35"/>
        <v>Lorient - Lautoa</v>
      </c>
      <c r="B136" t="s">
        <v>216</v>
      </c>
      <c r="C136" t="s">
        <v>13</v>
      </c>
      <c r="D136" t="s">
        <v>188</v>
      </c>
      <c r="E136" t="s">
        <v>189</v>
      </c>
      <c r="F136" t="s">
        <v>57</v>
      </c>
      <c r="G136">
        <v>12</v>
      </c>
      <c r="H136">
        <v>0</v>
      </c>
      <c r="I136">
        <v>0</v>
      </c>
      <c r="J136">
        <v>0</v>
      </c>
      <c r="K136" t="s">
        <v>590</v>
      </c>
      <c r="L136" t="s">
        <v>591</v>
      </c>
      <c r="M136">
        <f t="shared" si="31"/>
        <v>4.916666666666667</v>
      </c>
      <c r="N136">
        <f t="shared" si="32"/>
        <v>11</v>
      </c>
      <c r="O136">
        <f t="shared" si="33"/>
        <v>2</v>
      </c>
      <c r="P136">
        <f t="shared" si="37"/>
        <v>0</v>
      </c>
      <c r="Q136">
        <f t="shared" si="34"/>
        <v>0</v>
      </c>
      <c r="R136" t="str">
        <f t="shared" si="36"/>
        <v>0</v>
      </c>
    </row>
    <row r="137" spans="1:18" x14ac:dyDescent="0.25">
      <c r="A137" t="str">
        <f t="shared" si="35"/>
        <v>Saint-Etienne - Malcuit</v>
      </c>
      <c r="B137" t="s">
        <v>216</v>
      </c>
      <c r="C137" t="s">
        <v>13</v>
      </c>
      <c r="D137" t="s">
        <v>592</v>
      </c>
      <c r="E137" t="s">
        <v>133</v>
      </c>
      <c r="F137" t="s">
        <v>125</v>
      </c>
      <c r="G137">
        <v>3</v>
      </c>
      <c r="H137">
        <v>0</v>
      </c>
      <c r="I137">
        <v>0</v>
      </c>
      <c r="J137">
        <v>0</v>
      </c>
      <c r="M137">
        <f t="shared" si="31"/>
        <v>5.1111111111111107</v>
      </c>
      <c r="N137">
        <f t="shared" si="32"/>
        <v>10</v>
      </c>
      <c r="O137">
        <f t="shared" si="33"/>
        <v>0</v>
      </c>
      <c r="P137">
        <f t="shared" si="37"/>
        <v>0</v>
      </c>
      <c r="Q137">
        <f t="shared" si="34"/>
        <v>0</v>
      </c>
      <c r="R137" t="str">
        <f t="shared" si="36"/>
        <v>0</v>
      </c>
    </row>
    <row r="138" spans="1:18" x14ac:dyDescent="0.25">
      <c r="A138" t="str">
        <f t="shared" si="35"/>
        <v>Troyes - Ngcongca</v>
      </c>
      <c r="B138" t="s">
        <v>216</v>
      </c>
      <c r="C138" t="s">
        <v>13</v>
      </c>
      <c r="D138" t="s">
        <v>275</v>
      </c>
      <c r="E138" t="s">
        <v>276</v>
      </c>
      <c r="F138" t="s">
        <v>252</v>
      </c>
      <c r="G138">
        <v>6</v>
      </c>
      <c r="H138">
        <v>0</v>
      </c>
      <c r="I138">
        <v>0</v>
      </c>
      <c r="J138">
        <v>0</v>
      </c>
      <c r="M138">
        <f t="shared" si="31"/>
        <v>4.4736842105263159</v>
      </c>
      <c r="N138">
        <f t="shared" si="32"/>
        <v>18</v>
      </c>
      <c r="O138">
        <f t="shared" si="33"/>
        <v>2</v>
      </c>
      <c r="P138">
        <f t="shared" si="37"/>
        <v>0</v>
      </c>
      <c r="Q138">
        <f t="shared" si="34"/>
        <v>0</v>
      </c>
      <c r="R138" t="str">
        <f t="shared" si="36"/>
        <v>0</v>
      </c>
    </row>
    <row r="139" spans="1:18" x14ac:dyDescent="0.25">
      <c r="A139" t="str">
        <f t="shared" si="35"/>
        <v>Reims - Signorino</v>
      </c>
      <c r="B139" t="s">
        <v>216</v>
      </c>
      <c r="C139" t="s">
        <v>13</v>
      </c>
      <c r="D139" t="s">
        <v>205</v>
      </c>
      <c r="E139" t="s">
        <v>121</v>
      </c>
      <c r="F139" t="s">
        <v>104</v>
      </c>
      <c r="G139">
        <v>7</v>
      </c>
      <c r="H139">
        <v>0</v>
      </c>
      <c r="I139">
        <v>0</v>
      </c>
      <c r="J139">
        <v>0</v>
      </c>
      <c r="M139">
        <f t="shared" si="31"/>
        <v>4.6551724137931032</v>
      </c>
      <c r="N139">
        <f t="shared" si="32"/>
        <v>29</v>
      </c>
      <c r="O139">
        <f t="shared" si="33"/>
        <v>0</v>
      </c>
      <c r="P139">
        <f t="shared" si="37"/>
        <v>0</v>
      </c>
      <c r="Q139">
        <f t="shared" si="34"/>
        <v>0</v>
      </c>
      <c r="R139" t="str">
        <f t="shared" si="36"/>
        <v>0</v>
      </c>
    </row>
    <row r="140" spans="1:18" x14ac:dyDescent="0.25">
      <c r="A140" t="str">
        <f t="shared" si="35"/>
        <v>Nantes - Vizcarrondo</v>
      </c>
      <c r="B140" t="s">
        <v>216</v>
      </c>
      <c r="C140" t="s">
        <v>13</v>
      </c>
      <c r="D140" t="s">
        <v>199</v>
      </c>
      <c r="E140" t="s">
        <v>200</v>
      </c>
      <c r="F140" t="s">
        <v>43</v>
      </c>
      <c r="G140">
        <v>15</v>
      </c>
      <c r="H140">
        <v>0</v>
      </c>
      <c r="I140">
        <v>0</v>
      </c>
      <c r="J140">
        <v>0</v>
      </c>
      <c r="M140">
        <f t="shared" si="31"/>
        <v>4.6206896551724137</v>
      </c>
      <c r="N140">
        <f t="shared" si="32"/>
        <v>29</v>
      </c>
      <c r="O140">
        <f t="shared" si="33"/>
        <v>1</v>
      </c>
      <c r="P140">
        <f t="shared" si="37"/>
        <v>0</v>
      </c>
      <c r="Q140">
        <f t="shared" si="34"/>
        <v>0</v>
      </c>
      <c r="R140" t="str">
        <f t="shared" si="36"/>
        <v>0</v>
      </c>
    </row>
    <row r="141" spans="1:18" x14ac:dyDescent="0.25">
      <c r="A141" t="str">
        <f t="shared" si="35"/>
        <v>Bordeaux - Yambéré</v>
      </c>
      <c r="B141" t="s">
        <v>216</v>
      </c>
      <c r="C141" t="s">
        <v>13</v>
      </c>
      <c r="D141" t="s">
        <v>593</v>
      </c>
      <c r="E141" t="s">
        <v>101</v>
      </c>
      <c r="F141" t="s">
        <v>50</v>
      </c>
      <c r="G141">
        <v>12</v>
      </c>
      <c r="H141">
        <v>0</v>
      </c>
      <c r="I141">
        <v>0</v>
      </c>
      <c r="J141">
        <v>0</v>
      </c>
      <c r="M141">
        <f t="shared" si="31"/>
        <v>5.08</v>
      </c>
      <c r="N141">
        <f t="shared" si="32"/>
        <v>24</v>
      </c>
      <c r="O141">
        <f t="shared" si="33"/>
        <v>3</v>
      </c>
      <c r="P141">
        <f t="shared" si="37"/>
        <v>3</v>
      </c>
      <c r="Q141">
        <f t="shared" si="34"/>
        <v>3</v>
      </c>
      <c r="R141" t="str">
        <f t="shared" si="36"/>
        <v>3</v>
      </c>
    </row>
    <row r="142" spans="1:18" x14ac:dyDescent="0.25">
      <c r="A142" t="str">
        <f t="shared" si="35"/>
        <v>Marseille - Mandanda</v>
      </c>
      <c r="B142" t="s">
        <v>216</v>
      </c>
      <c r="C142" t="s">
        <v>12</v>
      </c>
      <c r="D142" t="s">
        <v>463</v>
      </c>
      <c r="E142" t="s">
        <v>594</v>
      </c>
      <c r="F142" t="s">
        <v>44</v>
      </c>
      <c r="G142">
        <v>22</v>
      </c>
      <c r="H142">
        <v>0</v>
      </c>
      <c r="I142">
        <v>0</v>
      </c>
      <c r="J142">
        <v>0</v>
      </c>
      <c r="M142">
        <f t="shared" si="31"/>
        <v>5.333333333333333</v>
      </c>
      <c r="N142">
        <f t="shared" si="32"/>
        <v>36</v>
      </c>
      <c r="O142">
        <f t="shared" si="33"/>
        <v>0</v>
      </c>
      <c r="P142">
        <f t="shared" si="37"/>
        <v>0</v>
      </c>
      <c r="Q142">
        <f t="shared" si="34"/>
        <v>0</v>
      </c>
      <c r="R142" t="str">
        <f t="shared" si="36"/>
        <v>0</v>
      </c>
    </row>
    <row r="143" spans="1:18" x14ac:dyDescent="0.25">
      <c r="A143" t="str">
        <f t="shared" si="35"/>
        <v>Reims - Placide</v>
      </c>
      <c r="B143" t="s">
        <v>216</v>
      </c>
      <c r="C143" t="s">
        <v>12</v>
      </c>
      <c r="D143" t="s">
        <v>595</v>
      </c>
      <c r="E143" t="s">
        <v>596</v>
      </c>
      <c r="F143" t="s">
        <v>104</v>
      </c>
      <c r="G143">
        <v>12</v>
      </c>
      <c r="H143">
        <v>0</v>
      </c>
      <c r="I143">
        <v>0</v>
      </c>
      <c r="J143">
        <v>0</v>
      </c>
      <c r="M143">
        <f t="shared" si="31"/>
        <v>5.0555555555555554</v>
      </c>
      <c r="N143">
        <f t="shared" si="32"/>
        <v>17</v>
      </c>
      <c r="O143">
        <f t="shared" si="33"/>
        <v>2</v>
      </c>
      <c r="P143">
        <f t="shared" si="37"/>
        <v>0</v>
      </c>
      <c r="Q143">
        <f t="shared" si="34"/>
        <v>0</v>
      </c>
      <c r="R143" t="str">
        <f t="shared" si="36"/>
        <v>0</v>
      </c>
    </row>
    <row r="144" spans="1:18" x14ac:dyDescent="0.25">
      <c r="A144" t="str">
        <f t="shared" si="35"/>
        <v>Paris - Di María</v>
      </c>
      <c r="B144" t="s">
        <v>216</v>
      </c>
      <c r="C144" t="s">
        <v>8</v>
      </c>
      <c r="D144" t="s">
        <v>597</v>
      </c>
      <c r="E144" t="s">
        <v>266</v>
      </c>
      <c r="F144" t="s">
        <v>67</v>
      </c>
      <c r="G144">
        <v>105</v>
      </c>
      <c r="H144">
        <v>0</v>
      </c>
      <c r="I144">
        <v>0</v>
      </c>
      <c r="J144">
        <v>0</v>
      </c>
      <c r="M144">
        <f t="shared" si="31"/>
        <v>6.64</v>
      </c>
      <c r="N144">
        <f t="shared" si="32"/>
        <v>26</v>
      </c>
      <c r="O144">
        <f t="shared" si="33"/>
        <v>3</v>
      </c>
      <c r="P144">
        <f t="shared" si="37"/>
        <v>10</v>
      </c>
      <c r="Q144">
        <f t="shared" si="34"/>
        <v>10</v>
      </c>
      <c r="R144" t="str">
        <f t="shared" si="36"/>
        <v>10</v>
      </c>
    </row>
    <row r="145" spans="1:18" x14ac:dyDescent="0.25">
      <c r="A145" t="str">
        <f t="shared" si="35"/>
        <v>Reims - Diego</v>
      </c>
      <c r="B145" t="s">
        <v>216</v>
      </c>
      <c r="C145" t="s">
        <v>8</v>
      </c>
      <c r="D145" t="s">
        <v>96</v>
      </c>
      <c r="F145" t="s">
        <v>104</v>
      </c>
      <c r="G145">
        <v>13</v>
      </c>
      <c r="H145">
        <v>0</v>
      </c>
      <c r="I145">
        <v>0</v>
      </c>
      <c r="J145">
        <v>0</v>
      </c>
      <c r="M145">
        <f t="shared" si="31"/>
        <v>5.0555555555555554</v>
      </c>
      <c r="N145">
        <f t="shared" si="32"/>
        <v>15</v>
      </c>
      <c r="O145">
        <f t="shared" si="33"/>
        <v>8</v>
      </c>
      <c r="P145">
        <f t="shared" si="37"/>
        <v>3</v>
      </c>
      <c r="Q145">
        <f t="shared" si="34"/>
        <v>3</v>
      </c>
      <c r="R145" t="str">
        <f t="shared" si="36"/>
        <v>3</v>
      </c>
    </row>
    <row r="146" spans="1:18" x14ac:dyDescent="0.25">
      <c r="A146" t="str">
        <f t="shared" si="35"/>
        <v>Rennes - Henrique</v>
      </c>
      <c r="B146" t="s">
        <v>216</v>
      </c>
      <c r="C146" t="s">
        <v>8</v>
      </c>
      <c r="D146" t="s">
        <v>208</v>
      </c>
      <c r="E146" t="s">
        <v>209</v>
      </c>
      <c r="F146" t="s">
        <v>61</v>
      </c>
      <c r="G146">
        <v>11</v>
      </c>
      <c r="H146">
        <v>0</v>
      </c>
      <c r="I146">
        <v>0</v>
      </c>
      <c r="J146">
        <v>0</v>
      </c>
      <c r="M146">
        <f t="shared" si="31"/>
        <v>4.6875</v>
      </c>
      <c r="N146">
        <f t="shared" si="32"/>
        <v>15</v>
      </c>
      <c r="O146">
        <f t="shared" si="33"/>
        <v>8</v>
      </c>
      <c r="P146">
        <f t="shared" si="37"/>
        <v>3</v>
      </c>
      <c r="Q146">
        <f t="shared" si="34"/>
        <v>3</v>
      </c>
      <c r="R146" t="str">
        <f t="shared" si="36"/>
        <v>3</v>
      </c>
    </row>
    <row r="147" spans="1:18" x14ac:dyDescent="0.25">
      <c r="A147" t="str">
        <f t="shared" si="35"/>
        <v>Nice - Hult</v>
      </c>
      <c r="B147" t="s">
        <v>216</v>
      </c>
      <c r="C147" t="s">
        <v>8</v>
      </c>
      <c r="D147" t="s">
        <v>598</v>
      </c>
      <c r="E147" t="s">
        <v>599</v>
      </c>
      <c r="F147" t="s">
        <v>59</v>
      </c>
      <c r="G147">
        <v>6</v>
      </c>
      <c r="H147">
        <v>0</v>
      </c>
      <c r="I147">
        <v>0</v>
      </c>
      <c r="J147">
        <v>0</v>
      </c>
      <c r="M147">
        <f t="shared" si="31"/>
        <v>5.25</v>
      </c>
      <c r="N147">
        <f t="shared" si="32"/>
        <v>9</v>
      </c>
      <c r="O147">
        <f t="shared" si="33"/>
        <v>5</v>
      </c>
      <c r="P147">
        <f t="shared" si="37"/>
        <v>1</v>
      </c>
      <c r="Q147">
        <f t="shared" si="34"/>
        <v>1</v>
      </c>
      <c r="R147" t="str">
        <f t="shared" si="36"/>
        <v>1</v>
      </c>
    </row>
    <row r="148" spans="1:18" x14ac:dyDescent="0.25">
      <c r="A148" t="str">
        <f t="shared" si="35"/>
        <v>Ajaccio - Le Moigne</v>
      </c>
      <c r="B148" t="s">
        <v>216</v>
      </c>
      <c r="C148" t="s">
        <v>8</v>
      </c>
      <c r="D148" t="s">
        <v>600</v>
      </c>
      <c r="E148" t="s">
        <v>601</v>
      </c>
      <c r="F148" t="s">
        <v>265</v>
      </c>
      <c r="G148">
        <v>6</v>
      </c>
      <c r="H148">
        <v>0</v>
      </c>
      <c r="I148">
        <v>0</v>
      </c>
      <c r="J148">
        <v>0</v>
      </c>
      <c r="M148">
        <f t="shared" si="31"/>
        <v>4.7857142857142856</v>
      </c>
      <c r="N148">
        <f t="shared" si="32"/>
        <v>27</v>
      </c>
      <c r="O148">
        <f t="shared" si="33"/>
        <v>4</v>
      </c>
      <c r="P148">
        <f t="shared" si="37"/>
        <v>0</v>
      </c>
      <c r="Q148">
        <f t="shared" si="34"/>
        <v>0</v>
      </c>
      <c r="R148" t="str">
        <f t="shared" si="36"/>
        <v>0</v>
      </c>
    </row>
    <row r="149" spans="1:18" x14ac:dyDescent="0.25">
      <c r="A149" t="str">
        <f t="shared" si="35"/>
        <v>Caen - Makengo</v>
      </c>
      <c r="B149" t="s">
        <v>216</v>
      </c>
      <c r="C149" t="s">
        <v>8</v>
      </c>
      <c r="D149" t="s">
        <v>602</v>
      </c>
      <c r="E149" t="s">
        <v>603</v>
      </c>
      <c r="F149" t="s">
        <v>56</v>
      </c>
      <c r="G149">
        <v>1</v>
      </c>
      <c r="H149">
        <v>0</v>
      </c>
      <c r="I149">
        <v>0</v>
      </c>
      <c r="J149">
        <v>0</v>
      </c>
      <c r="M149">
        <f t="shared" si="31"/>
        <v>4.8</v>
      </c>
      <c r="N149">
        <f t="shared" si="32"/>
        <v>5</v>
      </c>
      <c r="O149">
        <f t="shared" si="33"/>
        <v>5</v>
      </c>
      <c r="P149">
        <f t="shared" si="37"/>
        <v>0</v>
      </c>
      <c r="Q149">
        <f t="shared" si="34"/>
        <v>0</v>
      </c>
      <c r="R149" t="str">
        <f t="shared" si="36"/>
        <v>0</v>
      </c>
    </row>
    <row r="150" spans="1:18" x14ac:dyDescent="0.25">
      <c r="A150" t="str">
        <f t="shared" si="35"/>
        <v>Lille - Martin</v>
      </c>
      <c r="B150" t="s">
        <v>216</v>
      </c>
      <c r="C150" t="s">
        <v>8</v>
      </c>
      <c r="D150" t="s">
        <v>65</v>
      </c>
      <c r="E150" t="s">
        <v>604</v>
      </c>
      <c r="F150" t="s">
        <v>53</v>
      </c>
      <c r="G150">
        <v>7</v>
      </c>
      <c r="H150">
        <v>0</v>
      </c>
      <c r="I150">
        <v>0</v>
      </c>
      <c r="J150">
        <v>0</v>
      </c>
      <c r="M150">
        <f t="shared" si="31"/>
        <v>4.75</v>
      </c>
      <c r="N150">
        <f t="shared" si="32"/>
        <v>4</v>
      </c>
      <c r="O150">
        <f t="shared" si="33"/>
        <v>8</v>
      </c>
      <c r="P150">
        <f t="shared" si="37"/>
        <v>0</v>
      </c>
      <c r="Q150">
        <f t="shared" si="34"/>
        <v>0</v>
      </c>
      <c r="R150" t="str">
        <f t="shared" si="36"/>
        <v>0</v>
      </c>
    </row>
    <row r="151" spans="1:18" x14ac:dyDescent="0.25">
      <c r="A151" t="str">
        <f t="shared" si="35"/>
        <v>Caen - Seube</v>
      </c>
      <c r="B151" t="s">
        <v>216</v>
      </c>
      <c r="C151" t="s">
        <v>8</v>
      </c>
      <c r="D151" t="s">
        <v>605</v>
      </c>
      <c r="E151" t="s">
        <v>87</v>
      </c>
      <c r="F151" t="s">
        <v>56</v>
      </c>
      <c r="G151">
        <v>10</v>
      </c>
      <c r="H151">
        <v>0</v>
      </c>
      <c r="I151">
        <v>0</v>
      </c>
      <c r="J151">
        <v>0</v>
      </c>
      <c r="M151">
        <f t="shared" si="31"/>
        <v>4.76</v>
      </c>
      <c r="N151">
        <f t="shared" si="32"/>
        <v>24</v>
      </c>
      <c r="O151">
        <f t="shared" si="33"/>
        <v>9</v>
      </c>
      <c r="P151">
        <f t="shared" si="37"/>
        <v>0</v>
      </c>
      <c r="Q151">
        <f t="shared" si="34"/>
        <v>0</v>
      </c>
      <c r="R151" t="str">
        <f t="shared" si="36"/>
        <v>0</v>
      </c>
    </row>
    <row r="152" spans="1:18" x14ac:dyDescent="0.25">
      <c r="A152" t="str">
        <f t="shared" si="35"/>
        <v>Troyes - Thiago Xavier</v>
      </c>
      <c r="B152" t="s">
        <v>216</v>
      </c>
      <c r="C152" t="s">
        <v>8</v>
      </c>
      <c r="D152" t="s">
        <v>333</v>
      </c>
      <c r="F152" t="s">
        <v>252</v>
      </c>
      <c r="G152">
        <v>6</v>
      </c>
      <c r="H152">
        <v>0</v>
      </c>
      <c r="I152">
        <v>0</v>
      </c>
      <c r="J152">
        <v>0</v>
      </c>
      <c r="M152">
        <f t="shared" si="31"/>
        <v>4.6923076923076925</v>
      </c>
      <c r="N152">
        <f t="shared" si="32"/>
        <v>13</v>
      </c>
      <c r="O152">
        <f t="shared" si="33"/>
        <v>3</v>
      </c>
      <c r="P152">
        <f t="shared" si="37"/>
        <v>2</v>
      </c>
      <c r="Q152">
        <f t="shared" si="34"/>
        <v>2</v>
      </c>
      <c r="R152" t="str">
        <f t="shared" si="36"/>
        <v>2</v>
      </c>
    </row>
    <row r="153" spans="1:18" x14ac:dyDescent="0.25">
      <c r="A153" t="str">
        <f t="shared" si="35"/>
        <v>Lyon - Cornet</v>
      </c>
      <c r="B153" t="s">
        <v>10</v>
      </c>
      <c r="C153" t="s">
        <v>5</v>
      </c>
      <c r="D153" t="s">
        <v>289</v>
      </c>
      <c r="E153" t="s">
        <v>17</v>
      </c>
      <c r="F153" t="s">
        <v>47</v>
      </c>
      <c r="G153">
        <v>12</v>
      </c>
      <c r="H153">
        <v>0</v>
      </c>
      <c r="I153">
        <v>0</v>
      </c>
      <c r="J153">
        <v>0</v>
      </c>
      <c r="M153">
        <f t="shared" si="31"/>
        <v>5.4375</v>
      </c>
      <c r="N153">
        <f t="shared" si="32"/>
        <v>16</v>
      </c>
      <c r="O153">
        <f t="shared" si="33"/>
        <v>15</v>
      </c>
      <c r="P153">
        <f t="shared" si="37"/>
        <v>8</v>
      </c>
      <c r="Q153">
        <f t="shared" si="34"/>
        <v>8</v>
      </c>
      <c r="R153" t="str">
        <f t="shared" si="36"/>
        <v>8</v>
      </c>
    </row>
    <row r="154" spans="1:18" x14ac:dyDescent="0.25">
      <c r="A154" t="str">
        <f t="shared" si="35"/>
        <v>Bordeaux - Diabaté</v>
      </c>
      <c r="B154" t="s">
        <v>10</v>
      </c>
      <c r="C154" t="s">
        <v>5</v>
      </c>
      <c r="D154" t="s">
        <v>92</v>
      </c>
      <c r="E154" t="s">
        <v>88</v>
      </c>
      <c r="F154" t="s">
        <v>50</v>
      </c>
      <c r="G154">
        <v>35</v>
      </c>
      <c r="H154">
        <v>0</v>
      </c>
      <c r="I154">
        <v>0</v>
      </c>
      <c r="J154">
        <v>0</v>
      </c>
      <c r="M154">
        <f t="shared" si="31"/>
        <v>5.2352941176470589</v>
      </c>
      <c r="N154">
        <f t="shared" si="32"/>
        <v>17</v>
      </c>
      <c r="O154">
        <f t="shared" si="33"/>
        <v>5</v>
      </c>
      <c r="P154">
        <f t="shared" si="37"/>
        <v>10</v>
      </c>
      <c r="Q154">
        <f t="shared" si="34"/>
        <v>10</v>
      </c>
      <c r="R154" t="str">
        <f t="shared" si="36"/>
        <v>10</v>
      </c>
    </row>
    <row r="155" spans="1:18" x14ac:dyDescent="0.25">
      <c r="A155" t="str">
        <f t="shared" si="35"/>
        <v>Rennes - Grosicki</v>
      </c>
      <c r="B155" t="s">
        <v>10</v>
      </c>
      <c r="C155" t="s">
        <v>5</v>
      </c>
      <c r="D155" t="s">
        <v>606</v>
      </c>
      <c r="E155" t="s">
        <v>607</v>
      </c>
      <c r="F155" t="s">
        <v>61</v>
      </c>
      <c r="G155">
        <v>30</v>
      </c>
      <c r="H155">
        <v>0</v>
      </c>
      <c r="I155">
        <v>0</v>
      </c>
      <c r="J155">
        <v>0</v>
      </c>
      <c r="M155">
        <f t="shared" ref="M155:M186" si="38">IF(VLOOKUP(VLOOKUP($A155,_JOUEURS,2,FALSE),_DATA,8,FALSE)=0,"",VLOOKUP(VLOOKUP($A155,_JOUEURS,2,FALSE),_DATA,8,FALSE))</f>
        <v>5</v>
      </c>
      <c r="N155">
        <f t="shared" ref="N155:N186" si="39">VLOOKUP(VLOOKUP($A155,_JOUEURS,2,FALSE),_DATA,5,FALSE)</f>
        <v>14</v>
      </c>
      <c r="O155">
        <f t="shared" ref="O155:O186" si="40">VLOOKUP(VLOOKUP($A155,_JOUEURS,2,FALSE),_DATA,6,FALSE)</f>
        <v>19</v>
      </c>
      <c r="P155">
        <f t="shared" si="37"/>
        <v>9</v>
      </c>
      <c r="Q155">
        <f t="shared" ref="Q155:Q186" si="41">VLOOKUP(VLOOKUP($A155,_JOUEURS,2,FALSE),_DATA,7,FALSE)</f>
        <v>9</v>
      </c>
      <c r="R155" t="str">
        <f t="shared" si="36"/>
        <v>9</v>
      </c>
    </row>
    <row r="156" spans="1:18" x14ac:dyDescent="0.25">
      <c r="A156" t="str">
        <f t="shared" si="35"/>
        <v>Monaco - Lacina Traoré</v>
      </c>
      <c r="B156" t="s">
        <v>10</v>
      </c>
      <c r="C156" t="s">
        <v>5</v>
      </c>
      <c r="D156" t="s">
        <v>249</v>
      </c>
      <c r="F156" t="s">
        <v>41</v>
      </c>
      <c r="G156">
        <v>13</v>
      </c>
      <c r="H156">
        <v>0</v>
      </c>
      <c r="I156">
        <v>0</v>
      </c>
      <c r="J156">
        <v>0</v>
      </c>
      <c r="M156">
        <f t="shared" si="38"/>
        <v>4.3</v>
      </c>
      <c r="N156">
        <f t="shared" si="39"/>
        <v>11</v>
      </c>
      <c r="O156">
        <f t="shared" si="40"/>
        <v>8</v>
      </c>
      <c r="P156">
        <f t="shared" si="37"/>
        <v>3</v>
      </c>
      <c r="Q156">
        <f t="shared" si="41"/>
        <v>3</v>
      </c>
      <c r="R156" t="str">
        <f t="shared" si="36"/>
        <v>3</v>
      </c>
    </row>
    <row r="157" spans="1:18" x14ac:dyDescent="0.25">
      <c r="A157" t="str">
        <f t="shared" si="35"/>
        <v>Guingamp - Privat</v>
      </c>
      <c r="B157" t="s">
        <v>10</v>
      </c>
      <c r="C157" t="s">
        <v>5</v>
      </c>
      <c r="D157" t="s">
        <v>174</v>
      </c>
      <c r="E157" t="s">
        <v>175</v>
      </c>
      <c r="F157" t="s">
        <v>70</v>
      </c>
      <c r="G157">
        <v>38</v>
      </c>
      <c r="H157">
        <v>0</v>
      </c>
      <c r="I157">
        <v>0</v>
      </c>
      <c r="J157">
        <v>0</v>
      </c>
      <c r="M157">
        <f t="shared" si="38"/>
        <v>5.2142857142857144</v>
      </c>
      <c r="N157">
        <f t="shared" si="39"/>
        <v>14</v>
      </c>
      <c r="O157">
        <f t="shared" si="40"/>
        <v>13</v>
      </c>
      <c r="P157">
        <f t="shared" si="37"/>
        <v>7</v>
      </c>
      <c r="Q157">
        <f t="shared" si="41"/>
        <v>7</v>
      </c>
      <c r="R157" t="str">
        <f t="shared" si="36"/>
        <v>7</v>
      </c>
    </row>
    <row r="158" spans="1:18" x14ac:dyDescent="0.25">
      <c r="A158" t="str">
        <f t="shared" si="35"/>
        <v>Paris - Aurier</v>
      </c>
      <c r="B158" t="s">
        <v>10</v>
      </c>
      <c r="C158" t="s">
        <v>13</v>
      </c>
      <c r="D158" t="s">
        <v>155</v>
      </c>
      <c r="E158" t="s">
        <v>42</v>
      </c>
      <c r="F158" t="s">
        <v>67</v>
      </c>
      <c r="G158">
        <v>40</v>
      </c>
      <c r="H158">
        <v>0</v>
      </c>
      <c r="I158">
        <v>0</v>
      </c>
      <c r="J158">
        <v>0</v>
      </c>
      <c r="M158">
        <f t="shared" si="38"/>
        <v>5.8571428571428568</v>
      </c>
      <c r="N158">
        <f t="shared" si="39"/>
        <v>21</v>
      </c>
      <c r="O158">
        <f t="shared" si="40"/>
        <v>0</v>
      </c>
      <c r="P158">
        <f t="shared" si="37"/>
        <v>2</v>
      </c>
      <c r="Q158">
        <f t="shared" si="41"/>
        <v>2</v>
      </c>
      <c r="R158" t="str">
        <f t="shared" si="36"/>
        <v>2</v>
      </c>
    </row>
    <row r="159" spans="1:18" x14ac:dyDescent="0.25">
      <c r="A159" t="str">
        <f t="shared" si="35"/>
        <v>Nice - Baysse</v>
      </c>
      <c r="B159" t="s">
        <v>10</v>
      </c>
      <c r="C159" t="s">
        <v>13</v>
      </c>
      <c r="D159" t="s">
        <v>210</v>
      </c>
      <c r="E159" t="s">
        <v>176</v>
      </c>
      <c r="F159" t="s">
        <v>59</v>
      </c>
      <c r="G159">
        <v>21</v>
      </c>
      <c r="H159">
        <v>0</v>
      </c>
      <c r="I159">
        <v>0</v>
      </c>
      <c r="J159">
        <v>0</v>
      </c>
      <c r="M159">
        <f t="shared" si="38"/>
        <v>5.2413793103448274</v>
      </c>
      <c r="N159">
        <f t="shared" si="39"/>
        <v>29</v>
      </c>
      <c r="O159">
        <f t="shared" si="40"/>
        <v>1</v>
      </c>
      <c r="P159">
        <f t="shared" si="37"/>
        <v>0</v>
      </c>
      <c r="Q159">
        <f t="shared" si="41"/>
        <v>0</v>
      </c>
      <c r="R159" t="str">
        <f t="shared" si="36"/>
        <v>0</v>
      </c>
    </row>
    <row r="160" spans="1:18" x14ac:dyDescent="0.25">
      <c r="A160" t="str">
        <f t="shared" si="35"/>
        <v>Caen - Ben Youssef</v>
      </c>
      <c r="B160" t="s">
        <v>10</v>
      </c>
      <c r="C160" t="s">
        <v>13</v>
      </c>
      <c r="D160" t="s">
        <v>608</v>
      </c>
      <c r="E160" t="s">
        <v>609</v>
      </c>
      <c r="F160" t="s">
        <v>56</v>
      </c>
      <c r="G160">
        <v>8</v>
      </c>
      <c r="H160">
        <v>0</v>
      </c>
      <c r="I160">
        <v>0</v>
      </c>
      <c r="J160">
        <v>0</v>
      </c>
      <c r="M160">
        <f t="shared" si="38"/>
        <v>5.117647058823529</v>
      </c>
      <c r="N160">
        <f t="shared" si="39"/>
        <v>16</v>
      </c>
      <c r="O160">
        <f t="shared" si="40"/>
        <v>2</v>
      </c>
      <c r="P160">
        <f t="shared" si="37"/>
        <v>3</v>
      </c>
      <c r="Q160">
        <f t="shared" si="41"/>
        <v>3</v>
      </c>
      <c r="R160" t="str">
        <f t="shared" si="36"/>
        <v>3</v>
      </c>
    </row>
    <row r="161" spans="1:18" x14ac:dyDescent="0.25">
      <c r="A161" t="str">
        <f t="shared" si="35"/>
        <v>Monaco - Carvalho</v>
      </c>
      <c r="B161" t="s">
        <v>10</v>
      </c>
      <c r="C161" t="s">
        <v>13</v>
      </c>
      <c r="D161" t="s">
        <v>97</v>
      </c>
      <c r="E161" t="s">
        <v>98</v>
      </c>
      <c r="F161" t="s">
        <v>41</v>
      </c>
      <c r="G161">
        <v>19</v>
      </c>
      <c r="H161">
        <v>0</v>
      </c>
      <c r="I161">
        <v>0</v>
      </c>
      <c r="J161">
        <v>0</v>
      </c>
      <c r="M161">
        <f t="shared" si="38"/>
        <v>5.0303030303030303</v>
      </c>
      <c r="N161">
        <f t="shared" si="39"/>
        <v>33</v>
      </c>
      <c r="O161">
        <f t="shared" si="40"/>
        <v>0</v>
      </c>
      <c r="P161">
        <f t="shared" si="37"/>
        <v>2</v>
      </c>
      <c r="Q161">
        <f t="shared" si="41"/>
        <v>2</v>
      </c>
      <c r="R161" t="str">
        <f t="shared" si="36"/>
        <v>2</v>
      </c>
    </row>
    <row r="162" spans="1:18" x14ac:dyDescent="0.25">
      <c r="A162" t="str">
        <f t="shared" si="35"/>
        <v>Paris - Maxwell</v>
      </c>
      <c r="B162" t="s">
        <v>10</v>
      </c>
      <c r="C162" t="s">
        <v>13</v>
      </c>
      <c r="D162" t="s">
        <v>17</v>
      </c>
      <c r="F162" t="s">
        <v>67</v>
      </c>
      <c r="G162">
        <v>18</v>
      </c>
      <c r="H162">
        <v>0</v>
      </c>
      <c r="I162">
        <v>0</v>
      </c>
      <c r="J162">
        <v>0</v>
      </c>
      <c r="K162" t="s">
        <v>465</v>
      </c>
      <c r="L162" t="s">
        <v>610</v>
      </c>
      <c r="M162">
        <f t="shared" si="38"/>
        <v>5.666666666666667</v>
      </c>
      <c r="N162">
        <f t="shared" si="39"/>
        <v>24</v>
      </c>
      <c r="O162">
        <f t="shared" si="40"/>
        <v>4</v>
      </c>
      <c r="P162">
        <f t="shared" si="37"/>
        <v>3</v>
      </c>
      <c r="Q162">
        <f t="shared" si="41"/>
        <v>3</v>
      </c>
      <c r="R162" t="str">
        <f t="shared" si="36"/>
        <v>3</v>
      </c>
    </row>
    <row r="163" spans="1:18" x14ac:dyDescent="0.25">
      <c r="A163" t="str">
        <f t="shared" si="35"/>
        <v>Marseille - Mendy</v>
      </c>
      <c r="B163" t="s">
        <v>10</v>
      </c>
      <c r="C163" t="s">
        <v>13</v>
      </c>
      <c r="D163" t="s">
        <v>579</v>
      </c>
      <c r="E163" t="s">
        <v>58</v>
      </c>
      <c r="F163" t="s">
        <v>44</v>
      </c>
      <c r="G163">
        <v>17</v>
      </c>
      <c r="H163">
        <v>0</v>
      </c>
      <c r="I163">
        <v>0</v>
      </c>
      <c r="J163">
        <v>0</v>
      </c>
      <c r="M163">
        <f t="shared" si="38"/>
        <v>5.2727272727272725</v>
      </c>
      <c r="N163">
        <f t="shared" si="39"/>
        <v>22</v>
      </c>
      <c r="O163">
        <f t="shared" si="40"/>
        <v>2</v>
      </c>
      <c r="P163">
        <f t="shared" si="37"/>
        <v>1</v>
      </c>
      <c r="Q163">
        <f t="shared" si="41"/>
        <v>1</v>
      </c>
      <c r="R163" t="str">
        <f t="shared" si="36"/>
        <v>1</v>
      </c>
    </row>
    <row r="164" spans="1:18" x14ac:dyDescent="0.25">
      <c r="A164" t="str">
        <f t="shared" si="35"/>
        <v>Marseille - N'Koulou</v>
      </c>
      <c r="B164" t="s">
        <v>10</v>
      </c>
      <c r="C164" t="s">
        <v>13</v>
      </c>
      <c r="D164" t="s">
        <v>611</v>
      </c>
      <c r="E164" t="s">
        <v>87</v>
      </c>
      <c r="F164" t="s">
        <v>44</v>
      </c>
      <c r="G164">
        <v>34</v>
      </c>
      <c r="H164">
        <v>0</v>
      </c>
      <c r="I164">
        <v>0</v>
      </c>
      <c r="J164">
        <v>0</v>
      </c>
      <c r="K164" t="s">
        <v>254</v>
      </c>
      <c r="L164" t="s">
        <v>612</v>
      </c>
      <c r="M164">
        <f t="shared" si="38"/>
        <v>5.0606060606060606</v>
      </c>
      <c r="N164">
        <f t="shared" si="39"/>
        <v>33</v>
      </c>
      <c r="O164">
        <f t="shared" si="40"/>
        <v>0</v>
      </c>
      <c r="P164">
        <f t="shared" si="37"/>
        <v>0</v>
      </c>
      <c r="Q164" t="str">
        <f t="shared" si="41"/>
        <v>(-1)</v>
      </c>
      <c r="R164" t="str">
        <f t="shared" si="36"/>
        <v/>
      </c>
    </row>
    <row r="165" spans="1:18" x14ac:dyDescent="0.25">
      <c r="A165" t="str">
        <f t="shared" si="35"/>
        <v>Monaco - Touré</v>
      </c>
      <c r="B165" t="s">
        <v>10</v>
      </c>
      <c r="C165" t="s">
        <v>13</v>
      </c>
      <c r="D165" t="s">
        <v>48</v>
      </c>
      <c r="E165" t="s">
        <v>613</v>
      </c>
      <c r="F165" t="s">
        <v>41</v>
      </c>
      <c r="G165">
        <v>6</v>
      </c>
      <c r="H165">
        <v>0</v>
      </c>
      <c r="I165">
        <v>0</v>
      </c>
      <c r="J165">
        <v>0</v>
      </c>
      <c r="M165">
        <f t="shared" si="38"/>
        <v>5.625</v>
      </c>
      <c r="N165">
        <f t="shared" si="39"/>
        <v>9</v>
      </c>
      <c r="O165">
        <f t="shared" si="40"/>
        <v>1</v>
      </c>
      <c r="P165">
        <f t="shared" si="37"/>
        <v>3</v>
      </c>
      <c r="Q165">
        <f t="shared" si="41"/>
        <v>3</v>
      </c>
      <c r="R165" t="str">
        <f t="shared" si="36"/>
        <v>3</v>
      </c>
    </row>
    <row r="166" spans="1:18" x14ac:dyDescent="0.25">
      <c r="A166" t="str">
        <f t="shared" si="35"/>
        <v>Monaco - Wallace</v>
      </c>
      <c r="B166" t="s">
        <v>10</v>
      </c>
      <c r="C166" t="s">
        <v>13</v>
      </c>
      <c r="D166" t="s">
        <v>443</v>
      </c>
      <c r="F166" t="s">
        <v>41</v>
      </c>
      <c r="G166">
        <v>17</v>
      </c>
      <c r="H166">
        <v>0</v>
      </c>
      <c r="I166">
        <v>0</v>
      </c>
      <c r="J166">
        <v>0</v>
      </c>
      <c r="M166">
        <f t="shared" si="38"/>
        <v>4.88</v>
      </c>
      <c r="N166">
        <f t="shared" si="39"/>
        <v>25</v>
      </c>
      <c r="O166">
        <f t="shared" si="40"/>
        <v>1</v>
      </c>
      <c r="P166">
        <f t="shared" si="37"/>
        <v>1</v>
      </c>
      <c r="Q166">
        <f t="shared" si="41"/>
        <v>1</v>
      </c>
      <c r="R166" t="str">
        <f t="shared" si="36"/>
        <v>1</v>
      </c>
    </row>
    <row r="167" spans="1:18" x14ac:dyDescent="0.25">
      <c r="A167" t="str">
        <f t="shared" si="35"/>
        <v>Nice - Cardinale</v>
      </c>
      <c r="B167" t="s">
        <v>10</v>
      </c>
      <c r="C167" t="s">
        <v>12</v>
      </c>
      <c r="D167" t="s">
        <v>614</v>
      </c>
      <c r="E167" t="s">
        <v>471</v>
      </c>
      <c r="F167" t="s">
        <v>59</v>
      </c>
      <c r="G167">
        <v>4</v>
      </c>
      <c r="H167">
        <v>0</v>
      </c>
      <c r="I167">
        <v>0</v>
      </c>
      <c r="J167">
        <v>0</v>
      </c>
      <c r="M167">
        <f t="shared" si="38"/>
        <v>5.3076923076923075</v>
      </c>
      <c r="N167">
        <f t="shared" si="39"/>
        <v>25</v>
      </c>
      <c r="O167">
        <f t="shared" si="40"/>
        <v>1</v>
      </c>
      <c r="P167">
        <f t="shared" si="37"/>
        <v>0</v>
      </c>
      <c r="Q167" t="str">
        <f t="shared" si="41"/>
        <v>(-1)</v>
      </c>
      <c r="R167" t="str">
        <f t="shared" si="36"/>
        <v/>
      </c>
    </row>
    <row r="168" spans="1:18" x14ac:dyDescent="0.25">
      <c r="A168" t="str">
        <f t="shared" si="35"/>
        <v>Lyon - Lopes</v>
      </c>
      <c r="B168" t="s">
        <v>10</v>
      </c>
      <c r="C168" t="s">
        <v>12</v>
      </c>
      <c r="D168" t="s">
        <v>124</v>
      </c>
      <c r="E168" t="s">
        <v>91</v>
      </c>
      <c r="F168" t="s">
        <v>47</v>
      </c>
      <c r="G168">
        <v>28</v>
      </c>
      <c r="H168">
        <v>0</v>
      </c>
      <c r="I168">
        <v>0</v>
      </c>
      <c r="J168">
        <v>0</v>
      </c>
      <c r="K168" t="s">
        <v>615</v>
      </c>
      <c r="L168" t="s">
        <v>615</v>
      </c>
      <c r="M168">
        <f t="shared" si="38"/>
        <v>5.4324324324324325</v>
      </c>
      <c r="N168">
        <f t="shared" si="39"/>
        <v>37</v>
      </c>
      <c r="O168">
        <f t="shared" si="40"/>
        <v>0</v>
      </c>
      <c r="P168">
        <f t="shared" si="37"/>
        <v>0</v>
      </c>
      <c r="Q168">
        <f t="shared" si="41"/>
        <v>0</v>
      </c>
      <c r="R168" t="str">
        <f t="shared" si="36"/>
        <v>0</v>
      </c>
    </row>
    <row r="169" spans="1:18" x14ac:dyDescent="0.25">
      <c r="A169" t="str">
        <f t="shared" si="35"/>
        <v>Lille - Bauthéac</v>
      </c>
      <c r="B169" t="s">
        <v>10</v>
      </c>
      <c r="C169" t="s">
        <v>8</v>
      </c>
      <c r="D169" t="s">
        <v>201</v>
      </c>
      <c r="E169" t="s">
        <v>202</v>
      </c>
      <c r="F169" t="s">
        <v>53</v>
      </c>
      <c r="G169">
        <v>19</v>
      </c>
      <c r="H169">
        <v>0</v>
      </c>
      <c r="I169">
        <v>0</v>
      </c>
      <c r="J169">
        <v>0</v>
      </c>
      <c r="M169">
        <f t="shared" si="38"/>
        <v>4.72</v>
      </c>
      <c r="N169">
        <f t="shared" si="39"/>
        <v>25</v>
      </c>
      <c r="O169">
        <f t="shared" si="40"/>
        <v>3</v>
      </c>
      <c r="P169">
        <f t="shared" si="37"/>
        <v>2</v>
      </c>
      <c r="Q169">
        <f t="shared" si="41"/>
        <v>2</v>
      </c>
      <c r="R169" t="str">
        <f t="shared" si="36"/>
        <v>2</v>
      </c>
    </row>
    <row r="170" spans="1:18" x14ac:dyDescent="0.25">
      <c r="A170" t="str">
        <f t="shared" si="35"/>
        <v>Marseille - Cabella</v>
      </c>
      <c r="B170" t="s">
        <v>10</v>
      </c>
      <c r="C170" t="s">
        <v>8</v>
      </c>
      <c r="D170" t="s">
        <v>293</v>
      </c>
      <c r="E170" t="s">
        <v>90</v>
      </c>
      <c r="F170" t="s">
        <v>44</v>
      </c>
      <c r="G170">
        <v>25</v>
      </c>
      <c r="H170">
        <v>2</v>
      </c>
      <c r="I170">
        <v>0</v>
      </c>
      <c r="J170">
        <v>2</v>
      </c>
      <c r="K170" t="s">
        <v>578</v>
      </c>
      <c r="L170" t="s">
        <v>486</v>
      </c>
      <c r="M170">
        <f t="shared" si="38"/>
        <v>5.3</v>
      </c>
      <c r="N170">
        <f t="shared" si="39"/>
        <v>30</v>
      </c>
      <c r="O170">
        <f t="shared" si="40"/>
        <v>4</v>
      </c>
      <c r="P170">
        <f t="shared" si="37"/>
        <v>5</v>
      </c>
      <c r="Q170">
        <f t="shared" si="41"/>
        <v>5</v>
      </c>
      <c r="R170" t="str">
        <f t="shared" si="36"/>
        <v>5</v>
      </c>
    </row>
    <row r="171" spans="1:18" x14ac:dyDescent="0.25">
      <c r="A171" t="str">
        <f t="shared" si="35"/>
        <v>Lyon - Gonalons</v>
      </c>
      <c r="B171" t="s">
        <v>10</v>
      </c>
      <c r="C171" t="s">
        <v>8</v>
      </c>
      <c r="D171" t="s">
        <v>117</v>
      </c>
      <c r="E171" t="s">
        <v>118</v>
      </c>
      <c r="F171" t="s">
        <v>47</v>
      </c>
      <c r="G171">
        <v>23</v>
      </c>
      <c r="H171">
        <v>0</v>
      </c>
      <c r="I171">
        <v>0</v>
      </c>
      <c r="J171">
        <v>0</v>
      </c>
      <c r="M171">
        <f t="shared" si="38"/>
        <v>5.666666666666667</v>
      </c>
      <c r="N171">
        <f t="shared" si="39"/>
        <v>33</v>
      </c>
      <c r="O171">
        <f t="shared" si="40"/>
        <v>0</v>
      </c>
      <c r="P171">
        <f t="shared" si="37"/>
        <v>0</v>
      </c>
      <c r="Q171" t="str">
        <f t="shared" si="41"/>
        <v>(-1)</v>
      </c>
      <c r="R171" t="str">
        <f t="shared" si="36"/>
        <v/>
      </c>
    </row>
    <row r="172" spans="1:18" x14ac:dyDescent="0.25">
      <c r="A172" t="str">
        <f t="shared" si="35"/>
        <v>Saint-Etienne - Hamouma</v>
      </c>
      <c r="B172" t="s">
        <v>10</v>
      </c>
      <c r="C172" t="s">
        <v>8</v>
      </c>
      <c r="D172" t="s">
        <v>151</v>
      </c>
      <c r="E172" t="s">
        <v>112</v>
      </c>
      <c r="F172" t="s">
        <v>125</v>
      </c>
      <c r="G172">
        <v>41</v>
      </c>
      <c r="H172">
        <v>0</v>
      </c>
      <c r="I172">
        <v>0</v>
      </c>
      <c r="J172">
        <v>0</v>
      </c>
      <c r="M172">
        <f t="shared" si="38"/>
        <v>5</v>
      </c>
      <c r="N172">
        <f t="shared" si="39"/>
        <v>17</v>
      </c>
      <c r="O172">
        <f t="shared" si="40"/>
        <v>7</v>
      </c>
      <c r="P172">
        <f t="shared" si="37"/>
        <v>3</v>
      </c>
      <c r="Q172">
        <f t="shared" si="41"/>
        <v>3</v>
      </c>
      <c r="R172" t="str">
        <f t="shared" si="36"/>
        <v>3</v>
      </c>
    </row>
    <row r="173" spans="1:18" x14ac:dyDescent="0.25">
      <c r="A173" t="str">
        <f t="shared" si="35"/>
        <v>Ajaccio - Larbi</v>
      </c>
      <c r="B173" t="s">
        <v>10</v>
      </c>
      <c r="C173" t="s">
        <v>8</v>
      </c>
      <c r="D173" t="s">
        <v>616</v>
      </c>
      <c r="E173" t="s">
        <v>617</v>
      </c>
      <c r="F173" t="s">
        <v>265</v>
      </c>
      <c r="G173">
        <v>6</v>
      </c>
      <c r="H173">
        <v>0</v>
      </c>
      <c r="I173">
        <v>0</v>
      </c>
      <c r="J173">
        <v>0</v>
      </c>
      <c r="M173">
        <f t="shared" si="38"/>
        <v>4.9230769230769234</v>
      </c>
      <c r="N173">
        <f t="shared" si="39"/>
        <v>26</v>
      </c>
      <c r="O173">
        <f t="shared" si="40"/>
        <v>4</v>
      </c>
      <c r="P173">
        <f t="shared" si="37"/>
        <v>8</v>
      </c>
      <c r="Q173">
        <f t="shared" si="41"/>
        <v>8</v>
      </c>
      <c r="R173" t="str">
        <f t="shared" si="36"/>
        <v>8</v>
      </c>
    </row>
    <row r="174" spans="1:18" x14ac:dyDescent="0.25">
      <c r="A174" t="str">
        <f t="shared" si="35"/>
        <v>Monaco - Moutinho</v>
      </c>
      <c r="B174" t="s">
        <v>10</v>
      </c>
      <c r="C174" t="s">
        <v>8</v>
      </c>
      <c r="D174" t="s">
        <v>126</v>
      </c>
      <c r="E174" t="s">
        <v>127</v>
      </c>
      <c r="F174" t="s">
        <v>41</v>
      </c>
      <c r="G174">
        <v>23</v>
      </c>
      <c r="H174">
        <v>0</v>
      </c>
      <c r="I174">
        <v>0</v>
      </c>
      <c r="J174">
        <v>0</v>
      </c>
      <c r="K174" t="s">
        <v>543</v>
      </c>
      <c r="L174" t="s">
        <v>575</v>
      </c>
      <c r="M174">
        <f t="shared" si="38"/>
        <v>5.458333333333333</v>
      </c>
      <c r="N174">
        <f t="shared" si="39"/>
        <v>24</v>
      </c>
      <c r="O174">
        <f t="shared" si="40"/>
        <v>1</v>
      </c>
      <c r="P174">
        <f t="shared" si="37"/>
        <v>1</v>
      </c>
      <c r="Q174">
        <f t="shared" si="41"/>
        <v>1</v>
      </c>
      <c r="R174" t="str">
        <f t="shared" si="36"/>
        <v>1</v>
      </c>
    </row>
    <row r="175" spans="1:18" x14ac:dyDescent="0.25">
      <c r="A175" t="str">
        <f t="shared" si="35"/>
        <v>Monaco - Pasalic</v>
      </c>
      <c r="B175" t="s">
        <v>10</v>
      </c>
      <c r="C175" t="s">
        <v>8</v>
      </c>
      <c r="D175" t="s">
        <v>618</v>
      </c>
      <c r="E175" t="s">
        <v>619</v>
      </c>
      <c r="F175" t="s">
        <v>41</v>
      </c>
      <c r="G175">
        <v>23</v>
      </c>
      <c r="H175">
        <v>0</v>
      </c>
      <c r="I175">
        <v>0</v>
      </c>
      <c r="J175">
        <v>0</v>
      </c>
      <c r="M175">
        <f t="shared" si="38"/>
        <v>5.1818181818181817</v>
      </c>
      <c r="N175">
        <f t="shared" si="39"/>
        <v>12</v>
      </c>
      <c r="O175">
        <f t="shared" si="40"/>
        <v>4</v>
      </c>
      <c r="P175">
        <f t="shared" si="37"/>
        <v>3</v>
      </c>
      <c r="Q175">
        <f t="shared" si="41"/>
        <v>3</v>
      </c>
      <c r="R175" t="str">
        <f t="shared" si="36"/>
        <v>3</v>
      </c>
    </row>
    <row r="176" spans="1:18" x14ac:dyDescent="0.25">
      <c r="A176" t="str">
        <f t="shared" si="35"/>
        <v>Toulouse - Braithwaite</v>
      </c>
      <c r="B176" t="s">
        <v>9</v>
      </c>
      <c r="C176" t="s">
        <v>5</v>
      </c>
      <c r="D176" t="s">
        <v>141</v>
      </c>
      <c r="E176" t="s">
        <v>65</v>
      </c>
      <c r="F176" t="s">
        <v>60</v>
      </c>
      <c r="G176">
        <v>40</v>
      </c>
      <c r="H176">
        <v>4</v>
      </c>
      <c r="I176">
        <v>0</v>
      </c>
      <c r="J176">
        <v>4</v>
      </c>
      <c r="K176" t="s">
        <v>620</v>
      </c>
      <c r="L176" t="s">
        <v>621</v>
      </c>
      <c r="M176">
        <f t="shared" si="38"/>
        <v>5.0909090909090908</v>
      </c>
      <c r="N176">
        <f t="shared" si="39"/>
        <v>33</v>
      </c>
      <c r="O176">
        <f t="shared" si="40"/>
        <v>3</v>
      </c>
      <c r="P176">
        <f t="shared" si="37"/>
        <v>11</v>
      </c>
      <c r="Q176">
        <f t="shared" si="41"/>
        <v>11</v>
      </c>
      <c r="R176" t="str">
        <f t="shared" si="36"/>
        <v>11</v>
      </c>
    </row>
    <row r="177" spans="1:18" x14ac:dyDescent="0.25">
      <c r="A177" t="str">
        <f t="shared" si="35"/>
        <v>Nice - Germain</v>
      </c>
      <c r="B177" t="s">
        <v>9</v>
      </c>
      <c r="C177" t="s">
        <v>5</v>
      </c>
      <c r="D177" t="s">
        <v>195</v>
      </c>
      <c r="E177" t="s">
        <v>196</v>
      </c>
      <c r="F177" t="s">
        <v>59</v>
      </c>
      <c r="G177">
        <v>30</v>
      </c>
      <c r="H177">
        <v>5</v>
      </c>
      <c r="I177">
        <v>0</v>
      </c>
      <c r="J177">
        <v>5</v>
      </c>
      <c r="K177" t="s">
        <v>254</v>
      </c>
      <c r="L177" t="s">
        <v>622</v>
      </c>
      <c r="M177">
        <f t="shared" si="38"/>
        <v>5.1944444444444446</v>
      </c>
      <c r="N177">
        <f t="shared" si="39"/>
        <v>36</v>
      </c>
      <c r="O177">
        <f t="shared" si="40"/>
        <v>2</v>
      </c>
      <c r="P177">
        <f t="shared" si="37"/>
        <v>14</v>
      </c>
      <c r="Q177">
        <f t="shared" si="41"/>
        <v>14</v>
      </c>
      <c r="R177" t="str">
        <f t="shared" si="36"/>
        <v>14</v>
      </c>
    </row>
    <row r="178" spans="1:18" x14ac:dyDescent="0.25">
      <c r="A178" t="str">
        <f t="shared" si="35"/>
        <v>Montpellier - Rodrigue Ninga</v>
      </c>
      <c r="B178" t="s">
        <v>9</v>
      </c>
      <c r="C178" t="s">
        <v>5</v>
      </c>
      <c r="D178" t="s">
        <v>313</v>
      </c>
      <c r="F178" t="s">
        <v>40</v>
      </c>
      <c r="G178">
        <v>8</v>
      </c>
      <c r="H178">
        <v>0</v>
      </c>
      <c r="I178">
        <v>0</v>
      </c>
      <c r="J178">
        <v>0</v>
      </c>
      <c r="M178">
        <f t="shared" si="38"/>
        <v>4.9565217391304346</v>
      </c>
      <c r="N178">
        <f t="shared" si="39"/>
        <v>20</v>
      </c>
      <c r="O178">
        <f t="shared" si="40"/>
        <v>6</v>
      </c>
      <c r="P178">
        <f t="shared" si="37"/>
        <v>7</v>
      </c>
      <c r="Q178">
        <f t="shared" si="41"/>
        <v>7</v>
      </c>
      <c r="R178" t="str">
        <f t="shared" si="36"/>
        <v>7</v>
      </c>
    </row>
    <row r="179" spans="1:18" x14ac:dyDescent="0.25">
      <c r="A179" t="str">
        <f t="shared" si="35"/>
        <v>Rennes - Sio</v>
      </c>
      <c r="B179" t="s">
        <v>9</v>
      </c>
      <c r="C179" t="s">
        <v>5</v>
      </c>
      <c r="D179" t="s">
        <v>278</v>
      </c>
      <c r="E179" t="s">
        <v>279</v>
      </c>
      <c r="F179" t="s">
        <v>61</v>
      </c>
      <c r="G179">
        <v>40</v>
      </c>
      <c r="H179">
        <v>0</v>
      </c>
      <c r="I179">
        <v>0</v>
      </c>
      <c r="J179">
        <v>0</v>
      </c>
      <c r="M179">
        <f t="shared" si="38"/>
        <v>4.6896551724137927</v>
      </c>
      <c r="N179">
        <f t="shared" si="39"/>
        <v>28</v>
      </c>
      <c r="O179">
        <f t="shared" si="40"/>
        <v>6</v>
      </c>
      <c r="P179">
        <f t="shared" si="37"/>
        <v>7</v>
      </c>
      <c r="Q179">
        <f t="shared" si="41"/>
        <v>7</v>
      </c>
      <c r="R179" t="str">
        <f t="shared" si="36"/>
        <v>7</v>
      </c>
    </row>
    <row r="180" spans="1:18" x14ac:dyDescent="0.25">
      <c r="A180" t="str">
        <f t="shared" si="35"/>
        <v>Monaco - Fabinho</v>
      </c>
      <c r="B180" t="s">
        <v>9</v>
      </c>
      <c r="C180" t="s">
        <v>13</v>
      </c>
      <c r="D180" t="s">
        <v>30</v>
      </c>
      <c r="F180" t="s">
        <v>41</v>
      </c>
      <c r="G180">
        <v>32</v>
      </c>
      <c r="H180">
        <v>0</v>
      </c>
      <c r="I180">
        <v>0</v>
      </c>
      <c r="J180">
        <v>0</v>
      </c>
      <c r="M180">
        <f t="shared" si="38"/>
        <v>5.617647058823529</v>
      </c>
      <c r="N180">
        <f t="shared" si="39"/>
        <v>34</v>
      </c>
      <c r="O180">
        <f t="shared" si="40"/>
        <v>0</v>
      </c>
      <c r="P180">
        <f t="shared" si="37"/>
        <v>6</v>
      </c>
      <c r="Q180">
        <f t="shared" si="41"/>
        <v>6</v>
      </c>
      <c r="R180" t="str">
        <f t="shared" si="36"/>
        <v>6</v>
      </c>
    </row>
    <row r="181" spans="1:18" x14ac:dyDescent="0.25">
      <c r="A181" t="str">
        <f t="shared" si="35"/>
        <v>Montpellier - Hilton</v>
      </c>
      <c r="B181" t="s">
        <v>9</v>
      </c>
      <c r="C181" t="s">
        <v>13</v>
      </c>
      <c r="D181" t="s">
        <v>197</v>
      </c>
      <c r="E181" t="s">
        <v>198</v>
      </c>
      <c r="F181" t="s">
        <v>40</v>
      </c>
      <c r="G181">
        <v>34</v>
      </c>
      <c r="H181">
        <v>0</v>
      </c>
      <c r="I181">
        <v>0</v>
      </c>
      <c r="J181">
        <v>0</v>
      </c>
      <c r="M181">
        <f t="shared" si="38"/>
        <v>5.1944444444444446</v>
      </c>
      <c r="N181">
        <f t="shared" si="39"/>
        <v>36</v>
      </c>
      <c r="O181">
        <f t="shared" si="40"/>
        <v>0</v>
      </c>
      <c r="P181">
        <f t="shared" si="37"/>
        <v>1</v>
      </c>
      <c r="Q181">
        <f t="shared" si="41"/>
        <v>1</v>
      </c>
      <c r="R181" t="str">
        <f t="shared" si="36"/>
        <v>1</v>
      </c>
    </row>
    <row r="182" spans="1:18" x14ac:dyDescent="0.25">
      <c r="A182" t="str">
        <f t="shared" si="35"/>
        <v>Guingamp - Lemaître</v>
      </c>
      <c r="B182" t="s">
        <v>9</v>
      </c>
      <c r="C182" t="s">
        <v>13</v>
      </c>
      <c r="D182" t="s">
        <v>623</v>
      </c>
      <c r="E182" t="s">
        <v>624</v>
      </c>
      <c r="F182" t="s">
        <v>70</v>
      </c>
      <c r="G182">
        <v>2</v>
      </c>
      <c r="H182">
        <v>0</v>
      </c>
      <c r="I182">
        <v>0</v>
      </c>
      <c r="J182">
        <v>0</v>
      </c>
      <c r="M182">
        <f t="shared" si="38"/>
        <v>4.166666666666667</v>
      </c>
      <c r="N182">
        <f t="shared" si="39"/>
        <v>5</v>
      </c>
      <c r="O182">
        <f t="shared" si="40"/>
        <v>1</v>
      </c>
      <c r="P182">
        <f t="shared" si="37"/>
        <v>0</v>
      </c>
      <c r="Q182" t="str">
        <f t="shared" si="41"/>
        <v>(-1)</v>
      </c>
      <c r="R182" t="str">
        <f t="shared" si="36"/>
        <v/>
      </c>
    </row>
    <row r="183" spans="1:18" x14ac:dyDescent="0.25">
      <c r="A183" t="str">
        <f t="shared" si="35"/>
        <v>Lille - Sidibe</v>
      </c>
      <c r="B183" t="s">
        <v>9</v>
      </c>
      <c r="C183" t="s">
        <v>13</v>
      </c>
      <c r="D183" t="s">
        <v>625</v>
      </c>
      <c r="E183" t="s">
        <v>166</v>
      </c>
      <c r="F183" t="s">
        <v>53</v>
      </c>
      <c r="G183">
        <v>31</v>
      </c>
      <c r="H183">
        <v>0</v>
      </c>
      <c r="I183">
        <v>0</v>
      </c>
      <c r="J183">
        <v>0</v>
      </c>
      <c r="M183">
        <f t="shared" si="38"/>
        <v>5.4722222222222223</v>
      </c>
      <c r="N183">
        <f t="shared" si="39"/>
        <v>36</v>
      </c>
      <c r="O183">
        <f t="shared" si="40"/>
        <v>1</v>
      </c>
      <c r="P183">
        <f t="shared" si="37"/>
        <v>4</v>
      </c>
      <c r="Q183">
        <f t="shared" si="41"/>
        <v>4</v>
      </c>
      <c r="R183" t="str">
        <f t="shared" si="36"/>
        <v>4</v>
      </c>
    </row>
    <row r="184" spans="1:18" x14ac:dyDescent="0.25">
      <c r="A184" t="str">
        <f t="shared" si="35"/>
        <v>Paris - Thiago Silva</v>
      </c>
      <c r="B184" t="s">
        <v>9</v>
      </c>
      <c r="C184" t="s">
        <v>13</v>
      </c>
      <c r="D184" t="s">
        <v>25</v>
      </c>
      <c r="F184" t="s">
        <v>67</v>
      </c>
      <c r="G184">
        <v>53</v>
      </c>
      <c r="H184">
        <v>0</v>
      </c>
      <c r="I184">
        <v>0</v>
      </c>
      <c r="J184">
        <v>0</v>
      </c>
      <c r="K184" t="s">
        <v>626</v>
      </c>
      <c r="L184" t="s">
        <v>627</v>
      </c>
      <c r="M184">
        <f t="shared" si="38"/>
        <v>6.068965517241379</v>
      </c>
      <c r="N184">
        <f t="shared" si="39"/>
        <v>29</v>
      </c>
      <c r="O184">
        <f t="shared" si="40"/>
        <v>1</v>
      </c>
      <c r="P184">
        <f t="shared" si="37"/>
        <v>1</v>
      </c>
      <c r="Q184">
        <f t="shared" si="41"/>
        <v>1</v>
      </c>
      <c r="R184" t="str">
        <f t="shared" si="36"/>
        <v>1</v>
      </c>
    </row>
    <row r="185" spans="1:18" x14ac:dyDescent="0.25">
      <c r="A185" t="str">
        <f t="shared" si="35"/>
        <v>Toulouse - William Matheus</v>
      </c>
      <c r="B185" t="s">
        <v>9</v>
      </c>
      <c r="C185" t="s">
        <v>13</v>
      </c>
      <c r="D185" t="s">
        <v>340</v>
      </c>
      <c r="F185" t="s">
        <v>60</v>
      </c>
      <c r="G185">
        <v>2</v>
      </c>
      <c r="H185">
        <v>0</v>
      </c>
      <c r="I185">
        <v>0</v>
      </c>
      <c r="J185">
        <v>0</v>
      </c>
      <c r="M185">
        <f t="shared" si="38"/>
        <v>4.8571428571428568</v>
      </c>
      <c r="N185">
        <f t="shared" si="39"/>
        <v>14</v>
      </c>
      <c r="O185">
        <f t="shared" si="40"/>
        <v>0</v>
      </c>
      <c r="P185">
        <f t="shared" si="37"/>
        <v>0</v>
      </c>
      <c r="Q185">
        <f t="shared" si="41"/>
        <v>0</v>
      </c>
      <c r="R185" t="str">
        <f t="shared" si="36"/>
        <v>0</v>
      </c>
    </row>
    <row r="186" spans="1:18" x14ac:dyDescent="0.25">
      <c r="A186" t="str">
        <f t="shared" si="35"/>
        <v>Guingamp - Guivarch</v>
      </c>
      <c r="B186" t="s">
        <v>9</v>
      </c>
      <c r="C186" t="s">
        <v>12</v>
      </c>
      <c r="D186" t="s">
        <v>628</v>
      </c>
      <c r="E186" t="s">
        <v>629</v>
      </c>
      <c r="F186" t="s">
        <v>70</v>
      </c>
      <c r="G186">
        <v>1</v>
      </c>
      <c r="H186">
        <v>0</v>
      </c>
      <c r="I186">
        <v>0</v>
      </c>
      <c r="J186">
        <v>0</v>
      </c>
      <c r="M186" t="str">
        <f t="shared" si="38"/>
        <v/>
      </c>
      <c r="N186">
        <f t="shared" si="39"/>
        <v>0</v>
      </c>
      <c r="O186">
        <f t="shared" si="40"/>
        <v>0</v>
      </c>
      <c r="P186">
        <f t="shared" si="37"/>
        <v>0</v>
      </c>
      <c r="Q186">
        <f t="shared" si="41"/>
        <v>0</v>
      </c>
      <c r="R186" t="str">
        <f t="shared" si="36"/>
        <v>0</v>
      </c>
    </row>
    <row r="187" spans="1:18" x14ac:dyDescent="0.25">
      <c r="A187" t="str">
        <f t="shared" si="35"/>
        <v>Nice - Hassen</v>
      </c>
      <c r="B187" t="s">
        <v>9</v>
      </c>
      <c r="C187" t="s">
        <v>12</v>
      </c>
      <c r="D187" t="s">
        <v>630</v>
      </c>
      <c r="E187" t="s">
        <v>631</v>
      </c>
      <c r="F187" t="s">
        <v>59</v>
      </c>
      <c r="G187">
        <v>12</v>
      </c>
      <c r="H187">
        <v>0</v>
      </c>
      <c r="I187">
        <v>0</v>
      </c>
      <c r="J187">
        <v>0</v>
      </c>
      <c r="M187">
        <f t="shared" ref="M187:M193" si="42">IF(VLOOKUP(VLOOKUP($A187,_JOUEURS,2,FALSE),_DATA,8,FALSE)=0,"",VLOOKUP(VLOOKUP($A187,_JOUEURS,2,FALSE),_DATA,8,FALSE))</f>
        <v>5.583333333333333</v>
      </c>
      <c r="N187">
        <f t="shared" ref="N187:N194" si="43">VLOOKUP(VLOOKUP($A187,_JOUEURS,2,FALSE),_DATA,5,FALSE)</f>
        <v>12</v>
      </c>
      <c r="O187">
        <f t="shared" ref="O187:O194" si="44">VLOOKUP(VLOOKUP($A187,_JOUEURS,2,FALSE),_DATA,6,FALSE)</f>
        <v>2</v>
      </c>
      <c r="P187">
        <f t="shared" si="37"/>
        <v>0</v>
      </c>
      <c r="Q187">
        <f t="shared" ref="Q187:Q194" si="45">VLOOKUP(VLOOKUP($A187,_JOUEURS,2,FALSE),_DATA,7,FALSE)</f>
        <v>0</v>
      </c>
      <c r="R187" t="str">
        <f t="shared" si="36"/>
        <v>0</v>
      </c>
    </row>
    <row r="188" spans="1:18" x14ac:dyDescent="0.25">
      <c r="A188" t="str">
        <f t="shared" si="35"/>
        <v>Guingamp - Jonas Lössl</v>
      </c>
      <c r="B188" t="s">
        <v>9</v>
      </c>
      <c r="C188" t="s">
        <v>12</v>
      </c>
      <c r="D188" t="s">
        <v>182</v>
      </c>
      <c r="F188" t="s">
        <v>70</v>
      </c>
      <c r="G188">
        <v>20</v>
      </c>
      <c r="H188">
        <v>0</v>
      </c>
      <c r="I188">
        <v>0</v>
      </c>
      <c r="J188">
        <v>0</v>
      </c>
      <c r="K188" t="s">
        <v>264</v>
      </c>
      <c r="L188" t="s">
        <v>632</v>
      </c>
      <c r="M188">
        <f t="shared" si="42"/>
        <v>5.3513513513513518</v>
      </c>
      <c r="N188">
        <f t="shared" si="43"/>
        <v>37</v>
      </c>
      <c r="O188">
        <f t="shared" si="44"/>
        <v>0</v>
      </c>
      <c r="P188">
        <f t="shared" si="37"/>
        <v>0</v>
      </c>
      <c r="Q188">
        <f t="shared" si="45"/>
        <v>0</v>
      </c>
      <c r="R188" t="str">
        <f t="shared" si="36"/>
        <v>0</v>
      </c>
    </row>
    <row r="189" spans="1:18" x14ac:dyDescent="0.25">
      <c r="A189" t="str">
        <f t="shared" si="35"/>
        <v>Marseille - Barrada</v>
      </c>
      <c r="B189" t="s">
        <v>9</v>
      </c>
      <c r="C189" t="s">
        <v>8</v>
      </c>
      <c r="D189" t="s">
        <v>193</v>
      </c>
      <c r="E189" t="s">
        <v>194</v>
      </c>
      <c r="F189" t="s">
        <v>44</v>
      </c>
      <c r="G189">
        <v>27</v>
      </c>
      <c r="H189">
        <v>0</v>
      </c>
      <c r="I189">
        <v>1</v>
      </c>
      <c r="J189">
        <v>1</v>
      </c>
      <c r="K189" t="s">
        <v>590</v>
      </c>
      <c r="L189" t="s">
        <v>274</v>
      </c>
      <c r="M189">
        <f t="shared" si="42"/>
        <v>5.6842105263157894</v>
      </c>
      <c r="N189">
        <f t="shared" si="43"/>
        <v>17</v>
      </c>
      <c r="O189">
        <f t="shared" si="44"/>
        <v>7</v>
      </c>
      <c r="P189">
        <f t="shared" si="37"/>
        <v>1</v>
      </c>
      <c r="Q189">
        <f t="shared" si="45"/>
        <v>1</v>
      </c>
      <c r="R189" t="str">
        <f t="shared" si="36"/>
        <v>1</v>
      </c>
    </row>
    <row r="190" spans="1:18" x14ac:dyDescent="0.25">
      <c r="A190" t="str">
        <f t="shared" si="35"/>
        <v>Nantes - Deaux</v>
      </c>
      <c r="B190" t="s">
        <v>9</v>
      </c>
      <c r="C190" t="s">
        <v>8</v>
      </c>
      <c r="D190" t="s">
        <v>633</v>
      </c>
      <c r="E190" t="s">
        <v>140</v>
      </c>
      <c r="F190" t="s">
        <v>43</v>
      </c>
      <c r="G190">
        <v>7</v>
      </c>
      <c r="H190">
        <v>0</v>
      </c>
      <c r="I190">
        <v>0</v>
      </c>
      <c r="J190">
        <v>0</v>
      </c>
      <c r="M190">
        <f t="shared" si="42"/>
        <v>5</v>
      </c>
      <c r="N190">
        <f t="shared" si="43"/>
        <v>13</v>
      </c>
      <c r="O190">
        <f t="shared" si="44"/>
        <v>3</v>
      </c>
      <c r="P190">
        <f t="shared" si="37"/>
        <v>0</v>
      </c>
      <c r="Q190">
        <f t="shared" si="45"/>
        <v>0</v>
      </c>
      <c r="R190" t="str">
        <f t="shared" si="36"/>
        <v>0</v>
      </c>
    </row>
    <row r="191" spans="1:18" x14ac:dyDescent="0.25">
      <c r="A191" t="str">
        <f t="shared" si="35"/>
        <v>Toulouse - Didot</v>
      </c>
      <c r="B191" t="s">
        <v>9</v>
      </c>
      <c r="C191" t="s">
        <v>8</v>
      </c>
      <c r="D191" t="s">
        <v>634</v>
      </c>
      <c r="E191" t="s">
        <v>635</v>
      </c>
      <c r="F191" t="s">
        <v>60</v>
      </c>
      <c r="G191">
        <v>7</v>
      </c>
      <c r="H191">
        <v>0</v>
      </c>
      <c r="I191">
        <v>0</v>
      </c>
      <c r="J191">
        <v>0</v>
      </c>
      <c r="M191">
        <f t="shared" si="42"/>
        <v>4.7142857142857144</v>
      </c>
      <c r="N191">
        <f t="shared" si="43"/>
        <v>21</v>
      </c>
      <c r="O191">
        <f t="shared" si="44"/>
        <v>2</v>
      </c>
      <c r="P191">
        <f t="shared" si="37"/>
        <v>0</v>
      </c>
      <c r="Q191">
        <f t="shared" si="45"/>
        <v>0</v>
      </c>
      <c r="R191" t="str">
        <f t="shared" si="36"/>
        <v>0</v>
      </c>
    </row>
    <row r="192" spans="1:18" x14ac:dyDescent="0.25">
      <c r="A192" t="str">
        <f t="shared" si="35"/>
        <v>Bordeaux - Khazri</v>
      </c>
      <c r="B192" t="s">
        <v>9</v>
      </c>
      <c r="C192" t="s">
        <v>8</v>
      </c>
      <c r="D192" t="s">
        <v>152</v>
      </c>
      <c r="E192" t="s">
        <v>153</v>
      </c>
      <c r="F192" t="s">
        <v>50</v>
      </c>
      <c r="G192">
        <v>49</v>
      </c>
      <c r="H192">
        <v>0</v>
      </c>
      <c r="I192">
        <v>0</v>
      </c>
      <c r="J192">
        <v>0</v>
      </c>
      <c r="M192">
        <f t="shared" si="42"/>
        <v>5.8</v>
      </c>
      <c r="N192">
        <f t="shared" si="43"/>
        <v>20</v>
      </c>
      <c r="O192">
        <f t="shared" si="44"/>
        <v>0</v>
      </c>
      <c r="P192">
        <f t="shared" si="37"/>
        <v>5</v>
      </c>
      <c r="Q192">
        <f t="shared" si="45"/>
        <v>5</v>
      </c>
      <c r="R192" t="str">
        <f t="shared" si="36"/>
        <v>5</v>
      </c>
    </row>
    <row r="193" spans="1:18" x14ac:dyDescent="0.25">
      <c r="A193" t="str">
        <f t="shared" si="35"/>
        <v>Marseille - Lass Diarra</v>
      </c>
      <c r="B193" t="s">
        <v>9</v>
      </c>
      <c r="C193" t="s">
        <v>8</v>
      </c>
      <c r="D193" t="s">
        <v>244</v>
      </c>
      <c r="F193" t="s">
        <v>44</v>
      </c>
      <c r="G193">
        <v>44</v>
      </c>
      <c r="H193">
        <v>0</v>
      </c>
      <c r="I193">
        <v>2</v>
      </c>
      <c r="J193">
        <v>2</v>
      </c>
      <c r="K193" t="s">
        <v>261</v>
      </c>
      <c r="L193" t="s">
        <v>636</v>
      </c>
      <c r="M193">
        <f t="shared" si="42"/>
        <v>5.48</v>
      </c>
      <c r="N193">
        <f t="shared" si="43"/>
        <v>25</v>
      </c>
      <c r="O193">
        <f t="shared" si="44"/>
        <v>1</v>
      </c>
      <c r="P193">
        <f t="shared" si="37"/>
        <v>1</v>
      </c>
      <c r="Q193">
        <f t="shared" si="45"/>
        <v>1</v>
      </c>
      <c r="R193" t="str">
        <f t="shared" si="36"/>
        <v>1</v>
      </c>
    </row>
    <row r="194" spans="1:18" x14ac:dyDescent="0.25">
      <c r="A194" t="str">
        <f t="shared" si="35"/>
        <v>Monaco - Silva</v>
      </c>
      <c r="B194" t="s">
        <v>9</v>
      </c>
      <c r="C194" t="s">
        <v>8</v>
      </c>
      <c r="D194" t="s">
        <v>157</v>
      </c>
      <c r="E194" t="s">
        <v>158</v>
      </c>
      <c r="F194" t="s">
        <v>41</v>
      </c>
      <c r="G194">
        <v>61</v>
      </c>
      <c r="H194">
        <v>0</v>
      </c>
      <c r="I194">
        <v>0</v>
      </c>
      <c r="J194">
        <v>0</v>
      </c>
      <c r="M194">
        <f>IF(VLOOKUP(VLOOKUP($A194,_JOUEURS,2,FALSE),_DATA,8,FALSE)=0,"",VLOOKUP(VLOOKUP($A194,_JOUEURS,2,FALSE),_DATA,8,FALSE))</f>
        <v>5.2592592592592595</v>
      </c>
      <c r="N194">
        <f t="shared" si="43"/>
        <v>22</v>
      </c>
      <c r="O194">
        <f t="shared" si="44"/>
        <v>10</v>
      </c>
      <c r="P194">
        <f t="shared" ref="P194" si="46">VALUE(IF(SUBSTITUTE(SUBSTITUTE(VLOOKUP(VLOOKUP($A194,_JOUEURS,2,FALSE),_DATA,7,FALSE)," / ",""),"(-1)","")="",0,SUBSTITUTE(SUBSTITUTE(VLOOKUP(VLOOKUP($A194,_JOUEURS,2,FALSE),_DATA,7,FALSE)," / ",""),"(-1)","")))</f>
        <v>7</v>
      </c>
      <c r="Q194">
        <f t="shared" si="45"/>
        <v>7</v>
      </c>
      <c r="R194" t="str">
        <f t="shared" si="36"/>
        <v>7</v>
      </c>
    </row>
  </sheetData>
  <autoFilter ref="B2:P194"/>
  <pageMargins left="0.7" right="0.7" top="0.75" bottom="0.75" header="0.3" footer="0.3"/>
  <pageSetup paperSize="9"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93"/>
  <sheetViews>
    <sheetView topLeftCell="A170" workbookViewId="0">
      <selection activeCell="B192" sqref="B192"/>
    </sheetView>
  </sheetViews>
  <sheetFormatPr baseColWidth="10" defaultRowHeight="15" x14ac:dyDescent="0.25"/>
  <cols>
    <col min="1" max="1" width="13" bestFit="1" customWidth="1"/>
    <col min="2" max="2" width="18.28515625" bestFit="1" customWidth="1"/>
    <col min="3" max="3" width="18.28515625" hidden="1" customWidth="1"/>
    <col min="4" max="4" width="18.28515625" bestFit="1" customWidth="1"/>
    <col min="5" max="5" width="18.28515625" hidden="1" customWidth="1"/>
    <col min="6" max="6" width="18.28515625" customWidth="1"/>
    <col min="7" max="7" width="29" bestFit="1" customWidth="1"/>
    <col min="8" max="8" width="23.42578125" bestFit="1" customWidth="1"/>
    <col min="11" max="11" width="13" bestFit="1" customWidth="1"/>
    <col min="12" max="12" width="8.5703125" bestFit="1" customWidth="1"/>
  </cols>
  <sheetData>
    <row r="1" spans="1:12" x14ac:dyDescent="0.25">
      <c r="A1" s="291" t="s">
        <v>75</v>
      </c>
      <c r="B1" s="291"/>
      <c r="C1" s="249"/>
      <c r="D1" s="249" t="s">
        <v>1069</v>
      </c>
      <c r="E1" s="249"/>
      <c r="F1" s="249"/>
      <c r="G1" s="249" t="s">
        <v>1068</v>
      </c>
      <c r="H1" t="s">
        <v>1070</v>
      </c>
      <c r="K1" t="s">
        <v>75</v>
      </c>
      <c r="L1" t="s">
        <v>637</v>
      </c>
    </row>
    <row r="2" spans="1:12" x14ac:dyDescent="0.25">
      <c r="A2" t="s">
        <v>67</v>
      </c>
      <c r="B2" t="s">
        <v>106</v>
      </c>
      <c r="C2" s="250" t="s">
        <v>107</v>
      </c>
      <c r="D2" s="251" t="s">
        <v>106</v>
      </c>
      <c r="E2" t="str">
        <f t="shared" ref="E2:E33" si="0">VLOOKUP(H2,_DATA,1,FALSE)</f>
        <v>PSG - Cavani</v>
      </c>
      <c r="G2" t="str">
        <f>A2&amp; " - " &amp; B2</f>
        <v>Paris - Cavani</v>
      </c>
      <c r="H2" t="str">
        <f t="shared" ref="H2:H33" si="1">VLOOKUP(A2,_EQUIPES,2,FALSE) &amp; " - " &amp; D2</f>
        <v>PSG - Cavani</v>
      </c>
      <c r="K2" t="s">
        <v>265</v>
      </c>
      <c r="L2" t="s">
        <v>1047</v>
      </c>
    </row>
    <row r="3" spans="1:12" x14ac:dyDescent="0.25">
      <c r="A3" t="s">
        <v>265</v>
      </c>
      <c r="B3" t="s">
        <v>408</v>
      </c>
      <c r="C3" s="250"/>
      <c r="D3" s="251" t="s">
        <v>1045</v>
      </c>
      <c r="E3" t="str">
        <f t="shared" si="0"/>
        <v>GFCA - Zoua</v>
      </c>
      <c r="G3" t="str">
        <f t="shared" ref="G3:G66" si="2">A3&amp; " - " &amp; B3</f>
        <v>Ajaccio - Jacques Zoua</v>
      </c>
      <c r="H3" t="str">
        <f t="shared" si="1"/>
        <v>GFCA - Zoua</v>
      </c>
      <c r="K3" t="s">
        <v>262</v>
      </c>
      <c r="L3" t="s">
        <v>1066</v>
      </c>
    </row>
    <row r="4" spans="1:12" x14ac:dyDescent="0.25">
      <c r="A4" t="s">
        <v>252</v>
      </c>
      <c r="B4" t="s">
        <v>109</v>
      </c>
      <c r="C4" s="250" t="s">
        <v>186</v>
      </c>
      <c r="D4" s="251" t="s">
        <v>109</v>
      </c>
      <c r="E4" t="str">
        <f t="shared" si="0"/>
        <v>ESTAC - Jean</v>
      </c>
      <c r="G4" t="str">
        <f t="shared" si="2"/>
        <v>Troyes - Jean</v>
      </c>
      <c r="H4" t="str">
        <f t="shared" si="1"/>
        <v>ESTAC - Jean</v>
      </c>
      <c r="K4" t="s">
        <v>108</v>
      </c>
      <c r="L4" t="s">
        <v>887</v>
      </c>
    </row>
    <row r="5" spans="1:12" x14ac:dyDescent="0.25">
      <c r="A5" t="s">
        <v>56</v>
      </c>
      <c r="B5" t="s">
        <v>466</v>
      </c>
      <c r="C5" s="250" t="s">
        <v>467</v>
      </c>
      <c r="D5" s="251" t="s">
        <v>466</v>
      </c>
      <c r="E5" t="str">
        <f t="shared" si="0"/>
        <v>SMC - Rodelin</v>
      </c>
      <c r="G5" t="str">
        <f t="shared" si="2"/>
        <v>Caen - Rodelin</v>
      </c>
      <c r="H5" t="str">
        <f t="shared" si="1"/>
        <v>SMC - Rodelin</v>
      </c>
      <c r="K5" t="s">
        <v>50</v>
      </c>
      <c r="L5" t="s">
        <v>796</v>
      </c>
    </row>
    <row r="6" spans="1:12" x14ac:dyDescent="0.25">
      <c r="A6" t="s">
        <v>50</v>
      </c>
      <c r="B6" t="s">
        <v>154</v>
      </c>
      <c r="C6" s="250" t="s">
        <v>120</v>
      </c>
      <c r="D6" s="251" t="s">
        <v>154</v>
      </c>
      <c r="E6" t="str">
        <f t="shared" si="0"/>
        <v>FCGB - Saivet</v>
      </c>
      <c r="G6" t="str">
        <f t="shared" si="2"/>
        <v>Bordeaux - Saivet</v>
      </c>
      <c r="H6" t="str">
        <f t="shared" si="1"/>
        <v>FCGB - Saivet</v>
      </c>
      <c r="K6" t="s">
        <v>56</v>
      </c>
      <c r="L6" t="s">
        <v>1010</v>
      </c>
    </row>
    <row r="7" spans="1:12" x14ac:dyDescent="0.25">
      <c r="A7" t="s">
        <v>43</v>
      </c>
      <c r="B7" t="s">
        <v>468</v>
      </c>
      <c r="C7" s="250" t="s">
        <v>469</v>
      </c>
      <c r="D7" s="251" t="s">
        <v>468</v>
      </c>
      <c r="E7" t="str">
        <f t="shared" si="0"/>
        <v>FCN - Sala</v>
      </c>
      <c r="G7" t="str">
        <f t="shared" si="2"/>
        <v>Nantes - Sala</v>
      </c>
      <c r="H7" t="str">
        <f t="shared" si="1"/>
        <v>FCN - Sala</v>
      </c>
      <c r="K7" t="s">
        <v>70</v>
      </c>
      <c r="L7" t="s">
        <v>999</v>
      </c>
    </row>
    <row r="8" spans="1:12" x14ac:dyDescent="0.25">
      <c r="A8" t="s">
        <v>262</v>
      </c>
      <c r="B8" t="s">
        <v>470</v>
      </c>
      <c r="C8" s="250" t="s">
        <v>471</v>
      </c>
      <c r="D8" s="251" t="s">
        <v>470</v>
      </c>
      <c r="E8" t="str">
        <f t="shared" si="0"/>
        <v>SCO - Andreu</v>
      </c>
      <c r="G8" t="str">
        <f t="shared" si="2"/>
        <v>Angers - Andreu</v>
      </c>
      <c r="H8" t="str">
        <f t="shared" si="1"/>
        <v>SCO - Andreu</v>
      </c>
      <c r="K8" t="s">
        <v>53</v>
      </c>
      <c r="L8" t="s">
        <v>771</v>
      </c>
    </row>
    <row r="9" spans="1:12" x14ac:dyDescent="0.25">
      <c r="A9" t="s">
        <v>61</v>
      </c>
      <c r="B9" t="s">
        <v>207</v>
      </c>
      <c r="C9" s="250" t="s">
        <v>185</v>
      </c>
      <c r="D9" s="251" t="s">
        <v>207</v>
      </c>
      <c r="E9" t="str">
        <f t="shared" si="0"/>
        <v>SRFC - Armand</v>
      </c>
      <c r="G9" t="str">
        <f t="shared" si="2"/>
        <v>Rennes - Armand</v>
      </c>
      <c r="H9" t="str">
        <f t="shared" si="1"/>
        <v>SRFC - Armand</v>
      </c>
      <c r="K9" t="s">
        <v>57</v>
      </c>
      <c r="L9" t="s">
        <v>816</v>
      </c>
    </row>
    <row r="10" spans="1:12" x14ac:dyDescent="0.25">
      <c r="A10" t="s">
        <v>265</v>
      </c>
      <c r="B10" t="s">
        <v>472</v>
      </c>
      <c r="C10" s="250" t="s">
        <v>46</v>
      </c>
      <c r="D10" s="251" t="s">
        <v>472</v>
      </c>
      <c r="E10" t="str">
        <f t="shared" si="0"/>
        <v>GFCA - Coeff</v>
      </c>
      <c r="G10" t="str">
        <f t="shared" si="2"/>
        <v>Ajaccio - Coeff</v>
      </c>
      <c r="H10" t="str">
        <f t="shared" si="1"/>
        <v>GFCA - Coeff</v>
      </c>
      <c r="K10" t="s">
        <v>47</v>
      </c>
      <c r="L10" t="s">
        <v>704</v>
      </c>
    </row>
    <row r="11" spans="1:12" x14ac:dyDescent="0.25">
      <c r="A11" t="s">
        <v>53</v>
      </c>
      <c r="B11" t="s">
        <v>122</v>
      </c>
      <c r="C11" s="250" t="s">
        <v>123</v>
      </c>
      <c r="D11" s="251" t="s">
        <v>122</v>
      </c>
      <c r="E11" t="str">
        <f t="shared" si="0"/>
        <v>Losc - Corchia</v>
      </c>
      <c r="G11" t="str">
        <f t="shared" si="2"/>
        <v>Lille - Corchia</v>
      </c>
      <c r="H11" t="str">
        <f t="shared" si="1"/>
        <v>Losc - Corchia</v>
      </c>
      <c r="K11" t="s">
        <v>44</v>
      </c>
      <c r="L11" t="s">
        <v>703</v>
      </c>
    </row>
    <row r="12" spans="1:12" x14ac:dyDescent="0.25">
      <c r="A12" t="s">
        <v>43</v>
      </c>
      <c r="B12" t="s">
        <v>473</v>
      </c>
      <c r="C12" s="250" t="s">
        <v>474</v>
      </c>
      <c r="D12" s="251" t="s">
        <v>473</v>
      </c>
      <c r="E12" t="str">
        <f t="shared" si="0"/>
        <v>FCN - Sabaly</v>
      </c>
      <c r="G12" t="str">
        <f t="shared" si="2"/>
        <v>Nantes - Sabaly</v>
      </c>
      <c r="H12" t="str">
        <f t="shared" si="1"/>
        <v>FCN - Sabaly</v>
      </c>
      <c r="K12" t="s">
        <v>41</v>
      </c>
      <c r="L12" t="s">
        <v>974</v>
      </c>
    </row>
    <row r="13" spans="1:12" x14ac:dyDescent="0.25">
      <c r="A13" t="s">
        <v>252</v>
      </c>
      <c r="B13" t="s">
        <v>475</v>
      </c>
      <c r="C13" s="250" t="s">
        <v>476</v>
      </c>
      <c r="D13" s="251" t="s">
        <v>475</v>
      </c>
      <c r="E13" t="str">
        <f t="shared" si="0"/>
        <v>ESTAC - Saunier</v>
      </c>
      <c r="G13" t="str">
        <f t="shared" si="2"/>
        <v>Troyes - Saunier</v>
      </c>
      <c r="H13" t="str">
        <f t="shared" si="1"/>
        <v>ESTAC - Saunier</v>
      </c>
      <c r="K13" t="s">
        <v>40</v>
      </c>
      <c r="L13" t="s">
        <v>838</v>
      </c>
    </row>
    <row r="14" spans="1:12" x14ac:dyDescent="0.25">
      <c r="A14" t="s">
        <v>57</v>
      </c>
      <c r="B14" t="s">
        <v>477</v>
      </c>
      <c r="C14" s="250" t="s">
        <v>478</v>
      </c>
      <c r="D14" s="251" t="s">
        <v>802</v>
      </c>
      <c r="E14" t="str">
        <f t="shared" si="0"/>
        <v>FCL - Z. Touré</v>
      </c>
      <c r="G14" t="str">
        <f t="shared" si="2"/>
        <v>Lorient - Toure</v>
      </c>
      <c r="H14" t="str">
        <f t="shared" si="1"/>
        <v>FCL - Z. Touré</v>
      </c>
      <c r="K14" t="s">
        <v>43</v>
      </c>
      <c r="L14" t="s">
        <v>955</v>
      </c>
    </row>
    <row r="15" spans="1:12" x14ac:dyDescent="0.25">
      <c r="A15" t="s">
        <v>104</v>
      </c>
      <c r="B15" t="s">
        <v>479</v>
      </c>
      <c r="C15" s="250" t="s">
        <v>480</v>
      </c>
      <c r="D15" s="251" t="s">
        <v>788</v>
      </c>
      <c r="E15" t="str">
        <f t="shared" si="0"/>
        <v>SR - Traoré</v>
      </c>
      <c r="G15" t="str">
        <f t="shared" si="2"/>
        <v>Reims - Traore</v>
      </c>
      <c r="H15" t="str">
        <f t="shared" si="1"/>
        <v>SR - Traoré</v>
      </c>
      <c r="K15" t="s">
        <v>59</v>
      </c>
      <c r="L15" t="s">
        <v>728</v>
      </c>
    </row>
    <row r="16" spans="1:12" x14ac:dyDescent="0.25">
      <c r="A16" t="s">
        <v>108</v>
      </c>
      <c r="B16" t="s">
        <v>481</v>
      </c>
      <c r="C16" s="250" t="s">
        <v>482</v>
      </c>
      <c r="D16" s="251" t="s">
        <v>481</v>
      </c>
      <c r="E16" t="str">
        <f t="shared" si="0"/>
        <v>SCB - Leca</v>
      </c>
      <c r="G16" t="str">
        <f t="shared" si="2"/>
        <v>Bastia - Leca</v>
      </c>
      <c r="H16" t="str">
        <f t="shared" si="1"/>
        <v>SCB - Leca</v>
      </c>
      <c r="K16" t="s">
        <v>67</v>
      </c>
      <c r="L16" t="s">
        <v>705</v>
      </c>
    </row>
    <row r="17" spans="1:12" x14ac:dyDescent="0.25">
      <c r="A17" t="s">
        <v>57</v>
      </c>
      <c r="B17" t="s">
        <v>156</v>
      </c>
      <c r="C17" s="250" t="s">
        <v>58</v>
      </c>
      <c r="D17" s="251" t="s">
        <v>156</v>
      </c>
      <c r="E17" t="str">
        <f t="shared" si="0"/>
        <v>FCL - Lecomte</v>
      </c>
      <c r="G17" t="str">
        <f t="shared" si="2"/>
        <v>Lorient - Lecomte</v>
      </c>
      <c r="H17" t="str">
        <f t="shared" si="1"/>
        <v>FCL - Lecomte</v>
      </c>
      <c r="K17" t="s">
        <v>104</v>
      </c>
      <c r="L17" t="s">
        <v>933</v>
      </c>
    </row>
    <row r="18" spans="1:12" x14ac:dyDescent="0.25">
      <c r="A18" t="s">
        <v>108</v>
      </c>
      <c r="B18" t="s">
        <v>483</v>
      </c>
      <c r="C18" s="250" t="s">
        <v>484</v>
      </c>
      <c r="D18" s="251" t="s">
        <v>483</v>
      </c>
      <c r="E18" t="str">
        <f t="shared" si="0"/>
        <v>SCB - Danic</v>
      </c>
      <c r="G18" t="str">
        <f t="shared" si="2"/>
        <v>Bastia - Danic</v>
      </c>
      <c r="H18" t="str">
        <f t="shared" si="1"/>
        <v>SCB - Danic</v>
      </c>
      <c r="K18" t="s">
        <v>61</v>
      </c>
      <c r="L18" t="s">
        <v>913</v>
      </c>
    </row>
    <row r="19" spans="1:12" x14ac:dyDescent="0.25">
      <c r="A19" t="s">
        <v>108</v>
      </c>
      <c r="B19" t="s">
        <v>405</v>
      </c>
      <c r="C19" s="250"/>
      <c r="D19" s="251" t="s">
        <v>883</v>
      </c>
      <c r="E19" t="str">
        <f t="shared" si="0"/>
        <v>SCB - Ayité</v>
      </c>
      <c r="G19" t="str">
        <f t="shared" si="2"/>
        <v>Bastia - Floyd Ayité</v>
      </c>
      <c r="H19" t="str">
        <f t="shared" si="1"/>
        <v>SCB - Ayité</v>
      </c>
      <c r="K19" t="s">
        <v>125</v>
      </c>
      <c r="L19" t="s">
        <v>746</v>
      </c>
    </row>
    <row r="20" spans="1:12" x14ac:dyDescent="0.25">
      <c r="A20" t="s">
        <v>56</v>
      </c>
      <c r="B20" t="s">
        <v>63</v>
      </c>
      <c r="C20" s="250" t="s">
        <v>64</v>
      </c>
      <c r="D20" s="251" t="s">
        <v>63</v>
      </c>
      <c r="E20" t="str">
        <f t="shared" si="0"/>
        <v>SMC - Féret</v>
      </c>
      <c r="G20" t="str">
        <f t="shared" si="2"/>
        <v>Caen - Féret</v>
      </c>
      <c r="H20" t="str">
        <f t="shared" si="1"/>
        <v>SMC - Féret</v>
      </c>
      <c r="K20" t="s">
        <v>60</v>
      </c>
      <c r="L20" t="s">
        <v>868</v>
      </c>
    </row>
    <row r="21" spans="1:12" x14ac:dyDescent="0.25">
      <c r="A21" t="s">
        <v>262</v>
      </c>
      <c r="B21" t="s">
        <v>487</v>
      </c>
      <c r="C21" s="250" t="s">
        <v>49</v>
      </c>
      <c r="D21" s="251" t="s">
        <v>487</v>
      </c>
      <c r="E21" t="str">
        <f t="shared" si="0"/>
        <v>SCO - Mangani</v>
      </c>
      <c r="G21" t="str">
        <f t="shared" si="2"/>
        <v>Angers - Mangani</v>
      </c>
      <c r="H21" t="str">
        <f t="shared" si="1"/>
        <v>SCO - Mangani</v>
      </c>
      <c r="K21" t="s">
        <v>252</v>
      </c>
      <c r="L21" t="s">
        <v>1034</v>
      </c>
    </row>
    <row r="22" spans="1:12" x14ac:dyDescent="0.25">
      <c r="A22" t="s">
        <v>40</v>
      </c>
      <c r="B22" t="s">
        <v>65</v>
      </c>
      <c r="C22" s="250" t="s">
        <v>66</v>
      </c>
      <c r="D22" s="251" t="s">
        <v>827</v>
      </c>
      <c r="E22" t="str">
        <f t="shared" si="0"/>
        <v>MHSC - J. Martin</v>
      </c>
      <c r="G22" t="str">
        <f t="shared" si="2"/>
        <v>Montpellier - Martin</v>
      </c>
      <c r="H22" t="str">
        <f t="shared" si="1"/>
        <v>MHSC - J. Martin</v>
      </c>
    </row>
    <row r="23" spans="1:12" x14ac:dyDescent="0.25">
      <c r="A23" t="s">
        <v>57</v>
      </c>
      <c r="B23" t="s">
        <v>488</v>
      </c>
      <c r="C23" s="250" t="s">
        <v>489</v>
      </c>
      <c r="D23" s="251" t="s">
        <v>488</v>
      </c>
      <c r="E23" t="str">
        <f t="shared" si="0"/>
        <v>FCL - Ndong</v>
      </c>
      <c r="G23" t="str">
        <f t="shared" si="2"/>
        <v>Lorient - Ndong</v>
      </c>
      <c r="H23" t="str">
        <f t="shared" si="1"/>
        <v>FCL - Ndong</v>
      </c>
    </row>
    <row r="24" spans="1:12" x14ac:dyDescent="0.25">
      <c r="A24" t="s">
        <v>262</v>
      </c>
      <c r="B24" t="s">
        <v>490</v>
      </c>
      <c r="C24" s="250" t="s">
        <v>273</v>
      </c>
      <c r="D24" s="251" t="s">
        <v>1071</v>
      </c>
      <c r="E24" t="str">
        <f t="shared" si="0"/>
        <v>SCO - N'Doye</v>
      </c>
      <c r="G24" t="str">
        <f t="shared" si="2"/>
        <v>Angers - Ndoye</v>
      </c>
      <c r="H24" t="str">
        <f t="shared" si="1"/>
        <v>SCO - N'doye</v>
      </c>
    </row>
    <row r="25" spans="1:12" x14ac:dyDescent="0.25">
      <c r="A25" t="s">
        <v>70</v>
      </c>
      <c r="B25" t="s">
        <v>491</v>
      </c>
      <c r="C25" s="250" t="s">
        <v>492</v>
      </c>
      <c r="D25" s="251" t="s">
        <v>491</v>
      </c>
      <c r="E25" t="str">
        <f t="shared" si="0"/>
        <v>EAG - Salibur</v>
      </c>
      <c r="G25" t="str">
        <f t="shared" si="2"/>
        <v>Guingamp - Salibur</v>
      </c>
      <c r="H25" t="str">
        <f t="shared" si="1"/>
        <v>EAG - Salibur</v>
      </c>
    </row>
    <row r="26" spans="1:12" x14ac:dyDescent="0.25">
      <c r="A26" t="s">
        <v>59</v>
      </c>
      <c r="B26" t="s">
        <v>493</v>
      </c>
      <c r="C26" s="250" t="s">
        <v>109</v>
      </c>
      <c r="D26" s="251" t="s">
        <v>493</v>
      </c>
      <c r="E26" t="str">
        <f t="shared" si="0"/>
        <v>OGCN - Seri</v>
      </c>
      <c r="G26" t="str">
        <f t="shared" si="2"/>
        <v>Nice - Seri</v>
      </c>
      <c r="H26" t="str">
        <f t="shared" si="1"/>
        <v>OGCN - Seri</v>
      </c>
    </row>
    <row r="27" spans="1:12" x14ac:dyDescent="0.25">
      <c r="A27" t="s">
        <v>104</v>
      </c>
      <c r="B27" t="s">
        <v>494</v>
      </c>
      <c r="C27" s="250" t="s">
        <v>495</v>
      </c>
      <c r="D27" s="251" t="s">
        <v>494</v>
      </c>
      <c r="E27" t="str">
        <f t="shared" si="0"/>
        <v>SR - Siebatcheu</v>
      </c>
      <c r="G27" t="str">
        <f t="shared" si="2"/>
        <v>Reims - Siebatcheu</v>
      </c>
      <c r="H27" t="str">
        <f t="shared" si="1"/>
        <v>SR - Siebatcheu</v>
      </c>
    </row>
    <row r="28" spans="1:12" x14ac:dyDescent="0.25">
      <c r="A28" t="s">
        <v>125</v>
      </c>
      <c r="B28" t="s">
        <v>496</v>
      </c>
      <c r="C28" s="250" t="s">
        <v>497</v>
      </c>
      <c r="D28" s="251" t="s">
        <v>496</v>
      </c>
      <c r="E28" t="str">
        <f t="shared" si="0"/>
        <v>ASSE - Bamba</v>
      </c>
      <c r="G28" t="str">
        <f t="shared" si="2"/>
        <v>Saint-Etienne - Bamba</v>
      </c>
      <c r="H28" t="str">
        <f t="shared" si="1"/>
        <v>ASSE - Bamba</v>
      </c>
    </row>
    <row r="29" spans="1:12" x14ac:dyDescent="0.25">
      <c r="A29" t="s">
        <v>104</v>
      </c>
      <c r="B29" t="s">
        <v>204</v>
      </c>
      <c r="C29" s="250" t="s">
        <v>87</v>
      </c>
      <c r="D29" s="251" t="s">
        <v>204</v>
      </c>
      <c r="E29" t="str">
        <f t="shared" si="0"/>
        <v>SR - De Préville</v>
      </c>
      <c r="G29" t="str">
        <f t="shared" si="2"/>
        <v>Reims - De Préville</v>
      </c>
      <c r="H29" t="str">
        <f t="shared" si="1"/>
        <v>SR - De Préville</v>
      </c>
    </row>
    <row r="30" spans="1:12" x14ac:dyDescent="0.25">
      <c r="A30" t="s">
        <v>57</v>
      </c>
      <c r="B30" t="s">
        <v>187</v>
      </c>
      <c r="C30" s="250" t="s">
        <v>58</v>
      </c>
      <c r="D30" s="251" t="s">
        <v>187</v>
      </c>
      <c r="E30" t="str">
        <f t="shared" si="0"/>
        <v>FCL - Jeannot</v>
      </c>
      <c r="G30" t="str">
        <f t="shared" si="2"/>
        <v>Lorient - Jeannot</v>
      </c>
      <c r="H30" t="str">
        <f t="shared" si="1"/>
        <v>FCL - Jeannot</v>
      </c>
    </row>
    <row r="31" spans="1:12" x14ac:dyDescent="0.25">
      <c r="A31" t="s">
        <v>47</v>
      </c>
      <c r="B31" t="s">
        <v>259</v>
      </c>
      <c r="C31" s="250" t="s">
        <v>179</v>
      </c>
      <c r="D31" s="251" t="s">
        <v>259</v>
      </c>
      <c r="E31" t="str">
        <f t="shared" si="0"/>
        <v>OL - Kalulu</v>
      </c>
      <c r="G31" t="str">
        <f t="shared" si="2"/>
        <v>Lyon - Kalulu</v>
      </c>
      <c r="H31" t="str">
        <f t="shared" si="1"/>
        <v>OL - Kalulu</v>
      </c>
    </row>
    <row r="32" spans="1:12" x14ac:dyDescent="0.25">
      <c r="A32" t="s">
        <v>44</v>
      </c>
      <c r="B32" t="s">
        <v>230</v>
      </c>
      <c r="C32" s="250"/>
      <c r="D32" s="251" t="s">
        <v>666</v>
      </c>
      <c r="E32" t="str">
        <f t="shared" si="0"/>
        <v>OM - Batshuayi</v>
      </c>
      <c r="G32" t="str">
        <f t="shared" si="2"/>
        <v>Marseille - Michy</v>
      </c>
      <c r="H32" t="str">
        <f t="shared" si="1"/>
        <v>OM - Batshuayi</v>
      </c>
    </row>
    <row r="33" spans="1:8" x14ac:dyDescent="0.25">
      <c r="A33" t="s">
        <v>125</v>
      </c>
      <c r="B33" t="s">
        <v>132</v>
      </c>
      <c r="C33" s="250" t="s">
        <v>133</v>
      </c>
      <c r="D33" s="251" t="s">
        <v>132</v>
      </c>
      <c r="E33" t="str">
        <f t="shared" si="0"/>
        <v>ASSE - Monnet-Paquet</v>
      </c>
      <c r="G33" t="str">
        <f t="shared" si="2"/>
        <v>Saint-Etienne - Monnet-Paquet</v>
      </c>
      <c r="H33" t="str">
        <f t="shared" si="1"/>
        <v>ASSE - Monnet-Paquet</v>
      </c>
    </row>
    <row r="34" spans="1:8" x14ac:dyDescent="0.25">
      <c r="A34" t="s">
        <v>104</v>
      </c>
      <c r="B34" t="s">
        <v>500</v>
      </c>
      <c r="C34" s="250" t="s">
        <v>84</v>
      </c>
      <c r="D34" s="251" t="s">
        <v>1072</v>
      </c>
      <c r="E34" t="str">
        <f t="shared" ref="E34:E65" si="3">VLOOKUP(H34,_DATA,1,FALSE)</f>
        <v>SR - N'Gog</v>
      </c>
      <c r="G34" t="str">
        <f t="shared" si="2"/>
        <v>Reims - Ngog</v>
      </c>
      <c r="H34" t="str">
        <f t="shared" ref="H34:H65" si="4">VLOOKUP(A34,_EQUIPES,2,FALSE) &amp; " - " &amp; D34</f>
        <v>SR - N'gog</v>
      </c>
    </row>
    <row r="35" spans="1:8" x14ac:dyDescent="0.25">
      <c r="A35" t="s">
        <v>56</v>
      </c>
      <c r="B35" t="s">
        <v>501</v>
      </c>
      <c r="C35" s="250" t="s">
        <v>502</v>
      </c>
      <c r="D35" s="251" t="s">
        <v>501</v>
      </c>
      <c r="E35" t="str">
        <f t="shared" si="3"/>
        <v>SMC - Appiah</v>
      </c>
      <c r="G35" t="str">
        <f t="shared" si="2"/>
        <v>Caen - Appiah</v>
      </c>
      <c r="H35" t="str">
        <f t="shared" si="4"/>
        <v>SMC - Appiah</v>
      </c>
    </row>
    <row r="36" spans="1:8" x14ac:dyDescent="0.25">
      <c r="A36" t="s">
        <v>56</v>
      </c>
      <c r="B36" t="s">
        <v>503</v>
      </c>
      <c r="C36" s="250" t="s">
        <v>115</v>
      </c>
      <c r="D36" s="251" t="s">
        <v>503</v>
      </c>
      <c r="E36" t="str">
        <f t="shared" si="3"/>
        <v>SMC - Bessat</v>
      </c>
      <c r="G36" t="str">
        <f t="shared" si="2"/>
        <v>Caen - Bessat</v>
      </c>
      <c r="H36" t="str">
        <f t="shared" si="4"/>
        <v>SMC - Bessat</v>
      </c>
    </row>
    <row r="37" spans="1:8" x14ac:dyDescent="0.25">
      <c r="A37" t="s">
        <v>43</v>
      </c>
      <c r="B37" t="s">
        <v>280</v>
      </c>
      <c r="C37" s="250" t="s">
        <v>281</v>
      </c>
      <c r="D37" s="251" t="s">
        <v>280</v>
      </c>
      <c r="E37" t="str">
        <f t="shared" si="3"/>
        <v>FCN - Cana</v>
      </c>
      <c r="G37" t="str">
        <f t="shared" si="2"/>
        <v>Nantes - Cana</v>
      </c>
      <c r="H37" t="str">
        <f t="shared" si="4"/>
        <v>FCN - Cana</v>
      </c>
    </row>
    <row r="38" spans="1:8" x14ac:dyDescent="0.25">
      <c r="A38" t="s">
        <v>40</v>
      </c>
      <c r="B38" t="s">
        <v>99</v>
      </c>
      <c r="C38" s="250" t="s">
        <v>100</v>
      </c>
      <c r="D38" s="251" t="s">
        <v>99</v>
      </c>
      <c r="E38" t="str">
        <f t="shared" si="3"/>
        <v>MHSC - Congré</v>
      </c>
      <c r="G38" t="str">
        <f t="shared" si="2"/>
        <v>Montpellier - Congré</v>
      </c>
      <c r="H38" t="str">
        <f t="shared" si="4"/>
        <v>MHSC - Congré</v>
      </c>
    </row>
    <row r="39" spans="1:8" x14ac:dyDescent="0.25">
      <c r="A39" t="s">
        <v>265</v>
      </c>
      <c r="B39" t="s">
        <v>290</v>
      </c>
      <c r="C39" s="250" t="s">
        <v>291</v>
      </c>
      <c r="D39" s="251" t="s">
        <v>290</v>
      </c>
      <c r="E39" t="str">
        <f t="shared" si="3"/>
        <v>GFCA - Filippi</v>
      </c>
      <c r="G39" t="str">
        <f t="shared" si="2"/>
        <v>Ajaccio - Filippi</v>
      </c>
      <c r="H39" t="str">
        <f t="shared" si="4"/>
        <v>GFCA - Filippi</v>
      </c>
    </row>
    <row r="40" spans="1:8" x14ac:dyDescent="0.25">
      <c r="A40" t="s">
        <v>265</v>
      </c>
      <c r="B40" t="s">
        <v>504</v>
      </c>
      <c r="C40" s="250" t="s">
        <v>505</v>
      </c>
      <c r="D40" s="251" t="s">
        <v>504</v>
      </c>
      <c r="E40" t="str">
        <f t="shared" si="3"/>
        <v>GFCA - Mangane</v>
      </c>
      <c r="G40" t="str">
        <f t="shared" si="2"/>
        <v>Ajaccio - Mangane</v>
      </c>
      <c r="H40" t="str">
        <f t="shared" si="4"/>
        <v>GFCA - Mangane</v>
      </c>
    </row>
    <row r="41" spans="1:8" x14ac:dyDescent="0.25">
      <c r="A41" t="s">
        <v>265</v>
      </c>
      <c r="B41" t="s">
        <v>506</v>
      </c>
      <c r="C41" s="250" t="s">
        <v>507</v>
      </c>
      <c r="D41" s="251" t="s">
        <v>506</v>
      </c>
      <c r="E41" t="str">
        <f t="shared" si="3"/>
        <v>GFCA - Martinez</v>
      </c>
      <c r="G41" t="str">
        <f t="shared" si="2"/>
        <v>Ajaccio - Martinez</v>
      </c>
      <c r="H41" t="str">
        <f t="shared" si="4"/>
        <v>GFCA - Martinez</v>
      </c>
    </row>
    <row r="42" spans="1:8" x14ac:dyDescent="0.25">
      <c r="A42" t="s">
        <v>265</v>
      </c>
      <c r="B42" t="s">
        <v>508</v>
      </c>
      <c r="C42" s="250" t="s">
        <v>509</v>
      </c>
      <c r="D42" s="251" t="s">
        <v>508</v>
      </c>
      <c r="E42" t="str">
        <f t="shared" si="3"/>
        <v>GFCA - Sylla</v>
      </c>
      <c r="G42" t="str">
        <f t="shared" si="2"/>
        <v>Ajaccio - Sylla</v>
      </c>
      <c r="H42" t="str">
        <f t="shared" si="4"/>
        <v>GFCA - Sylla</v>
      </c>
    </row>
    <row r="43" spans="1:8" x14ac:dyDescent="0.25">
      <c r="A43" t="s">
        <v>56</v>
      </c>
      <c r="B43" t="s">
        <v>510</v>
      </c>
      <c r="C43" s="250" t="s">
        <v>511</v>
      </c>
      <c r="D43" s="251" t="s">
        <v>510</v>
      </c>
      <c r="E43" t="str">
        <f t="shared" si="3"/>
        <v>SMC - Yahia</v>
      </c>
      <c r="G43" t="str">
        <f t="shared" si="2"/>
        <v>Caen - Yahia</v>
      </c>
      <c r="H43" t="str">
        <f t="shared" si="4"/>
        <v>SMC - Yahia</v>
      </c>
    </row>
    <row r="44" spans="1:8" x14ac:dyDescent="0.25">
      <c r="A44" t="s">
        <v>108</v>
      </c>
      <c r="B44" t="s">
        <v>181</v>
      </c>
      <c r="C44" s="250" t="s">
        <v>180</v>
      </c>
      <c r="D44" s="251" t="s">
        <v>181</v>
      </c>
      <c r="E44" t="str">
        <f t="shared" si="3"/>
        <v>SCB - Hansen</v>
      </c>
      <c r="G44" t="str">
        <f t="shared" si="2"/>
        <v>Bastia - Hansen</v>
      </c>
      <c r="H44" t="str">
        <f t="shared" si="4"/>
        <v>SCB - Hansen</v>
      </c>
    </row>
    <row r="45" spans="1:8" x14ac:dyDescent="0.25">
      <c r="A45" t="s">
        <v>43</v>
      </c>
      <c r="B45" t="s">
        <v>89</v>
      </c>
      <c r="C45" s="250" t="s">
        <v>90</v>
      </c>
      <c r="D45" s="251" t="s">
        <v>89</v>
      </c>
      <c r="E45" t="str">
        <f t="shared" si="3"/>
        <v>FCN - Riou</v>
      </c>
      <c r="G45" t="str">
        <f t="shared" si="2"/>
        <v>Nantes - Riou</v>
      </c>
      <c r="H45" t="str">
        <f t="shared" si="4"/>
        <v>FCN - Riou</v>
      </c>
    </row>
    <row r="46" spans="1:8" x14ac:dyDescent="0.25">
      <c r="A46" t="s">
        <v>67</v>
      </c>
      <c r="B46" t="s">
        <v>292</v>
      </c>
      <c r="C46" s="250" t="s">
        <v>133</v>
      </c>
      <c r="D46" s="251" t="s">
        <v>292</v>
      </c>
      <c r="E46" t="str">
        <f t="shared" si="3"/>
        <v>PSG - Trapp</v>
      </c>
      <c r="G46" t="str">
        <f t="shared" si="2"/>
        <v>Paris - Trapp</v>
      </c>
      <c r="H46" t="str">
        <f t="shared" si="4"/>
        <v>PSG - Trapp</v>
      </c>
    </row>
    <row r="47" spans="1:8" x14ac:dyDescent="0.25">
      <c r="A47" t="s">
        <v>44</v>
      </c>
      <c r="B47" t="s">
        <v>150</v>
      </c>
      <c r="C47" s="250" t="s">
        <v>112</v>
      </c>
      <c r="D47" s="251" t="s">
        <v>150</v>
      </c>
      <c r="E47" t="str">
        <f t="shared" si="3"/>
        <v>OM - Alessandrini</v>
      </c>
      <c r="G47" t="str">
        <f t="shared" si="2"/>
        <v>Marseille - Alessandrini</v>
      </c>
      <c r="H47" t="str">
        <f t="shared" si="4"/>
        <v>OM - Alessandrini</v>
      </c>
    </row>
    <row r="48" spans="1:8" x14ac:dyDescent="0.25">
      <c r="A48" t="s">
        <v>59</v>
      </c>
      <c r="B48" t="s">
        <v>271</v>
      </c>
      <c r="C48" s="250" t="s">
        <v>272</v>
      </c>
      <c r="D48" s="251" t="s">
        <v>271</v>
      </c>
      <c r="E48" t="str">
        <f t="shared" si="3"/>
        <v>OGCN - Ben Arfa</v>
      </c>
      <c r="G48" t="str">
        <f t="shared" si="2"/>
        <v>Nice - Ben Arfa</v>
      </c>
      <c r="H48" t="str">
        <f t="shared" si="4"/>
        <v>OGCN - Ben Arfa</v>
      </c>
    </row>
    <row r="49" spans="1:8" x14ac:dyDescent="0.25">
      <c r="A49" t="s">
        <v>252</v>
      </c>
      <c r="B49" t="s">
        <v>512</v>
      </c>
      <c r="C49" s="250" t="s">
        <v>297</v>
      </c>
      <c r="D49" s="251" t="s">
        <v>512</v>
      </c>
      <c r="E49" t="str">
        <f t="shared" si="3"/>
        <v>ESTAC - Cabot</v>
      </c>
      <c r="G49" t="str">
        <f t="shared" si="2"/>
        <v>Troyes - Cabot</v>
      </c>
      <c r="H49" t="str">
        <f t="shared" si="4"/>
        <v>ESTAC - Cabot</v>
      </c>
    </row>
    <row r="50" spans="1:8" x14ac:dyDescent="0.25">
      <c r="A50" t="s">
        <v>47</v>
      </c>
      <c r="B50" t="s">
        <v>464</v>
      </c>
      <c r="C50" s="250" t="s">
        <v>513</v>
      </c>
      <c r="D50" s="251" t="s">
        <v>464</v>
      </c>
      <c r="E50" t="str">
        <f t="shared" si="3"/>
        <v>OL - Fekir</v>
      </c>
      <c r="G50" t="str">
        <f t="shared" si="2"/>
        <v>Lyon - Fekir</v>
      </c>
      <c r="H50" t="str">
        <f t="shared" si="4"/>
        <v>OL - Fekir</v>
      </c>
    </row>
    <row r="51" spans="1:8" x14ac:dyDescent="0.25">
      <c r="A51" t="s">
        <v>262</v>
      </c>
      <c r="B51" t="s">
        <v>329</v>
      </c>
      <c r="C51" s="250"/>
      <c r="D51" s="251" t="s">
        <v>1052</v>
      </c>
      <c r="E51" t="str">
        <f t="shared" si="3"/>
        <v>SCO - I. Traoré</v>
      </c>
      <c r="G51" t="str">
        <f t="shared" si="2"/>
        <v>Angers - Ismael Traoré</v>
      </c>
      <c r="H51" t="str">
        <f t="shared" si="4"/>
        <v>SCO - I. Traoré</v>
      </c>
    </row>
    <row r="52" spans="1:8" x14ac:dyDescent="0.25">
      <c r="A52" t="s">
        <v>262</v>
      </c>
      <c r="B52" t="s">
        <v>514</v>
      </c>
      <c r="C52" s="250" t="s">
        <v>115</v>
      </c>
      <c r="D52" s="251" t="s">
        <v>514</v>
      </c>
      <c r="E52" t="str">
        <f t="shared" si="3"/>
        <v>SCO - Manceau</v>
      </c>
      <c r="G52" t="str">
        <f t="shared" si="2"/>
        <v>Angers - Manceau</v>
      </c>
      <c r="H52" t="str">
        <f t="shared" si="4"/>
        <v>SCO - Manceau</v>
      </c>
    </row>
    <row r="53" spans="1:8" x14ac:dyDescent="0.25">
      <c r="A53" t="s">
        <v>47</v>
      </c>
      <c r="B53" t="s">
        <v>298</v>
      </c>
      <c r="C53" s="250" t="s">
        <v>62</v>
      </c>
      <c r="D53" s="251" t="s">
        <v>298</v>
      </c>
      <c r="E53" t="str">
        <f t="shared" si="3"/>
        <v>OL - Valbuena</v>
      </c>
      <c r="G53" t="str">
        <f t="shared" si="2"/>
        <v>Lyon - Valbuena</v>
      </c>
      <c r="H53" t="str">
        <f t="shared" si="4"/>
        <v>OL - Valbuena</v>
      </c>
    </row>
    <row r="54" spans="1:8" x14ac:dyDescent="0.25">
      <c r="A54" t="s">
        <v>262</v>
      </c>
      <c r="B54" t="s">
        <v>436</v>
      </c>
      <c r="C54" s="250"/>
      <c r="D54" s="251" t="s">
        <v>130</v>
      </c>
      <c r="E54" t="str">
        <f t="shared" si="3"/>
        <v>SCO - Camara</v>
      </c>
      <c r="G54" t="str">
        <f t="shared" si="2"/>
        <v>Angers - Abdoul Camara</v>
      </c>
      <c r="H54" t="str">
        <f t="shared" si="4"/>
        <v>SCO - Camara</v>
      </c>
    </row>
    <row r="55" spans="1:8" x14ac:dyDescent="0.25">
      <c r="A55" t="s">
        <v>60</v>
      </c>
      <c r="B55" t="s">
        <v>128</v>
      </c>
      <c r="C55" s="250" t="s">
        <v>129</v>
      </c>
      <c r="D55" s="251" t="s">
        <v>128</v>
      </c>
      <c r="E55" t="str">
        <f t="shared" si="3"/>
        <v>TFC - Ben Yedder</v>
      </c>
      <c r="G55" t="str">
        <f t="shared" si="2"/>
        <v>Toulouse - Ben Yedder</v>
      </c>
      <c r="H55" t="str">
        <f t="shared" si="4"/>
        <v>TFC - Ben Yedder</v>
      </c>
    </row>
    <row r="56" spans="1:8" x14ac:dyDescent="0.25">
      <c r="A56" t="s">
        <v>53</v>
      </c>
      <c r="B56" t="s">
        <v>515</v>
      </c>
      <c r="C56" s="250" t="s">
        <v>516</v>
      </c>
      <c r="D56" s="251" t="s">
        <v>515</v>
      </c>
      <c r="E56" t="str">
        <f t="shared" si="3"/>
        <v>Losc - Benzia</v>
      </c>
      <c r="G56" t="str">
        <f t="shared" si="2"/>
        <v>Lille - Benzia</v>
      </c>
      <c r="H56" t="str">
        <f t="shared" si="4"/>
        <v>Losc - Benzia</v>
      </c>
    </row>
    <row r="57" spans="1:8" x14ac:dyDescent="0.25">
      <c r="A57" t="s">
        <v>67</v>
      </c>
      <c r="B57" t="s">
        <v>93</v>
      </c>
      <c r="C57" s="250" t="s">
        <v>94</v>
      </c>
      <c r="D57" s="251" t="s">
        <v>93</v>
      </c>
      <c r="E57" t="str">
        <f t="shared" si="3"/>
        <v>PSG - Lavezzi</v>
      </c>
      <c r="G57" t="str">
        <f t="shared" si="2"/>
        <v>Paris - Lavezzi</v>
      </c>
      <c r="H57" t="str">
        <f t="shared" si="4"/>
        <v>PSG - Lavezzi</v>
      </c>
    </row>
    <row r="58" spans="1:8" x14ac:dyDescent="0.25">
      <c r="A58" t="s">
        <v>61</v>
      </c>
      <c r="B58" t="s">
        <v>206</v>
      </c>
      <c r="C58" s="250"/>
      <c r="D58" s="251" t="s">
        <v>908</v>
      </c>
      <c r="E58" t="str">
        <f t="shared" si="3"/>
        <v>SRFC - Ntep</v>
      </c>
      <c r="G58" t="str">
        <f t="shared" si="2"/>
        <v>Rennes - Paul-Georges Ntep</v>
      </c>
      <c r="H58" t="str">
        <f t="shared" si="4"/>
        <v>SRFC - Ntep</v>
      </c>
    </row>
    <row r="59" spans="1:8" x14ac:dyDescent="0.25">
      <c r="A59" t="s">
        <v>56</v>
      </c>
      <c r="B59" t="s">
        <v>54</v>
      </c>
      <c r="C59" s="250" t="s">
        <v>55</v>
      </c>
      <c r="D59" s="251" t="s">
        <v>54</v>
      </c>
      <c r="E59" t="str">
        <f t="shared" si="3"/>
        <v>SMC - Da Silva</v>
      </c>
      <c r="G59" t="str">
        <f t="shared" si="2"/>
        <v>Caen - Da Silva</v>
      </c>
      <c r="H59" t="str">
        <f t="shared" si="4"/>
        <v>SMC - Da Silva</v>
      </c>
    </row>
    <row r="60" spans="1:8" x14ac:dyDescent="0.25">
      <c r="A60" t="s">
        <v>57</v>
      </c>
      <c r="B60" t="s">
        <v>518</v>
      </c>
      <c r="C60" s="250" t="s">
        <v>519</v>
      </c>
      <c r="D60" s="251" t="s">
        <v>518</v>
      </c>
      <c r="E60" t="str">
        <f t="shared" si="3"/>
        <v>FCL - Gassama</v>
      </c>
      <c r="G60" t="str">
        <f t="shared" si="2"/>
        <v>Lorient - Gassama</v>
      </c>
      <c r="H60" t="str">
        <f t="shared" si="4"/>
        <v>FCL - Gassama</v>
      </c>
    </row>
    <row r="61" spans="1:8" x14ac:dyDescent="0.25">
      <c r="A61" t="s">
        <v>47</v>
      </c>
      <c r="B61" t="s">
        <v>110</v>
      </c>
      <c r="C61" s="250" t="s">
        <v>111</v>
      </c>
      <c r="D61" s="251" t="s">
        <v>110</v>
      </c>
      <c r="E61" t="str">
        <f t="shared" si="3"/>
        <v>OL - Jallet</v>
      </c>
      <c r="G61" t="str">
        <f t="shared" si="2"/>
        <v>Lyon - Jallet</v>
      </c>
      <c r="H61" t="str">
        <f t="shared" si="4"/>
        <v>OL - Jallet</v>
      </c>
    </row>
    <row r="62" spans="1:8" x14ac:dyDescent="0.25">
      <c r="A62" t="s">
        <v>47</v>
      </c>
      <c r="B62" t="s">
        <v>136</v>
      </c>
      <c r="C62" s="250" t="s">
        <v>137</v>
      </c>
      <c r="D62" s="251" t="s">
        <v>136</v>
      </c>
      <c r="E62" t="str">
        <f t="shared" si="3"/>
        <v>OL - Morel</v>
      </c>
      <c r="G62" t="str">
        <f t="shared" si="2"/>
        <v>Lyon - Morel</v>
      </c>
      <c r="H62" t="str">
        <f t="shared" si="4"/>
        <v>OL - Morel</v>
      </c>
    </row>
    <row r="63" spans="1:8" x14ac:dyDescent="0.25">
      <c r="A63" t="s">
        <v>125</v>
      </c>
      <c r="B63" t="s">
        <v>520</v>
      </c>
      <c r="C63" s="250" t="s">
        <v>229</v>
      </c>
      <c r="D63" s="251" t="s">
        <v>736</v>
      </c>
      <c r="E63" t="str">
        <f t="shared" si="3"/>
        <v>ASSE - F. Pogba</v>
      </c>
      <c r="G63" t="str">
        <f t="shared" si="2"/>
        <v>Saint-Etienne - Pogba</v>
      </c>
      <c r="H63" t="str">
        <f t="shared" si="4"/>
        <v>ASSE - F. Pogba</v>
      </c>
    </row>
    <row r="64" spans="1:8" x14ac:dyDescent="0.25">
      <c r="A64" t="s">
        <v>125</v>
      </c>
      <c r="B64" t="s">
        <v>146</v>
      </c>
      <c r="C64" s="250" t="s">
        <v>147</v>
      </c>
      <c r="D64" s="251" t="s">
        <v>146</v>
      </c>
      <c r="E64" t="str">
        <f t="shared" si="3"/>
        <v>ASSE - Sall</v>
      </c>
      <c r="G64" t="str">
        <f t="shared" si="2"/>
        <v>Saint-Etienne - Sall</v>
      </c>
      <c r="H64" t="str">
        <f t="shared" si="4"/>
        <v>ASSE - Sall</v>
      </c>
    </row>
    <row r="65" spans="1:8" x14ac:dyDescent="0.25">
      <c r="A65" t="s">
        <v>262</v>
      </c>
      <c r="B65" t="s">
        <v>49</v>
      </c>
      <c r="C65" s="250" t="s">
        <v>112</v>
      </c>
      <c r="D65" s="251" t="s">
        <v>49</v>
      </c>
      <c r="E65" t="str">
        <f t="shared" si="3"/>
        <v>SCO - Thomas</v>
      </c>
      <c r="G65" t="str">
        <f t="shared" si="2"/>
        <v>Angers - Thomas</v>
      </c>
      <c r="H65" t="str">
        <f t="shared" si="4"/>
        <v>SCO - Thomas</v>
      </c>
    </row>
    <row r="66" spans="1:8" x14ac:dyDescent="0.25">
      <c r="A66" t="s">
        <v>47</v>
      </c>
      <c r="B66" t="s">
        <v>521</v>
      </c>
      <c r="C66" s="250" t="s">
        <v>113</v>
      </c>
      <c r="D66" s="251" t="s">
        <v>680</v>
      </c>
      <c r="E66" t="str">
        <f t="shared" ref="E66:E97" si="5">VLOOKUP(H66,_DATA,1,FALSE)</f>
        <v>OL - S. Umtiti</v>
      </c>
      <c r="G66" t="str">
        <f t="shared" si="2"/>
        <v>Lyon - Umtiti</v>
      </c>
      <c r="H66" t="str">
        <f t="shared" ref="H66:H97" si="6">VLOOKUP(A66,_EQUIPES,2,FALSE) &amp; " - " &amp; D66</f>
        <v>OL - S. Umtiti</v>
      </c>
    </row>
    <row r="67" spans="1:8" x14ac:dyDescent="0.25">
      <c r="A67" t="s">
        <v>61</v>
      </c>
      <c r="B67" t="s">
        <v>192</v>
      </c>
      <c r="C67" s="250" t="s">
        <v>190</v>
      </c>
      <c r="D67" s="251" t="s">
        <v>192</v>
      </c>
      <c r="E67" t="str">
        <f t="shared" si="5"/>
        <v>SRFC - Zeffane</v>
      </c>
      <c r="G67" t="str">
        <f t="shared" ref="G67:G130" si="7">A67&amp; " - " &amp; B67</f>
        <v>Rennes - Zeffane</v>
      </c>
      <c r="H67" t="str">
        <f t="shared" si="6"/>
        <v>SRFC - Zeffane</v>
      </c>
    </row>
    <row r="68" spans="1:8" x14ac:dyDescent="0.25">
      <c r="A68" t="s">
        <v>56</v>
      </c>
      <c r="B68" t="s">
        <v>522</v>
      </c>
      <c r="C68" s="250" t="s">
        <v>523</v>
      </c>
      <c r="D68" s="251" t="s">
        <v>522</v>
      </c>
      <c r="E68" t="e">
        <f t="shared" si="5"/>
        <v>#N/A</v>
      </c>
      <c r="G68" t="str">
        <f t="shared" si="7"/>
        <v>Caen - Deschateaux</v>
      </c>
      <c r="H68" t="str">
        <f t="shared" si="6"/>
        <v>SMC - Deschateaux</v>
      </c>
    </row>
    <row r="69" spans="1:8" x14ac:dyDescent="0.25">
      <c r="A69" t="s">
        <v>56</v>
      </c>
      <c r="B69" t="s">
        <v>524</v>
      </c>
      <c r="C69" s="250" t="s">
        <v>176</v>
      </c>
      <c r="D69" s="251" t="s">
        <v>524</v>
      </c>
      <c r="E69" t="str">
        <f t="shared" si="5"/>
        <v>SMC - Reulet</v>
      </c>
      <c r="G69" t="str">
        <f t="shared" si="7"/>
        <v>Caen - Reulet</v>
      </c>
      <c r="H69" t="str">
        <f t="shared" si="6"/>
        <v>SMC - Reulet</v>
      </c>
    </row>
    <row r="70" spans="1:8" x14ac:dyDescent="0.25">
      <c r="A70" t="s">
        <v>56</v>
      </c>
      <c r="B70" t="s">
        <v>116</v>
      </c>
      <c r="C70" s="250" t="s">
        <v>90</v>
      </c>
      <c r="D70" s="251" t="s">
        <v>116</v>
      </c>
      <c r="E70" t="str">
        <f t="shared" si="5"/>
        <v>SMC - Vercoutre</v>
      </c>
      <c r="G70" t="str">
        <f t="shared" si="7"/>
        <v>Caen - Vercoutre</v>
      </c>
      <c r="H70" t="str">
        <f t="shared" si="6"/>
        <v>SMC - Vercoutre</v>
      </c>
    </row>
    <row r="71" spans="1:8" x14ac:dyDescent="0.25">
      <c r="A71" t="s">
        <v>67</v>
      </c>
      <c r="B71" t="s">
        <v>381</v>
      </c>
      <c r="C71" s="250" t="s">
        <v>526</v>
      </c>
      <c r="D71" s="251" t="s">
        <v>381</v>
      </c>
      <c r="E71" t="str">
        <f t="shared" si="5"/>
        <v>PSG - Augustin</v>
      </c>
      <c r="G71" t="str">
        <f t="shared" si="7"/>
        <v>Paris - Augustin</v>
      </c>
      <c r="H71" t="str">
        <f t="shared" si="6"/>
        <v>PSG - Augustin</v>
      </c>
    </row>
    <row r="72" spans="1:8" x14ac:dyDescent="0.25">
      <c r="A72" t="s">
        <v>47</v>
      </c>
      <c r="B72" t="s">
        <v>183</v>
      </c>
      <c r="C72" s="250" t="s">
        <v>184</v>
      </c>
      <c r="D72" s="251" t="s">
        <v>183</v>
      </c>
      <c r="E72" t="str">
        <f t="shared" si="5"/>
        <v>OL - Beauvue</v>
      </c>
      <c r="G72" t="str">
        <f t="shared" si="7"/>
        <v>Lyon - Beauvue</v>
      </c>
      <c r="H72" t="str">
        <f t="shared" si="6"/>
        <v>OL - Beauvue</v>
      </c>
    </row>
    <row r="73" spans="1:8" x14ac:dyDescent="0.25">
      <c r="A73" t="s">
        <v>70</v>
      </c>
      <c r="B73" t="s">
        <v>178</v>
      </c>
      <c r="C73" s="250" t="s">
        <v>87</v>
      </c>
      <c r="D73" s="251" t="s">
        <v>178</v>
      </c>
      <c r="E73" t="str">
        <f t="shared" si="5"/>
        <v>EAG - Benezet</v>
      </c>
      <c r="G73" t="str">
        <f t="shared" si="7"/>
        <v>Guingamp - Benezet</v>
      </c>
      <c r="H73" t="str">
        <f t="shared" si="6"/>
        <v>EAG - Benezet</v>
      </c>
    </row>
    <row r="74" spans="1:8" x14ac:dyDescent="0.25">
      <c r="A74" t="s">
        <v>40</v>
      </c>
      <c r="B74" t="s">
        <v>527</v>
      </c>
      <c r="C74" s="250" t="s">
        <v>528</v>
      </c>
      <c r="D74" s="251" t="s">
        <v>527</v>
      </c>
      <c r="E74" t="str">
        <f t="shared" si="5"/>
        <v>MHSC - Boudebouz</v>
      </c>
      <c r="G74" t="str">
        <f t="shared" si="7"/>
        <v>Montpellier - Boudebouz</v>
      </c>
      <c r="H74" t="str">
        <f t="shared" si="6"/>
        <v>MHSC - Boudebouz</v>
      </c>
    </row>
    <row r="75" spans="1:8" x14ac:dyDescent="0.25">
      <c r="A75" t="s">
        <v>47</v>
      </c>
      <c r="B75" t="s">
        <v>294</v>
      </c>
      <c r="C75" s="250" t="s">
        <v>295</v>
      </c>
      <c r="D75" s="251" t="s">
        <v>294</v>
      </c>
      <c r="E75" t="str">
        <f t="shared" si="5"/>
        <v>OL - Darder</v>
      </c>
      <c r="G75" t="str">
        <f t="shared" si="7"/>
        <v>Lyon - Darder</v>
      </c>
      <c r="H75" t="str">
        <f t="shared" si="6"/>
        <v>OL - Darder</v>
      </c>
    </row>
    <row r="76" spans="1:8" x14ac:dyDescent="0.25">
      <c r="A76" t="s">
        <v>47</v>
      </c>
      <c r="B76" t="s">
        <v>529</v>
      </c>
      <c r="C76" s="250" t="s">
        <v>138</v>
      </c>
      <c r="D76" s="251" t="s">
        <v>682</v>
      </c>
      <c r="E76" t="str">
        <f t="shared" si="5"/>
        <v>OL - C. Grenier</v>
      </c>
      <c r="G76" t="str">
        <f t="shared" si="7"/>
        <v>Lyon - Grenier</v>
      </c>
      <c r="H76" t="str">
        <f t="shared" si="6"/>
        <v>OL - C. Grenier</v>
      </c>
    </row>
    <row r="77" spans="1:8" x14ac:dyDescent="0.25">
      <c r="A77" t="s">
        <v>59</v>
      </c>
      <c r="B77" t="s">
        <v>530</v>
      </c>
      <c r="C77" s="250" t="s">
        <v>115</v>
      </c>
      <c r="D77" s="251" t="s">
        <v>530</v>
      </c>
      <c r="E77" t="str">
        <f t="shared" si="5"/>
        <v>OGCN - Koziello</v>
      </c>
      <c r="G77" t="str">
        <f t="shared" si="7"/>
        <v>Nice - Koziello</v>
      </c>
      <c r="H77" t="str">
        <f t="shared" si="6"/>
        <v>OGCN - Koziello</v>
      </c>
    </row>
    <row r="78" spans="1:8" x14ac:dyDescent="0.25">
      <c r="A78" t="s">
        <v>67</v>
      </c>
      <c r="B78" t="s">
        <v>102</v>
      </c>
      <c r="C78" s="250" t="s">
        <v>103</v>
      </c>
      <c r="D78" s="251" t="s">
        <v>102</v>
      </c>
      <c r="E78" t="str">
        <f t="shared" si="5"/>
        <v>PSG - Matuidi</v>
      </c>
      <c r="G78" t="str">
        <f t="shared" si="7"/>
        <v>Paris - Matuidi</v>
      </c>
      <c r="H78" t="str">
        <f t="shared" si="6"/>
        <v>PSG - Matuidi</v>
      </c>
    </row>
    <row r="79" spans="1:8" x14ac:dyDescent="0.25">
      <c r="A79" t="s">
        <v>104</v>
      </c>
      <c r="B79" t="s">
        <v>531</v>
      </c>
      <c r="C79" s="250" t="s">
        <v>532</v>
      </c>
      <c r="D79" s="251" t="s">
        <v>531</v>
      </c>
      <c r="E79" t="str">
        <f t="shared" si="5"/>
        <v>SR - Oniangue</v>
      </c>
      <c r="G79" t="str">
        <f t="shared" si="7"/>
        <v>Reims - Oniangue</v>
      </c>
      <c r="H79" t="str">
        <f t="shared" si="6"/>
        <v>SR - Oniangue</v>
      </c>
    </row>
    <row r="80" spans="1:8" x14ac:dyDescent="0.25">
      <c r="A80" t="s">
        <v>70</v>
      </c>
      <c r="B80" t="s">
        <v>296</v>
      </c>
      <c r="C80" s="250" t="s">
        <v>297</v>
      </c>
      <c r="D80" s="251" t="s">
        <v>296</v>
      </c>
      <c r="E80" t="str">
        <f t="shared" si="5"/>
        <v>EAG - Briand</v>
      </c>
      <c r="G80" t="str">
        <f t="shared" si="7"/>
        <v>Guingamp - Briand</v>
      </c>
      <c r="H80" t="str">
        <f t="shared" si="6"/>
        <v>EAG - Briand</v>
      </c>
    </row>
    <row r="81" spans="1:8" x14ac:dyDescent="0.25">
      <c r="A81" t="s">
        <v>56</v>
      </c>
      <c r="B81" t="s">
        <v>269</v>
      </c>
      <c r="C81" s="250" t="s">
        <v>270</v>
      </c>
      <c r="D81" s="251" t="s">
        <v>269</v>
      </c>
      <c r="E81" t="str">
        <f t="shared" si="5"/>
        <v>SMC - Delort</v>
      </c>
      <c r="G81" t="str">
        <f t="shared" si="7"/>
        <v>Caen - Delort</v>
      </c>
      <c r="H81" t="str">
        <f t="shared" si="6"/>
        <v>SMC - Delort</v>
      </c>
    </row>
    <row r="82" spans="1:8" x14ac:dyDescent="0.25">
      <c r="A82" t="s">
        <v>108</v>
      </c>
      <c r="B82" t="s">
        <v>533</v>
      </c>
      <c r="C82" s="250" t="s">
        <v>534</v>
      </c>
      <c r="D82" s="251" t="s">
        <v>533</v>
      </c>
      <c r="E82" t="str">
        <f t="shared" si="5"/>
        <v>SCB - Kamano</v>
      </c>
      <c r="G82" t="str">
        <f t="shared" si="7"/>
        <v>Bastia - Kamano</v>
      </c>
      <c r="H82" t="str">
        <f t="shared" si="6"/>
        <v>SCB - Kamano</v>
      </c>
    </row>
    <row r="83" spans="1:8" x14ac:dyDescent="0.25">
      <c r="A83" t="s">
        <v>57</v>
      </c>
      <c r="B83" t="s">
        <v>389</v>
      </c>
      <c r="C83" s="250"/>
      <c r="D83" s="251" t="s">
        <v>813</v>
      </c>
      <c r="E83" t="str">
        <f t="shared" si="5"/>
        <v>FCL - Waris</v>
      </c>
      <c r="G83" t="str">
        <f t="shared" si="7"/>
        <v>Lorient - Majeed Waris</v>
      </c>
      <c r="H83" t="str">
        <f t="shared" si="6"/>
        <v>FCL - Waris</v>
      </c>
    </row>
    <row r="84" spans="1:8" x14ac:dyDescent="0.25">
      <c r="A84" t="s">
        <v>57</v>
      </c>
      <c r="B84" t="s">
        <v>119</v>
      </c>
      <c r="C84" s="250" t="s">
        <v>58</v>
      </c>
      <c r="D84" s="251" t="s">
        <v>119</v>
      </c>
      <c r="E84" t="str">
        <f t="shared" si="5"/>
        <v>FCL - Moukandjo</v>
      </c>
      <c r="G84" t="str">
        <f t="shared" si="7"/>
        <v>Lorient - Moukandjo</v>
      </c>
      <c r="H84" t="str">
        <f t="shared" si="6"/>
        <v>FCL - Moukandjo</v>
      </c>
    </row>
    <row r="85" spans="1:8" x14ac:dyDescent="0.25">
      <c r="A85" t="s">
        <v>40</v>
      </c>
      <c r="B85" t="s">
        <v>536</v>
      </c>
      <c r="C85" s="250" t="s">
        <v>537</v>
      </c>
      <c r="D85" s="251" t="s">
        <v>536</v>
      </c>
      <c r="E85" t="str">
        <f t="shared" si="5"/>
        <v>MHSC - Yatabaré</v>
      </c>
      <c r="G85" t="str">
        <f t="shared" si="7"/>
        <v>Montpellier - Yatabaré</v>
      </c>
      <c r="H85" t="str">
        <f t="shared" si="6"/>
        <v>MHSC - Yatabaré</v>
      </c>
    </row>
    <row r="86" spans="1:8" x14ac:dyDescent="0.25">
      <c r="A86" t="s">
        <v>262</v>
      </c>
      <c r="B86" t="s">
        <v>538</v>
      </c>
      <c r="C86" s="250" t="s">
        <v>539</v>
      </c>
      <c r="D86" s="251" t="s">
        <v>538</v>
      </c>
      <c r="E86" t="str">
        <f t="shared" si="5"/>
        <v>SCO - Angoula</v>
      </c>
      <c r="G86" t="str">
        <f t="shared" si="7"/>
        <v>Angers - Angoula</v>
      </c>
      <c r="H86" t="str">
        <f t="shared" si="6"/>
        <v>SCO - Angoula</v>
      </c>
    </row>
    <row r="87" spans="1:8" x14ac:dyDescent="0.25">
      <c r="A87" t="s">
        <v>53</v>
      </c>
      <c r="B87" t="s">
        <v>51</v>
      </c>
      <c r="C87" s="250" t="s">
        <v>52</v>
      </c>
      <c r="D87" s="251" t="s">
        <v>51</v>
      </c>
      <c r="E87" t="str">
        <f t="shared" si="5"/>
        <v>Losc - Basa</v>
      </c>
      <c r="G87" t="str">
        <f t="shared" si="7"/>
        <v>Lille - Basa</v>
      </c>
      <c r="H87" t="str">
        <f t="shared" si="6"/>
        <v>Losc - Basa</v>
      </c>
    </row>
    <row r="88" spans="1:8" x14ac:dyDescent="0.25">
      <c r="A88" t="s">
        <v>125</v>
      </c>
      <c r="B88" t="s">
        <v>540</v>
      </c>
      <c r="C88" s="250" t="s">
        <v>541</v>
      </c>
      <c r="D88" s="251" t="s">
        <v>540</v>
      </c>
      <c r="E88" t="str">
        <f t="shared" si="5"/>
        <v>ASSE - Karamoko</v>
      </c>
      <c r="G88" t="str">
        <f t="shared" si="7"/>
        <v>Saint-Etienne - Karamoko</v>
      </c>
      <c r="H88" t="str">
        <f t="shared" si="6"/>
        <v>ASSE - Karamoko</v>
      </c>
    </row>
    <row r="89" spans="1:8" x14ac:dyDescent="0.25">
      <c r="A89" t="s">
        <v>108</v>
      </c>
      <c r="B89" t="s">
        <v>168</v>
      </c>
      <c r="C89" s="250" t="s">
        <v>169</v>
      </c>
      <c r="D89" s="251" t="s">
        <v>168</v>
      </c>
      <c r="E89" t="str">
        <f t="shared" si="5"/>
        <v>SCB - Palmieri</v>
      </c>
      <c r="G89" t="str">
        <f t="shared" si="7"/>
        <v>Bastia - Palmieri</v>
      </c>
      <c r="H89" t="str">
        <f t="shared" si="6"/>
        <v>SCB - Palmieri</v>
      </c>
    </row>
    <row r="90" spans="1:8" x14ac:dyDescent="0.25">
      <c r="A90" t="s">
        <v>125</v>
      </c>
      <c r="B90" t="s">
        <v>144</v>
      </c>
      <c r="C90" s="250" t="s">
        <v>145</v>
      </c>
      <c r="D90" s="251" t="s">
        <v>144</v>
      </c>
      <c r="E90" t="str">
        <f t="shared" si="5"/>
        <v>ASSE - Perrin</v>
      </c>
      <c r="G90" t="str">
        <f t="shared" si="7"/>
        <v>Saint-Etienne - Perrin</v>
      </c>
      <c r="H90" t="str">
        <f t="shared" si="6"/>
        <v>ASSE - Perrin</v>
      </c>
    </row>
    <row r="91" spans="1:8" x14ac:dyDescent="0.25">
      <c r="A91" t="s">
        <v>262</v>
      </c>
      <c r="B91" t="s">
        <v>542</v>
      </c>
      <c r="C91" s="250" t="s">
        <v>112</v>
      </c>
      <c r="D91" s="251" t="s">
        <v>1061</v>
      </c>
      <c r="E91" t="str">
        <f t="shared" si="5"/>
        <v>SCO - Saïss</v>
      </c>
      <c r="G91" t="str">
        <f t="shared" si="7"/>
        <v>Angers - Saiss</v>
      </c>
      <c r="H91" t="str">
        <f t="shared" si="6"/>
        <v>SCO - Saïss</v>
      </c>
    </row>
    <row r="92" spans="1:8" x14ac:dyDescent="0.25">
      <c r="A92" t="s">
        <v>108</v>
      </c>
      <c r="B92" t="s">
        <v>170</v>
      </c>
      <c r="C92" s="250" t="s">
        <v>123</v>
      </c>
      <c r="D92" s="251" t="s">
        <v>170</v>
      </c>
      <c r="E92" t="str">
        <f t="shared" si="5"/>
        <v>SCB - Squillaci</v>
      </c>
      <c r="G92" t="str">
        <f t="shared" si="7"/>
        <v>Bastia - Squillaci</v>
      </c>
      <c r="H92" t="str">
        <f t="shared" si="6"/>
        <v>SCB - Squillaci</v>
      </c>
    </row>
    <row r="93" spans="1:8" x14ac:dyDescent="0.25">
      <c r="A93" t="s">
        <v>125</v>
      </c>
      <c r="B93" t="s">
        <v>544</v>
      </c>
      <c r="C93" s="250" t="s">
        <v>545</v>
      </c>
      <c r="D93" s="251" t="s">
        <v>544</v>
      </c>
      <c r="E93" t="str">
        <f t="shared" si="5"/>
        <v>ASSE - Moulin</v>
      </c>
      <c r="G93" t="str">
        <f t="shared" si="7"/>
        <v>Saint-Etienne - Moulin</v>
      </c>
      <c r="H93" t="str">
        <f t="shared" si="6"/>
        <v>ASSE - Moulin</v>
      </c>
    </row>
    <row r="94" spans="1:8" x14ac:dyDescent="0.25">
      <c r="A94" t="s">
        <v>125</v>
      </c>
      <c r="B94" t="s">
        <v>148</v>
      </c>
      <c r="C94" s="250" t="s">
        <v>149</v>
      </c>
      <c r="D94" s="251" t="s">
        <v>148</v>
      </c>
      <c r="E94" t="str">
        <f t="shared" si="5"/>
        <v>ASSE - Ruffier</v>
      </c>
      <c r="G94" t="str">
        <f t="shared" si="7"/>
        <v>Saint-Etienne - Ruffier</v>
      </c>
      <c r="H94" t="str">
        <f t="shared" si="6"/>
        <v>ASSE - Ruffier</v>
      </c>
    </row>
    <row r="95" spans="1:8" x14ac:dyDescent="0.25">
      <c r="A95" t="s">
        <v>41</v>
      </c>
      <c r="B95" t="s">
        <v>548</v>
      </c>
      <c r="C95" s="250" t="s">
        <v>513</v>
      </c>
      <c r="D95" s="251" t="s">
        <v>548</v>
      </c>
      <c r="E95" t="str">
        <f t="shared" si="5"/>
        <v>ASM - Dirar</v>
      </c>
      <c r="G95" t="str">
        <f t="shared" si="7"/>
        <v>Monaco - Dirar</v>
      </c>
      <c r="H95" t="str">
        <f t="shared" si="6"/>
        <v>ASM - Dirar</v>
      </c>
    </row>
    <row r="96" spans="1:8" x14ac:dyDescent="0.25">
      <c r="A96" t="s">
        <v>125</v>
      </c>
      <c r="B96" t="s">
        <v>203</v>
      </c>
      <c r="C96" s="250" t="s">
        <v>173</v>
      </c>
      <c r="D96" s="251" t="s">
        <v>203</v>
      </c>
      <c r="E96" t="str">
        <f t="shared" si="5"/>
        <v>ASSE - Eysseric</v>
      </c>
      <c r="G96" t="str">
        <f t="shared" si="7"/>
        <v>Saint-Etienne - Eysseric</v>
      </c>
      <c r="H96" t="str">
        <f t="shared" si="6"/>
        <v>ASSE - Eysseric</v>
      </c>
    </row>
    <row r="97" spans="1:8" x14ac:dyDescent="0.25">
      <c r="A97" t="s">
        <v>47</v>
      </c>
      <c r="B97" t="s">
        <v>139</v>
      </c>
      <c r="C97" s="250" t="s">
        <v>105</v>
      </c>
      <c r="D97" s="251" t="s">
        <v>139</v>
      </c>
      <c r="E97" t="str">
        <f t="shared" si="5"/>
        <v>OL - Ferri</v>
      </c>
      <c r="G97" t="str">
        <f t="shared" si="7"/>
        <v>Lyon - Ferri</v>
      </c>
      <c r="H97" t="str">
        <f t="shared" si="6"/>
        <v>OL - Ferri</v>
      </c>
    </row>
    <row r="98" spans="1:8" x14ac:dyDescent="0.25">
      <c r="A98" t="s">
        <v>262</v>
      </c>
      <c r="B98" t="s">
        <v>549</v>
      </c>
      <c r="C98" s="250" t="s">
        <v>550</v>
      </c>
      <c r="D98" s="251" t="s">
        <v>549</v>
      </c>
      <c r="E98" t="str">
        <f t="shared" ref="E98:E129" si="8">VLOOKUP(H98,_DATA,1,FALSE)</f>
        <v>SCO - Ketkeophomphone</v>
      </c>
      <c r="G98" t="str">
        <f t="shared" si="7"/>
        <v>Angers - Ketkeophomphone</v>
      </c>
      <c r="H98" t="str">
        <f t="shared" ref="H98:H129" si="9">VLOOKUP(A98,_EQUIPES,2,FALSE) &amp; " - " &amp; D98</f>
        <v>SCO - Ketkeophomphone</v>
      </c>
    </row>
    <row r="99" spans="1:8" x14ac:dyDescent="0.25">
      <c r="A99" t="s">
        <v>44</v>
      </c>
      <c r="B99" t="s">
        <v>551</v>
      </c>
      <c r="C99" s="250" t="s">
        <v>552</v>
      </c>
      <c r="D99" s="251" t="s">
        <v>659</v>
      </c>
      <c r="E99" t="str">
        <f t="shared" si="8"/>
        <v>OM - Nkoudou</v>
      </c>
      <c r="G99" t="str">
        <f t="shared" si="7"/>
        <v>Marseille - Nkoudou Mbida</v>
      </c>
      <c r="H99" t="str">
        <f t="shared" si="9"/>
        <v>OM - Nkoudou</v>
      </c>
    </row>
    <row r="100" spans="1:8" x14ac:dyDescent="0.25">
      <c r="A100" t="s">
        <v>59</v>
      </c>
      <c r="B100" t="s">
        <v>68</v>
      </c>
      <c r="C100" s="250" t="s">
        <v>69</v>
      </c>
      <c r="D100" s="251" t="s">
        <v>68</v>
      </c>
      <c r="E100" t="str">
        <f t="shared" si="8"/>
        <v>OGCN - Pied</v>
      </c>
      <c r="G100" t="str">
        <f t="shared" si="7"/>
        <v>Nice - Pied</v>
      </c>
      <c r="H100" t="str">
        <f t="shared" si="9"/>
        <v>OGCN - Pied</v>
      </c>
    </row>
    <row r="101" spans="1:8" x14ac:dyDescent="0.25">
      <c r="A101" t="s">
        <v>61</v>
      </c>
      <c r="B101" t="s">
        <v>553</v>
      </c>
      <c r="C101" s="250" t="s">
        <v>554</v>
      </c>
      <c r="D101" s="251" t="s">
        <v>553</v>
      </c>
      <c r="E101" t="str">
        <f t="shared" si="8"/>
        <v>SRFC - Quintero</v>
      </c>
      <c r="G101" t="str">
        <f t="shared" si="7"/>
        <v>Rennes - Quintero</v>
      </c>
      <c r="H101" t="str">
        <f t="shared" si="9"/>
        <v>SRFC - Quintero</v>
      </c>
    </row>
    <row r="102" spans="1:8" x14ac:dyDescent="0.25">
      <c r="A102" t="s">
        <v>262</v>
      </c>
      <c r="B102" t="s">
        <v>191</v>
      </c>
      <c r="C102" s="250" t="s">
        <v>167</v>
      </c>
      <c r="D102" s="251" t="s">
        <v>191</v>
      </c>
      <c r="E102" t="str">
        <f t="shared" si="8"/>
        <v>SCO - Sunu</v>
      </c>
      <c r="G102" t="str">
        <f t="shared" si="7"/>
        <v>Angers - Sunu</v>
      </c>
      <c r="H102" t="str">
        <f t="shared" si="9"/>
        <v>SCO - Sunu</v>
      </c>
    </row>
    <row r="103" spans="1:8" x14ac:dyDescent="0.25">
      <c r="A103" t="s">
        <v>40</v>
      </c>
      <c r="B103" t="s">
        <v>557</v>
      </c>
      <c r="C103" s="250" t="s">
        <v>558</v>
      </c>
      <c r="D103" s="251" t="s">
        <v>557</v>
      </c>
      <c r="E103" t="str">
        <f t="shared" si="8"/>
        <v>MHSC - Bakar</v>
      </c>
      <c r="G103" t="str">
        <f t="shared" si="7"/>
        <v>Montpellier - Bakar</v>
      </c>
      <c r="H103" t="str">
        <f t="shared" si="9"/>
        <v>MHSC - Bakar</v>
      </c>
    </row>
    <row r="104" spans="1:8" x14ac:dyDescent="0.25">
      <c r="A104" t="s">
        <v>43</v>
      </c>
      <c r="B104" t="s">
        <v>559</v>
      </c>
      <c r="C104" s="250" t="s">
        <v>560</v>
      </c>
      <c r="D104" s="251" t="s">
        <v>559</v>
      </c>
      <c r="E104" t="str">
        <f t="shared" si="8"/>
        <v>FCN - Bammou</v>
      </c>
      <c r="G104" t="str">
        <f t="shared" si="7"/>
        <v>Nantes - Bammou</v>
      </c>
      <c r="H104" t="str">
        <f t="shared" si="9"/>
        <v>FCN - Bammou</v>
      </c>
    </row>
    <row r="105" spans="1:8" x14ac:dyDescent="0.25">
      <c r="A105" t="s">
        <v>50</v>
      </c>
      <c r="B105" t="s">
        <v>171</v>
      </c>
      <c r="C105" s="250" t="s">
        <v>172</v>
      </c>
      <c r="D105" s="251" t="s">
        <v>171</v>
      </c>
      <c r="E105" t="str">
        <f t="shared" si="8"/>
        <v>FCGB - Crivelli</v>
      </c>
      <c r="G105" t="str">
        <f t="shared" si="7"/>
        <v>Bordeaux - Crivelli</v>
      </c>
      <c r="H105" t="str">
        <f t="shared" si="9"/>
        <v>FCGB - Crivelli</v>
      </c>
    </row>
    <row r="106" spans="1:8" x14ac:dyDescent="0.25">
      <c r="A106" t="s">
        <v>41</v>
      </c>
      <c r="B106" t="s">
        <v>563</v>
      </c>
      <c r="C106" s="250"/>
      <c r="D106" s="251" t="s">
        <v>971</v>
      </c>
      <c r="E106" t="str">
        <f t="shared" si="8"/>
        <v>ASM - Helder Costa</v>
      </c>
      <c r="G106" t="str">
        <f t="shared" si="7"/>
        <v>Monaco - Hélder Costa</v>
      </c>
      <c r="H106" t="str">
        <f t="shared" si="9"/>
        <v>ASM - Helder Costa</v>
      </c>
    </row>
    <row r="107" spans="1:8" x14ac:dyDescent="0.25">
      <c r="A107" t="s">
        <v>50</v>
      </c>
      <c r="B107" t="s">
        <v>95</v>
      </c>
      <c r="C107" s="250" t="s">
        <v>96</v>
      </c>
      <c r="D107" s="251" t="s">
        <v>95</v>
      </c>
      <c r="E107" t="str">
        <f t="shared" si="8"/>
        <v>FCGB - Rolan</v>
      </c>
      <c r="G107" t="str">
        <f t="shared" si="7"/>
        <v>Bordeaux - Rolan</v>
      </c>
      <c r="H107" t="str">
        <f t="shared" si="9"/>
        <v>FCGB - Rolan</v>
      </c>
    </row>
    <row r="108" spans="1:8" x14ac:dyDescent="0.25">
      <c r="A108" t="s">
        <v>125</v>
      </c>
      <c r="B108" t="s">
        <v>142</v>
      </c>
      <c r="C108" s="250" t="s">
        <v>143</v>
      </c>
      <c r="D108" s="251" t="s">
        <v>142</v>
      </c>
      <c r="E108" t="str">
        <f t="shared" si="8"/>
        <v>ASSE - Roux</v>
      </c>
      <c r="G108" t="str">
        <f t="shared" si="7"/>
        <v>Saint-Etienne - Roux</v>
      </c>
      <c r="H108" t="str">
        <f t="shared" si="9"/>
        <v>ASSE - Roux</v>
      </c>
    </row>
    <row r="109" spans="1:8" x14ac:dyDescent="0.25">
      <c r="A109" t="s">
        <v>50</v>
      </c>
      <c r="B109" t="s">
        <v>564</v>
      </c>
      <c r="C109" s="250" t="s">
        <v>565</v>
      </c>
      <c r="D109" s="251" t="s">
        <v>564</v>
      </c>
      <c r="E109" t="str">
        <f t="shared" si="8"/>
        <v>FCGB - Thelin</v>
      </c>
      <c r="G109" t="str">
        <f t="shared" si="7"/>
        <v>Bordeaux - Thelin</v>
      </c>
      <c r="H109" t="str">
        <f t="shared" si="9"/>
        <v>FCGB - Thelin</v>
      </c>
    </row>
    <row r="110" spans="1:8" x14ac:dyDescent="0.25">
      <c r="A110" t="s">
        <v>265</v>
      </c>
      <c r="B110" t="s">
        <v>566</v>
      </c>
      <c r="C110" s="250" t="s">
        <v>567</v>
      </c>
      <c r="D110" s="251" t="s">
        <v>566</v>
      </c>
      <c r="E110" t="str">
        <f t="shared" si="8"/>
        <v>GFCA - Bréchet</v>
      </c>
      <c r="G110" t="str">
        <f t="shared" si="7"/>
        <v>Ajaccio - Bréchet</v>
      </c>
      <c r="H110" t="str">
        <f t="shared" si="9"/>
        <v>GFCA - Bréchet</v>
      </c>
    </row>
    <row r="111" spans="1:8" x14ac:dyDescent="0.25">
      <c r="A111" t="s">
        <v>53</v>
      </c>
      <c r="B111" t="s">
        <v>282</v>
      </c>
      <c r="C111" s="250" t="s">
        <v>283</v>
      </c>
      <c r="D111" s="251" t="s">
        <v>282</v>
      </c>
      <c r="E111" t="str">
        <f t="shared" si="8"/>
        <v>Losc - Civelli</v>
      </c>
      <c r="G111" t="str">
        <f t="shared" si="7"/>
        <v>Lille - Civelli</v>
      </c>
      <c r="H111" t="str">
        <f t="shared" si="9"/>
        <v>Losc - Civelli</v>
      </c>
    </row>
    <row r="112" spans="1:8" x14ac:dyDescent="0.25">
      <c r="A112" t="s">
        <v>67</v>
      </c>
      <c r="B112" t="s">
        <v>14</v>
      </c>
      <c r="C112" s="250"/>
      <c r="D112" s="251" t="s">
        <v>14</v>
      </c>
      <c r="E112" t="str">
        <f t="shared" si="8"/>
        <v>PSG - David Luiz</v>
      </c>
      <c r="G112" t="str">
        <f t="shared" si="7"/>
        <v>Paris - David Luiz</v>
      </c>
      <c r="H112" t="str">
        <f t="shared" si="9"/>
        <v>PSG - David Luiz</v>
      </c>
    </row>
    <row r="113" spans="1:8" x14ac:dyDescent="0.25">
      <c r="A113" t="s">
        <v>44</v>
      </c>
      <c r="B113" t="s">
        <v>284</v>
      </c>
      <c r="C113" s="250" t="s">
        <v>285</v>
      </c>
      <c r="D113" s="251" t="s">
        <v>284</v>
      </c>
      <c r="E113" t="str">
        <f t="shared" si="8"/>
        <v>OM - Isla</v>
      </c>
      <c r="G113" t="str">
        <f t="shared" si="7"/>
        <v>Marseille - Isla</v>
      </c>
      <c r="H113" t="str">
        <f t="shared" si="9"/>
        <v>OM - Isla</v>
      </c>
    </row>
    <row r="114" spans="1:8" x14ac:dyDescent="0.25">
      <c r="A114" t="s">
        <v>44</v>
      </c>
      <c r="B114" t="s">
        <v>239</v>
      </c>
      <c r="C114" s="250"/>
      <c r="D114" s="251" t="s">
        <v>239</v>
      </c>
      <c r="E114" t="str">
        <f t="shared" si="8"/>
        <v>OM - Rolando</v>
      </c>
      <c r="G114" t="str">
        <f t="shared" si="7"/>
        <v>Marseille - Rolando</v>
      </c>
      <c r="H114" t="str">
        <f t="shared" si="9"/>
        <v>OM - Rolando</v>
      </c>
    </row>
    <row r="115" spans="1:8" x14ac:dyDescent="0.25">
      <c r="A115" t="s">
        <v>40</v>
      </c>
      <c r="B115" t="s">
        <v>572</v>
      </c>
      <c r="C115" s="250" t="s">
        <v>573</v>
      </c>
      <c r="D115" s="251" t="s">
        <v>572</v>
      </c>
      <c r="E115" t="str">
        <f t="shared" si="8"/>
        <v>MHSC - Roussillon</v>
      </c>
      <c r="G115" t="str">
        <f t="shared" si="7"/>
        <v>Montpellier - Roussillon</v>
      </c>
      <c r="H115" t="str">
        <f t="shared" si="9"/>
        <v>MHSC - Roussillon</v>
      </c>
    </row>
    <row r="116" spans="1:8" x14ac:dyDescent="0.25">
      <c r="A116" t="s">
        <v>104</v>
      </c>
      <c r="B116" t="s">
        <v>574</v>
      </c>
      <c r="C116" s="250" t="s">
        <v>91</v>
      </c>
      <c r="D116" s="251" t="s">
        <v>574</v>
      </c>
      <c r="E116" t="str">
        <f t="shared" si="8"/>
        <v>SR - Weber</v>
      </c>
      <c r="G116" t="str">
        <f t="shared" si="7"/>
        <v>Reims - Weber</v>
      </c>
      <c r="H116" t="str">
        <f t="shared" si="9"/>
        <v>SR - Weber</v>
      </c>
    </row>
    <row r="117" spans="1:8" x14ac:dyDescent="0.25">
      <c r="A117" t="s">
        <v>53</v>
      </c>
      <c r="B117" t="s">
        <v>114</v>
      </c>
      <c r="C117" s="250" t="s">
        <v>115</v>
      </c>
      <c r="D117" s="251" t="s">
        <v>114</v>
      </c>
      <c r="E117" t="str">
        <f t="shared" si="8"/>
        <v>Losc - Enyeama</v>
      </c>
      <c r="G117" t="str">
        <f t="shared" si="7"/>
        <v>Lille - Enyeama</v>
      </c>
      <c r="H117" t="str">
        <f t="shared" si="9"/>
        <v>Losc - Enyeama</v>
      </c>
    </row>
    <row r="118" spans="1:8" x14ac:dyDescent="0.25">
      <c r="A118" t="s">
        <v>265</v>
      </c>
      <c r="B118" t="s">
        <v>211</v>
      </c>
      <c r="C118" s="250" t="s">
        <v>138</v>
      </c>
      <c r="D118" s="251" t="s">
        <v>211</v>
      </c>
      <c r="E118" t="str">
        <f t="shared" si="8"/>
        <v>GFCA - Maury</v>
      </c>
      <c r="G118" t="str">
        <f t="shared" si="7"/>
        <v>Ajaccio - Maury</v>
      </c>
      <c r="H118" t="str">
        <f t="shared" si="9"/>
        <v>GFCA - Maury</v>
      </c>
    </row>
    <row r="119" spans="1:8" x14ac:dyDescent="0.25">
      <c r="A119" t="s">
        <v>70</v>
      </c>
      <c r="B119" t="s">
        <v>576</v>
      </c>
      <c r="C119" s="250" t="s">
        <v>577</v>
      </c>
      <c r="D119" s="251" t="s">
        <v>576</v>
      </c>
      <c r="E119" t="str">
        <f t="shared" si="8"/>
        <v>EAG - Samassa</v>
      </c>
      <c r="G119" t="str">
        <f t="shared" si="7"/>
        <v>Guingamp - Samassa</v>
      </c>
      <c r="H119" t="str">
        <f t="shared" si="9"/>
        <v>EAG - Samassa</v>
      </c>
    </row>
    <row r="120" spans="1:8" x14ac:dyDescent="0.25">
      <c r="A120" t="s">
        <v>53</v>
      </c>
      <c r="B120" t="s">
        <v>286</v>
      </c>
      <c r="C120" s="250" t="s">
        <v>287</v>
      </c>
      <c r="D120" s="251" t="s">
        <v>286</v>
      </c>
      <c r="E120" t="str">
        <f t="shared" si="8"/>
        <v>Losc - Boufal</v>
      </c>
      <c r="G120" t="str">
        <f t="shared" si="7"/>
        <v>Lille - Boufal</v>
      </c>
      <c r="H120" t="str">
        <f t="shared" si="9"/>
        <v>Losc - Boufal</v>
      </c>
    </row>
    <row r="121" spans="1:8" x14ac:dyDescent="0.25">
      <c r="A121" t="s">
        <v>265</v>
      </c>
      <c r="B121" t="s">
        <v>267</v>
      </c>
      <c r="C121" s="250" t="s">
        <v>268</v>
      </c>
      <c r="D121" s="251" t="s">
        <v>267</v>
      </c>
      <c r="E121" t="e">
        <f t="shared" si="8"/>
        <v>#N/A</v>
      </c>
      <c r="G121" t="str">
        <f t="shared" si="7"/>
        <v>Ajaccio - Feddaoui</v>
      </c>
      <c r="H121" t="str">
        <f t="shared" si="9"/>
        <v>GFCA - Feddaoui</v>
      </c>
    </row>
    <row r="122" spans="1:8" x14ac:dyDescent="0.25">
      <c r="A122" t="s">
        <v>41</v>
      </c>
      <c r="B122" t="s">
        <v>177</v>
      </c>
      <c r="C122" s="250" t="s">
        <v>49</v>
      </c>
      <c r="D122" s="251" t="s">
        <v>177</v>
      </c>
      <c r="E122" t="str">
        <f t="shared" si="8"/>
        <v>ASM - Lemar</v>
      </c>
      <c r="G122" t="str">
        <f t="shared" si="7"/>
        <v>Monaco - Lemar</v>
      </c>
      <c r="H122" t="str">
        <f t="shared" si="9"/>
        <v>ASM - Lemar</v>
      </c>
    </row>
    <row r="123" spans="1:8" x14ac:dyDescent="0.25">
      <c r="A123" t="s">
        <v>67</v>
      </c>
      <c r="B123" t="s">
        <v>390</v>
      </c>
      <c r="C123" s="250"/>
      <c r="D123" s="251" t="s">
        <v>140</v>
      </c>
      <c r="E123" t="str">
        <f t="shared" si="8"/>
        <v>PSG - Lucas</v>
      </c>
      <c r="G123" t="str">
        <f t="shared" si="7"/>
        <v>Paris - Lucas Moura</v>
      </c>
      <c r="H123" t="str">
        <f t="shared" si="9"/>
        <v>PSG - Lucas</v>
      </c>
    </row>
    <row r="124" spans="1:8" x14ac:dyDescent="0.25">
      <c r="A124" t="s">
        <v>59</v>
      </c>
      <c r="B124" t="s">
        <v>579</v>
      </c>
      <c r="C124" s="250" t="s">
        <v>46</v>
      </c>
      <c r="D124" s="251" t="s">
        <v>725</v>
      </c>
      <c r="E124" t="str">
        <f t="shared" si="8"/>
        <v>OGCN - A. Mendy</v>
      </c>
      <c r="G124" t="str">
        <f t="shared" si="7"/>
        <v>Nice - Mendy</v>
      </c>
      <c r="H124" t="str">
        <f t="shared" si="9"/>
        <v>OGCN - A. Mendy</v>
      </c>
    </row>
    <row r="125" spans="1:8" x14ac:dyDescent="0.25">
      <c r="A125" t="s">
        <v>59</v>
      </c>
      <c r="B125" t="s">
        <v>579</v>
      </c>
      <c r="C125" s="250" t="s">
        <v>288</v>
      </c>
      <c r="D125" s="251" t="s">
        <v>717</v>
      </c>
      <c r="E125" t="str">
        <f t="shared" si="8"/>
        <v>OGCN - N. Mendy</v>
      </c>
      <c r="G125" t="str">
        <f t="shared" si="7"/>
        <v>Nice - Mendy</v>
      </c>
      <c r="H125" t="str">
        <f t="shared" si="9"/>
        <v>OGCN - N. Mendy</v>
      </c>
    </row>
    <row r="126" spans="1:8" x14ac:dyDescent="0.25">
      <c r="A126" t="s">
        <v>50</v>
      </c>
      <c r="B126" t="s">
        <v>580</v>
      </c>
      <c r="C126" s="250" t="s">
        <v>581</v>
      </c>
      <c r="D126" s="251" t="s">
        <v>580</v>
      </c>
      <c r="E126" t="str">
        <f t="shared" si="8"/>
        <v>FCGB - Ounas</v>
      </c>
      <c r="G126" t="str">
        <f t="shared" si="7"/>
        <v>Bordeaux - Ounas</v>
      </c>
      <c r="H126" t="str">
        <f t="shared" si="9"/>
        <v>FCGB - Ounas</v>
      </c>
    </row>
    <row r="127" spans="1:8" x14ac:dyDescent="0.25">
      <c r="A127" t="s">
        <v>57</v>
      </c>
      <c r="B127" t="s">
        <v>253</v>
      </c>
      <c r="C127" s="250" t="s">
        <v>112</v>
      </c>
      <c r="D127" s="251" t="s">
        <v>253</v>
      </c>
      <c r="E127" t="str">
        <f t="shared" si="8"/>
        <v>FCL - Philippoteaux</v>
      </c>
      <c r="G127" t="str">
        <f t="shared" si="7"/>
        <v>Lorient - Philippoteaux</v>
      </c>
      <c r="H127" t="str">
        <f t="shared" si="9"/>
        <v>FCL - Philippoteaux</v>
      </c>
    </row>
    <row r="128" spans="1:8" x14ac:dyDescent="0.25">
      <c r="A128" t="s">
        <v>56</v>
      </c>
      <c r="B128" t="s">
        <v>582</v>
      </c>
      <c r="C128" s="250" t="s">
        <v>583</v>
      </c>
      <c r="D128" s="251" t="s">
        <v>582</v>
      </c>
      <c r="E128" t="str">
        <f t="shared" si="8"/>
        <v>SMC - Bazile</v>
      </c>
      <c r="G128" t="str">
        <f t="shared" si="7"/>
        <v>Caen - Bazile</v>
      </c>
      <c r="H128" t="str">
        <f t="shared" si="9"/>
        <v>SMC - Bazile</v>
      </c>
    </row>
    <row r="129" spans="1:8" x14ac:dyDescent="0.25">
      <c r="A129" t="s">
        <v>40</v>
      </c>
      <c r="B129" t="s">
        <v>130</v>
      </c>
      <c r="C129" s="250" t="s">
        <v>131</v>
      </c>
      <c r="D129" s="251" t="s">
        <v>130</v>
      </c>
      <c r="E129" t="str">
        <f t="shared" si="8"/>
        <v>MHSC - Camara</v>
      </c>
      <c r="G129" t="str">
        <f t="shared" si="7"/>
        <v>Montpellier - Camara</v>
      </c>
      <c r="H129" t="str">
        <f t="shared" si="9"/>
        <v>MHSC - Camara</v>
      </c>
    </row>
    <row r="130" spans="1:8" x14ac:dyDescent="0.25">
      <c r="A130" t="s">
        <v>67</v>
      </c>
      <c r="B130" t="s">
        <v>85</v>
      </c>
      <c r="C130" s="250" t="s">
        <v>86</v>
      </c>
      <c r="D130" s="251" t="s">
        <v>85</v>
      </c>
      <c r="E130" t="str">
        <f t="shared" ref="E130:E161" si="10">VLOOKUP(H130,_DATA,1,FALSE)</f>
        <v>PSG - Ibrahimovic</v>
      </c>
      <c r="G130" t="str">
        <f t="shared" si="7"/>
        <v>Paris - Ibrahimovic</v>
      </c>
      <c r="H130" t="str">
        <f t="shared" ref="H130:H161" si="11">VLOOKUP(A130,_EQUIPES,2,FALSE) &amp; " - " &amp; D130</f>
        <v>PSG - Ibrahimovic</v>
      </c>
    </row>
    <row r="131" spans="1:8" x14ac:dyDescent="0.25">
      <c r="A131" t="s">
        <v>47</v>
      </c>
      <c r="B131" t="s">
        <v>45</v>
      </c>
      <c r="C131" s="250" t="s">
        <v>46</v>
      </c>
      <c r="D131" s="251" t="s">
        <v>45</v>
      </c>
      <c r="E131" t="str">
        <f t="shared" si="10"/>
        <v>OL - Lacazette</v>
      </c>
      <c r="G131" t="str">
        <f t="shared" ref="G131:G193" si="12">A131&amp; " - " &amp; B131</f>
        <v>Lyon - Lacazette</v>
      </c>
      <c r="H131" t="str">
        <f t="shared" si="11"/>
        <v>OL - Lacazette</v>
      </c>
    </row>
    <row r="132" spans="1:8" x14ac:dyDescent="0.25">
      <c r="A132" t="s">
        <v>262</v>
      </c>
      <c r="B132" t="s">
        <v>586</v>
      </c>
      <c r="C132" s="250" t="s">
        <v>587</v>
      </c>
      <c r="D132" s="251" t="s">
        <v>586</v>
      </c>
      <c r="E132" t="str">
        <f t="shared" si="10"/>
        <v>SCO - Sissoko</v>
      </c>
      <c r="G132" t="str">
        <f t="shared" si="12"/>
        <v>Angers - Sissoko</v>
      </c>
      <c r="H132" t="str">
        <f t="shared" si="11"/>
        <v>SCO - Sissoko</v>
      </c>
    </row>
    <row r="133" spans="1:8" x14ac:dyDescent="0.25">
      <c r="A133" t="s">
        <v>108</v>
      </c>
      <c r="B133" t="s">
        <v>588</v>
      </c>
      <c r="C133" s="250" t="s">
        <v>167</v>
      </c>
      <c r="D133" s="251" t="s">
        <v>588</v>
      </c>
      <c r="E133" t="str">
        <f t="shared" si="10"/>
        <v>SCB - Cioni</v>
      </c>
      <c r="G133" t="str">
        <f t="shared" si="12"/>
        <v>Bastia - Cioni</v>
      </c>
      <c r="H133" t="str">
        <f t="shared" si="11"/>
        <v>SCB - Cioni</v>
      </c>
    </row>
    <row r="134" spans="1:8" x14ac:dyDescent="0.25">
      <c r="A134" t="s">
        <v>67</v>
      </c>
      <c r="B134" t="s">
        <v>134</v>
      </c>
      <c r="C134" s="250" t="s">
        <v>135</v>
      </c>
      <c r="D134" s="251" t="s">
        <v>134</v>
      </c>
      <c r="E134" t="str">
        <f t="shared" si="10"/>
        <v>PSG - Kurzawa</v>
      </c>
      <c r="G134" t="str">
        <f t="shared" si="12"/>
        <v>Paris - Kurzawa</v>
      </c>
      <c r="H134" t="str">
        <f t="shared" si="11"/>
        <v>PSG - Kurzawa</v>
      </c>
    </row>
    <row r="135" spans="1:8" x14ac:dyDescent="0.25">
      <c r="A135" t="s">
        <v>57</v>
      </c>
      <c r="B135" t="s">
        <v>188</v>
      </c>
      <c r="C135" s="250" t="s">
        <v>189</v>
      </c>
      <c r="D135" s="251" t="s">
        <v>188</v>
      </c>
      <c r="E135" t="str">
        <f t="shared" si="10"/>
        <v>FCL - Lautoa</v>
      </c>
      <c r="G135" t="str">
        <f t="shared" si="12"/>
        <v>Lorient - Lautoa</v>
      </c>
      <c r="H135" t="str">
        <f t="shared" si="11"/>
        <v>FCL - Lautoa</v>
      </c>
    </row>
    <row r="136" spans="1:8" x14ac:dyDescent="0.25">
      <c r="A136" t="s">
        <v>125</v>
      </c>
      <c r="B136" t="s">
        <v>592</v>
      </c>
      <c r="C136" s="250" t="s">
        <v>133</v>
      </c>
      <c r="D136" s="251" t="s">
        <v>592</v>
      </c>
      <c r="E136" t="str">
        <f t="shared" si="10"/>
        <v>ASSE - Malcuit</v>
      </c>
      <c r="G136" t="str">
        <f t="shared" si="12"/>
        <v>Saint-Etienne - Malcuit</v>
      </c>
      <c r="H136" t="str">
        <f t="shared" si="11"/>
        <v>ASSE - Malcuit</v>
      </c>
    </row>
    <row r="137" spans="1:8" x14ac:dyDescent="0.25">
      <c r="A137" t="s">
        <v>252</v>
      </c>
      <c r="B137" t="s">
        <v>275</v>
      </c>
      <c r="C137" s="250" t="s">
        <v>276</v>
      </c>
      <c r="D137" s="251" t="s">
        <v>275</v>
      </c>
      <c r="E137" t="str">
        <f t="shared" si="10"/>
        <v>ESTAC - Ngcongca</v>
      </c>
      <c r="G137" t="str">
        <f t="shared" si="12"/>
        <v>Troyes - Ngcongca</v>
      </c>
      <c r="H137" t="str">
        <f t="shared" si="11"/>
        <v>ESTAC - Ngcongca</v>
      </c>
    </row>
    <row r="138" spans="1:8" x14ac:dyDescent="0.25">
      <c r="A138" t="s">
        <v>104</v>
      </c>
      <c r="B138" t="s">
        <v>205</v>
      </c>
      <c r="C138" s="250" t="s">
        <v>121</v>
      </c>
      <c r="D138" s="251" t="s">
        <v>205</v>
      </c>
      <c r="E138" t="str">
        <f t="shared" si="10"/>
        <v>SR - Signorino</v>
      </c>
      <c r="G138" t="str">
        <f t="shared" si="12"/>
        <v>Reims - Signorino</v>
      </c>
      <c r="H138" t="str">
        <f t="shared" si="11"/>
        <v>SR - Signorino</v>
      </c>
    </row>
    <row r="139" spans="1:8" x14ac:dyDescent="0.25">
      <c r="A139" t="s">
        <v>43</v>
      </c>
      <c r="B139" t="s">
        <v>199</v>
      </c>
      <c r="C139" s="250" t="s">
        <v>200</v>
      </c>
      <c r="D139" s="251" t="s">
        <v>199</v>
      </c>
      <c r="E139" t="str">
        <f t="shared" si="10"/>
        <v>FCN - Vizcarrondo</v>
      </c>
      <c r="G139" t="str">
        <f t="shared" si="12"/>
        <v>Nantes - Vizcarrondo</v>
      </c>
      <c r="H139" t="str">
        <f t="shared" si="11"/>
        <v>FCN - Vizcarrondo</v>
      </c>
    </row>
    <row r="140" spans="1:8" x14ac:dyDescent="0.25">
      <c r="A140" t="s">
        <v>50</v>
      </c>
      <c r="B140" t="s">
        <v>593</v>
      </c>
      <c r="C140" s="250" t="s">
        <v>101</v>
      </c>
      <c r="D140" s="251" t="s">
        <v>778</v>
      </c>
      <c r="E140" t="str">
        <f t="shared" si="10"/>
        <v>FCGB - Yambére</v>
      </c>
      <c r="G140" t="str">
        <f t="shared" si="12"/>
        <v>Bordeaux - Yambéré</v>
      </c>
      <c r="H140" t="str">
        <f t="shared" si="11"/>
        <v>FCGB - Yambére</v>
      </c>
    </row>
    <row r="141" spans="1:8" x14ac:dyDescent="0.25">
      <c r="A141" t="s">
        <v>44</v>
      </c>
      <c r="B141" t="s">
        <v>463</v>
      </c>
      <c r="C141" s="250" t="s">
        <v>594</v>
      </c>
      <c r="D141" s="251" t="s">
        <v>463</v>
      </c>
      <c r="E141" t="str">
        <f t="shared" si="10"/>
        <v>OM - Mandanda</v>
      </c>
      <c r="G141" t="str">
        <f t="shared" si="12"/>
        <v>Marseille - Mandanda</v>
      </c>
      <c r="H141" t="str">
        <f t="shared" si="11"/>
        <v>OM - Mandanda</v>
      </c>
    </row>
    <row r="142" spans="1:8" x14ac:dyDescent="0.25">
      <c r="A142" t="s">
        <v>104</v>
      </c>
      <c r="B142" t="s">
        <v>595</v>
      </c>
      <c r="C142" s="250" t="s">
        <v>596</v>
      </c>
      <c r="D142" s="251" t="s">
        <v>595</v>
      </c>
      <c r="E142" t="str">
        <f t="shared" si="10"/>
        <v>SR - Placide</v>
      </c>
      <c r="G142" t="str">
        <f t="shared" si="12"/>
        <v>Reims - Placide</v>
      </c>
      <c r="H142" t="str">
        <f t="shared" si="11"/>
        <v>SR - Placide</v>
      </c>
    </row>
    <row r="143" spans="1:8" x14ac:dyDescent="0.25">
      <c r="A143" t="s">
        <v>67</v>
      </c>
      <c r="B143" t="s">
        <v>597</v>
      </c>
      <c r="C143" s="250" t="s">
        <v>266</v>
      </c>
      <c r="D143" s="251" t="s">
        <v>700</v>
      </c>
      <c r="E143" t="str">
        <f t="shared" si="10"/>
        <v>PSG - Di Maria</v>
      </c>
      <c r="G143" t="str">
        <f t="shared" si="12"/>
        <v>Paris - Di María</v>
      </c>
      <c r="H143" t="str">
        <f t="shared" si="11"/>
        <v>PSG - Di Maria</v>
      </c>
    </row>
    <row r="144" spans="1:8" x14ac:dyDescent="0.25">
      <c r="A144" t="s">
        <v>104</v>
      </c>
      <c r="B144" t="s">
        <v>96</v>
      </c>
      <c r="C144" s="250"/>
      <c r="D144" s="251" t="s">
        <v>96</v>
      </c>
      <c r="E144" t="str">
        <f t="shared" si="10"/>
        <v>SR - Diego</v>
      </c>
      <c r="G144" t="str">
        <f t="shared" si="12"/>
        <v>Reims - Diego</v>
      </c>
      <c r="H144" t="str">
        <f t="shared" si="11"/>
        <v>SR - Diego</v>
      </c>
    </row>
    <row r="145" spans="1:8" x14ac:dyDescent="0.25">
      <c r="A145" t="s">
        <v>61</v>
      </c>
      <c r="B145" t="s">
        <v>208</v>
      </c>
      <c r="C145" s="250" t="s">
        <v>209</v>
      </c>
      <c r="D145" s="251" t="s">
        <v>208</v>
      </c>
      <c r="E145" t="str">
        <f t="shared" si="10"/>
        <v>SRFC - Henrique</v>
      </c>
      <c r="G145" t="str">
        <f t="shared" si="12"/>
        <v>Rennes - Henrique</v>
      </c>
      <c r="H145" t="str">
        <f t="shared" si="11"/>
        <v>SRFC - Henrique</v>
      </c>
    </row>
    <row r="146" spans="1:8" x14ac:dyDescent="0.25">
      <c r="A146" t="s">
        <v>59</v>
      </c>
      <c r="B146" t="s">
        <v>598</v>
      </c>
      <c r="C146" s="250" t="s">
        <v>599</v>
      </c>
      <c r="D146" s="251" t="s">
        <v>598</v>
      </c>
      <c r="E146" t="str">
        <f t="shared" si="10"/>
        <v>OGCN - Hult</v>
      </c>
      <c r="G146" t="str">
        <f t="shared" si="12"/>
        <v>Nice - Hult</v>
      </c>
      <c r="H146" t="str">
        <f t="shared" si="11"/>
        <v>OGCN - Hult</v>
      </c>
    </row>
    <row r="147" spans="1:8" x14ac:dyDescent="0.25">
      <c r="A147" t="s">
        <v>265</v>
      </c>
      <c r="B147" t="s">
        <v>600</v>
      </c>
      <c r="C147" s="250" t="s">
        <v>601</v>
      </c>
      <c r="D147" s="251" t="s">
        <v>600</v>
      </c>
      <c r="E147" t="str">
        <f t="shared" si="10"/>
        <v>GFCA - Le Moigne</v>
      </c>
      <c r="G147" t="str">
        <f t="shared" si="12"/>
        <v>Ajaccio - Le Moigne</v>
      </c>
      <c r="H147" t="str">
        <f t="shared" si="11"/>
        <v>GFCA - Le Moigne</v>
      </c>
    </row>
    <row r="148" spans="1:8" x14ac:dyDescent="0.25">
      <c r="A148" t="s">
        <v>56</v>
      </c>
      <c r="B148" t="s">
        <v>602</v>
      </c>
      <c r="C148" s="250" t="s">
        <v>603</v>
      </c>
      <c r="D148" s="251" t="s">
        <v>602</v>
      </c>
      <c r="E148" t="str">
        <f t="shared" si="10"/>
        <v>SMC - Makengo</v>
      </c>
      <c r="G148" t="str">
        <f t="shared" si="12"/>
        <v>Caen - Makengo</v>
      </c>
      <c r="H148" t="str">
        <f t="shared" si="11"/>
        <v>SMC - Makengo</v>
      </c>
    </row>
    <row r="149" spans="1:8" x14ac:dyDescent="0.25">
      <c r="A149" t="s">
        <v>53</v>
      </c>
      <c r="B149" t="s">
        <v>65</v>
      </c>
      <c r="C149" s="250" t="s">
        <v>604</v>
      </c>
      <c r="D149" s="251" t="s">
        <v>65</v>
      </c>
      <c r="E149" t="str">
        <f t="shared" si="10"/>
        <v>Losc - Martin</v>
      </c>
      <c r="G149" t="str">
        <f t="shared" si="12"/>
        <v>Lille - Martin</v>
      </c>
      <c r="H149" t="str">
        <f t="shared" si="11"/>
        <v>Losc - Martin</v>
      </c>
    </row>
    <row r="150" spans="1:8" x14ac:dyDescent="0.25">
      <c r="A150" t="s">
        <v>56</v>
      </c>
      <c r="B150" t="s">
        <v>605</v>
      </c>
      <c r="C150" s="250" t="s">
        <v>87</v>
      </c>
      <c r="D150" s="251" t="s">
        <v>605</v>
      </c>
      <c r="E150" t="str">
        <f t="shared" si="10"/>
        <v>SMC - Seube</v>
      </c>
      <c r="G150" t="str">
        <f t="shared" si="12"/>
        <v>Caen - Seube</v>
      </c>
      <c r="H150" t="str">
        <f t="shared" si="11"/>
        <v>SMC - Seube</v>
      </c>
    </row>
    <row r="151" spans="1:8" x14ac:dyDescent="0.25">
      <c r="A151" t="s">
        <v>252</v>
      </c>
      <c r="B151" t="s">
        <v>333</v>
      </c>
      <c r="C151" s="250"/>
      <c r="D151" s="251" t="s">
        <v>1025</v>
      </c>
      <c r="E151" t="str">
        <f t="shared" si="10"/>
        <v>ESTAC - Thiago</v>
      </c>
      <c r="G151" t="str">
        <f t="shared" si="12"/>
        <v>Troyes - Thiago Xavier</v>
      </c>
      <c r="H151" t="str">
        <f t="shared" si="11"/>
        <v>ESTAC - Thiago</v>
      </c>
    </row>
    <row r="152" spans="1:8" x14ac:dyDescent="0.25">
      <c r="A152" t="s">
        <v>47</v>
      </c>
      <c r="B152" t="s">
        <v>289</v>
      </c>
      <c r="C152" s="250" t="s">
        <v>17</v>
      </c>
      <c r="D152" s="251" t="s">
        <v>289</v>
      </c>
      <c r="E152" t="str">
        <f t="shared" si="10"/>
        <v>OL - Cornet</v>
      </c>
      <c r="G152" t="str">
        <f t="shared" si="12"/>
        <v>Lyon - Cornet</v>
      </c>
      <c r="H152" t="str">
        <f t="shared" si="11"/>
        <v>OL - Cornet</v>
      </c>
    </row>
    <row r="153" spans="1:8" x14ac:dyDescent="0.25">
      <c r="A153" t="s">
        <v>50</v>
      </c>
      <c r="B153" t="s">
        <v>92</v>
      </c>
      <c r="C153" s="250" t="s">
        <v>88</v>
      </c>
      <c r="D153" s="251" t="s">
        <v>92</v>
      </c>
      <c r="E153" t="str">
        <f t="shared" si="10"/>
        <v>FCGB - Diabaté</v>
      </c>
      <c r="G153" t="str">
        <f t="shared" si="12"/>
        <v>Bordeaux - Diabaté</v>
      </c>
      <c r="H153" t="str">
        <f t="shared" si="11"/>
        <v>FCGB - Diabaté</v>
      </c>
    </row>
    <row r="154" spans="1:8" x14ac:dyDescent="0.25">
      <c r="A154" t="s">
        <v>61</v>
      </c>
      <c r="B154" t="s">
        <v>606</v>
      </c>
      <c r="C154" s="250" t="s">
        <v>607</v>
      </c>
      <c r="D154" s="251" t="s">
        <v>606</v>
      </c>
      <c r="E154" t="str">
        <f t="shared" si="10"/>
        <v>SRFC - Grosicki</v>
      </c>
      <c r="G154" t="str">
        <f t="shared" si="12"/>
        <v>Rennes - Grosicki</v>
      </c>
      <c r="H154" t="str">
        <f t="shared" si="11"/>
        <v>SRFC - Grosicki</v>
      </c>
    </row>
    <row r="155" spans="1:8" x14ac:dyDescent="0.25">
      <c r="A155" t="s">
        <v>41</v>
      </c>
      <c r="B155" t="s">
        <v>249</v>
      </c>
      <c r="C155" s="250"/>
      <c r="D155" s="251" t="s">
        <v>966</v>
      </c>
      <c r="E155" t="str">
        <f t="shared" si="10"/>
        <v>ASM - L. Traoré</v>
      </c>
      <c r="G155" t="str">
        <f t="shared" si="12"/>
        <v>Monaco - Lacina Traoré</v>
      </c>
      <c r="H155" t="str">
        <f t="shared" si="11"/>
        <v>ASM - L. Traoré</v>
      </c>
    </row>
    <row r="156" spans="1:8" x14ac:dyDescent="0.25">
      <c r="A156" t="s">
        <v>70</v>
      </c>
      <c r="B156" t="s">
        <v>174</v>
      </c>
      <c r="C156" s="250" t="s">
        <v>175</v>
      </c>
      <c r="D156" s="251" t="s">
        <v>174</v>
      </c>
      <c r="E156" t="str">
        <f t="shared" si="10"/>
        <v>EAG - Privat</v>
      </c>
      <c r="G156" t="str">
        <f t="shared" si="12"/>
        <v>Guingamp - Privat</v>
      </c>
      <c r="H156" t="str">
        <f t="shared" si="11"/>
        <v>EAG - Privat</v>
      </c>
    </row>
    <row r="157" spans="1:8" x14ac:dyDescent="0.25">
      <c r="A157" t="s">
        <v>67</v>
      </c>
      <c r="B157" t="s">
        <v>155</v>
      </c>
      <c r="C157" s="250" t="s">
        <v>42</v>
      </c>
      <c r="D157" s="251" t="s">
        <v>155</v>
      </c>
      <c r="E157" t="str">
        <f t="shared" si="10"/>
        <v>PSG - Aurier</v>
      </c>
      <c r="G157" t="str">
        <f t="shared" si="12"/>
        <v>Paris - Aurier</v>
      </c>
      <c r="H157" t="str">
        <f t="shared" si="11"/>
        <v>PSG - Aurier</v>
      </c>
    </row>
    <row r="158" spans="1:8" x14ac:dyDescent="0.25">
      <c r="A158" t="s">
        <v>59</v>
      </c>
      <c r="B158" t="s">
        <v>210</v>
      </c>
      <c r="C158" s="250" t="s">
        <v>176</v>
      </c>
      <c r="D158" s="251" t="s">
        <v>210</v>
      </c>
      <c r="E158" t="str">
        <f t="shared" si="10"/>
        <v>OGCN - Baysse</v>
      </c>
      <c r="G158" t="str">
        <f t="shared" si="12"/>
        <v>Nice - Baysse</v>
      </c>
      <c r="H158" t="str">
        <f t="shared" si="11"/>
        <v>OGCN - Baysse</v>
      </c>
    </row>
    <row r="159" spans="1:8" x14ac:dyDescent="0.25">
      <c r="A159" t="s">
        <v>56</v>
      </c>
      <c r="B159" t="s">
        <v>608</v>
      </c>
      <c r="C159" s="250" t="s">
        <v>609</v>
      </c>
      <c r="D159" s="251" t="s">
        <v>608</v>
      </c>
      <c r="E159" t="str">
        <f t="shared" si="10"/>
        <v>SMC - Ben Youssef</v>
      </c>
      <c r="G159" t="str">
        <f t="shared" si="12"/>
        <v>Caen - Ben Youssef</v>
      </c>
      <c r="H159" t="str">
        <f t="shared" si="11"/>
        <v>SMC - Ben Youssef</v>
      </c>
    </row>
    <row r="160" spans="1:8" x14ac:dyDescent="0.25">
      <c r="A160" t="s">
        <v>41</v>
      </c>
      <c r="B160" t="s">
        <v>97</v>
      </c>
      <c r="C160" s="250" t="s">
        <v>98</v>
      </c>
      <c r="D160" s="251" t="s">
        <v>97</v>
      </c>
      <c r="E160" t="str">
        <f t="shared" si="10"/>
        <v>ASM - Carvalho</v>
      </c>
      <c r="G160" t="str">
        <f t="shared" si="12"/>
        <v>Monaco - Carvalho</v>
      </c>
      <c r="H160" t="str">
        <f t="shared" si="11"/>
        <v>ASM - Carvalho</v>
      </c>
    </row>
    <row r="161" spans="1:8" x14ac:dyDescent="0.25">
      <c r="A161" t="s">
        <v>67</v>
      </c>
      <c r="B161" t="s">
        <v>17</v>
      </c>
      <c r="C161" s="250"/>
      <c r="D161" s="251" t="s">
        <v>17</v>
      </c>
      <c r="E161" t="str">
        <f t="shared" si="10"/>
        <v>PSG - Maxwell</v>
      </c>
      <c r="G161" t="str">
        <f t="shared" si="12"/>
        <v>Paris - Maxwell</v>
      </c>
      <c r="H161" t="str">
        <f t="shared" si="11"/>
        <v>PSG - Maxwell</v>
      </c>
    </row>
    <row r="162" spans="1:8" x14ac:dyDescent="0.25">
      <c r="A162" t="s">
        <v>44</v>
      </c>
      <c r="B162" t="s">
        <v>579</v>
      </c>
      <c r="C162" s="250" t="s">
        <v>58</v>
      </c>
      <c r="D162" s="251" t="s">
        <v>653</v>
      </c>
      <c r="E162" t="str">
        <f t="shared" ref="E162:E193" si="13">VLOOKUP(H162,_DATA,1,FALSE)</f>
        <v>OM - B. Mendy</v>
      </c>
      <c r="G162" t="str">
        <f t="shared" si="12"/>
        <v>Marseille - Mendy</v>
      </c>
      <c r="H162" t="str">
        <f t="shared" ref="H162:H193" si="14">VLOOKUP(A162,_EQUIPES,2,FALSE) &amp; " - " &amp; D162</f>
        <v>OM - B. Mendy</v>
      </c>
    </row>
    <row r="163" spans="1:8" x14ac:dyDescent="0.25">
      <c r="A163" t="s">
        <v>44</v>
      </c>
      <c r="B163" t="s">
        <v>611</v>
      </c>
      <c r="C163" s="250" t="s">
        <v>87</v>
      </c>
      <c r="D163" s="251" t="s">
        <v>1073</v>
      </c>
      <c r="E163" t="str">
        <f t="shared" si="13"/>
        <v>OM - Nkoulou</v>
      </c>
      <c r="G163" t="str">
        <f t="shared" si="12"/>
        <v>Marseille - N'Koulou</v>
      </c>
      <c r="H163" t="str">
        <f t="shared" si="14"/>
        <v>OM - NKoulou</v>
      </c>
    </row>
    <row r="164" spans="1:8" x14ac:dyDescent="0.25">
      <c r="A164" t="s">
        <v>41</v>
      </c>
      <c r="B164" t="s">
        <v>48</v>
      </c>
      <c r="C164" s="250" t="s">
        <v>613</v>
      </c>
      <c r="D164" s="251" t="s">
        <v>48</v>
      </c>
      <c r="E164" t="str">
        <f t="shared" si="13"/>
        <v>ASM - Touré</v>
      </c>
      <c r="G164" t="str">
        <f t="shared" si="12"/>
        <v>Monaco - Touré</v>
      </c>
      <c r="H164" t="str">
        <f t="shared" si="14"/>
        <v>ASM - Touré</v>
      </c>
    </row>
    <row r="165" spans="1:8" x14ac:dyDescent="0.25">
      <c r="A165" t="s">
        <v>41</v>
      </c>
      <c r="B165" t="s">
        <v>443</v>
      </c>
      <c r="C165" s="250"/>
      <c r="D165" s="251" t="s">
        <v>443</v>
      </c>
      <c r="E165" t="str">
        <f t="shared" si="13"/>
        <v>ASM - Wallace</v>
      </c>
      <c r="G165" t="str">
        <f t="shared" si="12"/>
        <v>Monaco - Wallace</v>
      </c>
      <c r="H165" t="str">
        <f t="shared" si="14"/>
        <v>ASM - Wallace</v>
      </c>
    </row>
    <row r="166" spans="1:8" x14ac:dyDescent="0.25">
      <c r="A166" t="s">
        <v>59</v>
      </c>
      <c r="B166" t="s">
        <v>614</v>
      </c>
      <c r="C166" s="250" t="s">
        <v>471</v>
      </c>
      <c r="D166" s="251" t="s">
        <v>614</v>
      </c>
      <c r="E166" t="str">
        <f t="shared" si="13"/>
        <v>OGCN - Cardinale</v>
      </c>
      <c r="G166" t="str">
        <f t="shared" si="12"/>
        <v>Nice - Cardinale</v>
      </c>
      <c r="H166" t="str">
        <f t="shared" si="14"/>
        <v>OGCN - Cardinale</v>
      </c>
    </row>
    <row r="167" spans="1:8" x14ac:dyDescent="0.25">
      <c r="A167" t="s">
        <v>47</v>
      </c>
      <c r="B167" t="s">
        <v>124</v>
      </c>
      <c r="C167" s="250" t="s">
        <v>91</v>
      </c>
      <c r="D167" s="251" t="s">
        <v>124</v>
      </c>
      <c r="E167" t="str">
        <f t="shared" si="13"/>
        <v>OL - Lopes</v>
      </c>
      <c r="G167" t="str">
        <f t="shared" si="12"/>
        <v>Lyon - Lopes</v>
      </c>
      <c r="H167" t="str">
        <f t="shared" si="14"/>
        <v>OL - Lopes</v>
      </c>
    </row>
    <row r="168" spans="1:8" x14ac:dyDescent="0.25">
      <c r="A168" t="s">
        <v>53</v>
      </c>
      <c r="B168" t="s">
        <v>201</v>
      </c>
      <c r="C168" s="250" t="s">
        <v>202</v>
      </c>
      <c r="D168" s="251" t="s">
        <v>201</v>
      </c>
      <c r="E168" t="str">
        <f t="shared" si="13"/>
        <v>Losc - Bauthéac</v>
      </c>
      <c r="G168" t="str">
        <f t="shared" si="12"/>
        <v>Lille - Bauthéac</v>
      </c>
      <c r="H168" t="str">
        <f t="shared" si="14"/>
        <v>Losc - Bauthéac</v>
      </c>
    </row>
    <row r="169" spans="1:8" x14ac:dyDescent="0.25">
      <c r="A169" t="s">
        <v>44</v>
      </c>
      <c r="B169" t="s">
        <v>293</v>
      </c>
      <c r="C169" s="250" t="s">
        <v>90</v>
      </c>
      <c r="D169" s="251" t="s">
        <v>293</v>
      </c>
      <c r="E169" t="str">
        <f t="shared" si="13"/>
        <v>OM - Cabella</v>
      </c>
      <c r="G169" t="str">
        <f t="shared" si="12"/>
        <v>Marseille - Cabella</v>
      </c>
      <c r="H169" t="str">
        <f t="shared" si="14"/>
        <v>OM - Cabella</v>
      </c>
    </row>
    <row r="170" spans="1:8" x14ac:dyDescent="0.25">
      <c r="A170" t="s">
        <v>47</v>
      </c>
      <c r="B170" t="s">
        <v>117</v>
      </c>
      <c r="C170" s="250" t="s">
        <v>118</v>
      </c>
      <c r="D170" s="251" t="s">
        <v>117</v>
      </c>
      <c r="E170" t="str">
        <f t="shared" si="13"/>
        <v>OL - Gonalons</v>
      </c>
      <c r="G170" t="str">
        <f t="shared" si="12"/>
        <v>Lyon - Gonalons</v>
      </c>
      <c r="H170" t="str">
        <f t="shared" si="14"/>
        <v>OL - Gonalons</v>
      </c>
    </row>
    <row r="171" spans="1:8" x14ac:dyDescent="0.25">
      <c r="A171" t="s">
        <v>125</v>
      </c>
      <c r="B171" t="s">
        <v>151</v>
      </c>
      <c r="C171" s="250" t="s">
        <v>112</v>
      </c>
      <c r="D171" s="251" t="s">
        <v>151</v>
      </c>
      <c r="E171" t="str">
        <f t="shared" si="13"/>
        <v>ASSE - Hamouma</v>
      </c>
      <c r="G171" t="str">
        <f t="shared" si="12"/>
        <v>Saint-Etienne - Hamouma</v>
      </c>
      <c r="H171" t="str">
        <f t="shared" si="14"/>
        <v>ASSE - Hamouma</v>
      </c>
    </row>
    <row r="172" spans="1:8" x14ac:dyDescent="0.25">
      <c r="A172" t="s">
        <v>265</v>
      </c>
      <c r="B172" t="s">
        <v>616</v>
      </c>
      <c r="C172" s="250" t="s">
        <v>617</v>
      </c>
      <c r="D172" s="251" t="s">
        <v>616</v>
      </c>
      <c r="E172" t="str">
        <f t="shared" si="13"/>
        <v>GFCA - Larbi</v>
      </c>
      <c r="G172" t="str">
        <f t="shared" si="12"/>
        <v>Ajaccio - Larbi</v>
      </c>
      <c r="H172" t="str">
        <f t="shared" si="14"/>
        <v>GFCA - Larbi</v>
      </c>
    </row>
    <row r="173" spans="1:8" x14ac:dyDescent="0.25">
      <c r="A173" t="s">
        <v>41</v>
      </c>
      <c r="B173" t="s">
        <v>126</v>
      </c>
      <c r="C173" s="250" t="s">
        <v>127</v>
      </c>
      <c r="D173" s="251" t="s">
        <v>126</v>
      </c>
      <c r="E173" t="str">
        <f t="shared" si="13"/>
        <v>ASM - Moutinho</v>
      </c>
      <c r="G173" t="str">
        <f t="shared" si="12"/>
        <v>Monaco - Moutinho</v>
      </c>
      <c r="H173" t="str">
        <f t="shared" si="14"/>
        <v>ASM - Moutinho</v>
      </c>
    </row>
    <row r="174" spans="1:8" x14ac:dyDescent="0.25">
      <c r="A174" t="s">
        <v>41</v>
      </c>
      <c r="B174" t="s">
        <v>618</v>
      </c>
      <c r="C174" s="250" t="s">
        <v>619</v>
      </c>
      <c r="D174" s="251" t="s">
        <v>618</v>
      </c>
      <c r="E174" t="str">
        <f t="shared" si="13"/>
        <v>ASM - Pasalic</v>
      </c>
      <c r="G174" t="str">
        <f t="shared" si="12"/>
        <v>Monaco - Pasalic</v>
      </c>
      <c r="H174" t="str">
        <f t="shared" si="14"/>
        <v>ASM - Pasalic</v>
      </c>
    </row>
    <row r="175" spans="1:8" x14ac:dyDescent="0.25">
      <c r="A175" t="s">
        <v>60</v>
      </c>
      <c r="B175" t="s">
        <v>141</v>
      </c>
      <c r="C175" s="250" t="s">
        <v>65</v>
      </c>
      <c r="D175" s="251" t="s">
        <v>141</v>
      </c>
      <c r="E175" t="str">
        <f t="shared" si="13"/>
        <v>TFC - Braithwaite</v>
      </c>
      <c r="G175" t="str">
        <f t="shared" si="12"/>
        <v>Toulouse - Braithwaite</v>
      </c>
      <c r="H175" t="str">
        <f t="shared" si="14"/>
        <v>TFC - Braithwaite</v>
      </c>
    </row>
    <row r="176" spans="1:8" x14ac:dyDescent="0.25">
      <c r="A176" t="s">
        <v>59</v>
      </c>
      <c r="B176" t="s">
        <v>195</v>
      </c>
      <c r="C176" s="250" t="s">
        <v>196</v>
      </c>
      <c r="D176" s="251" t="s">
        <v>195</v>
      </c>
      <c r="E176" t="str">
        <f t="shared" si="13"/>
        <v>OGCN - Germain</v>
      </c>
      <c r="G176" t="str">
        <f t="shared" si="12"/>
        <v>Nice - Germain</v>
      </c>
      <c r="H176" t="str">
        <f t="shared" si="14"/>
        <v>OGCN - Germain</v>
      </c>
    </row>
    <row r="177" spans="1:8" x14ac:dyDescent="0.25">
      <c r="A177" t="s">
        <v>40</v>
      </c>
      <c r="B177" t="s">
        <v>313</v>
      </c>
      <c r="C177" s="250"/>
      <c r="D177" s="251" t="s">
        <v>836</v>
      </c>
      <c r="E177" t="str">
        <f t="shared" si="13"/>
        <v>MHSC - Ninga</v>
      </c>
      <c r="G177" t="str">
        <f t="shared" si="12"/>
        <v>Montpellier - Rodrigue Ninga</v>
      </c>
      <c r="H177" t="str">
        <f t="shared" si="14"/>
        <v>MHSC - Ninga</v>
      </c>
    </row>
    <row r="178" spans="1:8" x14ac:dyDescent="0.25">
      <c r="A178" t="s">
        <v>61</v>
      </c>
      <c r="B178" t="s">
        <v>278</v>
      </c>
      <c r="C178" s="250" t="s">
        <v>279</v>
      </c>
      <c r="D178" s="251" t="s">
        <v>278</v>
      </c>
      <c r="E178" t="str">
        <f t="shared" si="13"/>
        <v>SRFC - Sio</v>
      </c>
      <c r="G178" t="str">
        <f t="shared" si="12"/>
        <v>Rennes - Sio</v>
      </c>
      <c r="H178" t="str">
        <f t="shared" si="14"/>
        <v>SRFC - Sio</v>
      </c>
    </row>
    <row r="179" spans="1:8" x14ac:dyDescent="0.25">
      <c r="A179" t="s">
        <v>41</v>
      </c>
      <c r="B179" t="s">
        <v>30</v>
      </c>
      <c r="C179" s="250"/>
      <c r="D179" s="251" t="s">
        <v>30</v>
      </c>
      <c r="E179" t="str">
        <f t="shared" si="13"/>
        <v>ASM - Fabinho</v>
      </c>
      <c r="G179" t="str">
        <f t="shared" si="12"/>
        <v>Monaco - Fabinho</v>
      </c>
      <c r="H179" t="str">
        <f t="shared" si="14"/>
        <v>ASM - Fabinho</v>
      </c>
    </row>
    <row r="180" spans="1:8" x14ac:dyDescent="0.25">
      <c r="A180" t="s">
        <v>40</v>
      </c>
      <c r="B180" t="s">
        <v>197</v>
      </c>
      <c r="C180" s="250" t="s">
        <v>198</v>
      </c>
      <c r="D180" s="251" t="s">
        <v>197</v>
      </c>
      <c r="E180" t="str">
        <f t="shared" si="13"/>
        <v>MHSC - Hilton</v>
      </c>
      <c r="G180" t="str">
        <f t="shared" si="12"/>
        <v>Montpellier - Hilton</v>
      </c>
      <c r="H180" t="str">
        <f t="shared" si="14"/>
        <v>MHSC - Hilton</v>
      </c>
    </row>
    <row r="181" spans="1:8" x14ac:dyDescent="0.25">
      <c r="A181" t="s">
        <v>70</v>
      </c>
      <c r="B181" t="s">
        <v>623</v>
      </c>
      <c r="C181" s="250" t="s">
        <v>624</v>
      </c>
      <c r="D181" s="251" t="s">
        <v>623</v>
      </c>
      <c r="E181" t="str">
        <f t="shared" si="13"/>
        <v>EAG - Lemaître</v>
      </c>
      <c r="G181" t="str">
        <f t="shared" si="12"/>
        <v>Guingamp - Lemaître</v>
      </c>
      <c r="H181" t="str">
        <f t="shared" si="14"/>
        <v>EAG - Lemaître</v>
      </c>
    </row>
    <row r="182" spans="1:8" x14ac:dyDescent="0.25">
      <c r="A182" t="s">
        <v>53</v>
      </c>
      <c r="B182" t="s">
        <v>625</v>
      </c>
      <c r="C182" s="250" t="s">
        <v>166</v>
      </c>
      <c r="D182" s="251" t="s">
        <v>751</v>
      </c>
      <c r="E182" t="str">
        <f t="shared" si="13"/>
        <v>Losc - Sidibé</v>
      </c>
      <c r="G182" t="str">
        <f t="shared" si="12"/>
        <v>Lille - Sidibe</v>
      </c>
      <c r="H182" t="str">
        <f t="shared" si="14"/>
        <v>Losc - Sidibé</v>
      </c>
    </row>
    <row r="183" spans="1:8" x14ac:dyDescent="0.25">
      <c r="A183" t="s">
        <v>67</v>
      </c>
      <c r="B183" t="s">
        <v>25</v>
      </c>
      <c r="C183" s="250"/>
      <c r="D183" s="251" t="s">
        <v>25</v>
      </c>
      <c r="E183" t="str">
        <f t="shared" si="13"/>
        <v>PSG - Thiago Silva</v>
      </c>
      <c r="G183" t="str">
        <f t="shared" si="12"/>
        <v>Paris - Thiago Silva</v>
      </c>
      <c r="H183" t="str">
        <f t="shared" si="14"/>
        <v>PSG - Thiago Silva</v>
      </c>
    </row>
    <row r="184" spans="1:8" x14ac:dyDescent="0.25">
      <c r="A184" t="s">
        <v>60</v>
      </c>
      <c r="B184" t="s">
        <v>340</v>
      </c>
      <c r="C184" s="250"/>
      <c r="D184" s="251" t="s">
        <v>848</v>
      </c>
      <c r="E184" t="str">
        <f t="shared" si="13"/>
        <v>TFC - Matheus</v>
      </c>
      <c r="G184" t="str">
        <f t="shared" si="12"/>
        <v>Toulouse - William Matheus</v>
      </c>
      <c r="H184" t="str">
        <f t="shared" si="14"/>
        <v>TFC - Matheus</v>
      </c>
    </row>
    <row r="185" spans="1:8" x14ac:dyDescent="0.25">
      <c r="A185" t="s">
        <v>70</v>
      </c>
      <c r="B185" t="s">
        <v>628</v>
      </c>
      <c r="C185" s="250" t="s">
        <v>629</v>
      </c>
      <c r="D185" s="251" t="s">
        <v>628</v>
      </c>
      <c r="E185" t="str">
        <f t="shared" si="13"/>
        <v>EAG - Guivarch</v>
      </c>
      <c r="G185" t="str">
        <f t="shared" si="12"/>
        <v>Guingamp - Guivarch</v>
      </c>
      <c r="H185" t="str">
        <f t="shared" si="14"/>
        <v>EAG - Guivarch</v>
      </c>
    </row>
    <row r="186" spans="1:8" x14ac:dyDescent="0.25">
      <c r="A186" t="s">
        <v>59</v>
      </c>
      <c r="B186" t="s">
        <v>630</v>
      </c>
      <c r="C186" s="250" t="s">
        <v>631</v>
      </c>
      <c r="D186" s="251" t="s">
        <v>630</v>
      </c>
      <c r="E186" t="str">
        <f t="shared" si="13"/>
        <v>OGCN - Hassen</v>
      </c>
      <c r="G186" t="str">
        <f t="shared" si="12"/>
        <v>Nice - Hassen</v>
      </c>
      <c r="H186" t="str">
        <f t="shared" si="14"/>
        <v>OGCN - Hassen</v>
      </c>
    </row>
    <row r="187" spans="1:8" x14ac:dyDescent="0.25">
      <c r="A187" t="s">
        <v>70</v>
      </c>
      <c r="B187" t="s">
        <v>182</v>
      </c>
      <c r="C187" s="250"/>
      <c r="D187" s="251" t="s">
        <v>975</v>
      </c>
      <c r="E187" t="str">
        <f t="shared" si="13"/>
        <v>EAG - Lössl</v>
      </c>
      <c r="G187" t="str">
        <f t="shared" si="12"/>
        <v>Guingamp - Jonas Lössl</v>
      </c>
      <c r="H187" t="str">
        <f t="shared" si="14"/>
        <v>EAG - Lössl</v>
      </c>
    </row>
    <row r="188" spans="1:8" x14ac:dyDescent="0.25">
      <c r="A188" t="s">
        <v>44</v>
      </c>
      <c r="B188" t="s">
        <v>193</v>
      </c>
      <c r="C188" s="250" t="s">
        <v>194</v>
      </c>
      <c r="D188" s="251" t="s">
        <v>193</v>
      </c>
      <c r="E188" t="str">
        <f t="shared" si="13"/>
        <v>OM - Barrada</v>
      </c>
      <c r="G188" t="str">
        <f t="shared" si="12"/>
        <v>Marseille - Barrada</v>
      </c>
      <c r="H188" t="str">
        <f t="shared" si="14"/>
        <v>OM - Barrada</v>
      </c>
    </row>
    <row r="189" spans="1:8" x14ac:dyDescent="0.25">
      <c r="A189" t="s">
        <v>43</v>
      </c>
      <c r="B189" t="s">
        <v>633</v>
      </c>
      <c r="C189" s="250" t="s">
        <v>140</v>
      </c>
      <c r="D189" s="251" t="s">
        <v>633</v>
      </c>
      <c r="E189" t="str">
        <f t="shared" si="13"/>
        <v>FCN - Deaux</v>
      </c>
      <c r="G189" t="str">
        <f t="shared" si="12"/>
        <v>Nantes - Deaux</v>
      </c>
      <c r="H189" t="str">
        <f t="shared" si="14"/>
        <v>FCN - Deaux</v>
      </c>
    </row>
    <row r="190" spans="1:8" x14ac:dyDescent="0.25">
      <c r="A190" t="s">
        <v>60</v>
      </c>
      <c r="B190" t="s">
        <v>634</v>
      </c>
      <c r="C190" s="250" t="s">
        <v>635</v>
      </c>
      <c r="D190" s="251" t="s">
        <v>634</v>
      </c>
      <c r="E190" t="str">
        <f t="shared" si="13"/>
        <v>TFC - Didot</v>
      </c>
      <c r="G190" t="str">
        <f t="shared" si="12"/>
        <v>Toulouse - Didot</v>
      </c>
      <c r="H190" t="str">
        <f t="shared" si="14"/>
        <v>TFC - Didot</v>
      </c>
    </row>
    <row r="191" spans="1:8" x14ac:dyDescent="0.25">
      <c r="A191" t="s">
        <v>50</v>
      </c>
      <c r="B191" t="s">
        <v>152</v>
      </c>
      <c r="C191" s="250" t="s">
        <v>153</v>
      </c>
      <c r="D191" s="251" t="s">
        <v>152</v>
      </c>
      <c r="E191" t="str">
        <f t="shared" si="13"/>
        <v>FCGB - Khazri</v>
      </c>
      <c r="G191" t="str">
        <f t="shared" si="12"/>
        <v>Bordeaux - Khazri</v>
      </c>
      <c r="H191" t="str">
        <f t="shared" si="14"/>
        <v>FCGB - Khazri</v>
      </c>
    </row>
    <row r="192" spans="1:8" x14ac:dyDescent="0.25">
      <c r="A192" t="s">
        <v>44</v>
      </c>
      <c r="B192" t="s">
        <v>244</v>
      </c>
      <c r="C192" s="250"/>
      <c r="D192" s="251" t="s">
        <v>661</v>
      </c>
      <c r="E192" t="str">
        <f t="shared" si="13"/>
        <v>OM - Diarra</v>
      </c>
      <c r="G192" t="str">
        <f t="shared" si="12"/>
        <v>Marseille - Lass Diarra</v>
      </c>
      <c r="H192" t="str">
        <f t="shared" si="14"/>
        <v>OM - Diarra</v>
      </c>
    </row>
    <row r="193" spans="1:8" x14ac:dyDescent="0.25">
      <c r="A193" t="s">
        <v>41</v>
      </c>
      <c r="B193" t="s">
        <v>157</v>
      </c>
      <c r="C193" s="250" t="s">
        <v>158</v>
      </c>
      <c r="D193" s="251" t="s">
        <v>383</v>
      </c>
      <c r="E193" t="str">
        <f t="shared" si="13"/>
        <v>ASM - Bernardo Silva</v>
      </c>
      <c r="G193" t="str">
        <f t="shared" si="12"/>
        <v>Monaco - Silva</v>
      </c>
      <c r="H193" t="str">
        <f t="shared" si="14"/>
        <v>ASM - Bernardo Silva</v>
      </c>
    </row>
  </sheetData>
  <sortState ref="K2:K21">
    <sortCondition ref="K2:K21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5:AU666"/>
  <sheetViews>
    <sheetView tabSelected="1" topLeftCell="B15" workbookViewId="0">
      <selection activeCell="D15" sqref="D15"/>
    </sheetView>
  </sheetViews>
  <sheetFormatPr baseColWidth="10" defaultRowHeight="15" x14ac:dyDescent="0.25"/>
  <cols>
    <col min="1" max="1" width="25.5703125" bestFit="1" customWidth="1"/>
  </cols>
  <sheetData>
    <row r="15" spans="1:47" ht="15.75" thickBot="1" x14ac:dyDescent="0.3">
      <c r="B15" t="s">
        <v>79</v>
      </c>
      <c r="C15" t="s">
        <v>0</v>
      </c>
      <c r="D15" t="s">
        <v>71</v>
      </c>
      <c r="E15" t="s">
        <v>352</v>
      </c>
      <c r="F15" t="s">
        <v>353</v>
      </c>
      <c r="G15" t="s">
        <v>354</v>
      </c>
      <c r="H15" t="s">
        <v>355</v>
      </c>
      <c r="I15" t="s">
        <v>356</v>
      </c>
      <c r="J15" t="s">
        <v>357</v>
      </c>
      <c r="K15" t="s">
        <v>358</v>
      </c>
      <c r="L15" t="s">
        <v>359</v>
      </c>
      <c r="M15" t="s">
        <v>360</v>
      </c>
      <c r="N15" t="s">
        <v>361</v>
      </c>
      <c r="O15" t="s">
        <v>362</v>
      </c>
      <c r="P15" t="s">
        <v>363</v>
      </c>
      <c r="Q15" t="s">
        <v>364</v>
      </c>
      <c r="R15" t="s">
        <v>365</v>
      </c>
      <c r="S15" t="s">
        <v>366</v>
      </c>
      <c r="T15" t="s">
        <v>367</v>
      </c>
      <c r="U15" t="s">
        <v>368</v>
      </c>
      <c r="V15" t="s">
        <v>369</v>
      </c>
      <c r="W15" t="s">
        <v>370</v>
      </c>
      <c r="X15" t="s">
        <v>371</v>
      </c>
      <c r="Y15" t="s">
        <v>372</v>
      </c>
      <c r="Z15" t="s">
        <v>373</v>
      </c>
      <c r="AA15" t="s">
        <v>374</v>
      </c>
      <c r="AB15" t="s">
        <v>375</v>
      </c>
      <c r="AC15" t="s">
        <v>376</v>
      </c>
      <c r="AD15" t="s">
        <v>377</v>
      </c>
      <c r="AE15" t="s">
        <v>378</v>
      </c>
      <c r="AF15" t="s">
        <v>379</v>
      </c>
      <c r="AG15" t="s">
        <v>380</v>
      </c>
      <c r="AH15" t="s">
        <v>1104</v>
      </c>
      <c r="AI15" t="s">
        <v>1105</v>
      </c>
      <c r="AJ15" t="s">
        <v>1106</v>
      </c>
      <c r="AK15" t="s">
        <v>1107</v>
      </c>
      <c r="AL15" t="s">
        <v>1108</v>
      </c>
      <c r="AM15" t="s">
        <v>1109</v>
      </c>
      <c r="AN15" t="s">
        <v>1110</v>
      </c>
      <c r="AO15" t="s">
        <v>1111</v>
      </c>
      <c r="AP15" t="s">
        <v>1112</v>
      </c>
      <c r="AQ15" t="s">
        <v>1140</v>
      </c>
      <c r="AR15" t="s">
        <v>1141</v>
      </c>
      <c r="AS15" t="s">
        <v>1142</v>
      </c>
      <c r="AT15" t="s">
        <v>1143</v>
      </c>
      <c r="AU15" t="s">
        <v>1125</v>
      </c>
    </row>
    <row r="16" spans="1:47" x14ac:dyDescent="0.25">
      <c r="A16" t="str">
        <f>B16 &amp; " - " &amp;D16</f>
        <v>PSG - Ibrahimovic</v>
      </c>
      <c r="B16" t="s">
        <v>705</v>
      </c>
      <c r="C16" s="16" t="s">
        <v>665</v>
      </c>
      <c r="D16" s="17" t="s">
        <v>85</v>
      </c>
      <c r="E16" s="18">
        <v>29</v>
      </c>
      <c r="F16" s="19">
        <v>2</v>
      </c>
      <c r="G16" s="292">
        <v>38</v>
      </c>
      <c r="H16" s="20">
        <f>AVERAGE(Z16,L16,N16,O16,P16,Q16,R16,S16,U16,V16,W16,Y16,AA16,AB16,AC16,AD16,AE16,AF16,AG16,AI16,AJ16,AL16,AM16,AN16,AP16,AR16,AS16,AT16,AQ16)</f>
        <v>7.1034482758620694</v>
      </c>
      <c r="I16" s="77"/>
      <c r="J16" s="37"/>
      <c r="K16" s="37"/>
      <c r="L16" s="76">
        <v>6</v>
      </c>
      <c r="M16" s="24"/>
      <c r="N16" s="24">
        <v>4</v>
      </c>
      <c r="O16" s="25">
        <v>7</v>
      </c>
      <c r="P16" s="25">
        <v>7</v>
      </c>
      <c r="Q16" s="25">
        <v>8</v>
      </c>
      <c r="R16" s="25">
        <v>8</v>
      </c>
      <c r="S16" s="25">
        <v>7</v>
      </c>
      <c r="T16" s="24"/>
      <c r="U16" s="77">
        <v>8</v>
      </c>
      <c r="V16" s="24">
        <v>5</v>
      </c>
      <c r="W16" s="25">
        <v>7</v>
      </c>
      <c r="X16" s="37" t="s">
        <v>644</v>
      </c>
      <c r="Y16" s="25">
        <v>8</v>
      </c>
      <c r="Z16" s="25">
        <v>8</v>
      </c>
      <c r="AA16" s="25">
        <v>7</v>
      </c>
      <c r="AB16" s="27">
        <v>5</v>
      </c>
      <c r="AC16" s="25">
        <v>7</v>
      </c>
      <c r="AD16" s="247">
        <v>7</v>
      </c>
      <c r="AE16" s="247">
        <v>8</v>
      </c>
      <c r="AF16" s="25">
        <v>8</v>
      </c>
      <c r="AG16" s="247">
        <v>7</v>
      </c>
      <c r="AH16" s="24"/>
      <c r="AI16" s="25">
        <v>9</v>
      </c>
      <c r="AJ16" s="23">
        <v>4</v>
      </c>
      <c r="AK16" s="76" t="s">
        <v>644</v>
      </c>
      <c r="AL16" s="25">
        <v>9</v>
      </c>
      <c r="AM16" s="24">
        <v>4</v>
      </c>
      <c r="AN16" s="247">
        <v>9</v>
      </c>
      <c r="AO16" s="27"/>
      <c r="AP16" s="25">
        <v>9</v>
      </c>
      <c r="AQ16" s="22">
        <v>6</v>
      </c>
      <c r="AR16" s="247">
        <v>8</v>
      </c>
      <c r="AS16" s="25">
        <v>7</v>
      </c>
      <c r="AT16" s="25">
        <v>9</v>
      </c>
      <c r="AU16">
        <f>E16 +F16</f>
        <v>31</v>
      </c>
    </row>
    <row r="17" spans="1:47" x14ac:dyDescent="0.25">
      <c r="A17" t="str">
        <f>B17 &amp; " - " &amp;D17</f>
        <v>OM - Pelé</v>
      </c>
      <c r="B17" t="s">
        <v>703</v>
      </c>
      <c r="C17" s="29" t="s">
        <v>638</v>
      </c>
      <c r="D17" s="30" t="s">
        <v>639</v>
      </c>
      <c r="E17" s="31">
        <v>2</v>
      </c>
      <c r="F17" s="32"/>
      <c r="G17" s="33"/>
      <c r="H17" s="34">
        <f>AVERAGE(AE17,AT17)</f>
        <v>5</v>
      </c>
      <c r="I17" s="35"/>
      <c r="J17" s="36"/>
      <c r="K17" s="22"/>
      <c r="L17" s="22"/>
      <c r="M17" s="24"/>
      <c r="N17" s="22"/>
      <c r="O17" s="22"/>
      <c r="P17" s="24"/>
      <c r="Q17" s="24"/>
      <c r="R17" s="22"/>
      <c r="S17" s="24"/>
      <c r="T17" s="24"/>
      <c r="U17" s="24"/>
      <c r="V17" s="24"/>
      <c r="W17" s="22"/>
      <c r="X17" s="24"/>
      <c r="Y17" s="24"/>
      <c r="Z17" s="24"/>
      <c r="AA17" s="24"/>
      <c r="AB17" s="37"/>
      <c r="AC17" s="24"/>
      <c r="AD17" s="24"/>
      <c r="AE17" s="142">
        <v>5</v>
      </c>
      <c r="AF17" s="38"/>
      <c r="AG17" s="24"/>
      <c r="AH17" s="24"/>
      <c r="AI17" s="24"/>
      <c r="AJ17" s="24"/>
      <c r="AK17" s="22"/>
      <c r="AL17" s="22"/>
      <c r="AM17" s="24"/>
      <c r="AN17" s="24"/>
      <c r="AO17" s="27"/>
      <c r="AP17" s="24"/>
      <c r="AQ17" s="22"/>
      <c r="AR17" s="24"/>
      <c r="AS17" s="22"/>
      <c r="AT17" s="23">
        <v>5</v>
      </c>
      <c r="AU17">
        <f>E17 +F17</f>
        <v>2</v>
      </c>
    </row>
    <row r="18" spans="1:47" x14ac:dyDescent="0.25">
      <c r="A18" t="str">
        <f>B18 &amp; " - " &amp;D18</f>
        <v>OM - Samba</v>
      </c>
      <c r="B18" t="s">
        <v>703</v>
      </c>
      <c r="C18" s="39" t="s">
        <v>638</v>
      </c>
      <c r="D18" s="40" t="s">
        <v>640</v>
      </c>
      <c r="E18" s="41"/>
      <c r="F18" s="42"/>
      <c r="G18" s="43"/>
      <c r="H18" s="44"/>
      <c r="I18" s="45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7"/>
      <c r="AD18" s="46"/>
      <c r="AE18" s="47"/>
      <c r="AF18" s="45"/>
      <c r="AG18" s="46"/>
      <c r="AH18" s="47"/>
      <c r="AI18" s="46"/>
      <c r="AJ18" s="46"/>
      <c r="AK18" s="46"/>
      <c r="AL18" s="46"/>
      <c r="AM18" s="46"/>
      <c r="AN18" s="46"/>
      <c r="AO18" s="47"/>
      <c r="AP18" s="47"/>
      <c r="AQ18" s="46"/>
      <c r="AR18" s="46"/>
      <c r="AS18" s="47"/>
      <c r="AT18" s="59"/>
      <c r="AU18">
        <f>E18 +F18</f>
        <v>0</v>
      </c>
    </row>
    <row r="19" spans="1:47" x14ac:dyDescent="0.25">
      <c r="A19" t="str">
        <f>B19 &amp; " - " &amp;D19</f>
        <v>PSG - Di Maria</v>
      </c>
      <c r="B19" t="s">
        <v>705</v>
      </c>
      <c r="C19" s="29" t="s">
        <v>654</v>
      </c>
      <c r="D19" s="126" t="s">
        <v>700</v>
      </c>
      <c r="E19" s="31">
        <v>26</v>
      </c>
      <c r="F19" s="30">
        <v>3</v>
      </c>
      <c r="G19" s="33">
        <v>10</v>
      </c>
      <c r="H19" s="34">
        <f>AVERAGE(Z19,M19,O19,P19,Q19,S19,T19,U19,W19,X19,Y19,AA19,AB19,AD19,AE19,AG19,AH19,AK19,AL19,AM19,AP19,AR19,AS19,AT19,AQ19)</f>
        <v>6.64</v>
      </c>
      <c r="I19" s="36"/>
      <c r="J19" s="37"/>
      <c r="K19" s="37"/>
      <c r="L19" s="37" t="s">
        <v>644</v>
      </c>
      <c r="M19" s="24">
        <v>5</v>
      </c>
      <c r="N19" s="37" t="s">
        <v>644</v>
      </c>
      <c r="O19" s="25">
        <v>7</v>
      </c>
      <c r="P19" s="25">
        <v>7</v>
      </c>
      <c r="Q19" s="24">
        <v>5</v>
      </c>
      <c r="R19" s="24"/>
      <c r="S19" s="83">
        <v>8</v>
      </c>
      <c r="T19" s="25">
        <v>7</v>
      </c>
      <c r="U19" s="25">
        <v>7</v>
      </c>
      <c r="V19" s="22"/>
      <c r="W19" s="66">
        <v>9</v>
      </c>
      <c r="X19" s="24">
        <v>6</v>
      </c>
      <c r="Y19" s="66">
        <v>7</v>
      </c>
      <c r="Z19" s="66">
        <v>8</v>
      </c>
      <c r="AA19" s="25">
        <v>8</v>
      </c>
      <c r="AB19" s="27">
        <v>6</v>
      </c>
      <c r="AC19" s="22"/>
      <c r="AD19" s="129">
        <v>8</v>
      </c>
      <c r="AE19" s="27">
        <v>6</v>
      </c>
      <c r="AF19" s="37" t="s">
        <v>644</v>
      </c>
      <c r="AG19" s="28">
        <v>6</v>
      </c>
      <c r="AH19" s="24">
        <v>4</v>
      </c>
      <c r="AI19" s="24" t="s">
        <v>673</v>
      </c>
      <c r="AJ19" s="77"/>
      <c r="AK19" s="24">
        <v>5</v>
      </c>
      <c r="AL19" s="24">
        <v>6</v>
      </c>
      <c r="AM19" s="24">
        <v>4</v>
      </c>
      <c r="AN19" s="27"/>
      <c r="AO19" s="28"/>
      <c r="AP19" s="25">
        <v>8</v>
      </c>
      <c r="AQ19" s="24">
        <v>6</v>
      </c>
      <c r="AR19" s="163">
        <v>7</v>
      </c>
      <c r="AS19" s="66">
        <v>8</v>
      </c>
      <c r="AT19" s="66">
        <v>8</v>
      </c>
      <c r="AU19">
        <f>E19 +F19</f>
        <v>29</v>
      </c>
    </row>
    <row r="20" spans="1:47" x14ac:dyDescent="0.25">
      <c r="A20" t="str">
        <f>B20 &amp; " - " &amp;D20</f>
        <v>OM - Sparagna</v>
      </c>
      <c r="B20" t="s">
        <v>703</v>
      </c>
      <c r="C20" s="29" t="s">
        <v>641</v>
      </c>
      <c r="D20" s="49" t="s">
        <v>643</v>
      </c>
      <c r="E20" s="31">
        <v>2</v>
      </c>
      <c r="F20" s="32">
        <v>6</v>
      </c>
      <c r="G20" s="33"/>
      <c r="H20" s="34">
        <f>AVERAGE(I20,U20)</f>
        <v>5</v>
      </c>
      <c r="I20" s="24">
        <v>6</v>
      </c>
      <c r="J20" s="37" t="s">
        <v>644</v>
      </c>
      <c r="K20" s="37" t="s">
        <v>644</v>
      </c>
      <c r="L20" s="37" t="s">
        <v>644</v>
      </c>
      <c r="M20" s="37"/>
      <c r="N20" s="37"/>
      <c r="O20" s="24"/>
      <c r="P20" s="24"/>
      <c r="Q20" s="24"/>
      <c r="R20" s="24"/>
      <c r="S20" s="37" t="s">
        <v>644</v>
      </c>
      <c r="T20" s="37" t="s">
        <v>644</v>
      </c>
      <c r="U20" s="24">
        <v>4</v>
      </c>
      <c r="V20" s="24"/>
      <c r="W20" s="24"/>
      <c r="X20" s="24"/>
      <c r="Y20" s="24"/>
      <c r="Z20" s="24"/>
      <c r="AA20" s="37" t="s">
        <v>644</v>
      </c>
      <c r="AB20" s="26"/>
      <c r="AC20" s="24"/>
      <c r="AD20" s="27"/>
      <c r="AE20" s="48"/>
      <c r="AF20" s="24"/>
      <c r="AG20" s="27"/>
      <c r="AH20" s="24"/>
      <c r="AI20" s="24"/>
      <c r="AJ20" s="37"/>
      <c r="AK20" s="24"/>
      <c r="AL20" s="24"/>
      <c r="AM20" s="24"/>
      <c r="AN20" s="27"/>
      <c r="AO20" s="27"/>
      <c r="AP20" s="24"/>
      <c r="AQ20" s="24"/>
      <c r="AR20" s="27"/>
      <c r="AS20" s="24"/>
      <c r="AT20" s="24"/>
      <c r="AU20">
        <f>E20 +F20</f>
        <v>8</v>
      </c>
    </row>
    <row r="21" spans="1:47" x14ac:dyDescent="0.25">
      <c r="A21" t="str">
        <f>B21 &amp; " - " &amp;D21</f>
        <v>OM - Doria</v>
      </c>
      <c r="B21" t="s">
        <v>703</v>
      </c>
      <c r="C21" s="50" t="s">
        <v>641</v>
      </c>
      <c r="D21" s="51" t="s">
        <v>645</v>
      </c>
      <c r="E21" s="52"/>
      <c r="F21" s="53"/>
      <c r="G21" s="54"/>
      <c r="H21" s="34"/>
      <c r="I21" s="46"/>
      <c r="J21" s="55"/>
      <c r="K21" s="55"/>
      <c r="L21" s="55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56"/>
      <c r="AC21" s="46"/>
      <c r="AD21" s="47"/>
      <c r="AE21" s="45"/>
      <c r="AF21" s="46"/>
      <c r="AG21" s="47"/>
      <c r="AH21" s="46"/>
      <c r="AI21" s="46"/>
      <c r="AJ21" s="46"/>
      <c r="AK21" s="46"/>
      <c r="AL21" s="46"/>
      <c r="AM21" s="46"/>
      <c r="AN21" s="47"/>
      <c r="AO21" s="47"/>
      <c r="AP21" s="46"/>
      <c r="AQ21" s="46"/>
      <c r="AR21" s="47"/>
      <c r="AS21" s="46"/>
      <c r="AT21" s="46"/>
      <c r="AU21">
        <f>E21 +F21</f>
        <v>0</v>
      </c>
    </row>
    <row r="22" spans="1:47" x14ac:dyDescent="0.25">
      <c r="A22" t="str">
        <f>B22 &amp; " - " &amp;D22</f>
        <v>OM - Dja Djedje</v>
      </c>
      <c r="B22" t="s">
        <v>703</v>
      </c>
      <c r="C22" s="29" t="s">
        <v>641</v>
      </c>
      <c r="D22" s="30" t="s">
        <v>646</v>
      </c>
      <c r="E22" s="31">
        <v>17</v>
      </c>
      <c r="F22" s="32">
        <v>2</v>
      </c>
      <c r="G22" s="33"/>
      <c r="H22" s="34">
        <f>AVERAGE(J22,I22,V22,W22,X22,Y22,Z22,AC22,AD22,AE22,AF22,AG22,AH22,AM22,AN22,AS22,AT22)</f>
        <v>5.117647058823529</v>
      </c>
      <c r="I22" s="24">
        <v>5</v>
      </c>
      <c r="J22" s="37">
        <v>5</v>
      </c>
      <c r="K22" s="37"/>
      <c r="L22" s="37"/>
      <c r="M22" s="24"/>
      <c r="N22" s="24"/>
      <c r="O22" s="24"/>
      <c r="P22" s="37" t="s">
        <v>644</v>
      </c>
      <c r="Q22" s="37" t="s">
        <v>644</v>
      </c>
      <c r="R22" s="24"/>
      <c r="S22" s="24"/>
      <c r="T22" s="24"/>
      <c r="U22" s="24"/>
      <c r="V22" s="24">
        <v>5</v>
      </c>
      <c r="W22" s="24">
        <v>5</v>
      </c>
      <c r="X22" s="24">
        <v>6</v>
      </c>
      <c r="Y22" s="24">
        <v>5</v>
      </c>
      <c r="Z22" s="24">
        <v>6</v>
      </c>
      <c r="AA22" s="24"/>
      <c r="AB22" s="26"/>
      <c r="AC22" s="24">
        <v>6</v>
      </c>
      <c r="AD22" s="27">
        <v>5</v>
      </c>
      <c r="AE22" s="27">
        <v>6</v>
      </c>
      <c r="AF22" s="24">
        <v>6</v>
      </c>
      <c r="AG22" s="27">
        <v>5</v>
      </c>
      <c r="AH22" s="24">
        <v>5</v>
      </c>
      <c r="AI22" s="24"/>
      <c r="AJ22" s="24"/>
      <c r="AK22" s="24"/>
      <c r="AL22" s="24"/>
      <c r="AM22" s="82">
        <v>3</v>
      </c>
      <c r="AN22" s="27">
        <v>4</v>
      </c>
      <c r="AO22" s="27"/>
      <c r="AP22" s="24"/>
      <c r="AQ22" s="24"/>
      <c r="AR22" s="27"/>
      <c r="AS22" s="24">
        <v>5</v>
      </c>
      <c r="AT22" s="24">
        <v>5</v>
      </c>
      <c r="AU22">
        <f>E22 +F22</f>
        <v>19</v>
      </c>
    </row>
    <row r="23" spans="1:47" x14ac:dyDescent="0.25">
      <c r="A23" t="str">
        <f>B23 &amp; " - " &amp;D23</f>
        <v>OM - Aloé</v>
      </c>
      <c r="B23" t="s">
        <v>703</v>
      </c>
      <c r="C23" s="50" t="s">
        <v>641</v>
      </c>
      <c r="D23" s="57" t="s">
        <v>647</v>
      </c>
      <c r="E23" s="52"/>
      <c r="F23" s="53"/>
      <c r="G23" s="54"/>
      <c r="H23" s="34"/>
      <c r="I23" s="46"/>
      <c r="J23" s="55"/>
      <c r="K23" s="55"/>
      <c r="L23" s="55"/>
      <c r="M23" s="46"/>
      <c r="N23" s="46"/>
      <c r="O23" s="46"/>
      <c r="P23" s="46"/>
      <c r="Q23" s="46"/>
      <c r="R23" s="46"/>
      <c r="S23" s="46"/>
      <c r="T23" s="55"/>
      <c r="U23" s="46"/>
      <c r="V23" s="46"/>
      <c r="W23" s="55"/>
      <c r="X23" s="46"/>
      <c r="Y23" s="55"/>
      <c r="Z23" s="46"/>
      <c r="AA23" s="46"/>
      <c r="AB23" s="56"/>
      <c r="AC23" s="55"/>
      <c r="AD23" s="47"/>
      <c r="AE23" s="58"/>
      <c r="AF23" s="46"/>
      <c r="AG23" s="56"/>
      <c r="AH23" s="55"/>
      <c r="AI23" s="46"/>
      <c r="AJ23" s="59"/>
      <c r="AK23" s="55"/>
      <c r="AL23" s="46"/>
      <c r="AM23" s="46"/>
      <c r="AN23" s="47"/>
      <c r="AO23" s="47"/>
      <c r="AP23" s="46"/>
      <c r="AQ23" s="55"/>
      <c r="AR23" s="47"/>
      <c r="AS23" s="46"/>
      <c r="AT23" s="55"/>
      <c r="AU23">
        <f>E23 +F23</f>
        <v>0</v>
      </c>
    </row>
    <row r="24" spans="1:47" x14ac:dyDescent="0.25">
      <c r="A24" t="str">
        <f>B24 &amp; " - " &amp;D24</f>
        <v>OM - Andonian</v>
      </c>
      <c r="B24" t="s">
        <v>703</v>
      </c>
      <c r="C24" s="50" t="s">
        <v>641</v>
      </c>
      <c r="D24" s="57" t="s">
        <v>648</v>
      </c>
      <c r="E24" s="52"/>
      <c r="F24" s="53"/>
      <c r="G24" s="54"/>
      <c r="H24" s="34"/>
      <c r="I24" s="46"/>
      <c r="J24" s="55"/>
      <c r="K24" s="55"/>
      <c r="L24" s="55"/>
      <c r="M24" s="46"/>
      <c r="N24" s="46"/>
      <c r="O24" s="46"/>
      <c r="P24" s="46"/>
      <c r="Q24" s="46"/>
      <c r="R24" s="46"/>
      <c r="S24" s="46"/>
      <c r="T24" s="55"/>
      <c r="U24" s="46"/>
      <c r="V24" s="46"/>
      <c r="W24" s="55"/>
      <c r="X24" s="46"/>
      <c r="Y24" s="55"/>
      <c r="Z24" s="46"/>
      <c r="AA24" s="46"/>
      <c r="AB24" s="56"/>
      <c r="AC24" s="55"/>
      <c r="AD24" s="47"/>
      <c r="AE24" s="58"/>
      <c r="AF24" s="46"/>
      <c r="AG24" s="56"/>
      <c r="AH24" s="55"/>
      <c r="AI24" s="46"/>
      <c r="AJ24" s="59"/>
      <c r="AK24" s="55"/>
      <c r="AL24" s="46"/>
      <c r="AM24" s="46"/>
      <c r="AN24" s="47"/>
      <c r="AO24" s="47"/>
      <c r="AP24" s="46"/>
      <c r="AQ24" s="55"/>
      <c r="AR24" s="47"/>
      <c r="AS24" s="46"/>
      <c r="AT24" s="55"/>
      <c r="AU24">
        <f>E24 +F24</f>
        <v>0</v>
      </c>
    </row>
    <row r="25" spans="1:47" x14ac:dyDescent="0.25">
      <c r="A25" t="str">
        <f>B25 &amp; " - " &amp;D25</f>
        <v>OM - Tuiloma</v>
      </c>
      <c r="B25" t="s">
        <v>703</v>
      </c>
      <c r="C25" s="50" t="s">
        <v>641</v>
      </c>
      <c r="D25" s="57" t="s">
        <v>649</v>
      </c>
      <c r="E25" s="52"/>
      <c r="F25" s="53"/>
      <c r="G25" s="54"/>
      <c r="H25" s="34"/>
      <c r="I25" s="53"/>
      <c r="J25" s="61"/>
      <c r="K25" s="61"/>
      <c r="L25" s="61"/>
      <c r="M25" s="53"/>
      <c r="N25" s="53"/>
      <c r="O25" s="53"/>
      <c r="P25" s="53"/>
      <c r="Q25" s="53"/>
      <c r="R25" s="53"/>
      <c r="S25" s="53"/>
      <c r="T25" s="61"/>
      <c r="U25" s="53"/>
      <c r="V25" s="53"/>
      <c r="W25" s="53"/>
      <c r="X25" s="53"/>
      <c r="Y25" s="53"/>
      <c r="Z25" s="53"/>
      <c r="AA25" s="53"/>
      <c r="AB25" s="62"/>
      <c r="AC25" s="53"/>
      <c r="AD25" s="63"/>
      <c r="AE25" s="64"/>
      <c r="AF25" s="61"/>
      <c r="AG25" s="62"/>
      <c r="AH25" s="53"/>
      <c r="AI25" s="53"/>
      <c r="AJ25" s="53"/>
      <c r="AK25" s="53"/>
      <c r="AL25" s="53"/>
      <c r="AM25" s="53"/>
      <c r="AN25" s="63"/>
      <c r="AO25" s="63"/>
      <c r="AP25" s="53"/>
      <c r="AQ25" s="53"/>
      <c r="AR25" s="63"/>
      <c r="AS25" s="53"/>
      <c r="AT25" s="53"/>
      <c r="AU25">
        <f>E25 +F25</f>
        <v>0</v>
      </c>
    </row>
    <row r="26" spans="1:47" x14ac:dyDescent="0.25">
      <c r="A26" t="str">
        <f>B26 &amp; " - " &amp;D26</f>
        <v>OL - Ghezzal</v>
      </c>
      <c r="B26" t="s">
        <v>704</v>
      </c>
      <c r="C26" s="29" t="s">
        <v>654</v>
      </c>
      <c r="D26" s="30" t="s">
        <v>683</v>
      </c>
      <c r="E26" s="31">
        <v>16</v>
      </c>
      <c r="F26" s="32">
        <v>13</v>
      </c>
      <c r="G26" s="33">
        <v>8</v>
      </c>
      <c r="H26" s="34">
        <f>AVERAGE(R26,AB26,AC26,AD26,AE26,AG26,AI26,AJ26,AK26,AL26,AM26,AN26,AO26,AP26,AQ26,AR26,AS26)</f>
        <v>6.2941176470588234</v>
      </c>
      <c r="I26" s="37" t="s">
        <v>644</v>
      </c>
      <c r="J26" s="37" t="s">
        <v>644</v>
      </c>
      <c r="K26" s="37" t="s">
        <v>644</v>
      </c>
      <c r="L26" s="37"/>
      <c r="M26" s="24"/>
      <c r="N26" s="24"/>
      <c r="O26" s="24"/>
      <c r="P26" s="37" t="s">
        <v>644</v>
      </c>
      <c r="Q26" s="37" t="s">
        <v>644</v>
      </c>
      <c r="R26" s="24">
        <v>6</v>
      </c>
      <c r="S26" s="37" t="s">
        <v>644</v>
      </c>
      <c r="T26" s="37"/>
      <c r="U26" s="37"/>
      <c r="V26" s="24"/>
      <c r="W26" s="77" t="s">
        <v>644</v>
      </c>
      <c r="X26" s="37" t="s">
        <v>644</v>
      </c>
      <c r="Y26" s="37"/>
      <c r="Z26" s="37" t="s">
        <v>644</v>
      </c>
      <c r="AA26" s="37" t="s">
        <v>644</v>
      </c>
      <c r="AB26" s="247">
        <v>7</v>
      </c>
      <c r="AC26" s="24">
        <v>5</v>
      </c>
      <c r="AD26" s="27">
        <v>6</v>
      </c>
      <c r="AE26" s="101">
        <v>4</v>
      </c>
      <c r="AF26" s="37" t="s">
        <v>644</v>
      </c>
      <c r="AG26" s="247">
        <v>7</v>
      </c>
      <c r="AH26" s="37" t="s">
        <v>644</v>
      </c>
      <c r="AI26" s="24">
        <v>4</v>
      </c>
      <c r="AJ26" s="37">
        <v>6</v>
      </c>
      <c r="AK26" s="25">
        <v>9</v>
      </c>
      <c r="AL26" s="25">
        <v>8</v>
      </c>
      <c r="AM26" s="37">
        <v>6</v>
      </c>
      <c r="AN26" s="247">
        <v>8</v>
      </c>
      <c r="AO26" s="26">
        <v>6</v>
      </c>
      <c r="AP26" s="24">
        <v>6</v>
      </c>
      <c r="AQ26" s="24">
        <v>4</v>
      </c>
      <c r="AR26" s="247">
        <v>7</v>
      </c>
      <c r="AS26" s="25">
        <v>8</v>
      </c>
      <c r="AT26" s="24"/>
      <c r="AU26">
        <f>E26 +F26</f>
        <v>29</v>
      </c>
    </row>
    <row r="27" spans="1:47" x14ac:dyDescent="0.25">
      <c r="A27" t="str">
        <f>B27 &amp; " - " &amp;D27</f>
        <v>PSG - Thiago Silva</v>
      </c>
      <c r="B27" t="s">
        <v>705</v>
      </c>
      <c r="C27" s="29" t="s">
        <v>641</v>
      </c>
      <c r="D27" t="s">
        <v>25</v>
      </c>
      <c r="E27" s="31">
        <v>29</v>
      </c>
      <c r="F27" s="32">
        <v>1</v>
      </c>
      <c r="G27" s="190">
        <v>1</v>
      </c>
      <c r="H27" s="34">
        <f>AVERAGE(Z27,Y27,W27,J27,K27,L27,I27,M27,N27,P27,Q27,R27,S27,T27,U27,V27,X27,AA27,AB27,AF27,AG27,AI27,AJ27,AL27,AM27,AN27,AR27,AS27,AT27)</f>
        <v>6.068965517241379</v>
      </c>
      <c r="I27" s="37">
        <v>6</v>
      </c>
      <c r="J27" s="75">
        <v>8</v>
      </c>
      <c r="K27" s="37">
        <v>6</v>
      </c>
      <c r="L27" s="37">
        <v>6</v>
      </c>
      <c r="M27" s="37">
        <v>6</v>
      </c>
      <c r="N27" s="24">
        <v>5</v>
      </c>
      <c r="O27" s="37" t="s">
        <v>644</v>
      </c>
      <c r="P27" s="24">
        <v>5</v>
      </c>
      <c r="Q27" s="24">
        <v>5</v>
      </c>
      <c r="R27" s="66">
        <v>7</v>
      </c>
      <c r="S27" s="24">
        <v>5</v>
      </c>
      <c r="T27" s="24">
        <v>6</v>
      </c>
      <c r="U27" s="24">
        <v>6</v>
      </c>
      <c r="V27" s="24">
        <v>6</v>
      </c>
      <c r="W27" s="24">
        <v>6</v>
      </c>
      <c r="X27" s="24">
        <v>6</v>
      </c>
      <c r="Y27" s="24">
        <v>6</v>
      </c>
      <c r="Z27" s="24">
        <v>6</v>
      </c>
      <c r="AA27" s="24">
        <v>6</v>
      </c>
      <c r="AB27" s="163">
        <v>7</v>
      </c>
      <c r="AC27" s="24"/>
      <c r="AD27" s="27"/>
      <c r="AE27" s="27"/>
      <c r="AF27" s="24">
        <v>6</v>
      </c>
      <c r="AG27" s="163">
        <v>7</v>
      </c>
      <c r="AH27" s="22"/>
      <c r="AI27" s="24">
        <v>6</v>
      </c>
      <c r="AJ27" s="24">
        <v>5</v>
      </c>
      <c r="AK27" s="24"/>
      <c r="AL27" s="24">
        <v>6</v>
      </c>
      <c r="AM27" s="24">
        <v>6</v>
      </c>
      <c r="AN27" s="27">
        <v>5</v>
      </c>
      <c r="AO27" s="27"/>
      <c r="AP27" s="24"/>
      <c r="AQ27" s="24"/>
      <c r="AR27" s="163">
        <v>7</v>
      </c>
      <c r="AS27" s="66">
        <v>7</v>
      </c>
      <c r="AT27" s="66">
        <v>7</v>
      </c>
      <c r="AU27">
        <f>E27 +F27</f>
        <v>30</v>
      </c>
    </row>
    <row r="28" spans="1:47" x14ac:dyDescent="0.25">
      <c r="A28" t="str">
        <f>B28 &amp; " - " &amp;D28</f>
        <v>OM - Rolando</v>
      </c>
      <c r="B28" t="s">
        <v>703</v>
      </c>
      <c r="C28" s="29" t="s">
        <v>641</v>
      </c>
      <c r="D28" s="65" t="s">
        <v>239</v>
      </c>
      <c r="E28" s="31">
        <v>18</v>
      </c>
      <c r="F28" s="32">
        <v>1</v>
      </c>
      <c r="G28" s="33">
        <v>1</v>
      </c>
      <c r="H28" s="34">
        <f>AVERAGE(P28,Q28,R28,S28,Z28,AA28,AB28,AC28,AD28,AE28,AF28,AG28,AH28,AI28,AK28,AM28,AN28,AT28)</f>
        <v>5.0555555555555554</v>
      </c>
      <c r="I28" s="24"/>
      <c r="J28" s="37"/>
      <c r="K28" s="37"/>
      <c r="L28" s="37"/>
      <c r="M28" s="24"/>
      <c r="N28" s="24"/>
      <c r="O28" s="24"/>
      <c r="P28" s="24">
        <v>5</v>
      </c>
      <c r="Q28" s="24">
        <v>5</v>
      </c>
      <c r="R28" s="24">
        <v>5</v>
      </c>
      <c r="S28" s="24">
        <v>6</v>
      </c>
      <c r="T28" s="37"/>
      <c r="U28" s="24"/>
      <c r="V28" s="24"/>
      <c r="W28" s="24"/>
      <c r="X28" s="24"/>
      <c r="Y28" s="24"/>
      <c r="Z28" s="24">
        <v>5</v>
      </c>
      <c r="AA28" s="24">
        <v>5</v>
      </c>
      <c r="AB28" s="26">
        <v>6</v>
      </c>
      <c r="AC28" s="24">
        <v>6</v>
      </c>
      <c r="AD28" s="27">
        <v>5</v>
      </c>
      <c r="AE28" s="27">
        <v>6</v>
      </c>
      <c r="AF28" s="37">
        <v>5</v>
      </c>
      <c r="AG28" s="26">
        <v>4</v>
      </c>
      <c r="AH28" s="24">
        <v>6</v>
      </c>
      <c r="AI28" s="24">
        <v>5</v>
      </c>
      <c r="AJ28" s="24"/>
      <c r="AK28" s="24">
        <v>5</v>
      </c>
      <c r="AL28" s="37" t="s">
        <v>644</v>
      </c>
      <c r="AM28" s="267">
        <v>2</v>
      </c>
      <c r="AN28" s="27">
        <v>5</v>
      </c>
      <c r="AO28" s="27"/>
      <c r="AP28" s="24"/>
      <c r="AQ28" s="24"/>
      <c r="AR28" s="27"/>
      <c r="AS28" s="24"/>
      <c r="AT28" s="24">
        <v>5</v>
      </c>
      <c r="AU28">
        <f>E28 +F28</f>
        <v>19</v>
      </c>
    </row>
    <row r="29" spans="1:47" x14ac:dyDescent="0.25">
      <c r="A29" t="str">
        <f>B29 &amp; " - " &amp;D29</f>
        <v>OM - De Ceglie</v>
      </c>
      <c r="B29" t="s">
        <v>703</v>
      </c>
      <c r="C29" s="29" t="s">
        <v>641</v>
      </c>
      <c r="D29" s="65" t="s">
        <v>652</v>
      </c>
      <c r="E29" s="31">
        <v>3</v>
      </c>
      <c r="F29" s="32">
        <v>4</v>
      </c>
      <c r="G29" s="33"/>
      <c r="H29" s="34">
        <f>AVERAGE(O29,P29,Q29,AE29)</f>
        <v>4.5</v>
      </c>
      <c r="I29" s="24"/>
      <c r="J29" s="37"/>
      <c r="K29" s="37"/>
      <c r="L29" s="37"/>
      <c r="M29" s="37" t="s">
        <v>644</v>
      </c>
      <c r="N29" s="24"/>
      <c r="O29" s="24">
        <v>4</v>
      </c>
      <c r="P29" s="24">
        <v>5</v>
      </c>
      <c r="Q29" s="24">
        <v>4</v>
      </c>
      <c r="R29" s="24"/>
      <c r="S29" s="24"/>
      <c r="T29" s="37"/>
      <c r="U29" s="24"/>
      <c r="V29" s="24"/>
      <c r="W29" s="24"/>
      <c r="X29" s="24"/>
      <c r="Y29" s="24"/>
      <c r="Z29" s="24"/>
      <c r="AA29" s="24"/>
      <c r="AB29" s="26"/>
      <c r="AC29" s="24"/>
      <c r="AD29" s="26" t="s">
        <v>644</v>
      </c>
      <c r="AE29" s="48">
        <v>5</v>
      </c>
      <c r="AF29" s="37" t="s">
        <v>644</v>
      </c>
      <c r="AG29" s="26"/>
      <c r="AH29" s="24"/>
      <c r="AI29" s="24"/>
      <c r="AJ29" s="24"/>
      <c r="AK29" s="24"/>
      <c r="AL29" s="24"/>
      <c r="AM29" s="24"/>
      <c r="AN29" s="27"/>
      <c r="AO29" s="27"/>
      <c r="AP29" s="24"/>
      <c r="AQ29" s="24"/>
      <c r="AR29" s="27"/>
      <c r="AS29" s="24"/>
      <c r="AT29" s="24"/>
      <c r="AU29">
        <f>E29 +F29</f>
        <v>7</v>
      </c>
    </row>
    <row r="30" spans="1:47" x14ac:dyDescent="0.25">
      <c r="A30" t="str">
        <f>B30 &amp; " - " &amp;D30</f>
        <v>OM - Isla</v>
      </c>
      <c r="B30" t="s">
        <v>703</v>
      </c>
      <c r="C30" s="29" t="s">
        <v>641</v>
      </c>
      <c r="D30" s="65" t="s">
        <v>284</v>
      </c>
      <c r="E30" s="31">
        <v>20</v>
      </c>
      <c r="F30" s="32">
        <v>3</v>
      </c>
      <c r="G30" s="33">
        <v>2</v>
      </c>
      <c r="H30" s="34">
        <f>AVERAGE(O30,V30,W30,X30,Y30,Z30,AB30,AC30,AD30,AE30,AF30,AG30,AH30,AI30,AK30,AJ30,AL30,AM30,AO30,AT30)</f>
        <v>5.5</v>
      </c>
      <c r="I30" s="24"/>
      <c r="J30" s="37"/>
      <c r="K30" s="37"/>
      <c r="L30" s="37"/>
      <c r="M30" s="24"/>
      <c r="N30" s="37" t="s">
        <v>644</v>
      </c>
      <c r="O30" s="24">
        <v>5</v>
      </c>
      <c r="P30" s="24"/>
      <c r="Q30" s="24"/>
      <c r="R30" s="24"/>
      <c r="S30" s="37" t="s">
        <v>644</v>
      </c>
      <c r="T30" s="37"/>
      <c r="U30" s="37" t="s">
        <v>644</v>
      </c>
      <c r="V30" s="24">
        <v>5</v>
      </c>
      <c r="W30" s="24">
        <v>4</v>
      </c>
      <c r="X30" s="66">
        <v>7</v>
      </c>
      <c r="Y30" s="24">
        <v>6</v>
      </c>
      <c r="Z30" s="24">
        <v>5</v>
      </c>
      <c r="AA30" s="24"/>
      <c r="AB30" s="26">
        <v>6</v>
      </c>
      <c r="AC30" s="24">
        <v>6</v>
      </c>
      <c r="AD30" s="27">
        <v>5</v>
      </c>
      <c r="AE30" s="27">
        <v>5</v>
      </c>
      <c r="AF30" s="84">
        <v>7</v>
      </c>
      <c r="AG30" s="26">
        <v>6</v>
      </c>
      <c r="AH30" s="25">
        <v>7</v>
      </c>
      <c r="AI30" s="24">
        <v>5</v>
      </c>
      <c r="AJ30" s="24">
        <v>5</v>
      </c>
      <c r="AK30" s="24">
        <v>6</v>
      </c>
      <c r="AL30" s="25">
        <v>7</v>
      </c>
      <c r="AM30" s="82">
        <v>3</v>
      </c>
      <c r="AN30" s="27"/>
      <c r="AO30" s="27">
        <v>5</v>
      </c>
      <c r="AP30" s="24"/>
      <c r="AQ30" s="24"/>
      <c r="AR30" s="27"/>
      <c r="AS30" s="24"/>
      <c r="AT30" s="24">
        <v>5</v>
      </c>
      <c r="AU30">
        <f>E30 +F30</f>
        <v>23</v>
      </c>
    </row>
    <row r="31" spans="1:47" x14ac:dyDescent="0.25">
      <c r="A31" t="str">
        <f>B31 &amp; " - " &amp;D31</f>
        <v>PSG - Matuidi</v>
      </c>
      <c r="B31" t="s">
        <v>705</v>
      </c>
      <c r="C31" s="67" t="s">
        <v>654</v>
      </c>
      <c r="D31" s="68" t="s">
        <v>102</v>
      </c>
      <c r="E31" s="69">
        <v>23</v>
      </c>
      <c r="F31" s="70">
        <v>8</v>
      </c>
      <c r="G31" s="71">
        <v>4</v>
      </c>
      <c r="H31" s="72">
        <f>AVERAGE(Z31,J31,K31,L31,I31,M31,O31,Q31,T31,U31,V31,X31,Y31,AA31,AB31,AC31,AD31,AE31,AG31,AH31,AI31,AN31,AO31,AP31)</f>
        <v>5.958333333333333</v>
      </c>
      <c r="I31" s="84">
        <v>7</v>
      </c>
      <c r="J31" s="75">
        <v>7</v>
      </c>
      <c r="K31" s="75">
        <v>7</v>
      </c>
      <c r="L31" s="128">
        <v>7</v>
      </c>
      <c r="M31" s="37">
        <v>5</v>
      </c>
      <c r="N31" s="37" t="s">
        <v>644</v>
      </c>
      <c r="O31" s="37">
        <v>6</v>
      </c>
      <c r="P31" s="24"/>
      <c r="Q31" s="24">
        <v>6</v>
      </c>
      <c r="R31" s="24"/>
      <c r="S31" s="37" t="s">
        <v>644</v>
      </c>
      <c r="T31" s="37">
        <v>5</v>
      </c>
      <c r="U31" s="24">
        <v>6</v>
      </c>
      <c r="V31" s="25">
        <v>7</v>
      </c>
      <c r="W31" s="37" t="s">
        <v>644</v>
      </c>
      <c r="X31" s="24">
        <v>5</v>
      </c>
      <c r="Y31" s="37">
        <v>5</v>
      </c>
      <c r="Z31" s="24">
        <v>5</v>
      </c>
      <c r="AA31" s="24">
        <v>5</v>
      </c>
      <c r="AB31" s="27">
        <v>5</v>
      </c>
      <c r="AC31" s="24">
        <v>6</v>
      </c>
      <c r="AD31" s="284">
        <v>8</v>
      </c>
      <c r="AE31" s="26">
        <v>5</v>
      </c>
      <c r="AF31" s="37" t="s">
        <v>644</v>
      </c>
      <c r="AG31" s="27">
        <v>6</v>
      </c>
      <c r="AH31" s="24">
        <v>5</v>
      </c>
      <c r="AI31" s="24">
        <v>6</v>
      </c>
      <c r="AJ31" s="76" t="s">
        <v>644</v>
      </c>
      <c r="AK31" s="24"/>
      <c r="AL31" s="24"/>
      <c r="AM31" s="76" t="s">
        <v>644</v>
      </c>
      <c r="AN31" s="27">
        <v>5</v>
      </c>
      <c r="AO31" s="26">
        <v>6</v>
      </c>
      <c r="AP31" s="25">
        <v>8</v>
      </c>
      <c r="AQ31" s="22"/>
      <c r="AR31" s="27"/>
      <c r="AS31" s="22"/>
      <c r="AT31" s="76" t="s">
        <v>644</v>
      </c>
      <c r="AU31">
        <f>E31 +F31</f>
        <v>31</v>
      </c>
    </row>
    <row r="32" spans="1:47" x14ac:dyDescent="0.25">
      <c r="A32" t="str">
        <f>B32 &amp; " - " &amp;D32</f>
        <v>OM - Alessandrini</v>
      </c>
      <c r="B32" t="s">
        <v>703</v>
      </c>
      <c r="C32" s="29" t="s">
        <v>654</v>
      </c>
      <c r="D32" s="73" t="s">
        <v>150</v>
      </c>
      <c r="E32" s="31">
        <v>16</v>
      </c>
      <c r="F32" s="32">
        <v>6</v>
      </c>
      <c r="G32" s="33">
        <v>5</v>
      </c>
      <c r="H32" s="34">
        <f>AVERAGE(J32,K32,L32,I32,M32,Q32,R32,S32,T32,W32,X32,AH32,AR32,AS32,AT32)</f>
        <v>5.2</v>
      </c>
      <c r="I32" s="21">
        <v>4</v>
      </c>
      <c r="J32" s="74">
        <v>4</v>
      </c>
      <c r="K32" s="75">
        <v>9</v>
      </c>
      <c r="L32" s="37">
        <v>4</v>
      </c>
      <c r="M32" s="75">
        <v>7</v>
      </c>
      <c r="N32" s="76" t="s">
        <v>655</v>
      </c>
      <c r="O32" s="37"/>
      <c r="P32" s="37"/>
      <c r="Q32" s="37">
        <v>4</v>
      </c>
      <c r="R32" s="37">
        <v>5</v>
      </c>
      <c r="S32" s="77">
        <v>6</v>
      </c>
      <c r="T32" s="24">
        <v>4</v>
      </c>
      <c r="U32" s="24"/>
      <c r="V32" s="24"/>
      <c r="W32" s="77">
        <v>6</v>
      </c>
      <c r="X32" s="24">
        <v>4</v>
      </c>
      <c r="Y32" s="24"/>
      <c r="Z32" s="24"/>
      <c r="AA32" s="24"/>
      <c r="AB32" s="26"/>
      <c r="AC32" s="24"/>
      <c r="AD32" s="27"/>
      <c r="AE32" s="48"/>
      <c r="AF32" s="37" t="s">
        <v>644</v>
      </c>
      <c r="AG32" s="26" t="s">
        <v>644</v>
      </c>
      <c r="AH32" s="37">
        <v>6</v>
      </c>
      <c r="AI32" s="37" t="s">
        <v>644</v>
      </c>
      <c r="AJ32" s="24"/>
      <c r="AK32" s="37" t="s">
        <v>644</v>
      </c>
      <c r="AL32" s="24"/>
      <c r="AM32" s="76" t="s">
        <v>644</v>
      </c>
      <c r="AN32" s="26" t="s">
        <v>644</v>
      </c>
      <c r="AO32" s="27"/>
      <c r="AP32" s="24"/>
      <c r="AQ32" s="24"/>
      <c r="AR32" s="142">
        <v>5</v>
      </c>
      <c r="AS32" s="154">
        <v>5</v>
      </c>
      <c r="AT32" s="24">
        <v>5</v>
      </c>
      <c r="AU32">
        <f>E32 +F32</f>
        <v>22</v>
      </c>
    </row>
    <row r="33" spans="1:47" x14ac:dyDescent="0.25">
      <c r="A33" t="str">
        <f>B33 &amp; " - " &amp;D33</f>
        <v>Losc - Boufal</v>
      </c>
      <c r="B33" t="s">
        <v>771</v>
      </c>
      <c r="C33" s="29" t="s">
        <v>654</v>
      </c>
      <c r="D33" s="78" t="s">
        <v>286</v>
      </c>
      <c r="E33" s="31">
        <v>27</v>
      </c>
      <c r="F33" s="32">
        <v>2</v>
      </c>
      <c r="G33" s="33">
        <v>11</v>
      </c>
      <c r="H33" s="34">
        <f>AVERAGE(J33,K33,L33,I33,N33,P33,O33,Q33,R33,S33,T33,U33,Y33,Z33,AA33,AC33,AD33,AF33,AE33,AG33,AI33,AJ33,AL33,AM33,AO33,AP33,AQ33)</f>
        <v>5.8148148148148149</v>
      </c>
      <c r="I33" s="24">
        <v>5</v>
      </c>
      <c r="J33" s="24">
        <v>5</v>
      </c>
      <c r="K33" s="66">
        <v>7</v>
      </c>
      <c r="L33" s="25">
        <v>7</v>
      </c>
      <c r="M33" s="24"/>
      <c r="N33" s="25">
        <v>7</v>
      </c>
      <c r="O33" s="66">
        <v>7</v>
      </c>
      <c r="P33" s="24">
        <v>5</v>
      </c>
      <c r="Q33" s="25">
        <v>8</v>
      </c>
      <c r="R33" s="22">
        <v>6</v>
      </c>
      <c r="S33" s="24">
        <v>4</v>
      </c>
      <c r="T33" s="24">
        <v>5</v>
      </c>
      <c r="U33" s="37">
        <v>4</v>
      </c>
      <c r="V33" s="24"/>
      <c r="W33" s="24"/>
      <c r="X33" s="24"/>
      <c r="Y33" s="24">
        <v>4</v>
      </c>
      <c r="Z33" s="84">
        <v>7</v>
      </c>
      <c r="AA33" s="75">
        <v>7</v>
      </c>
      <c r="AB33" s="27"/>
      <c r="AC33" s="24">
        <v>5</v>
      </c>
      <c r="AD33" s="94">
        <v>6</v>
      </c>
      <c r="AE33" s="38">
        <v>4</v>
      </c>
      <c r="AF33" s="37">
        <v>5</v>
      </c>
      <c r="AG33" s="27">
        <v>4</v>
      </c>
      <c r="AH33" s="24"/>
      <c r="AI33" s="25">
        <v>7</v>
      </c>
      <c r="AJ33" s="24">
        <v>4</v>
      </c>
      <c r="AK33" s="76" t="s">
        <v>644</v>
      </c>
      <c r="AL33" s="75">
        <v>7</v>
      </c>
      <c r="AM33" s="24">
        <v>5</v>
      </c>
      <c r="AN33" s="28"/>
      <c r="AO33" s="163">
        <v>7</v>
      </c>
      <c r="AP33" s="25">
        <v>9</v>
      </c>
      <c r="AQ33" s="23">
        <v>6</v>
      </c>
      <c r="AR33" s="27" t="s">
        <v>673</v>
      </c>
      <c r="AS33" s="24"/>
      <c r="AT33" s="24"/>
      <c r="AU33">
        <f>E33 +F33</f>
        <v>29</v>
      </c>
    </row>
    <row r="34" spans="1:47" x14ac:dyDescent="0.25">
      <c r="A34" t="str">
        <f>B34 &amp; " - " &amp;D34</f>
        <v>OM - Romao</v>
      </c>
      <c r="B34" t="s">
        <v>703</v>
      </c>
      <c r="C34" s="29" t="s">
        <v>654</v>
      </c>
      <c r="D34" s="30" t="s">
        <v>656</v>
      </c>
      <c r="E34" s="31">
        <v>13</v>
      </c>
      <c r="F34" s="32">
        <v>10</v>
      </c>
      <c r="G34" s="33">
        <v>1</v>
      </c>
      <c r="H34" s="34">
        <f>AVERAGE(J34,I34,U34,X34,Y34,AA34,AB34,AD34,AF34,AI34,AJ34,AL34,AO34,AP34,AQ34)</f>
        <v>4.9333333333333336</v>
      </c>
      <c r="I34" s="24">
        <v>5</v>
      </c>
      <c r="J34" s="37">
        <v>5</v>
      </c>
      <c r="K34" s="37"/>
      <c r="L34" s="37"/>
      <c r="M34" s="37" t="s">
        <v>644</v>
      </c>
      <c r="N34" s="24"/>
      <c r="O34" s="24"/>
      <c r="P34" s="24"/>
      <c r="Q34" s="22"/>
      <c r="R34" s="37" t="s">
        <v>644</v>
      </c>
      <c r="S34" s="37" t="s">
        <v>644</v>
      </c>
      <c r="T34" s="37" t="s">
        <v>644</v>
      </c>
      <c r="U34" s="24">
        <v>5</v>
      </c>
      <c r="V34" s="37" t="s">
        <v>644</v>
      </c>
      <c r="W34" s="37"/>
      <c r="X34" s="37">
        <v>5</v>
      </c>
      <c r="Y34" s="24">
        <v>5</v>
      </c>
      <c r="Z34" s="37" t="s">
        <v>644</v>
      </c>
      <c r="AA34" s="77">
        <v>6</v>
      </c>
      <c r="AB34" s="26">
        <v>5</v>
      </c>
      <c r="AC34" s="76" t="s">
        <v>644</v>
      </c>
      <c r="AD34" s="27">
        <v>5</v>
      </c>
      <c r="AE34" s="27"/>
      <c r="AF34" s="24">
        <v>5</v>
      </c>
      <c r="AG34" s="27"/>
      <c r="AH34" s="37" t="s">
        <v>644</v>
      </c>
      <c r="AI34" s="37">
        <v>5</v>
      </c>
      <c r="AJ34" s="24">
        <v>6</v>
      </c>
      <c r="AK34" s="24"/>
      <c r="AL34" s="23">
        <v>5</v>
      </c>
      <c r="AM34" s="24"/>
      <c r="AN34" s="27"/>
      <c r="AO34" s="26">
        <v>5</v>
      </c>
      <c r="AP34" s="24">
        <v>4</v>
      </c>
      <c r="AQ34" s="166">
        <v>3</v>
      </c>
      <c r="AR34" s="27"/>
      <c r="AS34" s="24"/>
      <c r="AT34" s="24"/>
      <c r="AU34">
        <f>E34 +F34</f>
        <v>23</v>
      </c>
    </row>
    <row r="35" spans="1:47" x14ac:dyDescent="0.25">
      <c r="A35" t="str">
        <f>B35 &amp; " - " &amp;D35</f>
        <v>OM - Boutobba</v>
      </c>
      <c r="B35" t="s">
        <v>703</v>
      </c>
      <c r="C35" s="29" t="s">
        <v>654</v>
      </c>
      <c r="D35" s="78" t="s">
        <v>657</v>
      </c>
      <c r="E35" s="31"/>
      <c r="F35" s="30"/>
      <c r="G35" s="33"/>
      <c r="H35" s="34"/>
      <c r="I35" s="24"/>
      <c r="J35" s="79"/>
      <c r="K35" s="37"/>
      <c r="L35" s="77"/>
      <c r="M35" s="22"/>
      <c r="N35" s="24"/>
      <c r="O35" s="24"/>
      <c r="P35" s="24"/>
      <c r="Q35" s="24"/>
      <c r="R35" s="24"/>
      <c r="S35" s="24"/>
      <c r="T35" s="22"/>
      <c r="U35" s="24"/>
      <c r="V35" s="24"/>
      <c r="W35" s="24"/>
      <c r="X35" s="24"/>
      <c r="Y35" s="24"/>
      <c r="Z35" s="37"/>
      <c r="AA35" s="24"/>
      <c r="AB35" s="26"/>
      <c r="AC35" s="24"/>
      <c r="AD35" s="26"/>
      <c r="AE35" s="48"/>
      <c r="AF35" s="24"/>
      <c r="AG35" s="27"/>
      <c r="AH35" s="24"/>
      <c r="AI35" s="24"/>
      <c r="AJ35" s="24"/>
      <c r="AK35" s="24"/>
      <c r="AL35" s="24"/>
      <c r="AM35" s="24"/>
      <c r="AN35" s="27"/>
      <c r="AO35" s="27"/>
      <c r="AP35" s="24"/>
      <c r="AQ35" s="24"/>
      <c r="AR35" s="27"/>
      <c r="AS35" s="24"/>
      <c r="AT35" s="24"/>
      <c r="AU35">
        <f>E35 +F35</f>
        <v>0</v>
      </c>
    </row>
    <row r="36" spans="1:47" x14ac:dyDescent="0.25">
      <c r="A36" t="str">
        <f>B36 &amp; " - " &amp;D36</f>
        <v>OM - Lemina</v>
      </c>
      <c r="B36" t="s">
        <v>703</v>
      </c>
      <c r="C36" s="50" t="s">
        <v>654</v>
      </c>
      <c r="D36" s="57" t="s">
        <v>658</v>
      </c>
      <c r="E36" s="52">
        <v>4</v>
      </c>
      <c r="F36" s="57"/>
      <c r="G36" s="54"/>
      <c r="H36" s="80">
        <f>AVERAGE(K36,L36,J36,I36)</f>
        <v>5</v>
      </c>
      <c r="I36" s="53">
        <v>5</v>
      </c>
      <c r="J36" s="61"/>
      <c r="K36" s="61">
        <v>5</v>
      </c>
      <c r="L36" s="61">
        <v>5</v>
      </c>
      <c r="M36" s="55"/>
      <c r="N36" s="46"/>
      <c r="O36" s="46"/>
      <c r="P36" s="55"/>
      <c r="Q36" s="46"/>
      <c r="R36" s="55"/>
      <c r="S36" s="46"/>
      <c r="T36" s="46"/>
      <c r="U36" s="46"/>
      <c r="V36" s="59"/>
      <c r="W36" s="46"/>
      <c r="X36" s="46"/>
      <c r="Y36" s="55"/>
      <c r="Z36" s="46"/>
      <c r="AA36" s="46"/>
      <c r="AB36" s="56"/>
      <c r="AC36" s="81"/>
      <c r="AD36" s="47"/>
      <c r="AE36" s="45"/>
      <c r="AF36" s="46"/>
      <c r="AG36" s="47"/>
      <c r="AH36" s="46"/>
      <c r="AI36" s="46"/>
      <c r="AJ36" s="46"/>
      <c r="AK36" s="46"/>
      <c r="AL36" s="55"/>
      <c r="AM36" s="46"/>
      <c r="AN36" s="47"/>
      <c r="AO36" s="56"/>
      <c r="AP36" s="46"/>
      <c r="AQ36" s="46"/>
      <c r="AR36" s="47"/>
      <c r="AS36" s="46"/>
      <c r="AT36" s="46"/>
      <c r="AU36">
        <f>E36 +F36</f>
        <v>4</v>
      </c>
    </row>
    <row r="37" spans="1:47" x14ac:dyDescent="0.25">
      <c r="A37" t="str">
        <f>B37 &amp; " - " &amp;D37</f>
        <v>PSG - Stambouli</v>
      </c>
      <c r="B37" t="s">
        <v>705</v>
      </c>
      <c r="C37" s="29" t="s">
        <v>654</v>
      </c>
      <c r="D37" t="s">
        <v>699</v>
      </c>
      <c r="E37" s="31">
        <v>18</v>
      </c>
      <c r="F37" s="30">
        <v>9</v>
      </c>
      <c r="G37" s="33"/>
      <c r="H37" s="34">
        <f>AVERAGE(N37,P37,R37,T37,W37,Y37,AC37,AE37,AF37,AH37,AJ37,AK37,AL37,AO37,AP37,AR37,AS37,AQ37)</f>
        <v>5.7777777777777777</v>
      </c>
      <c r="I37" s="79" t="s">
        <v>644</v>
      </c>
      <c r="J37" s="37" t="s">
        <v>644</v>
      </c>
      <c r="K37" s="37" t="s">
        <v>644</v>
      </c>
      <c r="L37" s="37"/>
      <c r="M37" s="24"/>
      <c r="N37" s="37">
        <v>5</v>
      </c>
      <c r="O37" s="24"/>
      <c r="P37" s="24">
        <v>6</v>
      </c>
      <c r="Q37" s="24"/>
      <c r="R37" s="24">
        <v>5</v>
      </c>
      <c r="S37" s="24"/>
      <c r="T37" s="24">
        <v>5</v>
      </c>
      <c r="U37" s="37" t="s">
        <v>644</v>
      </c>
      <c r="V37" s="76" t="s">
        <v>644</v>
      </c>
      <c r="W37" s="24">
        <v>6</v>
      </c>
      <c r="X37" s="24"/>
      <c r="Y37" s="24">
        <v>5</v>
      </c>
      <c r="Z37" s="24"/>
      <c r="AA37" s="24"/>
      <c r="AB37" s="27"/>
      <c r="AC37" s="23">
        <v>6</v>
      </c>
      <c r="AD37" s="26" t="s">
        <v>644</v>
      </c>
      <c r="AE37" s="27">
        <v>5</v>
      </c>
      <c r="AF37" s="66">
        <v>7</v>
      </c>
      <c r="AG37" s="26" t="s">
        <v>644</v>
      </c>
      <c r="AH37" s="24">
        <v>6</v>
      </c>
      <c r="AI37" s="24"/>
      <c r="AJ37" s="76">
        <v>4</v>
      </c>
      <c r="AK37" s="24">
        <v>6</v>
      </c>
      <c r="AL37" s="66">
        <v>7</v>
      </c>
      <c r="AM37" s="76" t="s">
        <v>644</v>
      </c>
      <c r="AN37" s="139" t="s">
        <v>644</v>
      </c>
      <c r="AO37" s="142">
        <v>6</v>
      </c>
      <c r="AP37" s="66">
        <v>7</v>
      </c>
      <c r="AQ37" s="24">
        <v>5</v>
      </c>
      <c r="AR37" s="27">
        <v>6</v>
      </c>
      <c r="AS37" s="66">
        <v>7</v>
      </c>
      <c r="AT37" s="24"/>
      <c r="AU37">
        <f>E37 +F37</f>
        <v>27</v>
      </c>
    </row>
    <row r="38" spans="1:47" x14ac:dyDescent="0.25">
      <c r="A38" t="str">
        <f>B38 &amp; " - " &amp;D38</f>
        <v>ASM - Lemar</v>
      </c>
      <c r="B38" t="s">
        <v>974</v>
      </c>
      <c r="C38" s="146" t="s">
        <v>654</v>
      </c>
      <c r="D38" s="154" t="s">
        <v>177</v>
      </c>
      <c r="E38" s="148">
        <v>20</v>
      </c>
      <c r="F38" s="154">
        <v>6</v>
      </c>
      <c r="G38" s="295">
        <v>5</v>
      </c>
      <c r="H38" s="34">
        <f>AVERAGE(L38,N38,P38,O38,Q38,R38,Z38,AA38,AB38,AC38,AD38,AH38,AI38,AJ38,AK38,AL38,AM38,AN38,AO38,AS38,AT38)</f>
        <v>5.7619047619047619</v>
      </c>
      <c r="I38" s="24"/>
      <c r="J38" s="36"/>
      <c r="K38" s="77" t="s">
        <v>644</v>
      </c>
      <c r="L38" s="37">
        <v>4</v>
      </c>
      <c r="M38" s="76" t="s">
        <v>644</v>
      </c>
      <c r="N38" s="75">
        <v>8</v>
      </c>
      <c r="O38" s="75">
        <v>7</v>
      </c>
      <c r="P38" s="37">
        <v>6</v>
      </c>
      <c r="Q38" s="24">
        <v>6</v>
      </c>
      <c r="R38" s="37">
        <v>6</v>
      </c>
      <c r="S38" s="37"/>
      <c r="T38" s="24"/>
      <c r="U38" s="37"/>
      <c r="V38" s="24"/>
      <c r="W38" s="37"/>
      <c r="X38" s="37"/>
      <c r="Y38" s="37" t="s">
        <v>644</v>
      </c>
      <c r="Z38" s="37">
        <v>5</v>
      </c>
      <c r="AA38" s="66">
        <v>7</v>
      </c>
      <c r="AB38" s="27">
        <v>6</v>
      </c>
      <c r="AC38" s="25">
        <v>7</v>
      </c>
      <c r="AD38" s="26">
        <v>6</v>
      </c>
      <c r="AE38" s="26"/>
      <c r="AF38" s="24"/>
      <c r="AG38" s="26"/>
      <c r="AH38" s="24">
        <v>6</v>
      </c>
      <c r="AI38" s="24">
        <v>6</v>
      </c>
      <c r="AJ38" s="37">
        <v>4</v>
      </c>
      <c r="AK38" s="22">
        <v>6</v>
      </c>
      <c r="AL38" s="37">
        <v>5</v>
      </c>
      <c r="AM38" s="84">
        <v>7</v>
      </c>
      <c r="AN38" s="27">
        <v>4</v>
      </c>
      <c r="AO38" s="26">
        <v>4</v>
      </c>
      <c r="AP38" s="37" t="s">
        <v>644</v>
      </c>
      <c r="AQ38" s="37"/>
      <c r="AR38" s="26" t="s">
        <v>644</v>
      </c>
      <c r="AS38" s="24">
        <v>5</v>
      </c>
      <c r="AT38" s="37">
        <v>6</v>
      </c>
      <c r="AU38">
        <f>E38 +F38</f>
        <v>26</v>
      </c>
    </row>
    <row r="39" spans="1:47" x14ac:dyDescent="0.25">
      <c r="A39" t="str">
        <f>B39 &amp; " - " &amp;D39</f>
        <v>SRFC - Dembélé</v>
      </c>
      <c r="B39" t="s">
        <v>913</v>
      </c>
      <c r="C39" s="29" t="s">
        <v>665</v>
      </c>
      <c r="D39" s="126" t="s">
        <v>909</v>
      </c>
      <c r="E39" s="31">
        <v>22</v>
      </c>
      <c r="F39" s="30">
        <v>4</v>
      </c>
      <c r="G39" s="33">
        <v>12</v>
      </c>
      <c r="H39" s="34">
        <f>AVERAGE(V39,X39,Z39,AA39,AB39,AC39,AD39,AE39,AF39,AG39,AH39,AI39,AJ39,AK39,AL39,AM39,AN39,AO39,AP39,AQ39,AR39,AS39,AT39)</f>
        <v>5.7391304347826084</v>
      </c>
      <c r="I39" s="37"/>
      <c r="J39" s="37"/>
      <c r="K39" s="37"/>
      <c r="L39" s="77"/>
      <c r="M39" s="22"/>
      <c r="N39" s="24"/>
      <c r="O39" s="22"/>
      <c r="P39" s="37"/>
      <c r="Q39" s="24"/>
      <c r="R39" s="24"/>
      <c r="S39" s="24"/>
      <c r="T39" s="37"/>
      <c r="U39" s="37" t="s">
        <v>644</v>
      </c>
      <c r="V39" s="25">
        <v>7</v>
      </c>
      <c r="W39" s="37" t="s">
        <v>644</v>
      </c>
      <c r="X39" s="24">
        <v>4</v>
      </c>
      <c r="Y39" s="37" t="s">
        <v>644</v>
      </c>
      <c r="Z39" s="24">
        <v>6</v>
      </c>
      <c r="AA39" s="25">
        <v>8</v>
      </c>
      <c r="AB39" s="28">
        <v>5</v>
      </c>
      <c r="AC39" s="25">
        <v>8</v>
      </c>
      <c r="AD39" s="27">
        <v>6</v>
      </c>
      <c r="AE39" s="101">
        <v>4</v>
      </c>
      <c r="AF39" s="24">
        <v>4</v>
      </c>
      <c r="AG39" s="28">
        <v>6</v>
      </c>
      <c r="AH39" s="24">
        <v>5</v>
      </c>
      <c r="AI39" s="24">
        <v>5</v>
      </c>
      <c r="AJ39" s="25">
        <v>8</v>
      </c>
      <c r="AK39" s="75">
        <v>9</v>
      </c>
      <c r="AL39" s="84">
        <v>7</v>
      </c>
      <c r="AM39" s="75">
        <v>7</v>
      </c>
      <c r="AN39" s="129">
        <v>8</v>
      </c>
      <c r="AO39" s="26">
        <v>4</v>
      </c>
      <c r="AP39" s="82">
        <v>3</v>
      </c>
      <c r="AQ39" s="37">
        <v>4</v>
      </c>
      <c r="AR39" s="237">
        <v>3</v>
      </c>
      <c r="AS39" s="37">
        <v>5</v>
      </c>
      <c r="AT39" s="24">
        <v>6</v>
      </c>
      <c r="AU39">
        <f>E39 +F39</f>
        <v>26</v>
      </c>
    </row>
    <row r="40" spans="1:47" x14ac:dyDescent="0.25">
      <c r="A40" t="str">
        <f>B40 &amp; " - " &amp;D40</f>
        <v>PSG - Cavani</v>
      </c>
      <c r="B40" t="s">
        <v>705</v>
      </c>
      <c r="C40" s="29" t="s">
        <v>665</v>
      </c>
      <c r="D40" s="30" t="s">
        <v>106</v>
      </c>
      <c r="E40" s="31">
        <v>24</v>
      </c>
      <c r="F40" s="30">
        <v>8</v>
      </c>
      <c r="G40" s="33">
        <v>19</v>
      </c>
      <c r="H40" s="34">
        <f>AVERAGE(Z40,Y40,J40,K40,L40,I40,M40,O40,Q40,R40,S40,U40,W40,X40,AC40,AF40,AH40,AI40,AJ40,AK40,AL40,AM40,AP40,AR40,AS40)</f>
        <v>5.72</v>
      </c>
      <c r="I40" s="24">
        <v>5</v>
      </c>
      <c r="J40" s="76">
        <v>5</v>
      </c>
      <c r="K40" s="37">
        <v>4</v>
      </c>
      <c r="L40" s="75">
        <v>8</v>
      </c>
      <c r="M40" s="25">
        <v>8</v>
      </c>
      <c r="N40" s="22" t="s">
        <v>644</v>
      </c>
      <c r="O40" s="24">
        <v>5</v>
      </c>
      <c r="P40" s="77" t="s">
        <v>644</v>
      </c>
      <c r="Q40" s="24">
        <v>4</v>
      </c>
      <c r="R40" s="23">
        <v>6</v>
      </c>
      <c r="S40" s="25">
        <v>7</v>
      </c>
      <c r="T40" s="22"/>
      <c r="U40" s="23">
        <v>5</v>
      </c>
      <c r="V40" s="37"/>
      <c r="W40" s="22">
        <v>6</v>
      </c>
      <c r="X40" s="23">
        <v>5</v>
      </c>
      <c r="Y40" s="75">
        <v>7</v>
      </c>
      <c r="Z40" s="22">
        <v>6</v>
      </c>
      <c r="AA40" s="24"/>
      <c r="AB40" s="27"/>
      <c r="AC40" s="76">
        <v>4</v>
      </c>
      <c r="AD40" s="26" t="s">
        <v>644</v>
      </c>
      <c r="AE40" s="101" t="s">
        <v>644</v>
      </c>
      <c r="AF40" s="22">
        <v>6</v>
      </c>
      <c r="AG40" s="26" t="s">
        <v>644</v>
      </c>
      <c r="AH40" s="82">
        <v>3</v>
      </c>
      <c r="AI40" s="25">
        <v>7</v>
      </c>
      <c r="AJ40" s="37">
        <v>4</v>
      </c>
      <c r="AK40" s="166">
        <v>3</v>
      </c>
      <c r="AL40" s="25">
        <v>8</v>
      </c>
      <c r="AM40" s="24">
        <v>4</v>
      </c>
      <c r="AN40" s="139" t="s">
        <v>644</v>
      </c>
      <c r="AO40" s="28"/>
      <c r="AP40" s="25">
        <v>7</v>
      </c>
      <c r="AQ40" s="22"/>
      <c r="AR40" s="247">
        <v>7</v>
      </c>
      <c r="AS40" s="25">
        <v>9</v>
      </c>
      <c r="AT40" s="76" t="s">
        <v>644</v>
      </c>
      <c r="AU40">
        <f>E40 +F40</f>
        <v>32</v>
      </c>
    </row>
    <row r="41" spans="1:47" x14ac:dyDescent="0.25">
      <c r="A41" t="str">
        <f>B41 &amp; " - " &amp;D41</f>
        <v>OM - Lucas Silva</v>
      </c>
      <c r="B41" t="s">
        <v>703</v>
      </c>
      <c r="C41" s="29" t="s">
        <v>654</v>
      </c>
      <c r="D41" s="65" t="s">
        <v>662</v>
      </c>
      <c r="E41" s="31">
        <v>11</v>
      </c>
      <c r="F41" s="30">
        <v>11</v>
      </c>
      <c r="G41" s="33"/>
      <c r="H41" s="34">
        <f>AVERAGE(M41,N41,O41,P41,Q41,R41,S41,T41,U41,AE41,AL41,AO41,AP41)</f>
        <v>4.8461538461538458</v>
      </c>
      <c r="I41" s="24"/>
      <c r="J41" s="37"/>
      <c r="K41" s="37"/>
      <c r="L41" s="37"/>
      <c r="M41" s="37">
        <v>5</v>
      </c>
      <c r="N41" s="24">
        <v>5</v>
      </c>
      <c r="O41" s="24">
        <v>5</v>
      </c>
      <c r="P41" s="37">
        <v>5</v>
      </c>
      <c r="Q41" s="37">
        <v>5</v>
      </c>
      <c r="R41" s="37">
        <v>5</v>
      </c>
      <c r="S41" s="24">
        <v>5</v>
      </c>
      <c r="T41" s="24">
        <v>5</v>
      </c>
      <c r="U41" s="24">
        <v>4</v>
      </c>
      <c r="V41" s="76" t="s">
        <v>644</v>
      </c>
      <c r="W41" s="37" t="s">
        <v>644</v>
      </c>
      <c r="X41" s="24"/>
      <c r="Y41" s="37" t="s">
        <v>644</v>
      </c>
      <c r="Z41" s="37" t="s">
        <v>644</v>
      </c>
      <c r="AA41" s="37" t="s">
        <v>644</v>
      </c>
      <c r="AB41" s="26"/>
      <c r="AC41" s="76" t="s">
        <v>644</v>
      </c>
      <c r="AD41" s="26" t="s">
        <v>644</v>
      </c>
      <c r="AE41" s="48">
        <v>5</v>
      </c>
      <c r="AF41" s="24"/>
      <c r="AG41" s="27"/>
      <c r="AH41" s="24"/>
      <c r="AI41" s="24"/>
      <c r="AJ41" s="37" t="s">
        <v>644</v>
      </c>
      <c r="AK41" s="24"/>
      <c r="AL41" s="37">
        <v>5</v>
      </c>
      <c r="AM41" s="24"/>
      <c r="AN41" s="26" t="s">
        <v>644</v>
      </c>
      <c r="AO41" s="26">
        <v>6</v>
      </c>
      <c r="AP41" s="82">
        <v>3</v>
      </c>
      <c r="AQ41" s="24"/>
      <c r="AR41" s="27"/>
      <c r="AS41" s="24"/>
      <c r="AT41" s="24"/>
      <c r="AU41">
        <f>E41 +F41</f>
        <v>22</v>
      </c>
    </row>
    <row r="42" spans="1:47" x14ac:dyDescent="0.25">
      <c r="A42" t="str">
        <f>B42 &amp; " - " &amp;D42</f>
        <v>OM - Zambo Anguissa</v>
      </c>
      <c r="B42" t="s">
        <v>703</v>
      </c>
      <c r="C42" s="29" t="s">
        <v>654</v>
      </c>
      <c r="D42" s="65" t="s">
        <v>663</v>
      </c>
      <c r="E42" s="31">
        <v>2</v>
      </c>
      <c r="F42" s="30">
        <v>7</v>
      </c>
      <c r="G42" s="33"/>
      <c r="H42" s="34">
        <f>AVERAGE(P42,AB42,AR42)</f>
        <v>4.666666666666667</v>
      </c>
      <c r="I42" s="24"/>
      <c r="J42" s="37"/>
      <c r="K42" s="37"/>
      <c r="L42" s="37"/>
      <c r="M42" s="37"/>
      <c r="N42" s="37" t="s">
        <v>644</v>
      </c>
      <c r="O42" s="24"/>
      <c r="P42" s="37">
        <v>4</v>
      </c>
      <c r="Q42" s="37"/>
      <c r="R42" s="37"/>
      <c r="S42" s="24"/>
      <c r="T42" s="24"/>
      <c r="U42" s="37" t="s">
        <v>644</v>
      </c>
      <c r="V42" s="22"/>
      <c r="W42" s="24"/>
      <c r="X42" s="24"/>
      <c r="Y42" s="37"/>
      <c r="Z42" s="24"/>
      <c r="AA42" s="24"/>
      <c r="AB42" s="26">
        <v>5</v>
      </c>
      <c r="AC42" s="77"/>
      <c r="AD42" s="26" t="s">
        <v>644</v>
      </c>
      <c r="AE42" s="48"/>
      <c r="AF42" s="24"/>
      <c r="AG42" s="27"/>
      <c r="AH42" s="24"/>
      <c r="AI42" s="24"/>
      <c r="AJ42" s="24"/>
      <c r="AK42" s="24"/>
      <c r="AL42" s="37"/>
      <c r="AM42" s="24"/>
      <c r="AN42" s="27"/>
      <c r="AO42" s="26"/>
      <c r="AP42" s="24"/>
      <c r="AQ42" s="37" t="s">
        <v>644</v>
      </c>
      <c r="AR42" s="27">
        <v>5</v>
      </c>
      <c r="AS42" s="37" t="s">
        <v>644</v>
      </c>
      <c r="AT42" s="37" t="s">
        <v>644</v>
      </c>
      <c r="AU42">
        <f>E42 +F42</f>
        <v>9</v>
      </c>
    </row>
    <row r="43" spans="1:47" x14ac:dyDescent="0.25">
      <c r="A43" t="str">
        <f>B43 &amp; " - " &amp;D43</f>
        <v>OM - Thauvin</v>
      </c>
      <c r="B43" t="s">
        <v>703</v>
      </c>
      <c r="C43" s="29" t="s">
        <v>654</v>
      </c>
      <c r="D43" s="154" t="s">
        <v>1084</v>
      </c>
      <c r="E43" s="31">
        <v>9</v>
      </c>
      <c r="F43" s="38">
        <v>5</v>
      </c>
      <c r="G43" s="33">
        <v>2</v>
      </c>
      <c r="H43" s="34">
        <f>AVERAGE(AI43,AL43,AM43,AN43,AO43,AQ43,AR43,AS43,AT43)</f>
        <v>4.7777777777777777</v>
      </c>
      <c r="I43" s="24"/>
      <c r="J43" s="37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37"/>
      <c r="V43" s="24"/>
      <c r="W43" s="24"/>
      <c r="X43" s="24"/>
      <c r="Y43" s="24"/>
      <c r="Z43" s="24"/>
      <c r="AA43" s="24"/>
      <c r="AB43" s="26"/>
      <c r="AC43" s="24"/>
      <c r="AD43" s="27"/>
      <c r="AE43" s="175"/>
      <c r="AF43" s="37" t="s">
        <v>644</v>
      </c>
      <c r="AG43" s="27"/>
      <c r="AH43" s="37" t="s">
        <v>644</v>
      </c>
      <c r="AI43" s="24">
        <v>5</v>
      </c>
      <c r="AJ43" s="37" t="s">
        <v>644</v>
      </c>
      <c r="AK43" s="37" t="s">
        <v>644</v>
      </c>
      <c r="AL43" s="24">
        <v>5</v>
      </c>
      <c r="AM43" s="22">
        <v>5</v>
      </c>
      <c r="AN43" s="27">
        <v>5</v>
      </c>
      <c r="AO43" s="27">
        <v>5</v>
      </c>
      <c r="AP43" s="37" t="s">
        <v>644</v>
      </c>
      <c r="AQ43" s="22">
        <v>5</v>
      </c>
      <c r="AR43" s="27">
        <v>4</v>
      </c>
      <c r="AS43" s="24">
        <v>5</v>
      </c>
      <c r="AT43" s="24">
        <v>4</v>
      </c>
      <c r="AU43">
        <f>E43 +F43</f>
        <v>14</v>
      </c>
    </row>
    <row r="44" spans="1:47" x14ac:dyDescent="0.25">
      <c r="A44" t="str">
        <f>B44 &amp; " - " &amp;D44</f>
        <v>OM - Diaby</v>
      </c>
      <c r="B44" t="s">
        <v>703</v>
      </c>
      <c r="C44" s="29" t="s">
        <v>654</v>
      </c>
      <c r="D44" s="154" t="s">
        <v>1113</v>
      </c>
      <c r="E44" s="31">
        <v>2</v>
      </c>
      <c r="F44" s="38">
        <v>1</v>
      </c>
      <c r="G44" s="33"/>
      <c r="H44" s="34">
        <f>AVERAGE(AN44,AQ44)</f>
        <v>4.5</v>
      </c>
      <c r="I44" s="24"/>
      <c r="J44" s="37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37"/>
      <c r="V44" s="24"/>
      <c r="W44" s="24"/>
      <c r="X44" s="24"/>
      <c r="Y44" s="24"/>
      <c r="Z44" s="24"/>
      <c r="AA44" s="24"/>
      <c r="AB44" s="26"/>
      <c r="AC44" s="24"/>
      <c r="AD44" s="27"/>
      <c r="AE44" s="175"/>
      <c r="AF44" s="37"/>
      <c r="AG44" s="27"/>
      <c r="AH44" s="37"/>
      <c r="AI44" s="24"/>
      <c r="AJ44" s="37"/>
      <c r="AK44" s="37"/>
      <c r="AL44" s="24"/>
      <c r="AM44" s="76" t="s">
        <v>644</v>
      </c>
      <c r="AN44" s="27">
        <v>4</v>
      </c>
      <c r="AO44" s="27"/>
      <c r="AP44" s="24"/>
      <c r="AQ44" s="24">
        <v>5</v>
      </c>
      <c r="AR44" s="27"/>
      <c r="AS44" s="24"/>
      <c r="AT44" s="24"/>
      <c r="AU44">
        <f>E44 +F44</f>
        <v>3</v>
      </c>
    </row>
    <row r="45" spans="1:47" x14ac:dyDescent="0.25">
      <c r="A45" t="str">
        <f>B45 &amp; " - " &amp;D45</f>
        <v>OM - Ocampos</v>
      </c>
      <c r="B45" t="s">
        <v>703</v>
      </c>
      <c r="C45" s="67" t="s">
        <v>654</v>
      </c>
      <c r="D45" s="85" t="s">
        <v>664</v>
      </c>
      <c r="E45" s="69">
        <v>7</v>
      </c>
      <c r="F45" s="86">
        <v>10</v>
      </c>
      <c r="G45" s="71">
        <v>1</v>
      </c>
      <c r="H45" s="72">
        <f>AVERAGE(J45,I45,O45,R45,U45,V45,X45,AP45)</f>
        <v>4.375</v>
      </c>
      <c r="I45" s="24">
        <v>4</v>
      </c>
      <c r="J45" s="37">
        <v>5</v>
      </c>
      <c r="K45" s="77" t="s">
        <v>644</v>
      </c>
      <c r="L45" s="37" t="s">
        <v>644</v>
      </c>
      <c r="M45" s="37" t="s">
        <v>644</v>
      </c>
      <c r="N45" s="24"/>
      <c r="O45" s="24">
        <v>4</v>
      </c>
      <c r="P45" s="37" t="s">
        <v>644</v>
      </c>
      <c r="Q45" s="37" t="s">
        <v>644</v>
      </c>
      <c r="R45" s="37">
        <v>4</v>
      </c>
      <c r="S45" s="24"/>
      <c r="T45" s="24"/>
      <c r="U45" s="24">
        <v>5</v>
      </c>
      <c r="V45" s="37">
        <v>5</v>
      </c>
      <c r="W45" s="37" t="s">
        <v>644</v>
      </c>
      <c r="X45" s="37">
        <v>4</v>
      </c>
      <c r="Y45" s="37"/>
      <c r="Z45" s="37" t="s">
        <v>644</v>
      </c>
      <c r="AA45" s="37" t="s">
        <v>644</v>
      </c>
      <c r="AB45" s="26" t="s">
        <v>673</v>
      </c>
      <c r="AC45" s="77"/>
      <c r="AD45" s="27"/>
      <c r="AE45" s="48"/>
      <c r="AF45" s="77"/>
      <c r="AG45" s="27"/>
      <c r="AH45" s="24"/>
      <c r="AI45" s="24"/>
      <c r="AJ45" s="24"/>
      <c r="AK45" s="37"/>
      <c r="AL45" s="37"/>
      <c r="AM45" s="37"/>
      <c r="AN45" s="26"/>
      <c r="AO45" s="26"/>
      <c r="AP45" s="24">
        <v>4</v>
      </c>
      <c r="AQ45" s="37"/>
      <c r="AR45" s="27"/>
      <c r="AS45" s="37"/>
      <c r="AT45" s="77"/>
      <c r="AU45">
        <f>E45 +F45</f>
        <v>17</v>
      </c>
    </row>
    <row r="46" spans="1:47" x14ac:dyDescent="0.25">
      <c r="A46" t="str">
        <f>B46 &amp; " - " &amp;D46</f>
        <v>OM - Barrada</v>
      </c>
      <c r="B46" t="s">
        <v>703</v>
      </c>
      <c r="C46" s="29" t="s">
        <v>654</v>
      </c>
      <c r="D46" s="60" t="s">
        <v>193</v>
      </c>
      <c r="E46" s="31">
        <v>17</v>
      </c>
      <c r="F46" s="30">
        <v>7</v>
      </c>
      <c r="G46" s="33">
        <v>1</v>
      </c>
      <c r="H46" s="34">
        <f>AVERAGE(AA46,K46,L46,I46,M46,N46,O46,P46,Q46,T46,U46,Y46,Z46,AB46,AC46,AG46,AK46,AR46,AS46)</f>
        <v>5.6842105263157894</v>
      </c>
      <c r="I46" s="24">
        <v>6</v>
      </c>
      <c r="J46" s="37"/>
      <c r="K46" s="75">
        <v>8</v>
      </c>
      <c r="L46" s="76">
        <v>5</v>
      </c>
      <c r="M46" s="24">
        <v>5</v>
      </c>
      <c r="N46" s="24">
        <v>6</v>
      </c>
      <c r="O46" s="66">
        <v>7</v>
      </c>
      <c r="P46" s="37">
        <v>5</v>
      </c>
      <c r="Q46" s="66">
        <v>7</v>
      </c>
      <c r="R46" s="37"/>
      <c r="S46" s="37"/>
      <c r="T46" s="24">
        <v>5</v>
      </c>
      <c r="U46" s="37">
        <v>5</v>
      </c>
      <c r="V46" s="37" t="s">
        <v>644</v>
      </c>
      <c r="W46" s="24"/>
      <c r="X46" s="37" t="s">
        <v>644</v>
      </c>
      <c r="Y46" s="24">
        <v>5</v>
      </c>
      <c r="Z46" s="24">
        <v>4</v>
      </c>
      <c r="AA46" s="24">
        <v>6</v>
      </c>
      <c r="AB46" s="26">
        <v>6</v>
      </c>
      <c r="AC46" s="66">
        <v>7</v>
      </c>
      <c r="AD46" s="27"/>
      <c r="AE46" s="101" t="s">
        <v>644</v>
      </c>
      <c r="AF46" s="24"/>
      <c r="AG46" s="27">
        <v>4</v>
      </c>
      <c r="AH46" s="24"/>
      <c r="AI46" s="24"/>
      <c r="AJ46" s="24"/>
      <c r="AK46" s="37">
        <v>5</v>
      </c>
      <c r="AL46" s="24"/>
      <c r="AM46" s="24"/>
      <c r="AN46" s="27"/>
      <c r="AO46" s="27"/>
      <c r="AP46" s="24"/>
      <c r="AQ46" s="37" t="s">
        <v>644</v>
      </c>
      <c r="AR46" s="27">
        <v>6</v>
      </c>
      <c r="AS46" s="24">
        <v>6</v>
      </c>
      <c r="AT46" s="37" t="s">
        <v>644</v>
      </c>
      <c r="AU46">
        <f>E46 +F46</f>
        <v>24</v>
      </c>
    </row>
    <row r="47" spans="1:47" x14ac:dyDescent="0.25">
      <c r="A47" t="str">
        <f>B47 &amp; " - " &amp;D47</f>
        <v>OM - Porsan</v>
      </c>
      <c r="B47" t="s">
        <v>703</v>
      </c>
      <c r="C47" s="29" t="s">
        <v>665</v>
      </c>
      <c r="D47" s="60" t="s">
        <v>667</v>
      </c>
      <c r="E47" s="31"/>
      <c r="F47" s="38">
        <v>1</v>
      </c>
      <c r="G47" s="33"/>
      <c r="H47" s="34"/>
      <c r="I47" s="24"/>
      <c r="J47" s="37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37"/>
      <c r="V47" s="24"/>
      <c r="W47" s="24"/>
      <c r="X47" s="24"/>
      <c r="Y47" s="24"/>
      <c r="Z47" s="24"/>
      <c r="AA47" s="24"/>
      <c r="AB47" s="26" t="s">
        <v>644</v>
      </c>
      <c r="AC47" s="24"/>
      <c r="AD47" s="27"/>
      <c r="AE47" s="48"/>
      <c r="AF47" s="24"/>
      <c r="AG47" s="27"/>
      <c r="AH47" s="24"/>
      <c r="AI47" s="24"/>
      <c r="AJ47" s="24"/>
      <c r="AK47" s="24"/>
      <c r="AL47" s="24"/>
      <c r="AM47" s="24"/>
      <c r="AN47" s="27"/>
      <c r="AO47" s="27"/>
      <c r="AP47" s="24"/>
      <c r="AQ47" s="24"/>
      <c r="AR47" s="27"/>
      <c r="AS47" s="24"/>
      <c r="AT47" s="24"/>
      <c r="AU47">
        <f>E47 +F47</f>
        <v>1</v>
      </c>
    </row>
    <row r="48" spans="1:47" x14ac:dyDescent="0.25">
      <c r="A48" t="str">
        <f>B48 &amp; " - " &amp;D48</f>
        <v>OM - Rabillard</v>
      </c>
      <c r="B48" t="s">
        <v>703</v>
      </c>
      <c r="C48" s="29" t="s">
        <v>665</v>
      </c>
      <c r="D48" s="65" t="s">
        <v>1074</v>
      </c>
      <c r="E48" s="31">
        <v>1</v>
      </c>
      <c r="F48" s="38">
        <v>2</v>
      </c>
      <c r="G48" s="33">
        <v>1</v>
      </c>
      <c r="H48" s="34">
        <f>AVERAGE(AF48)</f>
        <v>4</v>
      </c>
      <c r="I48" s="24"/>
      <c r="J48" s="37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37"/>
      <c r="V48" s="24"/>
      <c r="W48" s="24"/>
      <c r="X48" s="24"/>
      <c r="Y48" s="24"/>
      <c r="Z48" s="24"/>
      <c r="AA48" s="24"/>
      <c r="AB48" s="26" t="s">
        <v>644</v>
      </c>
      <c r="AC48" s="24"/>
      <c r="AD48" s="27"/>
      <c r="AE48" s="175" t="s">
        <v>644</v>
      </c>
      <c r="AF48" s="24">
        <v>4</v>
      </c>
      <c r="AG48" s="27"/>
      <c r="AH48" s="24"/>
      <c r="AI48" s="24"/>
      <c r="AJ48" s="24"/>
      <c r="AK48" s="24"/>
      <c r="AL48" s="24"/>
      <c r="AM48" s="24"/>
      <c r="AN48" s="27"/>
      <c r="AO48" s="27"/>
      <c r="AP48" s="24"/>
      <c r="AQ48" s="24"/>
      <c r="AR48" s="27"/>
      <c r="AS48" s="24"/>
      <c r="AT48" s="24"/>
      <c r="AU48">
        <f>E48 +F48</f>
        <v>3</v>
      </c>
    </row>
    <row r="49" spans="1:47" x14ac:dyDescent="0.25">
      <c r="A49" t="str">
        <f>B49 &amp; " - " &amp;D49</f>
        <v>OM - Fletcher</v>
      </c>
      <c r="B49" t="s">
        <v>703</v>
      </c>
      <c r="C49" s="29" t="s">
        <v>665</v>
      </c>
      <c r="D49" s="65" t="s">
        <v>1085</v>
      </c>
      <c r="E49" s="31">
        <v>9</v>
      </c>
      <c r="F49" s="38">
        <v>3</v>
      </c>
      <c r="G49" s="33">
        <v>1</v>
      </c>
      <c r="H49" s="34">
        <f>AVERAGE(AI49,AK49,AJ49,AN49,AO49,AQ49,AR49,AS49,AT49)</f>
        <v>4.7777777777777777</v>
      </c>
      <c r="I49" s="24"/>
      <c r="J49" s="37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37"/>
      <c r="V49" s="24"/>
      <c r="W49" s="24"/>
      <c r="X49" s="24"/>
      <c r="Y49" s="24"/>
      <c r="Z49" s="24"/>
      <c r="AA49" s="24"/>
      <c r="AB49" s="26"/>
      <c r="AC49" s="24"/>
      <c r="AD49" s="27"/>
      <c r="AE49" s="175"/>
      <c r="AF49" s="37"/>
      <c r="AG49" s="26" t="s">
        <v>644</v>
      </c>
      <c r="AH49" s="37" t="s">
        <v>644</v>
      </c>
      <c r="AI49" s="24">
        <v>5</v>
      </c>
      <c r="AJ49" s="24">
        <v>4</v>
      </c>
      <c r="AK49" s="24">
        <v>6</v>
      </c>
      <c r="AL49" s="24"/>
      <c r="AM49" s="24"/>
      <c r="AN49" s="27">
        <v>4</v>
      </c>
      <c r="AO49" s="27">
        <v>4</v>
      </c>
      <c r="AP49" s="37" t="s">
        <v>644</v>
      </c>
      <c r="AQ49" s="24">
        <v>5</v>
      </c>
      <c r="AR49" s="27">
        <v>5</v>
      </c>
      <c r="AS49" s="24">
        <v>5</v>
      </c>
      <c r="AT49" s="22">
        <v>5</v>
      </c>
      <c r="AU49">
        <f>E49 +F49</f>
        <v>12</v>
      </c>
    </row>
    <row r="50" spans="1:47" ht="15.75" thickBot="1" x14ac:dyDescent="0.3">
      <c r="A50" t="str">
        <f>B50 &amp; " - " &amp;D50</f>
        <v>OM - Omrani</v>
      </c>
      <c r="B50" t="s">
        <v>703</v>
      </c>
      <c r="C50" s="88" t="s">
        <v>665</v>
      </c>
      <c r="D50" s="89" t="s">
        <v>668</v>
      </c>
      <c r="E50" s="90"/>
      <c r="F50" s="91"/>
      <c r="G50" s="92"/>
      <c r="H50" s="93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37"/>
      <c r="W50" s="24"/>
      <c r="X50" s="24"/>
      <c r="Y50" s="24"/>
      <c r="Z50" s="24"/>
      <c r="AA50" s="24"/>
      <c r="AB50" s="94"/>
      <c r="AC50" s="24"/>
      <c r="AD50" s="26"/>
      <c r="AE50" s="87"/>
      <c r="AF50" s="24"/>
      <c r="AG50" s="27"/>
      <c r="AH50" s="24"/>
      <c r="AI50" s="24"/>
      <c r="AJ50" s="24"/>
      <c r="AK50" s="24"/>
      <c r="AL50" s="24"/>
      <c r="AM50" s="24"/>
      <c r="AN50" s="27"/>
      <c r="AO50" s="27"/>
      <c r="AP50" s="24"/>
      <c r="AQ50" s="24"/>
      <c r="AR50" s="27"/>
      <c r="AS50" s="24"/>
      <c r="AT50" s="24"/>
      <c r="AU50">
        <f>E50 +F50</f>
        <v>0</v>
      </c>
    </row>
    <row r="51" spans="1:47" x14ac:dyDescent="0.25">
      <c r="A51" t="str">
        <f>B51 &amp; " - " &amp;D51</f>
        <v>OL - Gonalons</v>
      </c>
      <c r="B51" t="s">
        <v>704</v>
      </c>
      <c r="C51" s="16" t="s">
        <v>654</v>
      </c>
      <c r="D51" s="17" t="s">
        <v>117</v>
      </c>
      <c r="E51" s="18">
        <v>33</v>
      </c>
      <c r="F51" s="95"/>
      <c r="G51" s="96" t="s">
        <v>679</v>
      </c>
      <c r="H51" s="20">
        <f>AVERAGE(Z51,X51,W51,J51,K51,L51,M51,N51,O51,Q51,R51,S51,T51,U51,V51,AA51,AB51,AC51,AD51,AE51,AF51,AG51,AH51,AJ51,AK51,AL51,AM51,AO51,AP51,AQ51,AR51,AS51,AT51)</f>
        <v>5.666666666666667</v>
      </c>
      <c r="I51" s="35"/>
      <c r="J51" s="74">
        <v>5</v>
      </c>
      <c r="K51" s="24">
        <v>5</v>
      </c>
      <c r="L51" s="37">
        <v>5</v>
      </c>
      <c r="M51" s="24">
        <v>5</v>
      </c>
      <c r="N51" s="24">
        <v>6</v>
      </c>
      <c r="O51" s="24">
        <v>6</v>
      </c>
      <c r="P51" s="24"/>
      <c r="Q51" s="24">
        <v>6</v>
      </c>
      <c r="R51" s="24">
        <v>5</v>
      </c>
      <c r="S51" s="24">
        <v>6</v>
      </c>
      <c r="T51" s="24">
        <v>5</v>
      </c>
      <c r="U51" s="24">
        <v>4</v>
      </c>
      <c r="V51" s="24">
        <v>5</v>
      </c>
      <c r="W51" s="24">
        <v>4</v>
      </c>
      <c r="X51" s="24">
        <v>6</v>
      </c>
      <c r="Y51" s="24"/>
      <c r="Z51" s="24">
        <v>4</v>
      </c>
      <c r="AA51" s="24">
        <v>6</v>
      </c>
      <c r="AB51" s="24">
        <v>6</v>
      </c>
      <c r="AC51" s="24">
        <v>6</v>
      </c>
      <c r="AD51" s="27">
        <v>6</v>
      </c>
      <c r="AE51" s="24">
        <v>5</v>
      </c>
      <c r="AF51" s="66">
        <v>7</v>
      </c>
      <c r="AG51" s="66">
        <v>7</v>
      </c>
      <c r="AH51" s="66">
        <v>7</v>
      </c>
      <c r="AI51" s="24"/>
      <c r="AJ51" s="24">
        <v>6</v>
      </c>
      <c r="AK51" s="66">
        <v>7</v>
      </c>
      <c r="AL51" s="23">
        <v>5</v>
      </c>
      <c r="AM51" s="27">
        <v>6</v>
      </c>
      <c r="AN51" s="24"/>
      <c r="AO51" s="66">
        <v>7</v>
      </c>
      <c r="AP51" s="27">
        <v>4</v>
      </c>
      <c r="AQ51" s="24">
        <v>6</v>
      </c>
      <c r="AR51" s="163">
        <v>7</v>
      </c>
      <c r="AS51" s="163">
        <v>8</v>
      </c>
      <c r="AT51" s="24">
        <v>4</v>
      </c>
      <c r="AU51">
        <f>E51 +F51</f>
        <v>33</v>
      </c>
    </row>
    <row r="52" spans="1:47" x14ac:dyDescent="0.25">
      <c r="A52" t="str">
        <f>B52 &amp; " - " &amp;D52</f>
        <v>OL - Gorgelin</v>
      </c>
      <c r="B52" t="s">
        <v>704</v>
      </c>
      <c r="C52" s="98" t="s">
        <v>638</v>
      </c>
      <c r="D52" s="78" t="s">
        <v>669</v>
      </c>
      <c r="E52" s="31">
        <v>1</v>
      </c>
      <c r="F52" s="99"/>
      <c r="G52" s="73"/>
      <c r="H52" s="100">
        <f>AVERAGE(X52)</f>
        <v>7</v>
      </c>
      <c r="I52" s="101"/>
      <c r="J52" s="37"/>
      <c r="K52" s="24"/>
      <c r="L52" s="37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5">
        <v>7</v>
      </c>
      <c r="Y52" s="24"/>
      <c r="Z52" s="24"/>
      <c r="AA52" s="24"/>
      <c r="AB52" s="24"/>
      <c r="AC52" s="24"/>
      <c r="AD52" s="27"/>
      <c r="AE52" s="48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 s="24"/>
      <c r="AR52" s="27"/>
      <c r="AS52" s="27"/>
      <c r="AT52" s="24"/>
      <c r="AU52">
        <f>E52 +F52</f>
        <v>1</v>
      </c>
    </row>
    <row r="53" spans="1:47" x14ac:dyDescent="0.25">
      <c r="A53" t="str">
        <f>B53 &amp; " - " &amp;D53</f>
        <v>OL - Mocio</v>
      </c>
      <c r="B53" t="s">
        <v>704</v>
      </c>
      <c r="C53" s="102" t="s">
        <v>638</v>
      </c>
      <c r="D53" s="103" t="s">
        <v>670</v>
      </c>
      <c r="E53" s="104"/>
      <c r="F53" s="105"/>
      <c r="G53" s="106"/>
      <c r="H53" s="44"/>
      <c r="I53" s="107"/>
      <c r="J53" s="108"/>
      <c r="K53" s="109"/>
      <c r="L53" s="108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10"/>
      <c r="AE53" s="111"/>
      <c r="AF53" s="109"/>
      <c r="AG53" s="109"/>
      <c r="AH53" s="109"/>
      <c r="AI53" s="109"/>
      <c r="AJ53" s="109"/>
      <c r="AK53" s="109"/>
      <c r="AL53" s="109"/>
      <c r="AM53" s="110"/>
      <c r="AN53" s="109"/>
      <c r="AO53" s="109"/>
      <c r="AP53" s="110"/>
      <c r="AQ53" s="109"/>
      <c r="AR53" s="110"/>
      <c r="AS53" s="110"/>
      <c r="AT53" s="109"/>
      <c r="AU53">
        <f>E53 +F53</f>
        <v>0</v>
      </c>
    </row>
    <row r="54" spans="1:47" x14ac:dyDescent="0.25">
      <c r="A54" t="str">
        <f>B54 &amp; " - " &amp;D54</f>
        <v>OL - B. Koné</v>
      </c>
      <c r="B54" t="s">
        <v>704</v>
      </c>
      <c r="C54" s="29" t="s">
        <v>641</v>
      </c>
      <c r="D54" s="73" t="s">
        <v>671</v>
      </c>
      <c r="E54" s="31">
        <v>4</v>
      </c>
      <c r="F54" s="99">
        <v>2</v>
      </c>
      <c r="G54" s="73"/>
      <c r="H54" s="34">
        <f>AVERAGE(X54,Y54,AA54,AL54,AT54)</f>
        <v>4.4000000000000004</v>
      </c>
      <c r="I54" s="101"/>
      <c r="J54" s="24"/>
      <c r="K54" s="24"/>
      <c r="L54" s="24"/>
      <c r="M54" s="37"/>
      <c r="N54" s="24"/>
      <c r="O54" s="24"/>
      <c r="P54" s="22"/>
      <c r="Q54" s="37"/>
      <c r="R54" s="24"/>
      <c r="S54" s="24"/>
      <c r="T54" s="24"/>
      <c r="U54" s="37"/>
      <c r="V54" s="24"/>
      <c r="W54" s="24"/>
      <c r="X54" s="24">
        <v>5</v>
      </c>
      <c r="Y54" s="24">
        <v>4</v>
      </c>
      <c r="Z54" s="24"/>
      <c r="AA54" s="24">
        <v>5</v>
      </c>
      <c r="AB54" s="24"/>
      <c r="AC54" s="24"/>
      <c r="AD54" s="27"/>
      <c r="AE54" s="48"/>
      <c r="AF54" s="24"/>
      <c r="AG54" s="24"/>
      <c r="AH54" s="24"/>
      <c r="AI54" s="24"/>
      <c r="AJ54" s="76" t="s">
        <v>644</v>
      </c>
      <c r="AK54" s="24"/>
      <c r="AL54" s="24">
        <v>4</v>
      </c>
      <c r="AM54" s="27"/>
      <c r="AN54" s="24"/>
      <c r="AO54" s="24"/>
      <c r="AP54" s="27"/>
      <c r="AQ54" s="24"/>
      <c r="AR54" s="27"/>
      <c r="AS54" s="27"/>
      <c r="AT54" s="37">
        <v>4</v>
      </c>
      <c r="AU54">
        <f>E54 +F54</f>
        <v>6</v>
      </c>
    </row>
    <row r="55" spans="1:47" x14ac:dyDescent="0.25">
      <c r="A55" t="str">
        <f>B55 &amp; " - " &amp;D55</f>
        <v>OL - Bedimo</v>
      </c>
      <c r="B55" t="s">
        <v>704</v>
      </c>
      <c r="C55" s="29" t="s">
        <v>641</v>
      </c>
      <c r="D55" s="30" t="s">
        <v>672</v>
      </c>
      <c r="E55" s="31">
        <v>14</v>
      </c>
      <c r="F55" s="99">
        <v>4</v>
      </c>
      <c r="G55" s="73"/>
      <c r="H55" s="34">
        <f>AVERAGE(K55,I55,M55,X55,Y55,Z55,AA55,AH55,AJ55,AO55,AP55,AR55,AT55)</f>
        <v>4.7692307692307692</v>
      </c>
      <c r="I55" s="101">
        <v>6</v>
      </c>
      <c r="J55" s="37"/>
      <c r="K55" s="24">
        <v>5</v>
      </c>
      <c r="L55" s="37"/>
      <c r="M55" s="24">
        <v>5</v>
      </c>
      <c r="N55" s="37" t="s">
        <v>673</v>
      </c>
      <c r="O55" s="24"/>
      <c r="P55" s="24"/>
      <c r="Q55" s="24"/>
      <c r="R55" s="24"/>
      <c r="S55" s="24"/>
      <c r="T55" s="37" t="s">
        <v>644</v>
      </c>
      <c r="U55" s="37" t="s">
        <v>644</v>
      </c>
      <c r="V55" s="24"/>
      <c r="W55" s="24"/>
      <c r="X55" s="24">
        <v>6</v>
      </c>
      <c r="Y55" s="24">
        <v>4</v>
      </c>
      <c r="Z55" s="82">
        <v>3</v>
      </c>
      <c r="AA55" s="37">
        <v>4</v>
      </c>
      <c r="AB55" s="24"/>
      <c r="AC55" s="24"/>
      <c r="AD55" s="27"/>
      <c r="AE55" s="48"/>
      <c r="AF55" s="24"/>
      <c r="AG55" s="24"/>
      <c r="AH55" s="24">
        <v>5</v>
      </c>
      <c r="AI55" s="24"/>
      <c r="AJ55" s="24">
        <v>5</v>
      </c>
      <c r="AK55" s="24"/>
      <c r="AL55" s="24"/>
      <c r="AM55" s="27"/>
      <c r="AN55" s="37" t="s">
        <v>644</v>
      </c>
      <c r="AO55" s="24">
        <v>6</v>
      </c>
      <c r="AP55" s="27">
        <v>5</v>
      </c>
      <c r="AQ55" s="37" t="s">
        <v>644</v>
      </c>
      <c r="AR55" s="27">
        <v>5</v>
      </c>
      <c r="AS55" s="27"/>
      <c r="AT55" s="82">
        <v>3</v>
      </c>
      <c r="AU55">
        <f>E55 +F55</f>
        <v>18</v>
      </c>
    </row>
    <row r="56" spans="1:47" x14ac:dyDescent="0.25">
      <c r="A56" t="str">
        <f>B56 &amp; " - " &amp;D56</f>
        <v>OL - Rose</v>
      </c>
      <c r="B56" t="s">
        <v>704</v>
      </c>
      <c r="C56" s="50" t="s">
        <v>641</v>
      </c>
      <c r="D56" s="145" t="s">
        <v>674</v>
      </c>
      <c r="E56" s="52">
        <v>1</v>
      </c>
      <c r="F56" s="63"/>
      <c r="G56" s="145"/>
      <c r="H56" s="80">
        <f>AVERAGE(P56)</f>
        <v>5</v>
      </c>
      <c r="I56" s="253"/>
      <c r="J56" s="61"/>
      <c r="K56" s="53"/>
      <c r="L56" s="61"/>
      <c r="M56" s="53"/>
      <c r="N56" s="53"/>
      <c r="O56" s="53"/>
      <c r="P56" s="53">
        <v>5</v>
      </c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63"/>
      <c r="AE56" s="63"/>
      <c r="AF56" s="53"/>
      <c r="AG56" s="53"/>
      <c r="AH56" s="53"/>
      <c r="AI56" s="53"/>
      <c r="AJ56" s="53"/>
      <c r="AK56" s="53"/>
      <c r="AL56" s="53"/>
      <c r="AM56" s="63"/>
      <c r="AN56" s="53"/>
      <c r="AO56" s="53"/>
      <c r="AP56" s="63"/>
      <c r="AQ56" s="53"/>
      <c r="AR56" s="63"/>
      <c r="AS56" s="63"/>
      <c r="AT56" s="53"/>
      <c r="AU56">
        <f>E56 +F56</f>
        <v>1</v>
      </c>
    </row>
    <row r="57" spans="1:47" x14ac:dyDescent="0.25">
      <c r="A57" t="str">
        <f>B57 &amp; " - " &amp;D57</f>
        <v>OL - Jallet</v>
      </c>
      <c r="B57" t="s">
        <v>704</v>
      </c>
      <c r="C57" s="29" t="s">
        <v>641</v>
      </c>
      <c r="D57" s="30" t="s">
        <v>110</v>
      </c>
      <c r="E57" s="31">
        <v>20</v>
      </c>
      <c r="F57" s="99">
        <v>3</v>
      </c>
      <c r="G57" s="73">
        <v>1</v>
      </c>
      <c r="H57" s="34">
        <f>AVERAGE(M57,N57,O57,P57,Q57,R57,S57,T57,AB57,AC57,AD57,AE57,AF57,AG57,AH57,AI57,AN57,AO57,AP57,AS57)</f>
        <v>5.6</v>
      </c>
      <c r="I57" s="112"/>
      <c r="J57" s="79"/>
      <c r="K57" s="24"/>
      <c r="L57" s="37" t="s">
        <v>644</v>
      </c>
      <c r="M57" s="24">
        <v>5</v>
      </c>
      <c r="N57" s="24">
        <v>5</v>
      </c>
      <c r="O57" s="24">
        <v>6</v>
      </c>
      <c r="P57" s="24">
        <v>5</v>
      </c>
      <c r="Q57" s="24">
        <v>5</v>
      </c>
      <c r="R57" s="24">
        <v>5</v>
      </c>
      <c r="S57" s="24">
        <v>6</v>
      </c>
      <c r="T57" s="25">
        <v>7</v>
      </c>
      <c r="U57" s="37" t="s">
        <v>644</v>
      </c>
      <c r="V57" s="24"/>
      <c r="W57" s="24"/>
      <c r="X57" s="24"/>
      <c r="Y57" s="24"/>
      <c r="Z57" s="23"/>
      <c r="AA57" s="24"/>
      <c r="AB57" s="24">
        <v>6</v>
      </c>
      <c r="AC57" s="24">
        <v>5</v>
      </c>
      <c r="AD57" s="27">
        <v>5</v>
      </c>
      <c r="AE57" s="24">
        <v>5</v>
      </c>
      <c r="AF57" s="66">
        <v>8</v>
      </c>
      <c r="AG57" s="25">
        <v>7</v>
      </c>
      <c r="AH57" s="24">
        <v>5</v>
      </c>
      <c r="AI57" s="24">
        <v>4</v>
      </c>
      <c r="AJ57" s="24"/>
      <c r="AK57" s="37" t="s">
        <v>644</v>
      </c>
      <c r="AL57" s="24"/>
      <c r="AM57" s="27"/>
      <c r="AN57" s="24">
        <v>6</v>
      </c>
      <c r="AO57" s="23">
        <v>6</v>
      </c>
      <c r="AP57" s="27">
        <v>4</v>
      </c>
      <c r="AQ57" s="24"/>
      <c r="AR57" s="27"/>
      <c r="AS57" s="163">
        <v>7</v>
      </c>
      <c r="AT57" s="24"/>
      <c r="AU57">
        <f>E57 +F57</f>
        <v>23</v>
      </c>
    </row>
    <row r="58" spans="1:47" x14ac:dyDescent="0.25">
      <c r="A58" t="str">
        <f>B58 &amp; " - " &amp;D58</f>
        <v>OL - Bisevac</v>
      </c>
      <c r="B58" t="s">
        <v>704</v>
      </c>
      <c r="C58" s="50" t="s">
        <v>641</v>
      </c>
      <c r="D58" s="145" t="s">
        <v>675</v>
      </c>
      <c r="E58" s="52">
        <v>6</v>
      </c>
      <c r="F58" s="63"/>
      <c r="G58" s="145"/>
      <c r="H58" s="80">
        <f>AVERAGE(J58,I58,N58,O58,W58)</f>
        <v>5.2</v>
      </c>
      <c r="I58" s="253">
        <v>6</v>
      </c>
      <c r="J58" s="61">
        <v>6</v>
      </c>
      <c r="K58" s="53"/>
      <c r="L58" s="61"/>
      <c r="M58" s="53"/>
      <c r="N58" s="53">
        <v>4</v>
      </c>
      <c r="O58" s="53">
        <v>5</v>
      </c>
      <c r="P58" s="53"/>
      <c r="Q58" s="53" t="s">
        <v>673</v>
      </c>
      <c r="R58" s="53"/>
      <c r="S58" s="53"/>
      <c r="T58" s="53"/>
      <c r="U58" s="53"/>
      <c r="V58" s="53"/>
      <c r="W58" s="53">
        <v>5</v>
      </c>
      <c r="X58" s="53"/>
      <c r="Y58" s="53"/>
      <c r="Z58" s="53"/>
      <c r="AA58" s="53"/>
      <c r="AB58" s="53"/>
      <c r="AC58" s="53"/>
      <c r="AD58" s="63"/>
      <c r="AE58" s="63"/>
      <c r="AF58" s="53"/>
      <c r="AG58" s="53"/>
      <c r="AH58" s="53"/>
      <c r="AI58" s="53"/>
      <c r="AJ58" s="53"/>
      <c r="AK58" s="53"/>
      <c r="AL58" s="53"/>
      <c r="AM58" s="63"/>
      <c r="AN58" s="53"/>
      <c r="AO58" s="53"/>
      <c r="AP58" s="63"/>
      <c r="AQ58" s="53"/>
      <c r="AR58" s="63"/>
      <c r="AS58" s="63"/>
      <c r="AT58" s="53"/>
      <c r="AU58">
        <f>E58 +F58</f>
        <v>6</v>
      </c>
    </row>
    <row r="59" spans="1:47" x14ac:dyDescent="0.25">
      <c r="A59" t="str">
        <f>B59 &amp; " - " &amp;D59</f>
        <v>PSG - Lucas</v>
      </c>
      <c r="B59" t="s">
        <v>705</v>
      </c>
      <c r="C59" s="29" t="s">
        <v>654</v>
      </c>
      <c r="D59" s="73" t="s">
        <v>140</v>
      </c>
      <c r="E59" s="31">
        <v>26</v>
      </c>
      <c r="F59" s="99">
        <v>10</v>
      </c>
      <c r="G59" s="73">
        <v>9</v>
      </c>
      <c r="H59" s="34">
        <f>AVERAGE(J59,K59,L59,I59,M59,N59,P59,R59,T59,V59,W59,X59,AA59,AB59,AC59,AD59,AE59,AG59,AI59,AJ59,AK59,AM59,AN59,AO59,AP59,AT59,AQ59)</f>
        <v>5.666666666666667</v>
      </c>
      <c r="I59" s="280">
        <v>7</v>
      </c>
      <c r="J59" s="128">
        <v>7</v>
      </c>
      <c r="K59" s="37">
        <v>6</v>
      </c>
      <c r="L59" s="37">
        <v>5</v>
      </c>
      <c r="M59" s="24">
        <v>6</v>
      </c>
      <c r="N59" s="37">
        <v>5</v>
      </c>
      <c r="O59" s="22"/>
      <c r="P59" s="37">
        <v>4</v>
      </c>
      <c r="Q59" s="22"/>
      <c r="R59" s="66">
        <v>7</v>
      </c>
      <c r="S59" s="77" t="s">
        <v>644</v>
      </c>
      <c r="T59" s="24">
        <v>6</v>
      </c>
      <c r="U59" s="77" t="s">
        <v>644</v>
      </c>
      <c r="V59" s="24">
        <v>5</v>
      </c>
      <c r="W59" s="24">
        <v>5</v>
      </c>
      <c r="X59" s="23">
        <v>4</v>
      </c>
      <c r="Y59" s="37" t="s">
        <v>644</v>
      </c>
      <c r="Z59" s="77" t="s">
        <v>644</v>
      </c>
      <c r="AA59" s="24">
        <v>5</v>
      </c>
      <c r="AB59" s="23">
        <v>6</v>
      </c>
      <c r="AC59" s="24">
        <v>5</v>
      </c>
      <c r="AD59" s="247">
        <v>7</v>
      </c>
      <c r="AE59" s="26">
        <v>6</v>
      </c>
      <c r="AF59" s="37" t="s">
        <v>644</v>
      </c>
      <c r="AG59" s="24">
        <v>4</v>
      </c>
      <c r="AH59" s="76" t="s">
        <v>644</v>
      </c>
      <c r="AI59" s="24">
        <v>6</v>
      </c>
      <c r="AJ59" s="22">
        <v>6</v>
      </c>
      <c r="AK59" s="24">
        <v>4</v>
      </c>
      <c r="AL59" s="37" t="s">
        <v>644</v>
      </c>
      <c r="AM59" s="27">
        <v>6</v>
      </c>
      <c r="AN59" s="37">
        <v>6</v>
      </c>
      <c r="AO59" s="25">
        <v>7</v>
      </c>
      <c r="AP59" s="27">
        <v>6</v>
      </c>
      <c r="AQ59" s="24">
        <v>5</v>
      </c>
      <c r="AR59" s="26" t="s">
        <v>644</v>
      </c>
      <c r="AS59" s="26" t="s">
        <v>644</v>
      </c>
      <c r="AT59" s="25">
        <v>7</v>
      </c>
      <c r="AU59">
        <f>E59 +F59</f>
        <v>36</v>
      </c>
    </row>
    <row r="60" spans="1:47" x14ac:dyDescent="0.25">
      <c r="A60" t="str">
        <f>B60 &amp; " - " &amp;D60</f>
        <v>OL - Rafael</v>
      </c>
      <c r="B60" t="s">
        <v>704</v>
      </c>
      <c r="C60" s="29" t="s">
        <v>641</v>
      </c>
      <c r="D60" s="113" t="s">
        <v>676</v>
      </c>
      <c r="E60" s="31">
        <v>18</v>
      </c>
      <c r="F60" s="99">
        <v>3</v>
      </c>
      <c r="G60" s="114" t="s">
        <v>970</v>
      </c>
      <c r="H60" s="34">
        <f>AVERAGE(J60,K60,L60,I60,R60,U60,V60,W60,Z60,AJ60,AK60,AL60,AM60,AQ60,AR60,AT60)</f>
        <v>5.0625</v>
      </c>
      <c r="I60" s="101">
        <v>5</v>
      </c>
      <c r="J60" s="37">
        <v>5</v>
      </c>
      <c r="K60" s="24">
        <v>4</v>
      </c>
      <c r="L60" s="37">
        <v>5</v>
      </c>
      <c r="M60" s="37" t="s">
        <v>644</v>
      </c>
      <c r="N60" s="24"/>
      <c r="O60" s="24"/>
      <c r="P60" s="24"/>
      <c r="Q60" s="24"/>
      <c r="R60" s="22">
        <v>6</v>
      </c>
      <c r="S60" s="24"/>
      <c r="T60" s="37" t="s">
        <v>644</v>
      </c>
      <c r="U60" s="24">
        <v>5</v>
      </c>
      <c r="V60" s="24">
        <v>5</v>
      </c>
      <c r="W60" s="24">
        <v>5</v>
      </c>
      <c r="X60" s="37" t="s">
        <v>677</v>
      </c>
      <c r="Y60" s="24"/>
      <c r="Z60" s="24">
        <v>5</v>
      </c>
      <c r="AA60" s="24" t="s">
        <v>673</v>
      </c>
      <c r="AB60" s="24"/>
      <c r="AC60" s="24"/>
      <c r="AD60" s="27"/>
      <c r="AE60" s="27"/>
      <c r="AF60" s="24"/>
      <c r="AG60" s="24"/>
      <c r="AH60" s="24"/>
      <c r="AI60" s="24"/>
      <c r="AJ60" s="24">
        <v>6</v>
      </c>
      <c r="AK60" s="24">
        <v>5</v>
      </c>
      <c r="AL60" s="24">
        <v>5</v>
      </c>
      <c r="AM60" s="27">
        <v>5</v>
      </c>
      <c r="AN60" s="24"/>
      <c r="AO60" s="24"/>
      <c r="AP60" s="27"/>
      <c r="AQ60" s="24">
        <v>5</v>
      </c>
      <c r="AR60" s="27">
        <v>6</v>
      </c>
      <c r="AS60" s="139" t="s">
        <v>644</v>
      </c>
      <c r="AT60" s="24">
        <v>4</v>
      </c>
      <c r="AU60">
        <f>E60 +F60</f>
        <v>21</v>
      </c>
    </row>
    <row r="61" spans="1:47" x14ac:dyDescent="0.25">
      <c r="A61" t="str">
        <f>B61 &amp; " - " &amp;D61</f>
        <v>PSG - Maxwell</v>
      </c>
      <c r="B61" t="s">
        <v>705</v>
      </c>
      <c r="C61" s="29" t="s">
        <v>641</v>
      </c>
      <c r="D61" s="73" t="s">
        <v>17</v>
      </c>
      <c r="E61" s="31">
        <v>24</v>
      </c>
      <c r="F61" s="99">
        <v>4</v>
      </c>
      <c r="G61" s="114">
        <v>3</v>
      </c>
      <c r="H61" s="34">
        <f>AVERAGE(Z61,J61,K61,L61,I61,M61,O61,Q61,R61,T61,V61,X61,AA61,AB61,AC61,AD61,AE61,AG61,AJ61,AK61,AM61,AN61,AR61,AT61)</f>
        <v>5.666666666666667</v>
      </c>
      <c r="I61" s="101">
        <v>5</v>
      </c>
      <c r="J61" s="37">
        <v>5</v>
      </c>
      <c r="K61" s="37">
        <v>6</v>
      </c>
      <c r="L61" s="37">
        <v>6</v>
      </c>
      <c r="M61" s="24">
        <v>4</v>
      </c>
      <c r="N61" s="24"/>
      <c r="O61" s="24">
        <v>5</v>
      </c>
      <c r="P61" s="24"/>
      <c r="Q61" s="24">
        <v>5</v>
      </c>
      <c r="R61" s="23">
        <v>5</v>
      </c>
      <c r="S61" s="24"/>
      <c r="T61" s="24">
        <v>5</v>
      </c>
      <c r="U61" s="24"/>
      <c r="V61" s="24">
        <v>4</v>
      </c>
      <c r="W61" s="24"/>
      <c r="X61" s="24">
        <v>5</v>
      </c>
      <c r="Y61" s="24"/>
      <c r="Z61" s="24">
        <v>5</v>
      </c>
      <c r="AA61" s="24">
        <v>6</v>
      </c>
      <c r="AB61" s="25">
        <v>8</v>
      </c>
      <c r="AC61" s="24">
        <v>6</v>
      </c>
      <c r="AD61" s="27">
        <v>6</v>
      </c>
      <c r="AE61" s="27">
        <v>6</v>
      </c>
      <c r="AF61" s="24"/>
      <c r="AG61" s="66">
        <v>7</v>
      </c>
      <c r="AH61" s="37"/>
      <c r="AI61" s="24"/>
      <c r="AJ61" s="24">
        <v>5</v>
      </c>
      <c r="AK61" s="24">
        <v>6</v>
      </c>
      <c r="AL61" s="37" t="s">
        <v>644</v>
      </c>
      <c r="AM61" s="27">
        <v>5</v>
      </c>
      <c r="AN61" s="66">
        <v>7</v>
      </c>
      <c r="AO61" s="37"/>
      <c r="AP61" s="94" t="s">
        <v>644</v>
      </c>
      <c r="AQ61" s="37" t="s">
        <v>644</v>
      </c>
      <c r="AR61" s="247">
        <v>8</v>
      </c>
      <c r="AS61" s="26" t="s">
        <v>644</v>
      </c>
      <c r="AT61" s="24">
        <v>6</v>
      </c>
      <c r="AU61">
        <f>E61 +F61</f>
        <v>28</v>
      </c>
    </row>
    <row r="62" spans="1:47" x14ac:dyDescent="0.25">
      <c r="A62" t="str">
        <f>B62 &amp; " - " &amp;D62</f>
        <v>OL - Tolisso</v>
      </c>
      <c r="B62" t="s">
        <v>704</v>
      </c>
      <c r="C62" s="67" t="s">
        <v>654</v>
      </c>
      <c r="D62" s="68" t="s">
        <v>685</v>
      </c>
      <c r="E62" s="69">
        <v>28</v>
      </c>
      <c r="F62" s="115">
        <v>5</v>
      </c>
      <c r="G62" s="68">
        <v>5</v>
      </c>
      <c r="H62" s="72">
        <f>AVERAGE(Z62,W62,J62,K62,L62,I62,M62,N62,O62,P62,Q62,R62,S62,T62,U62,V62,X62,Y62,AA62,AB62,AC62,AE62,AF62,AG62,AH62,AM62,AN62,AQ62,AR62)</f>
        <v>5.6551724137931032</v>
      </c>
      <c r="I62" s="101">
        <v>6</v>
      </c>
      <c r="J62" s="74">
        <v>5</v>
      </c>
      <c r="K62" s="24">
        <v>5</v>
      </c>
      <c r="L62" s="84">
        <v>7</v>
      </c>
      <c r="M62" s="23">
        <v>6</v>
      </c>
      <c r="N62" s="24">
        <v>5</v>
      </c>
      <c r="O62" s="25">
        <v>7</v>
      </c>
      <c r="P62" s="24">
        <v>5</v>
      </c>
      <c r="Q62" s="24">
        <v>6</v>
      </c>
      <c r="R62" s="24">
        <v>5</v>
      </c>
      <c r="S62" s="24">
        <v>6</v>
      </c>
      <c r="T62" s="24">
        <v>6</v>
      </c>
      <c r="U62" s="24">
        <v>5</v>
      </c>
      <c r="V62" s="24">
        <v>5</v>
      </c>
      <c r="W62" s="24">
        <v>5</v>
      </c>
      <c r="X62" s="76">
        <v>5</v>
      </c>
      <c r="Y62" s="37">
        <v>5</v>
      </c>
      <c r="Z62" s="24">
        <v>4</v>
      </c>
      <c r="AA62" s="23">
        <v>5</v>
      </c>
      <c r="AB62" s="24">
        <v>6</v>
      </c>
      <c r="AC62" s="24">
        <v>4</v>
      </c>
      <c r="AD62" s="94" t="s">
        <v>644</v>
      </c>
      <c r="AE62" s="27">
        <v>5</v>
      </c>
      <c r="AF62" s="66">
        <v>7</v>
      </c>
      <c r="AG62" s="25">
        <v>7</v>
      </c>
      <c r="AH62" s="25">
        <v>8</v>
      </c>
      <c r="AI62" s="22"/>
      <c r="AJ62" s="22"/>
      <c r="AK62" s="24"/>
      <c r="AL62" s="37" t="s">
        <v>644</v>
      </c>
      <c r="AM62" s="27">
        <v>6</v>
      </c>
      <c r="AN62" s="66">
        <v>7</v>
      </c>
      <c r="AO62" s="37" t="s">
        <v>644</v>
      </c>
      <c r="AP62" s="139" t="s">
        <v>644</v>
      </c>
      <c r="AQ62" s="22">
        <v>6</v>
      </c>
      <c r="AR62" s="27">
        <v>5</v>
      </c>
      <c r="AS62" s="27"/>
      <c r="AT62" s="24"/>
      <c r="AU62">
        <f>E62 +F62</f>
        <v>33</v>
      </c>
    </row>
    <row r="63" spans="1:47" x14ac:dyDescent="0.25">
      <c r="A63" t="str">
        <f>B63 &amp; " - " &amp;D63</f>
        <v>OL - G. Fofana</v>
      </c>
      <c r="B63" t="s">
        <v>704</v>
      </c>
      <c r="C63" s="29" t="s">
        <v>654</v>
      </c>
      <c r="D63" s="73" t="s">
        <v>681</v>
      </c>
      <c r="E63" s="31"/>
      <c r="F63" s="99"/>
      <c r="G63" s="73"/>
      <c r="H63" s="34"/>
      <c r="I63" s="101"/>
      <c r="J63" s="37"/>
      <c r="K63" s="24"/>
      <c r="L63" s="37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7"/>
      <c r="AE63" s="48"/>
      <c r="AF63" s="24"/>
      <c r="AG63" s="24"/>
      <c r="AH63" s="24"/>
      <c r="AI63" s="24"/>
      <c r="AJ63" s="24"/>
      <c r="AK63" s="24"/>
      <c r="AL63" s="24"/>
      <c r="AM63" s="27"/>
      <c r="AN63" s="24"/>
      <c r="AO63" s="24"/>
      <c r="AP63" s="27"/>
      <c r="AQ63" s="24"/>
      <c r="AR63" s="27"/>
      <c r="AS63" s="26"/>
      <c r="AT63" s="37"/>
      <c r="AU63">
        <f>E63 +F63</f>
        <v>0</v>
      </c>
    </row>
    <row r="64" spans="1:47" x14ac:dyDescent="0.25">
      <c r="A64" t="str">
        <f>B64 &amp; " - " &amp;D64</f>
        <v>OL - C. Grenier</v>
      </c>
      <c r="B64" t="s">
        <v>704</v>
      </c>
      <c r="C64" s="29" t="s">
        <v>654</v>
      </c>
      <c r="D64" s="73" t="s">
        <v>682</v>
      </c>
      <c r="E64" s="31">
        <v>10</v>
      </c>
      <c r="F64" s="99">
        <v>8</v>
      </c>
      <c r="G64" s="73">
        <v>2</v>
      </c>
      <c r="H64" s="34">
        <f>AVERAGE(Z64,AA64,AB64,AC64,AD64,AF64,AG64,AE64,AI64,AK64,AT64)</f>
        <v>5</v>
      </c>
      <c r="I64" s="101"/>
      <c r="J64" s="37"/>
      <c r="K64" s="24"/>
      <c r="L64" s="37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37" t="s">
        <v>644</v>
      </c>
      <c r="X64" s="24"/>
      <c r="Y64" s="37" t="s">
        <v>644</v>
      </c>
      <c r="Z64" s="24">
        <v>4</v>
      </c>
      <c r="AA64" s="77">
        <v>6</v>
      </c>
      <c r="AB64" s="66">
        <v>7</v>
      </c>
      <c r="AC64" s="24">
        <v>4</v>
      </c>
      <c r="AD64" s="27">
        <v>5</v>
      </c>
      <c r="AE64" s="87">
        <v>4</v>
      </c>
      <c r="AF64" s="24">
        <v>6</v>
      </c>
      <c r="AG64" s="24">
        <v>5</v>
      </c>
      <c r="AH64" s="24"/>
      <c r="AI64" s="24">
        <v>5</v>
      </c>
      <c r="AJ64" s="24"/>
      <c r="AK64" s="24">
        <v>6</v>
      </c>
      <c r="AL64" s="37" t="s">
        <v>644</v>
      </c>
      <c r="AM64" s="27"/>
      <c r="AN64" s="37" t="s">
        <v>644</v>
      </c>
      <c r="AO64" s="37"/>
      <c r="AP64" s="27"/>
      <c r="AQ64" s="77" t="s">
        <v>644</v>
      </c>
      <c r="AR64" s="26" t="s">
        <v>644</v>
      </c>
      <c r="AS64" s="139" t="s">
        <v>644</v>
      </c>
      <c r="AT64" s="82">
        <v>3</v>
      </c>
      <c r="AU64">
        <f>E64 +F64</f>
        <v>18</v>
      </c>
    </row>
    <row r="65" spans="1:47" x14ac:dyDescent="0.25">
      <c r="A65" t="str">
        <f>B65 &amp; " - " &amp;D65</f>
        <v>PSG - T. Motta</v>
      </c>
      <c r="B65" t="s">
        <v>705</v>
      </c>
      <c r="C65" s="29" t="s">
        <v>654</v>
      </c>
      <c r="D65" s="73" t="s">
        <v>695</v>
      </c>
      <c r="E65" s="31">
        <v>26</v>
      </c>
      <c r="F65" s="99">
        <v>6</v>
      </c>
      <c r="G65" s="73">
        <v>1</v>
      </c>
      <c r="H65" s="34">
        <f>AVERAGE(Z65,J65,K65,L65,I65,M65,O65,Q65,S65,U65,V65,X65,Y65,AA65,AB65,AC65,AD65,AE65,AF65,AG65,AI65,AJ65,AM65,AN65,AR65,AS65,AT65)</f>
        <v>5.6296296296296298</v>
      </c>
      <c r="I65" s="101">
        <v>5</v>
      </c>
      <c r="J65" s="84">
        <v>7</v>
      </c>
      <c r="K65" s="37">
        <v>5</v>
      </c>
      <c r="L65" s="37">
        <v>6</v>
      </c>
      <c r="M65" s="24">
        <v>5</v>
      </c>
      <c r="N65" s="37"/>
      <c r="O65" s="24">
        <v>5</v>
      </c>
      <c r="P65" s="37" t="s">
        <v>644</v>
      </c>
      <c r="Q65" s="24">
        <v>5</v>
      </c>
      <c r="R65" s="37" t="s">
        <v>644</v>
      </c>
      <c r="S65" s="24">
        <v>5</v>
      </c>
      <c r="T65" s="37" t="s">
        <v>644</v>
      </c>
      <c r="U65" s="24">
        <v>6</v>
      </c>
      <c r="V65" s="24">
        <v>5</v>
      </c>
      <c r="W65" s="37" t="s">
        <v>644</v>
      </c>
      <c r="X65" s="24">
        <v>5</v>
      </c>
      <c r="Y65" s="24">
        <v>5</v>
      </c>
      <c r="Z65" s="24">
        <v>5</v>
      </c>
      <c r="AA65" s="24">
        <v>5</v>
      </c>
      <c r="AB65" s="25">
        <v>7</v>
      </c>
      <c r="AC65" s="24">
        <v>6</v>
      </c>
      <c r="AD65" s="27">
        <v>6</v>
      </c>
      <c r="AE65" s="38">
        <v>6</v>
      </c>
      <c r="AF65" s="24">
        <v>5</v>
      </c>
      <c r="AG65" s="24">
        <v>6</v>
      </c>
      <c r="AH65" s="24"/>
      <c r="AI65" s="66">
        <v>7</v>
      </c>
      <c r="AJ65" s="24">
        <v>5</v>
      </c>
      <c r="AK65" s="24"/>
      <c r="AL65" s="24"/>
      <c r="AM65" s="27">
        <v>4</v>
      </c>
      <c r="AN65" s="24">
        <v>5</v>
      </c>
      <c r="AO65" s="24"/>
      <c r="AP65" s="27"/>
      <c r="AQ65" s="37" t="s">
        <v>644</v>
      </c>
      <c r="AR65" s="163">
        <v>7</v>
      </c>
      <c r="AS65" s="163">
        <v>7</v>
      </c>
      <c r="AT65" s="66">
        <v>7</v>
      </c>
      <c r="AU65">
        <f>E65 +F65</f>
        <v>32</v>
      </c>
    </row>
    <row r="66" spans="1:47" x14ac:dyDescent="0.25">
      <c r="A66" t="str">
        <f>B66 &amp; " - " &amp;D66</f>
        <v>OL - Lacazette</v>
      </c>
      <c r="B66" t="s">
        <v>704</v>
      </c>
      <c r="C66" s="29" t="s">
        <v>665</v>
      </c>
      <c r="D66" s="30" t="s">
        <v>45</v>
      </c>
      <c r="E66" s="31">
        <v>34</v>
      </c>
      <c r="F66" s="99"/>
      <c r="G66" s="73">
        <v>21</v>
      </c>
      <c r="H66" s="34">
        <f>AVERAGE(AT66,X66,W66,J66,K66,I66,M66,N66,O66,Q66,R66,S66,T66,U66,V66,Y66,AB66,AC66,AD66,AE66,AF66,AG66,AH66,AI66,AJ66,AK66,AL66,AM66,AN66,AO66,AP66,AQ66,AR66,AS66)</f>
        <v>5.617647058823529</v>
      </c>
      <c r="I66" s="116">
        <v>4</v>
      </c>
      <c r="J66" s="76">
        <v>4</v>
      </c>
      <c r="K66" s="37">
        <v>5</v>
      </c>
      <c r="L66" s="77"/>
      <c r="M66" s="24">
        <v>5</v>
      </c>
      <c r="N66" s="22">
        <v>6</v>
      </c>
      <c r="O66" s="23">
        <v>5</v>
      </c>
      <c r="P66" s="24"/>
      <c r="Q66" s="22">
        <v>6</v>
      </c>
      <c r="R66" s="23">
        <v>5</v>
      </c>
      <c r="S66" s="24">
        <v>5</v>
      </c>
      <c r="T66" s="23">
        <v>5</v>
      </c>
      <c r="U66" s="25">
        <v>9</v>
      </c>
      <c r="V66" s="24">
        <v>4</v>
      </c>
      <c r="W66" s="22">
        <v>5</v>
      </c>
      <c r="X66" s="23">
        <v>5</v>
      </c>
      <c r="Y66" s="23">
        <v>4</v>
      </c>
      <c r="Z66" s="22"/>
      <c r="AA66" s="22"/>
      <c r="AB66" s="22">
        <v>6</v>
      </c>
      <c r="AC66" s="23">
        <v>4</v>
      </c>
      <c r="AD66" s="142">
        <v>5</v>
      </c>
      <c r="AE66" s="142">
        <v>4</v>
      </c>
      <c r="AF66" s="25">
        <v>8</v>
      </c>
      <c r="AG66" s="24">
        <v>4</v>
      </c>
      <c r="AH66" s="22">
        <v>6</v>
      </c>
      <c r="AI66" s="24">
        <v>4</v>
      </c>
      <c r="AJ66" s="83">
        <v>7</v>
      </c>
      <c r="AK66" s="25">
        <v>8</v>
      </c>
      <c r="AL66" s="25">
        <v>7</v>
      </c>
      <c r="AM66" s="28">
        <v>6</v>
      </c>
      <c r="AN66" s="25">
        <v>7</v>
      </c>
      <c r="AO66" s="66">
        <v>7</v>
      </c>
      <c r="AP66" s="28">
        <v>6</v>
      </c>
      <c r="AQ66" s="22">
        <v>6</v>
      </c>
      <c r="AR66" s="27">
        <v>4</v>
      </c>
      <c r="AS66" s="247">
        <v>9</v>
      </c>
      <c r="AT66" s="24">
        <v>6</v>
      </c>
      <c r="AU66">
        <f>E66 +F66</f>
        <v>34</v>
      </c>
    </row>
    <row r="67" spans="1:47" x14ac:dyDescent="0.25">
      <c r="A67" t="str">
        <f>B67 &amp; " - " &amp;D67</f>
        <v>OL - Malbranque</v>
      </c>
      <c r="B67" t="s">
        <v>704</v>
      </c>
      <c r="C67" s="29" t="s">
        <v>654</v>
      </c>
      <c r="D67" s="30" t="s">
        <v>684</v>
      </c>
      <c r="E67" s="31">
        <v>5</v>
      </c>
      <c r="F67" s="99">
        <v>7</v>
      </c>
      <c r="G67" s="73"/>
      <c r="H67" s="34">
        <f>AVERAGE(I67,O67,X67,Y67,AA67)</f>
        <v>4.8</v>
      </c>
      <c r="I67" s="116">
        <v>5</v>
      </c>
      <c r="J67" s="37"/>
      <c r="K67" s="24"/>
      <c r="L67" s="37"/>
      <c r="M67" s="24"/>
      <c r="N67" s="24"/>
      <c r="O67" s="24">
        <v>5</v>
      </c>
      <c r="P67" s="37" t="s">
        <v>644</v>
      </c>
      <c r="Q67" s="37" t="s">
        <v>644</v>
      </c>
      <c r="R67" s="77"/>
      <c r="S67" s="37" t="s">
        <v>644</v>
      </c>
      <c r="T67" s="24"/>
      <c r="U67" s="24" t="s">
        <v>673</v>
      </c>
      <c r="V67" s="37" t="s">
        <v>644</v>
      </c>
      <c r="W67" s="24"/>
      <c r="X67" s="24">
        <v>5</v>
      </c>
      <c r="Y67" s="24">
        <v>4</v>
      </c>
      <c r="Z67" s="37" t="s">
        <v>644</v>
      </c>
      <c r="AA67" s="24">
        <v>5</v>
      </c>
      <c r="AB67" s="37"/>
      <c r="AC67" s="37"/>
      <c r="AD67" s="27"/>
      <c r="AE67" s="48"/>
      <c r="AF67" s="37"/>
      <c r="AG67" s="24"/>
      <c r="AH67" s="37"/>
      <c r="AI67" s="37"/>
      <c r="AJ67" s="37"/>
      <c r="AK67" s="37" t="s">
        <v>644</v>
      </c>
      <c r="AL67" s="37"/>
      <c r="AM67" s="27"/>
      <c r="AN67" s="24"/>
      <c r="AO67" s="24"/>
      <c r="AP67" s="26"/>
      <c r="AQ67" s="37"/>
      <c r="AR67" s="26"/>
      <c r="AS67" s="27"/>
      <c r="AT67" s="24"/>
      <c r="AU67">
        <f>E67 +F67</f>
        <v>12</v>
      </c>
    </row>
    <row r="68" spans="1:47" x14ac:dyDescent="0.25">
      <c r="A68" t="str">
        <f>B68 &amp; " - " &amp;D68</f>
        <v>ASM - Fabinho</v>
      </c>
      <c r="B68" t="s">
        <v>974</v>
      </c>
      <c r="C68" s="29" t="s">
        <v>641</v>
      </c>
      <c r="D68" s="30" t="s">
        <v>30</v>
      </c>
      <c r="E68" s="31">
        <v>34</v>
      </c>
      <c r="F68" s="189"/>
      <c r="G68" s="73">
        <v>6</v>
      </c>
      <c r="H68" s="34">
        <f>AVERAGE(AT68,AA68,Z68,J68,L68,I68,M68,N68,O68,P68,Q68,R68,S68,T68,U68,W68,X68,Y68,AB68,AC68,AD68,AE68,AF68,AG68,AH68,AJ68,AK68,AL68,AM68,AN68,AO68,AP68,AQ68,AR68)</f>
        <v>5.617647058823529</v>
      </c>
      <c r="I68" s="38">
        <v>5</v>
      </c>
      <c r="J68" s="24">
        <v>6</v>
      </c>
      <c r="K68" s="37"/>
      <c r="L68" s="24">
        <v>4</v>
      </c>
      <c r="M68" s="25">
        <v>7</v>
      </c>
      <c r="N68" s="24">
        <v>5</v>
      </c>
      <c r="O68" s="25">
        <v>7</v>
      </c>
      <c r="P68" s="37">
        <v>6</v>
      </c>
      <c r="Q68" s="24">
        <v>5</v>
      </c>
      <c r="R68" s="37">
        <v>5</v>
      </c>
      <c r="S68" s="37">
        <v>5</v>
      </c>
      <c r="T68" s="24">
        <v>6</v>
      </c>
      <c r="U68" s="37">
        <v>5</v>
      </c>
      <c r="V68" s="24"/>
      <c r="W68" s="37">
        <v>4</v>
      </c>
      <c r="X68" s="37">
        <v>5</v>
      </c>
      <c r="Y68" s="66">
        <v>7</v>
      </c>
      <c r="Z68" s="77">
        <v>6</v>
      </c>
      <c r="AA68" s="24">
        <v>6</v>
      </c>
      <c r="AB68" s="22">
        <v>6</v>
      </c>
      <c r="AC68" s="24">
        <v>6</v>
      </c>
      <c r="AD68" s="163">
        <v>7</v>
      </c>
      <c r="AE68" s="37">
        <v>5</v>
      </c>
      <c r="AF68" s="24">
        <v>6</v>
      </c>
      <c r="AG68" s="37">
        <v>6</v>
      </c>
      <c r="AH68" s="24">
        <v>5</v>
      </c>
      <c r="AI68" s="24"/>
      <c r="AJ68" s="37">
        <v>6</v>
      </c>
      <c r="AK68" s="24">
        <v>6</v>
      </c>
      <c r="AL68" s="76">
        <v>4</v>
      </c>
      <c r="AM68" s="129">
        <v>7</v>
      </c>
      <c r="AN68" s="37">
        <v>4</v>
      </c>
      <c r="AO68" s="82">
        <v>3</v>
      </c>
      <c r="AP68" s="163">
        <v>7</v>
      </c>
      <c r="AQ68" s="37">
        <v>6</v>
      </c>
      <c r="AR68" s="26">
        <v>6</v>
      </c>
      <c r="AS68" s="27"/>
      <c r="AT68" s="75">
        <v>7</v>
      </c>
      <c r="AU68">
        <f>E68 +F68</f>
        <v>34</v>
      </c>
    </row>
    <row r="69" spans="1:47" x14ac:dyDescent="0.25">
      <c r="A69" t="str">
        <f>B69 &amp; " - " &amp;D69</f>
        <v>Losc - Enyeama</v>
      </c>
      <c r="B69" t="s">
        <v>771</v>
      </c>
      <c r="C69" s="29" t="s">
        <v>638</v>
      </c>
      <c r="D69" s="73" t="s">
        <v>114</v>
      </c>
      <c r="E69" s="31">
        <v>35</v>
      </c>
      <c r="F69" s="99"/>
      <c r="G69" s="73"/>
      <c r="H69" s="34">
        <f>AVERAGE(I69,J69,K69,L69,M69,N69,R69,S69,T69,U69,V69,W69,X69,Y69,Z69,AA69,AB69,AC69,AD69,AE69,AF69,AG69,AH69,AI69,AJ69,AK69,AL69,AM69,AN69,AO69,AP69,AQ69,AR69,AS69,AT69)</f>
        <v>5.6</v>
      </c>
      <c r="I69" s="160">
        <v>5</v>
      </c>
      <c r="J69" s="25">
        <v>7</v>
      </c>
      <c r="K69" s="25">
        <v>7</v>
      </c>
      <c r="L69" s="25">
        <v>7</v>
      </c>
      <c r="M69" s="25">
        <v>8</v>
      </c>
      <c r="N69" s="161">
        <v>3</v>
      </c>
      <c r="O69" s="24"/>
      <c r="P69" s="22"/>
      <c r="Q69" s="24"/>
      <c r="R69" s="24">
        <v>5</v>
      </c>
      <c r="S69" s="24">
        <v>5</v>
      </c>
      <c r="T69" s="22">
        <v>6</v>
      </c>
      <c r="U69" s="24">
        <v>5</v>
      </c>
      <c r="V69" s="23">
        <v>5</v>
      </c>
      <c r="W69" s="24">
        <v>5</v>
      </c>
      <c r="X69" s="22">
        <v>5</v>
      </c>
      <c r="Y69" s="24">
        <v>6</v>
      </c>
      <c r="Z69" s="22">
        <v>6</v>
      </c>
      <c r="AA69" s="24">
        <v>5</v>
      </c>
      <c r="AB69" s="23">
        <v>5</v>
      </c>
      <c r="AC69" s="24">
        <v>5</v>
      </c>
      <c r="AD69" s="27">
        <v>4</v>
      </c>
      <c r="AE69" s="24">
        <v>5</v>
      </c>
      <c r="AF69" s="22">
        <v>6</v>
      </c>
      <c r="AG69" s="23">
        <v>5</v>
      </c>
      <c r="AH69" s="22">
        <v>6</v>
      </c>
      <c r="AI69" s="25">
        <v>7</v>
      </c>
      <c r="AJ69" s="23">
        <v>4</v>
      </c>
      <c r="AK69" s="25">
        <v>7</v>
      </c>
      <c r="AL69" s="24">
        <v>4</v>
      </c>
      <c r="AM69" s="28">
        <v>6</v>
      </c>
      <c r="AN69" s="25">
        <v>7</v>
      </c>
      <c r="AO69" s="23">
        <v>6</v>
      </c>
      <c r="AP69" s="27">
        <v>5</v>
      </c>
      <c r="AQ69" s="25">
        <v>7</v>
      </c>
      <c r="AR69" s="28">
        <v>6</v>
      </c>
      <c r="AS69" s="28">
        <v>5</v>
      </c>
      <c r="AT69" s="22">
        <v>6</v>
      </c>
      <c r="AU69">
        <f>E69 +F69</f>
        <v>35</v>
      </c>
    </row>
    <row r="70" spans="1:47" x14ac:dyDescent="0.25">
      <c r="A70" t="str">
        <f>B70 &amp; " - " &amp;D70</f>
        <v>OL - Mvuemba</v>
      </c>
      <c r="B70" t="s">
        <v>704</v>
      </c>
      <c r="C70" s="29" t="s">
        <v>654</v>
      </c>
      <c r="D70" s="73" t="s">
        <v>686</v>
      </c>
      <c r="E70" s="31">
        <v>3</v>
      </c>
      <c r="F70" s="99">
        <v>3</v>
      </c>
      <c r="G70" s="73"/>
      <c r="H70" s="34">
        <f>AVERAGE(P70,X70,Y70)</f>
        <v>4.666666666666667</v>
      </c>
      <c r="I70" s="112" t="s">
        <v>644</v>
      </c>
      <c r="J70" s="79"/>
      <c r="K70" s="24"/>
      <c r="L70" s="37" t="s">
        <v>644</v>
      </c>
      <c r="M70" s="24"/>
      <c r="N70" s="24"/>
      <c r="O70" s="37" t="s">
        <v>644</v>
      </c>
      <c r="P70" s="37">
        <v>4</v>
      </c>
      <c r="Q70" s="24"/>
      <c r="R70" s="37"/>
      <c r="S70" s="37"/>
      <c r="T70" s="37"/>
      <c r="U70" s="37"/>
      <c r="V70" s="24"/>
      <c r="W70" s="37"/>
      <c r="X70" s="24">
        <v>6</v>
      </c>
      <c r="Y70" s="24">
        <v>4</v>
      </c>
      <c r="Z70" s="37"/>
      <c r="AA70" s="24"/>
      <c r="AB70" s="24"/>
      <c r="AC70" s="37"/>
      <c r="AD70" s="27"/>
      <c r="AE70" s="48"/>
      <c r="AF70" s="37"/>
      <c r="AG70" s="24"/>
      <c r="AH70" s="24"/>
      <c r="AI70" s="24"/>
      <c r="AJ70" s="24"/>
      <c r="AK70" s="24"/>
      <c r="AL70" s="24"/>
      <c r="AM70" s="27"/>
      <c r="AN70" s="24"/>
      <c r="AO70" s="24"/>
      <c r="AP70" s="27"/>
      <c r="AQ70" s="24"/>
      <c r="AR70" s="27"/>
      <c r="AS70" s="26"/>
      <c r="AT70" s="24"/>
      <c r="AU70">
        <f>E70 +F70</f>
        <v>6</v>
      </c>
    </row>
    <row r="71" spans="1:47" x14ac:dyDescent="0.25">
      <c r="A71" t="str">
        <f>B71 &amp; " - " &amp;D71</f>
        <v>OL - Fekir</v>
      </c>
      <c r="B71" t="s">
        <v>704</v>
      </c>
      <c r="C71" s="29" t="s">
        <v>654</v>
      </c>
      <c r="D71" s="73" t="s">
        <v>464</v>
      </c>
      <c r="E71" s="31">
        <v>5</v>
      </c>
      <c r="F71" s="99">
        <v>4</v>
      </c>
      <c r="G71" s="73">
        <v>4</v>
      </c>
      <c r="H71" s="34">
        <f>AVERAGE(J71,K71,L71,I71,AT71)</f>
        <v>6</v>
      </c>
      <c r="I71" s="117">
        <v>7</v>
      </c>
      <c r="J71" s="37">
        <v>5</v>
      </c>
      <c r="K71" s="22">
        <v>6</v>
      </c>
      <c r="L71" s="75">
        <v>9</v>
      </c>
      <c r="M71" s="22"/>
      <c r="N71" s="24"/>
      <c r="O71" s="22"/>
      <c r="P71" s="24"/>
      <c r="Q71" s="24"/>
      <c r="R71" s="22"/>
      <c r="S71" s="24"/>
      <c r="T71" s="22"/>
      <c r="U71" s="22"/>
      <c r="V71" s="24"/>
      <c r="W71" s="24"/>
      <c r="X71" s="24"/>
      <c r="Y71" s="24"/>
      <c r="Z71" s="23"/>
      <c r="AA71" s="22"/>
      <c r="AB71" s="22"/>
      <c r="AC71" s="24"/>
      <c r="AD71" s="27"/>
      <c r="AE71" s="48"/>
      <c r="AF71" s="24"/>
      <c r="AG71" s="24"/>
      <c r="AH71" s="22"/>
      <c r="AI71" s="24"/>
      <c r="AJ71" s="22"/>
      <c r="AK71" s="24"/>
      <c r="AL71" s="24"/>
      <c r="AM71" s="28"/>
      <c r="AN71" s="24"/>
      <c r="AO71" s="37" t="s">
        <v>644</v>
      </c>
      <c r="AP71" s="139" t="s">
        <v>644</v>
      </c>
      <c r="AQ71" s="37" t="s">
        <v>644</v>
      </c>
      <c r="AR71" s="27"/>
      <c r="AS71" s="139" t="s">
        <v>644</v>
      </c>
      <c r="AT71" s="82">
        <v>3</v>
      </c>
      <c r="AU71">
        <f>E71 +F71</f>
        <v>9</v>
      </c>
    </row>
    <row r="72" spans="1:47" x14ac:dyDescent="0.25">
      <c r="A72" t="str">
        <f>B72 &amp; " - " &amp;D72</f>
        <v>SCB - Leca</v>
      </c>
      <c r="B72" t="s">
        <v>887</v>
      </c>
      <c r="C72" s="29" t="s">
        <v>638</v>
      </c>
      <c r="D72" s="73" t="s">
        <v>481</v>
      </c>
      <c r="E72" s="31">
        <v>34</v>
      </c>
      <c r="F72" s="99"/>
      <c r="G72" s="73"/>
      <c r="H72" s="34">
        <f>AVERAGE(J72,I72,N72,O72,P72,Q72,R72,S72,T72,U72,V72,W72,X72,Y72,Z72,AA72,AB72,AC72,AD72,AE72,AF72,AG72,AJ72,AK72,AI72,AL72,AM72,AN72,AO72,AP72,AQ72,AR72,AS72,AT72)</f>
        <v>5.5882352941176467</v>
      </c>
      <c r="I72" s="87">
        <v>5</v>
      </c>
      <c r="J72" s="24">
        <v>6</v>
      </c>
      <c r="K72" s="24"/>
      <c r="L72" s="24"/>
      <c r="M72" s="24"/>
      <c r="N72" s="24">
        <v>5</v>
      </c>
      <c r="O72" s="24">
        <v>6</v>
      </c>
      <c r="P72" s="25">
        <v>7</v>
      </c>
      <c r="Q72" s="66">
        <v>7</v>
      </c>
      <c r="R72" s="24">
        <v>5</v>
      </c>
      <c r="S72" s="24">
        <v>5</v>
      </c>
      <c r="T72" s="25">
        <v>7</v>
      </c>
      <c r="U72" s="24">
        <v>5</v>
      </c>
      <c r="V72" s="24">
        <v>4</v>
      </c>
      <c r="W72" s="22">
        <v>6</v>
      </c>
      <c r="X72" s="22">
        <v>6</v>
      </c>
      <c r="Y72" s="24">
        <v>4</v>
      </c>
      <c r="Z72" s="24">
        <v>6</v>
      </c>
      <c r="AA72" s="22">
        <v>6</v>
      </c>
      <c r="AB72" s="24">
        <v>4</v>
      </c>
      <c r="AC72" s="22">
        <v>6</v>
      </c>
      <c r="AD72" s="142">
        <v>6</v>
      </c>
      <c r="AE72" s="285">
        <v>6</v>
      </c>
      <c r="AF72" s="24">
        <v>5</v>
      </c>
      <c r="AG72" s="22">
        <v>4</v>
      </c>
      <c r="AH72" s="24"/>
      <c r="AI72" s="22">
        <v>6</v>
      </c>
      <c r="AJ72" s="25">
        <v>7</v>
      </c>
      <c r="AK72" s="22">
        <v>6</v>
      </c>
      <c r="AL72" s="24">
        <v>5</v>
      </c>
      <c r="AM72" s="27">
        <v>5</v>
      </c>
      <c r="AN72" s="24">
        <v>5</v>
      </c>
      <c r="AO72" s="24">
        <v>4</v>
      </c>
      <c r="AP72" s="27">
        <v>6</v>
      </c>
      <c r="AQ72" s="24">
        <v>5</v>
      </c>
      <c r="AR72" s="247">
        <v>7</v>
      </c>
      <c r="AS72" s="28">
        <v>6</v>
      </c>
      <c r="AT72" s="66">
        <v>7</v>
      </c>
      <c r="AU72">
        <f>E72 +F72</f>
        <v>34</v>
      </c>
    </row>
    <row r="73" spans="1:47" x14ac:dyDescent="0.25">
      <c r="A73" t="str">
        <f>B73 &amp; " - " &amp;D73</f>
        <v>TFC - Regattin</v>
      </c>
      <c r="B73" t="s">
        <v>868</v>
      </c>
      <c r="C73" s="29" t="s">
        <v>654</v>
      </c>
      <c r="D73" s="78" t="s">
        <v>859</v>
      </c>
      <c r="E73" s="31">
        <v>16</v>
      </c>
      <c r="F73" s="99">
        <v>18</v>
      </c>
      <c r="G73" s="73">
        <v>1</v>
      </c>
      <c r="H73" s="34">
        <f>AVERAGE(L73,I73,N73,O73,P73,Q73,AH73,AE73,AL73,AN73,AO73,AP73,AQ73,AR73,AS73,AT73)</f>
        <v>5.5625</v>
      </c>
      <c r="I73" s="87">
        <v>5</v>
      </c>
      <c r="J73" s="37" t="s">
        <v>644</v>
      </c>
      <c r="K73" s="37" t="s">
        <v>644</v>
      </c>
      <c r="L73" s="128">
        <v>7</v>
      </c>
      <c r="M73" s="37" t="s">
        <v>644</v>
      </c>
      <c r="N73" s="75">
        <v>7</v>
      </c>
      <c r="O73" s="24">
        <v>6</v>
      </c>
      <c r="P73" s="24">
        <v>6</v>
      </c>
      <c r="Q73" s="24">
        <v>4</v>
      </c>
      <c r="R73" s="37" t="s">
        <v>644</v>
      </c>
      <c r="S73" s="37" t="s">
        <v>644</v>
      </c>
      <c r="T73" s="37" t="s">
        <v>644</v>
      </c>
      <c r="U73" s="37" t="s">
        <v>644</v>
      </c>
      <c r="V73" s="24"/>
      <c r="W73" s="76" t="s">
        <v>644</v>
      </c>
      <c r="X73" s="24"/>
      <c r="Y73" s="37" t="s">
        <v>644</v>
      </c>
      <c r="Z73" s="37" t="s">
        <v>644</v>
      </c>
      <c r="AA73" s="24"/>
      <c r="AB73" s="37" t="s">
        <v>644</v>
      </c>
      <c r="AC73" s="37" t="s">
        <v>644</v>
      </c>
      <c r="AD73" s="26" t="s">
        <v>644</v>
      </c>
      <c r="AE73" s="101">
        <v>5</v>
      </c>
      <c r="AF73" s="37" t="s">
        <v>644</v>
      </c>
      <c r="AG73" s="37" t="s">
        <v>644</v>
      </c>
      <c r="AH73" s="24">
        <v>4</v>
      </c>
      <c r="AI73" s="37" t="s">
        <v>644</v>
      </c>
      <c r="AJ73" s="37" t="s">
        <v>644</v>
      </c>
      <c r="AK73" s="24"/>
      <c r="AL73" s="24">
        <v>6</v>
      </c>
      <c r="AM73" s="26" t="s">
        <v>644</v>
      </c>
      <c r="AN73" s="37">
        <v>5</v>
      </c>
      <c r="AO73" s="84">
        <v>7</v>
      </c>
      <c r="AP73" s="142">
        <v>5</v>
      </c>
      <c r="AQ73" s="37">
        <v>4</v>
      </c>
      <c r="AR73" s="26">
        <v>6</v>
      </c>
      <c r="AS73" s="26">
        <v>6</v>
      </c>
      <c r="AT73" s="37">
        <v>6</v>
      </c>
      <c r="AU73">
        <f>E73 +F73</f>
        <v>34</v>
      </c>
    </row>
    <row r="74" spans="1:47" x14ac:dyDescent="0.25">
      <c r="A74" t="str">
        <f>B74 &amp; " - " &amp;D74</f>
        <v>OL - Tousart</v>
      </c>
      <c r="B74" t="s">
        <v>704</v>
      </c>
      <c r="C74" s="29" t="s">
        <v>654</v>
      </c>
      <c r="D74" s="113" t="s">
        <v>687</v>
      </c>
      <c r="E74" s="31">
        <v>1</v>
      </c>
      <c r="F74" s="99"/>
      <c r="G74" s="73"/>
      <c r="H74" s="34">
        <f>AVERAGE(Y74)</f>
        <v>5</v>
      </c>
      <c r="I74" s="112"/>
      <c r="J74" s="37"/>
      <c r="K74" s="24"/>
      <c r="L74" s="37"/>
      <c r="M74" s="22"/>
      <c r="N74" s="24"/>
      <c r="O74" s="22"/>
      <c r="P74" s="24"/>
      <c r="Q74" s="24"/>
      <c r="R74" s="23"/>
      <c r="S74" s="24"/>
      <c r="T74" s="22"/>
      <c r="U74" s="22"/>
      <c r="V74" s="24"/>
      <c r="W74" s="24"/>
      <c r="X74" s="24"/>
      <c r="Y74" s="24">
        <v>5</v>
      </c>
      <c r="Z74" s="23"/>
      <c r="AA74" s="22"/>
      <c r="AB74" s="22"/>
      <c r="AC74" s="24"/>
      <c r="AD74" s="27"/>
      <c r="AE74" s="48"/>
      <c r="AF74" s="24"/>
      <c r="AG74" s="24"/>
      <c r="AH74" s="22"/>
      <c r="AI74" s="24"/>
      <c r="AJ74" s="22"/>
      <c r="AK74" s="24"/>
      <c r="AL74" s="24"/>
      <c r="AM74" s="28"/>
      <c r="AN74" s="24"/>
      <c r="AO74" s="24"/>
      <c r="AP74" s="27"/>
      <c r="AQ74" s="24"/>
      <c r="AR74" s="27"/>
      <c r="AS74" s="28"/>
      <c r="AT74" s="24"/>
      <c r="AU74">
        <f>E74 +F74</f>
        <v>1</v>
      </c>
    </row>
    <row r="75" spans="1:47" x14ac:dyDescent="0.25">
      <c r="A75" t="str">
        <f>B75 &amp; " - " &amp;D75</f>
        <v>OL - Kemen</v>
      </c>
      <c r="B75" t="s">
        <v>704</v>
      </c>
      <c r="C75" s="29" t="s">
        <v>654</v>
      </c>
      <c r="D75" s="113" t="s">
        <v>688</v>
      </c>
      <c r="E75" s="31">
        <v>1</v>
      </c>
      <c r="F75" s="99">
        <v>1</v>
      </c>
      <c r="G75" s="73"/>
      <c r="H75" s="34">
        <f>AVERAGE(AT75)</f>
        <v>3</v>
      </c>
      <c r="I75" s="112"/>
      <c r="J75" s="37"/>
      <c r="K75" s="24"/>
      <c r="L75" s="37"/>
      <c r="M75" s="22"/>
      <c r="N75" s="24"/>
      <c r="O75" s="22"/>
      <c r="P75" s="24"/>
      <c r="Q75" s="24"/>
      <c r="R75" s="23"/>
      <c r="S75" s="24"/>
      <c r="T75" s="22"/>
      <c r="U75" s="22"/>
      <c r="V75" s="24"/>
      <c r="W75" s="24"/>
      <c r="X75" s="24"/>
      <c r="Y75" s="24"/>
      <c r="Z75" s="23"/>
      <c r="AA75" s="22"/>
      <c r="AB75" s="22"/>
      <c r="AC75" s="24"/>
      <c r="AD75" s="27"/>
      <c r="AE75" s="48"/>
      <c r="AF75" s="24"/>
      <c r="AG75" s="24"/>
      <c r="AH75" s="22"/>
      <c r="AI75" s="24"/>
      <c r="AJ75" s="76" t="s">
        <v>644</v>
      </c>
      <c r="AK75" s="24"/>
      <c r="AL75" s="24"/>
      <c r="AM75" s="28"/>
      <c r="AN75" s="24"/>
      <c r="AO75" s="24"/>
      <c r="AP75" s="27"/>
      <c r="AQ75" s="24"/>
      <c r="AR75" s="27"/>
      <c r="AS75" s="28"/>
      <c r="AT75" s="82">
        <v>3</v>
      </c>
      <c r="AU75">
        <f>E75 +F75</f>
        <v>2</v>
      </c>
    </row>
    <row r="76" spans="1:47" x14ac:dyDescent="0.25">
      <c r="A76" t="str">
        <f>B76 &amp; " - " &amp;D76</f>
        <v>OL - Perrin</v>
      </c>
      <c r="B76" t="s">
        <v>704</v>
      </c>
      <c r="C76" s="29" t="s">
        <v>654</v>
      </c>
      <c r="D76" s="113" t="s">
        <v>144</v>
      </c>
      <c r="E76" s="31"/>
      <c r="F76" s="99">
        <v>3</v>
      </c>
      <c r="G76" s="73">
        <v>1</v>
      </c>
      <c r="H76" s="34"/>
      <c r="I76" s="112"/>
      <c r="J76" s="37"/>
      <c r="K76" s="24"/>
      <c r="L76" s="37"/>
      <c r="M76" s="22"/>
      <c r="N76" s="24"/>
      <c r="O76" s="22"/>
      <c r="P76" s="24"/>
      <c r="Q76" s="24"/>
      <c r="R76" s="23"/>
      <c r="S76" s="24"/>
      <c r="T76" s="22"/>
      <c r="U76" s="22"/>
      <c r="V76" s="24"/>
      <c r="W76" s="24"/>
      <c r="X76" s="24"/>
      <c r="Y76" s="24"/>
      <c r="Z76" s="23"/>
      <c r="AA76" s="22"/>
      <c r="AB76" s="22"/>
      <c r="AC76" s="24"/>
      <c r="AD76" s="27"/>
      <c r="AE76" s="48"/>
      <c r="AF76" s="24"/>
      <c r="AG76" s="24"/>
      <c r="AH76" s="76" t="s">
        <v>644</v>
      </c>
      <c r="AI76" s="37" t="s">
        <v>644</v>
      </c>
      <c r="AJ76" s="22"/>
      <c r="AK76" s="24"/>
      <c r="AL76" s="24"/>
      <c r="AM76" s="94" t="s">
        <v>644</v>
      </c>
      <c r="AN76" s="24"/>
      <c r="AO76" s="24"/>
      <c r="AP76" s="27"/>
      <c r="AQ76" s="24"/>
      <c r="AR76" s="27"/>
      <c r="AS76" s="28"/>
      <c r="AT76" s="24"/>
      <c r="AU76">
        <f>E76 +F76</f>
        <v>3</v>
      </c>
    </row>
    <row r="77" spans="1:47" x14ac:dyDescent="0.25">
      <c r="A77" t="str">
        <f>B77 &amp; " - " &amp;D77</f>
        <v>OL - Del Castillo</v>
      </c>
      <c r="B77" t="s">
        <v>704</v>
      </c>
      <c r="C77" s="29" t="s">
        <v>654</v>
      </c>
      <c r="D77" s="113" t="s">
        <v>689</v>
      </c>
      <c r="E77" s="31"/>
      <c r="F77" s="99">
        <v>2</v>
      </c>
      <c r="G77" s="73"/>
      <c r="H77" s="34"/>
      <c r="I77" s="112"/>
      <c r="J77" s="37"/>
      <c r="K77" s="24"/>
      <c r="L77" s="37"/>
      <c r="M77" s="22"/>
      <c r="N77" s="24"/>
      <c r="O77" s="22"/>
      <c r="P77" s="24"/>
      <c r="Q77" s="24"/>
      <c r="R77" s="23"/>
      <c r="S77" s="24"/>
      <c r="T77" s="22"/>
      <c r="U77" s="22"/>
      <c r="V77" s="37" t="s">
        <v>644</v>
      </c>
      <c r="W77" s="24"/>
      <c r="X77" s="37" t="s">
        <v>644</v>
      </c>
      <c r="Y77" s="24"/>
      <c r="Z77" s="23"/>
      <c r="AA77" s="22"/>
      <c r="AB77" s="22"/>
      <c r="AC77" s="24"/>
      <c r="AD77" s="27"/>
      <c r="AE77" s="48"/>
      <c r="AF77" s="24"/>
      <c r="AG77" s="24"/>
      <c r="AH77" s="22"/>
      <c r="AI77" s="24"/>
      <c r="AJ77" s="22"/>
      <c r="AK77" s="24"/>
      <c r="AL77" s="24"/>
      <c r="AM77" s="28"/>
      <c r="AN77" s="24"/>
      <c r="AO77" s="24"/>
      <c r="AP77" s="27"/>
      <c r="AQ77" s="24"/>
      <c r="AR77" s="27"/>
      <c r="AS77" s="28"/>
      <c r="AT77" s="24"/>
      <c r="AU77">
        <f>E77 +F77</f>
        <v>2</v>
      </c>
    </row>
    <row r="78" spans="1:47" x14ac:dyDescent="0.25">
      <c r="A78" t="str">
        <f>B78 &amp; " - " &amp;D78</f>
        <v>OL - Beauvue</v>
      </c>
      <c r="B78" t="s">
        <v>704</v>
      </c>
      <c r="C78" s="39" t="s">
        <v>654</v>
      </c>
      <c r="D78" s="40" t="s">
        <v>183</v>
      </c>
      <c r="E78" s="41">
        <v>15</v>
      </c>
      <c r="F78" s="226">
        <v>4</v>
      </c>
      <c r="G78" s="40">
        <v>5</v>
      </c>
      <c r="H78" s="263">
        <f>AVERAGE(Z78,X78,L78,I78,M78,N78,P78,Q78,R78,S78,T78,U78,V78,W78,AA78)</f>
        <v>4.7333333333333334</v>
      </c>
      <c r="I78" s="264">
        <v>5</v>
      </c>
      <c r="J78" s="81" t="s">
        <v>644</v>
      </c>
      <c r="K78" s="61" t="s">
        <v>644</v>
      </c>
      <c r="L78" s="81">
        <v>6</v>
      </c>
      <c r="M78" s="53">
        <v>4</v>
      </c>
      <c r="N78" s="53">
        <v>4</v>
      </c>
      <c r="O78" s="61" t="s">
        <v>644</v>
      </c>
      <c r="P78" s="59">
        <v>6</v>
      </c>
      <c r="Q78" s="53">
        <v>4</v>
      </c>
      <c r="R78" s="53">
        <v>4</v>
      </c>
      <c r="S78" s="53">
        <v>7</v>
      </c>
      <c r="T78" s="59">
        <v>6</v>
      </c>
      <c r="U78" s="53">
        <v>4</v>
      </c>
      <c r="V78" s="53">
        <v>4</v>
      </c>
      <c r="W78" s="53">
        <v>4</v>
      </c>
      <c r="X78" s="53">
        <v>5</v>
      </c>
      <c r="Y78" s="53"/>
      <c r="Z78" s="53">
        <v>4</v>
      </c>
      <c r="AA78" s="53">
        <v>4</v>
      </c>
      <c r="AB78" s="81" t="s">
        <v>644</v>
      </c>
      <c r="AC78" s="53"/>
      <c r="AD78" s="63"/>
      <c r="AE78" s="64"/>
      <c r="AF78" s="53"/>
      <c r="AG78" s="53"/>
      <c r="AH78" s="59"/>
      <c r="AI78" s="53"/>
      <c r="AJ78" s="59"/>
      <c r="AK78" s="53"/>
      <c r="AL78" s="53"/>
      <c r="AM78" s="164"/>
      <c r="AN78" s="53"/>
      <c r="AO78" s="53"/>
      <c r="AP78" s="63"/>
      <c r="AQ78" s="53"/>
      <c r="AR78" s="63"/>
      <c r="AS78" s="164"/>
      <c r="AT78" s="53"/>
      <c r="AU78">
        <f>E78 +F78</f>
        <v>19</v>
      </c>
    </row>
    <row r="79" spans="1:47" x14ac:dyDescent="0.25">
      <c r="A79" t="str">
        <f>B79 &amp; " - " &amp;D79</f>
        <v>OGCN - Ben Arfa</v>
      </c>
      <c r="B79" t="s">
        <v>728</v>
      </c>
      <c r="C79" s="245" t="s">
        <v>654</v>
      </c>
      <c r="D79" s="60" t="s">
        <v>271</v>
      </c>
      <c r="E79" s="31">
        <v>33</v>
      </c>
      <c r="F79" s="99">
        <v>1</v>
      </c>
      <c r="G79" s="73">
        <v>16</v>
      </c>
      <c r="H79" s="34">
        <f>AVERAGE(AA79,Z79,Y79,W79,J79,K79,L79,I79,M79,N79,O79,P79,R79,S79,T79,Q79,U79,V79,AB79,AC79,AD79,AE79,AF79,AG79,AL79,AM79,AN79,AO79,AP79,AQ79,AR79,AS79,AT79)</f>
        <v>5.5454545454545459</v>
      </c>
      <c r="I79" s="38">
        <v>4</v>
      </c>
      <c r="J79" s="25">
        <v>7</v>
      </c>
      <c r="K79" s="25">
        <v>7</v>
      </c>
      <c r="L79" s="24">
        <v>6</v>
      </c>
      <c r="M79" s="24">
        <v>5</v>
      </c>
      <c r="N79" s="37">
        <v>4</v>
      </c>
      <c r="O79" s="25">
        <v>7</v>
      </c>
      <c r="P79" s="25">
        <v>8</v>
      </c>
      <c r="Q79" s="24">
        <v>5</v>
      </c>
      <c r="R79" s="25">
        <v>8</v>
      </c>
      <c r="S79" s="24">
        <v>4</v>
      </c>
      <c r="T79" s="37">
        <v>5</v>
      </c>
      <c r="U79" s="24">
        <v>5</v>
      </c>
      <c r="V79" s="24">
        <v>5</v>
      </c>
      <c r="W79" s="24">
        <v>4</v>
      </c>
      <c r="X79" s="24"/>
      <c r="Y79" s="24">
        <v>4</v>
      </c>
      <c r="Z79" s="24">
        <v>4</v>
      </c>
      <c r="AA79" s="24">
        <v>5</v>
      </c>
      <c r="AB79" s="24">
        <v>4</v>
      </c>
      <c r="AC79" s="25">
        <v>7</v>
      </c>
      <c r="AD79" s="28">
        <v>6</v>
      </c>
      <c r="AE79" s="24">
        <v>4</v>
      </c>
      <c r="AF79" s="22">
        <v>5</v>
      </c>
      <c r="AG79" s="24">
        <v>4</v>
      </c>
      <c r="AH79" s="24"/>
      <c r="AI79" s="24"/>
      <c r="AJ79" s="37"/>
      <c r="AK79" s="37" t="s">
        <v>644</v>
      </c>
      <c r="AL79" s="37">
        <v>6</v>
      </c>
      <c r="AM79" s="247">
        <v>8</v>
      </c>
      <c r="AN79" s="22">
        <v>6</v>
      </c>
      <c r="AO79" s="25">
        <v>8</v>
      </c>
      <c r="AP79" s="27">
        <v>5</v>
      </c>
      <c r="AQ79" s="25">
        <v>8</v>
      </c>
      <c r="AR79" s="27">
        <v>6</v>
      </c>
      <c r="AS79" s="26">
        <v>4</v>
      </c>
      <c r="AT79" s="24">
        <v>5</v>
      </c>
      <c r="AU79">
        <f>E79 +F79</f>
        <v>34</v>
      </c>
    </row>
    <row r="80" spans="1:47" x14ac:dyDescent="0.25">
      <c r="A80" t="str">
        <f>B80 &amp; " - " &amp;D80</f>
        <v>OL - Kalulu</v>
      </c>
      <c r="B80" t="s">
        <v>704</v>
      </c>
      <c r="C80" s="29" t="s">
        <v>665</v>
      </c>
      <c r="D80" s="118" t="s">
        <v>259</v>
      </c>
      <c r="E80" s="31">
        <v>1</v>
      </c>
      <c r="F80" s="99">
        <v>9</v>
      </c>
      <c r="G80" s="73">
        <v>2</v>
      </c>
      <c r="H80" s="34">
        <f>AVERAGE(O80)</f>
        <v>6</v>
      </c>
      <c r="I80" s="116"/>
      <c r="J80" s="76"/>
      <c r="K80" s="37"/>
      <c r="L80" s="77"/>
      <c r="M80" s="37" t="s">
        <v>644</v>
      </c>
      <c r="N80" s="37" t="s">
        <v>644</v>
      </c>
      <c r="O80" s="22">
        <v>6</v>
      </c>
      <c r="P80" s="37" t="s">
        <v>644</v>
      </c>
      <c r="Q80" s="22"/>
      <c r="R80" s="22"/>
      <c r="S80" s="24"/>
      <c r="T80" s="22"/>
      <c r="U80" s="22"/>
      <c r="V80" s="24"/>
      <c r="W80" s="24"/>
      <c r="X80" s="23"/>
      <c r="Y80" s="22"/>
      <c r="Z80" s="22"/>
      <c r="AA80" s="22"/>
      <c r="AB80" s="76" t="s">
        <v>644</v>
      </c>
      <c r="AC80" s="76" t="s">
        <v>644</v>
      </c>
      <c r="AD80" s="139" t="s">
        <v>644</v>
      </c>
      <c r="AE80" s="139" t="s">
        <v>644</v>
      </c>
      <c r="AF80" s="77" t="s">
        <v>644</v>
      </c>
      <c r="AG80" s="24"/>
      <c r="AH80" s="24"/>
      <c r="AI80" s="24"/>
      <c r="AJ80" s="22"/>
      <c r="AK80" s="24"/>
      <c r="AL80" s="24"/>
      <c r="AM80" s="139" t="s">
        <v>644</v>
      </c>
      <c r="AN80" s="22"/>
      <c r="AO80" s="24"/>
      <c r="AP80" s="28"/>
      <c r="AQ80" s="22"/>
      <c r="AR80" s="27"/>
      <c r="AS80" s="27"/>
      <c r="AT80" s="24"/>
      <c r="AU80">
        <f>E80 +F80</f>
        <v>10</v>
      </c>
    </row>
    <row r="81" spans="1:47" x14ac:dyDescent="0.25">
      <c r="A81" t="str">
        <f>B81 &amp; " - " &amp;D81</f>
        <v>OL - Labidi</v>
      </c>
      <c r="B81" t="s">
        <v>704</v>
      </c>
      <c r="C81" s="29" t="s">
        <v>665</v>
      </c>
      <c r="D81" s="118" t="s">
        <v>1114</v>
      </c>
      <c r="E81" s="31"/>
      <c r="F81" s="99">
        <v>3</v>
      </c>
      <c r="G81" s="73"/>
      <c r="H81" s="34"/>
      <c r="I81" s="116"/>
      <c r="J81" s="76"/>
      <c r="K81" s="37"/>
      <c r="L81" s="77"/>
      <c r="M81" s="37"/>
      <c r="N81" s="37"/>
      <c r="O81" s="22"/>
      <c r="P81" s="37"/>
      <c r="Q81" s="22"/>
      <c r="R81" s="22"/>
      <c r="S81" s="24"/>
      <c r="T81" s="22"/>
      <c r="U81" s="22"/>
      <c r="V81" s="24"/>
      <c r="W81" s="24"/>
      <c r="X81" s="23"/>
      <c r="Y81" s="22"/>
      <c r="Z81" s="22"/>
      <c r="AA81" s="22"/>
      <c r="AB81" s="76"/>
      <c r="AC81" s="76"/>
      <c r="AD81" s="139"/>
      <c r="AE81" s="116"/>
      <c r="AF81" s="77"/>
      <c r="AG81" s="24"/>
      <c r="AH81" s="24"/>
      <c r="AI81" s="37" t="s">
        <v>644</v>
      </c>
      <c r="AJ81" s="76" t="s">
        <v>644</v>
      </c>
      <c r="AK81" s="37" t="s">
        <v>644</v>
      </c>
      <c r="AL81" s="24"/>
      <c r="AM81" s="28"/>
      <c r="AN81" s="22"/>
      <c r="AO81" s="24"/>
      <c r="AP81" s="28"/>
      <c r="AQ81" s="22"/>
      <c r="AR81" s="27"/>
      <c r="AS81" s="27"/>
      <c r="AT81" s="24"/>
      <c r="AU81">
        <f>E81 +F81</f>
        <v>3</v>
      </c>
    </row>
    <row r="82" spans="1:47" ht="15.75" thickBot="1" x14ac:dyDescent="0.3">
      <c r="A82" t="str">
        <f>B82 &amp; " - " &amp;D82</f>
        <v>PSG - Marquinhos</v>
      </c>
      <c r="B82" t="s">
        <v>705</v>
      </c>
      <c r="C82" s="88" t="s">
        <v>641</v>
      </c>
      <c r="D82" s="89" t="s">
        <v>692</v>
      </c>
      <c r="E82" s="90">
        <v>20</v>
      </c>
      <c r="F82" s="119">
        <v>9</v>
      </c>
      <c r="G82" s="89">
        <v>1</v>
      </c>
      <c r="H82" s="120">
        <f>AVERAGE(M82,N82,O82,P82,R82,S82,V82,Y82,AC82,AE82,AF82,AH82,AK82,AL82,AM82,AN82,AO82,AP82,AR82,AS82,AT82,AQ82)</f>
        <v>5.5454545454545459</v>
      </c>
      <c r="I82" s="112"/>
      <c r="J82" s="37"/>
      <c r="K82" s="37"/>
      <c r="L82" s="37" t="s">
        <v>644</v>
      </c>
      <c r="M82" s="24">
        <v>5</v>
      </c>
      <c r="N82" s="24">
        <v>4</v>
      </c>
      <c r="O82" s="23">
        <v>6</v>
      </c>
      <c r="P82" s="24">
        <v>5</v>
      </c>
      <c r="Q82" s="37" t="s">
        <v>644</v>
      </c>
      <c r="R82" s="24">
        <v>6</v>
      </c>
      <c r="S82" s="24">
        <v>5</v>
      </c>
      <c r="T82" s="24"/>
      <c r="U82" s="37"/>
      <c r="V82" s="37">
        <v>4</v>
      </c>
      <c r="W82" s="37"/>
      <c r="X82" s="24"/>
      <c r="Y82" s="24">
        <v>5</v>
      </c>
      <c r="Z82" s="37" t="s">
        <v>644</v>
      </c>
      <c r="AA82" s="37" t="s">
        <v>644</v>
      </c>
      <c r="AB82" s="37" t="s">
        <v>644</v>
      </c>
      <c r="AC82" s="24">
        <v>6</v>
      </c>
      <c r="AD82" s="27"/>
      <c r="AE82" s="38">
        <v>6</v>
      </c>
      <c r="AF82" s="24">
        <v>5</v>
      </c>
      <c r="AG82" s="37" t="s">
        <v>644</v>
      </c>
      <c r="AH82" s="24">
        <v>6</v>
      </c>
      <c r="AI82" s="37" t="s">
        <v>644</v>
      </c>
      <c r="AJ82" s="24"/>
      <c r="AK82" s="24">
        <v>5</v>
      </c>
      <c r="AL82" s="37">
        <v>5</v>
      </c>
      <c r="AM82" s="142">
        <v>6</v>
      </c>
      <c r="AN82" s="37">
        <v>6</v>
      </c>
      <c r="AO82" s="24">
        <v>6</v>
      </c>
      <c r="AP82" s="27">
        <v>6</v>
      </c>
      <c r="AQ82" s="24">
        <v>5</v>
      </c>
      <c r="AR82" s="27">
        <v>6</v>
      </c>
      <c r="AS82" s="193">
        <v>7</v>
      </c>
      <c r="AT82" s="25">
        <v>7</v>
      </c>
      <c r="AU82">
        <f>E82 +F82</f>
        <v>29</v>
      </c>
    </row>
    <row r="83" spans="1:47" x14ac:dyDescent="0.25">
      <c r="A83" t="str">
        <f>B83 &amp; " - " &amp;D83</f>
        <v>PSG - Sirigu</v>
      </c>
      <c r="B83" t="s">
        <v>705</v>
      </c>
      <c r="C83" s="29" t="s">
        <v>638</v>
      </c>
      <c r="D83" t="s">
        <v>690</v>
      </c>
      <c r="E83" s="18">
        <v>2</v>
      </c>
      <c r="F83" s="95">
        <v>1</v>
      </c>
      <c r="G83" s="96"/>
      <c r="H83" s="20">
        <f>AVERAGE(R83,AO83,AP83)</f>
        <v>6.333333333333333</v>
      </c>
      <c r="I83" s="37"/>
      <c r="J83" s="22"/>
      <c r="K83" s="22"/>
      <c r="L83" s="22"/>
      <c r="M83" s="24"/>
      <c r="N83" s="24"/>
      <c r="O83" s="22"/>
      <c r="P83" s="24"/>
      <c r="Q83" s="24"/>
      <c r="R83" s="22">
        <v>5</v>
      </c>
      <c r="S83" s="22"/>
      <c r="T83" s="109"/>
      <c r="U83" s="22"/>
      <c r="V83" s="24"/>
      <c r="W83" s="22"/>
      <c r="X83" s="24"/>
      <c r="Y83" s="23"/>
      <c r="Z83" s="24"/>
      <c r="AA83" s="22"/>
      <c r="AB83" s="27"/>
      <c r="AC83" s="24"/>
      <c r="AD83" s="22"/>
      <c r="AE83" s="22"/>
      <c r="AF83" s="27"/>
      <c r="AG83" s="24"/>
      <c r="AH83" s="27"/>
      <c r="AI83" s="22"/>
      <c r="AJ83" s="27"/>
      <c r="AK83" s="24"/>
      <c r="AL83" s="24"/>
      <c r="AM83" s="24"/>
      <c r="AN83" s="27"/>
      <c r="AO83" s="22">
        <v>6</v>
      </c>
      <c r="AP83" s="25">
        <v>8</v>
      </c>
      <c r="AQ83" s="27"/>
      <c r="AR83" s="28"/>
      <c r="AS83" s="27"/>
      <c r="AT83" s="24"/>
      <c r="AU83">
        <f>E83 +F83</f>
        <v>3</v>
      </c>
    </row>
    <row r="84" spans="1:47" x14ac:dyDescent="0.25">
      <c r="A84" t="str">
        <f>B84 &amp; " - " &amp;D84</f>
        <v>PSG - Douchez</v>
      </c>
      <c r="B84" t="s">
        <v>705</v>
      </c>
      <c r="C84" s="29" t="s">
        <v>638</v>
      </c>
      <c r="D84" s="30" t="s">
        <v>691</v>
      </c>
      <c r="E84" s="31">
        <v>1</v>
      </c>
      <c r="F84" s="99"/>
      <c r="G84" s="73"/>
      <c r="H84" s="34">
        <f>AVERAGE(AT84)</f>
        <v>7</v>
      </c>
      <c r="I84" s="37"/>
      <c r="J84" s="24"/>
      <c r="K84" s="24"/>
      <c r="L84" s="27"/>
      <c r="M84" s="48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7"/>
      <c r="AG84" s="24"/>
      <c r="AH84" s="27"/>
      <c r="AI84" s="24"/>
      <c r="AJ84" s="27"/>
      <c r="AK84" s="24"/>
      <c r="AL84" s="24"/>
      <c r="AM84" s="24"/>
      <c r="AN84" s="27"/>
      <c r="AO84" s="24"/>
      <c r="AP84" s="24"/>
      <c r="AQ84" s="22"/>
      <c r="AR84" s="27"/>
      <c r="AS84" s="27"/>
      <c r="AT84" s="25">
        <v>7</v>
      </c>
      <c r="AU84">
        <f>E84 +F84</f>
        <v>1</v>
      </c>
    </row>
    <row r="85" spans="1:47" x14ac:dyDescent="0.25">
      <c r="A85" t="str">
        <f>B85 &amp; " - " &amp;D85</f>
        <v>OGCN - Seri</v>
      </c>
      <c r="B85" t="s">
        <v>728</v>
      </c>
      <c r="C85" s="238" t="s">
        <v>654</v>
      </c>
      <c r="D85" s="153" t="s">
        <v>493</v>
      </c>
      <c r="E85" s="69">
        <v>35</v>
      </c>
      <c r="F85" s="115">
        <v>3</v>
      </c>
      <c r="G85" s="68">
        <v>3</v>
      </c>
      <c r="H85" s="72">
        <f>AVERAGE(AT85,Z85,Y85,W85,J85,K85,L85,I85,M85,N85,O85,P85,R85,S85,T85,Q85,U85,V85,AB85,AC85,AD85,AE85,AF85,AG85,AH85,AI85,AK85,AL85,AM85,AN85,AO85,AP85,AQ85,AR85,AS85)</f>
        <v>5.5428571428571427</v>
      </c>
      <c r="I85" s="24">
        <v>5</v>
      </c>
      <c r="J85" s="24">
        <v>5</v>
      </c>
      <c r="K85" s="24">
        <v>5</v>
      </c>
      <c r="L85" s="27">
        <v>5</v>
      </c>
      <c r="M85" s="38">
        <v>6</v>
      </c>
      <c r="N85" s="37">
        <v>5</v>
      </c>
      <c r="O85" s="24">
        <v>6</v>
      </c>
      <c r="P85" s="25">
        <v>7</v>
      </c>
      <c r="Q85" s="24">
        <v>5</v>
      </c>
      <c r="R85" s="66">
        <v>7</v>
      </c>
      <c r="S85" s="24">
        <v>5</v>
      </c>
      <c r="T85" s="37">
        <v>5</v>
      </c>
      <c r="U85" s="24">
        <v>6</v>
      </c>
      <c r="V85" s="66">
        <v>7</v>
      </c>
      <c r="W85" s="24">
        <v>5</v>
      </c>
      <c r="X85" s="37" t="s">
        <v>644</v>
      </c>
      <c r="Y85" s="24">
        <v>5</v>
      </c>
      <c r="Z85" s="24">
        <v>5</v>
      </c>
      <c r="AA85" s="37" t="s">
        <v>644</v>
      </c>
      <c r="AB85" s="24">
        <v>5</v>
      </c>
      <c r="AC85" s="24">
        <v>6</v>
      </c>
      <c r="AD85" s="24">
        <v>5</v>
      </c>
      <c r="AE85" s="24">
        <v>6</v>
      </c>
      <c r="AF85" s="27">
        <v>5</v>
      </c>
      <c r="AG85" s="24">
        <v>4</v>
      </c>
      <c r="AH85" s="163">
        <v>7</v>
      </c>
      <c r="AI85" s="24">
        <v>5</v>
      </c>
      <c r="AJ85" s="26" t="s">
        <v>644</v>
      </c>
      <c r="AK85" s="37">
        <v>6</v>
      </c>
      <c r="AL85" s="84">
        <v>8</v>
      </c>
      <c r="AM85" s="25">
        <v>7</v>
      </c>
      <c r="AN85" s="237">
        <v>3</v>
      </c>
      <c r="AO85" s="66">
        <v>7</v>
      </c>
      <c r="AP85" s="24">
        <v>6</v>
      </c>
      <c r="AQ85" s="24">
        <v>6</v>
      </c>
      <c r="AR85" s="237">
        <v>3</v>
      </c>
      <c r="AS85" s="26">
        <v>5</v>
      </c>
      <c r="AT85" s="22">
        <v>6</v>
      </c>
      <c r="AU85">
        <f>E85 +F85</f>
        <v>38</v>
      </c>
    </row>
    <row r="86" spans="1:47" x14ac:dyDescent="0.25">
      <c r="A86" t="str">
        <f>B86 &amp; " - " &amp;D86</f>
        <v>EAG - Sankharé</v>
      </c>
      <c r="B86" t="s">
        <v>999</v>
      </c>
      <c r="C86" s="29" t="s">
        <v>654</v>
      </c>
      <c r="D86" s="30" t="s">
        <v>993</v>
      </c>
      <c r="E86" s="31">
        <v>33</v>
      </c>
      <c r="F86" s="99"/>
      <c r="G86" s="73">
        <v>6</v>
      </c>
      <c r="H86" s="34">
        <f>AVERAGE(AA86,X86,J86,K86,L86,I86,M86,N86,O86,P86,Q86,S86,V86,W86,Y86,AB86,AC86,AE86,AF86,AG86,AI86,AJ86,AK86,AL86,AM86,AN86,AO86,AP86,AQ86,AR86,AS86,AT86)</f>
        <v>5.53125</v>
      </c>
      <c r="I86" s="128">
        <v>7</v>
      </c>
      <c r="J86" s="24">
        <v>6</v>
      </c>
      <c r="K86" s="37">
        <v>5</v>
      </c>
      <c r="L86" s="26">
        <v>5</v>
      </c>
      <c r="M86" s="283">
        <v>7</v>
      </c>
      <c r="N86" s="37">
        <v>5</v>
      </c>
      <c r="O86" s="37">
        <v>4</v>
      </c>
      <c r="P86" s="37">
        <v>4</v>
      </c>
      <c r="Q86" s="25">
        <v>7</v>
      </c>
      <c r="R86" s="23"/>
      <c r="S86" s="24">
        <v>4</v>
      </c>
      <c r="T86" s="37" t="s">
        <v>655</v>
      </c>
      <c r="U86" s="24"/>
      <c r="V86" s="37">
        <v>5</v>
      </c>
      <c r="W86" s="24">
        <v>5</v>
      </c>
      <c r="X86" s="37">
        <v>6</v>
      </c>
      <c r="Y86" s="37">
        <v>5</v>
      </c>
      <c r="Z86" s="24"/>
      <c r="AA86" s="24">
        <v>5</v>
      </c>
      <c r="AB86" s="24">
        <v>5</v>
      </c>
      <c r="AC86" s="37">
        <v>5</v>
      </c>
      <c r="AD86" s="24"/>
      <c r="AE86" s="25">
        <v>8</v>
      </c>
      <c r="AF86" s="247">
        <v>7</v>
      </c>
      <c r="AG86" s="24">
        <v>6</v>
      </c>
      <c r="AH86" s="27"/>
      <c r="AI86" s="24">
        <v>5</v>
      </c>
      <c r="AJ86" s="27">
        <v>5</v>
      </c>
      <c r="AK86" s="24">
        <v>6</v>
      </c>
      <c r="AL86" s="37">
        <v>6</v>
      </c>
      <c r="AM86" s="25">
        <v>7</v>
      </c>
      <c r="AN86" s="27">
        <v>6</v>
      </c>
      <c r="AO86" s="37">
        <v>5</v>
      </c>
      <c r="AP86" s="25">
        <v>7</v>
      </c>
      <c r="AQ86" s="24">
        <v>5</v>
      </c>
      <c r="AR86" s="27">
        <v>4</v>
      </c>
      <c r="AS86" s="27">
        <v>5</v>
      </c>
      <c r="AT86" s="24">
        <v>5</v>
      </c>
      <c r="AU86">
        <f>E86 +F86</f>
        <v>33</v>
      </c>
    </row>
    <row r="87" spans="1:47" x14ac:dyDescent="0.25">
      <c r="A87" t="str">
        <f>B87 &amp; " - " &amp;D87</f>
        <v>MHSC - J. Martin</v>
      </c>
      <c r="B87" t="s">
        <v>838</v>
      </c>
      <c r="C87" s="29" t="s">
        <v>654</v>
      </c>
      <c r="D87" s="30" t="s">
        <v>827</v>
      </c>
      <c r="E87" s="31">
        <v>35</v>
      </c>
      <c r="F87" s="99">
        <v>1</v>
      </c>
      <c r="G87" s="73">
        <v>4</v>
      </c>
      <c r="H87" s="34">
        <f>AVERAGE(AT87,AS87,AA87,Y87,X87,V87,J87,K87,L87,I87,N87,O87,P87,Q87,R87,S87,T87,U87,W87,Z87,AB87,AC87,AD87,AE87,AF87,AG87,AH87,AJ87,AK87,AL87,AM87,AN87,AO87,AP87,AQ87,AR87)</f>
        <v>5.5277777777777777</v>
      </c>
      <c r="I87" s="37">
        <v>6</v>
      </c>
      <c r="J87" s="37">
        <v>6</v>
      </c>
      <c r="K87" s="37">
        <v>5</v>
      </c>
      <c r="L87" s="26">
        <v>6</v>
      </c>
      <c r="M87" s="38"/>
      <c r="N87" s="22">
        <v>6</v>
      </c>
      <c r="O87" s="24">
        <v>5</v>
      </c>
      <c r="P87" s="25">
        <v>7</v>
      </c>
      <c r="Q87" s="24">
        <v>4</v>
      </c>
      <c r="R87" s="24">
        <v>5</v>
      </c>
      <c r="S87" s="24">
        <v>6</v>
      </c>
      <c r="T87" s="66">
        <v>7</v>
      </c>
      <c r="U87" s="24">
        <v>5</v>
      </c>
      <c r="V87" s="24">
        <v>5</v>
      </c>
      <c r="W87" s="24">
        <v>5</v>
      </c>
      <c r="X87" s="24">
        <v>5</v>
      </c>
      <c r="Y87" s="23">
        <v>4</v>
      </c>
      <c r="Z87" s="24">
        <v>5</v>
      </c>
      <c r="AA87" s="24">
        <v>5</v>
      </c>
      <c r="AB87" s="24">
        <v>5</v>
      </c>
      <c r="AC87" s="24">
        <v>4</v>
      </c>
      <c r="AD87" s="24">
        <v>5</v>
      </c>
      <c r="AE87" s="25">
        <v>8</v>
      </c>
      <c r="AF87" s="27">
        <v>5</v>
      </c>
      <c r="AG87" s="37">
        <v>5</v>
      </c>
      <c r="AH87" s="27">
        <v>6</v>
      </c>
      <c r="AI87" s="24"/>
      <c r="AJ87" s="26">
        <v>6</v>
      </c>
      <c r="AK87" s="24">
        <v>6</v>
      </c>
      <c r="AL87" s="24">
        <v>5</v>
      </c>
      <c r="AM87" s="24">
        <v>4</v>
      </c>
      <c r="AN87" s="27">
        <v>5</v>
      </c>
      <c r="AO87" s="37">
        <v>6</v>
      </c>
      <c r="AP87" s="24">
        <v>6</v>
      </c>
      <c r="AQ87" s="25">
        <v>8</v>
      </c>
      <c r="AR87" s="27">
        <v>5</v>
      </c>
      <c r="AS87" s="163">
        <v>7</v>
      </c>
      <c r="AT87" s="24">
        <v>6</v>
      </c>
      <c r="AU87">
        <f>E87 +F87</f>
        <v>36</v>
      </c>
    </row>
    <row r="88" spans="1:47" x14ac:dyDescent="0.25">
      <c r="A88" t="str">
        <f>B88 &amp; " - " &amp;D88</f>
        <v>ASSE - Ruffier</v>
      </c>
      <c r="B88" t="s">
        <v>746</v>
      </c>
      <c r="C88" s="29" t="s">
        <v>638</v>
      </c>
      <c r="D88" s="30" t="s">
        <v>148</v>
      </c>
      <c r="E88" s="31">
        <v>38</v>
      </c>
      <c r="F88" s="99"/>
      <c r="G88" s="114"/>
      <c r="H88" s="34">
        <f>AVERAGE(Y88,J88,K88,L88,I88,M88,N88,O88,P88,Q88,R88,S88,T88,U88,V88,W88,X88,Z88,AA88,AB88,AC88,AD88,AE88,AF88,AG88,AH88,AI88,AJ88,AK88,AL88,AM88,AN88,AO88,AP88,AQ88,AR88,AS88,AT88)</f>
        <v>5.5263157894736841</v>
      </c>
      <c r="I88" s="23">
        <v>4</v>
      </c>
      <c r="J88" s="24">
        <v>5</v>
      </c>
      <c r="K88" s="22">
        <v>6</v>
      </c>
      <c r="L88" s="27">
        <v>4</v>
      </c>
      <c r="M88" s="303">
        <v>7</v>
      </c>
      <c r="N88" s="22">
        <v>6</v>
      </c>
      <c r="O88" s="22">
        <v>6</v>
      </c>
      <c r="P88" s="24">
        <v>4</v>
      </c>
      <c r="Q88" s="24">
        <v>6</v>
      </c>
      <c r="R88" s="22">
        <v>5</v>
      </c>
      <c r="S88" s="23">
        <v>4</v>
      </c>
      <c r="T88" s="25">
        <v>7</v>
      </c>
      <c r="U88" s="24">
        <v>6</v>
      </c>
      <c r="V88" s="23">
        <v>5</v>
      </c>
      <c r="W88" s="22">
        <v>6</v>
      </c>
      <c r="X88" s="23">
        <v>6</v>
      </c>
      <c r="Y88" s="23">
        <v>4</v>
      </c>
      <c r="Z88" s="23">
        <v>5</v>
      </c>
      <c r="AA88" s="22">
        <v>6</v>
      </c>
      <c r="AB88" s="24">
        <v>5</v>
      </c>
      <c r="AC88" s="25">
        <v>7</v>
      </c>
      <c r="AD88" s="24">
        <v>5</v>
      </c>
      <c r="AE88" s="24">
        <v>5</v>
      </c>
      <c r="AF88" s="28">
        <v>6</v>
      </c>
      <c r="AG88" s="24">
        <v>5</v>
      </c>
      <c r="AH88" s="27">
        <v>5</v>
      </c>
      <c r="AI88" s="24">
        <v>5</v>
      </c>
      <c r="AJ88" s="142">
        <v>5</v>
      </c>
      <c r="AK88" s="22">
        <v>5</v>
      </c>
      <c r="AL88" s="23">
        <v>4</v>
      </c>
      <c r="AM88" s="22">
        <v>6</v>
      </c>
      <c r="AN88" s="247">
        <v>7</v>
      </c>
      <c r="AO88" s="22">
        <v>6</v>
      </c>
      <c r="AP88" s="22">
        <v>6</v>
      </c>
      <c r="AQ88" s="22">
        <v>6</v>
      </c>
      <c r="AR88" s="247">
        <v>9</v>
      </c>
      <c r="AS88" s="27">
        <v>5</v>
      </c>
      <c r="AT88" s="24">
        <v>6</v>
      </c>
      <c r="AU88">
        <f>E88 +F88</f>
        <v>38</v>
      </c>
    </row>
    <row r="89" spans="1:47" x14ac:dyDescent="0.25">
      <c r="A89" t="str">
        <f>B89 &amp; " - " &amp;D89</f>
        <v>PSG - Kimpembé</v>
      </c>
      <c r="B89" t="s">
        <v>705</v>
      </c>
      <c r="C89" s="29" t="s">
        <v>641</v>
      </c>
      <c r="D89" s="123" t="s">
        <v>693</v>
      </c>
      <c r="E89" s="31">
        <v>5</v>
      </c>
      <c r="F89" s="99">
        <v>1</v>
      </c>
      <c r="G89" s="73"/>
      <c r="H89" s="34">
        <f>AVERAGE(V89,AE89,AK89,AO89,AP89)</f>
        <v>6</v>
      </c>
      <c r="I89" s="37"/>
      <c r="J89" s="37"/>
      <c r="K89" s="37"/>
      <c r="L89" s="26"/>
      <c r="M89" s="48"/>
      <c r="N89" s="24"/>
      <c r="O89" s="24"/>
      <c r="P89" s="24"/>
      <c r="Q89" s="24"/>
      <c r="R89" s="37"/>
      <c r="S89" s="24"/>
      <c r="T89" s="24"/>
      <c r="U89" s="24"/>
      <c r="V89" s="24">
        <v>5</v>
      </c>
      <c r="W89" s="24"/>
      <c r="X89" s="24"/>
      <c r="Y89" s="24"/>
      <c r="Z89" s="24"/>
      <c r="AA89" s="24"/>
      <c r="AB89" s="24"/>
      <c r="AC89" s="24"/>
      <c r="AD89" s="37" t="s">
        <v>644</v>
      </c>
      <c r="AE89" s="24">
        <v>6</v>
      </c>
      <c r="AF89" s="27"/>
      <c r="AG89" s="24"/>
      <c r="AH89" s="27"/>
      <c r="AI89" s="24"/>
      <c r="AJ89" s="27"/>
      <c r="AK89" s="24">
        <v>5</v>
      </c>
      <c r="AL89" s="24"/>
      <c r="AM89" s="24"/>
      <c r="AN89" s="27"/>
      <c r="AO89" s="66">
        <v>7</v>
      </c>
      <c r="AP89" s="66">
        <v>7</v>
      </c>
      <c r="AQ89" s="24"/>
      <c r="AR89" s="27"/>
      <c r="AS89" s="27"/>
      <c r="AT89" s="24"/>
      <c r="AU89">
        <f>E89 +F89</f>
        <v>6</v>
      </c>
    </row>
    <row r="90" spans="1:47" x14ac:dyDescent="0.25">
      <c r="A90" t="str">
        <f>B90 &amp; " - " &amp;D90</f>
        <v>PSG - Aurier</v>
      </c>
      <c r="B90" t="s">
        <v>705</v>
      </c>
      <c r="C90" s="29" t="s">
        <v>641</v>
      </c>
      <c r="D90" s="38" t="s">
        <v>155</v>
      </c>
      <c r="E90" s="31">
        <v>21</v>
      </c>
      <c r="F90" s="124"/>
      <c r="G90" s="73">
        <v>2</v>
      </c>
      <c r="H90" s="34">
        <f>AVERAGE(Z90,J90,K90,L90,I90,M90,P90,Q90,R90,T90,X90,Y90,AA90,AB90,AC90,AD90,AE90,AF90,AG90,AR90,AQ90)</f>
        <v>5.8571428571428568</v>
      </c>
      <c r="I90" s="37">
        <v>6</v>
      </c>
      <c r="J90" s="37">
        <v>6</v>
      </c>
      <c r="K90" s="37">
        <v>5</v>
      </c>
      <c r="L90" s="26">
        <v>6</v>
      </c>
      <c r="M90" s="101">
        <v>5</v>
      </c>
      <c r="N90" s="24"/>
      <c r="O90" s="24"/>
      <c r="P90" s="22">
        <v>6</v>
      </c>
      <c r="Q90" s="24">
        <v>5</v>
      </c>
      <c r="R90" s="66">
        <v>7</v>
      </c>
      <c r="S90" s="24"/>
      <c r="T90" s="24">
        <v>6</v>
      </c>
      <c r="U90" s="24"/>
      <c r="V90" s="24"/>
      <c r="W90" s="24"/>
      <c r="X90" s="24">
        <v>5</v>
      </c>
      <c r="Y90" s="24">
        <v>6</v>
      </c>
      <c r="Z90" s="25">
        <v>7</v>
      </c>
      <c r="AA90" s="24">
        <v>5</v>
      </c>
      <c r="AB90" s="24">
        <v>6</v>
      </c>
      <c r="AC90" s="24">
        <v>6</v>
      </c>
      <c r="AD90" s="24">
        <v>6</v>
      </c>
      <c r="AE90" s="66">
        <v>7</v>
      </c>
      <c r="AF90" s="27">
        <v>6</v>
      </c>
      <c r="AG90" s="24">
        <v>5</v>
      </c>
      <c r="AH90" s="27"/>
      <c r="AI90" s="24"/>
      <c r="AJ90" s="27"/>
      <c r="AK90" s="24"/>
      <c r="AL90" s="24"/>
      <c r="AM90" s="24"/>
      <c r="AN90" s="27"/>
      <c r="AO90" s="24"/>
      <c r="AP90" s="24"/>
      <c r="AQ90" s="24">
        <v>6</v>
      </c>
      <c r="AR90" s="27">
        <v>6</v>
      </c>
      <c r="AS90" s="27"/>
      <c r="AT90" s="24"/>
      <c r="AU90">
        <f>E90 +F90</f>
        <v>21</v>
      </c>
    </row>
    <row r="91" spans="1:47" x14ac:dyDescent="0.25">
      <c r="A91" t="str">
        <f>B91 &amp; " - " &amp;D91</f>
        <v>PSG - David Luiz</v>
      </c>
      <c r="B91" t="s">
        <v>705</v>
      </c>
      <c r="C91" s="29" t="s">
        <v>641</v>
      </c>
      <c r="D91" t="s">
        <v>14</v>
      </c>
      <c r="E91" s="31">
        <v>23</v>
      </c>
      <c r="F91" s="124">
        <v>2</v>
      </c>
      <c r="G91" s="73">
        <v>1</v>
      </c>
      <c r="H91" s="34">
        <f>AVERAGE(J91,K91,L91,I91,O91,Q91,U91,W91,X91,Z91,AA91,AB91,AC91,AD91,AG91,AH91,AI91,AJ91,AL91,AM91,AN91,AS91,AQ91)</f>
        <v>5.5217391304347823</v>
      </c>
      <c r="I91" s="37">
        <v>5</v>
      </c>
      <c r="J91" s="37">
        <v>6</v>
      </c>
      <c r="K91" s="37">
        <v>6</v>
      </c>
      <c r="L91" s="37">
        <v>5</v>
      </c>
      <c r="M91" s="24"/>
      <c r="N91" s="24"/>
      <c r="O91" s="24">
        <v>6</v>
      </c>
      <c r="P91" s="24"/>
      <c r="Q91" s="24">
        <v>5</v>
      </c>
      <c r="R91" s="24"/>
      <c r="S91" s="24"/>
      <c r="T91" s="24"/>
      <c r="U91" s="24">
        <v>6</v>
      </c>
      <c r="V91" s="24"/>
      <c r="W91" s="24">
        <v>5</v>
      </c>
      <c r="X91" s="24">
        <v>6</v>
      </c>
      <c r="Y91" s="24"/>
      <c r="Z91" s="24">
        <v>5</v>
      </c>
      <c r="AA91" s="24">
        <v>6</v>
      </c>
      <c r="AB91" s="24">
        <v>6</v>
      </c>
      <c r="AC91" s="23">
        <v>5</v>
      </c>
      <c r="AD91" s="24">
        <v>6</v>
      </c>
      <c r="AE91" s="24"/>
      <c r="AF91" s="27"/>
      <c r="AG91" s="24">
        <v>5</v>
      </c>
      <c r="AH91" s="27">
        <v>6</v>
      </c>
      <c r="AI91" s="66">
        <v>7</v>
      </c>
      <c r="AJ91" s="142">
        <v>5</v>
      </c>
      <c r="AK91" s="24"/>
      <c r="AL91" s="24">
        <v>6</v>
      </c>
      <c r="AM91" s="82">
        <v>2</v>
      </c>
      <c r="AN91" s="247">
        <v>8</v>
      </c>
      <c r="AO91" s="24"/>
      <c r="AP91" s="24"/>
      <c r="AQ91" s="24">
        <v>5</v>
      </c>
      <c r="AR91" s="26" t="s">
        <v>644</v>
      </c>
      <c r="AS91" s="27">
        <v>5</v>
      </c>
      <c r="AT91" s="76" t="s">
        <v>644</v>
      </c>
      <c r="AU91">
        <f>E91 +F91</f>
        <v>25</v>
      </c>
    </row>
    <row r="92" spans="1:47" x14ac:dyDescent="0.25">
      <c r="A92" t="str">
        <f>B92 &amp; " - " &amp;D92</f>
        <v>PSG - Kurzawa</v>
      </c>
      <c r="B92" t="s">
        <v>705</v>
      </c>
      <c r="C92" s="29" t="s">
        <v>641</v>
      </c>
      <c r="D92" t="s">
        <v>134</v>
      </c>
      <c r="E92" s="31">
        <v>14</v>
      </c>
      <c r="F92" s="124">
        <v>2</v>
      </c>
      <c r="G92" s="114">
        <v>3</v>
      </c>
      <c r="H92" s="34">
        <f>AVERAGE(N92,P92,S92,U92,W92,Y92,AF92,AH92,AI92,AL92,AO92,AP92,AS92,AQ92)</f>
        <v>6.3571428571428568</v>
      </c>
      <c r="I92" s="37"/>
      <c r="J92" s="37"/>
      <c r="K92" s="37"/>
      <c r="L92" s="37"/>
      <c r="M92" s="26" t="s">
        <v>644</v>
      </c>
      <c r="N92" s="24">
        <v>5</v>
      </c>
      <c r="O92" s="24"/>
      <c r="P92" s="24">
        <v>6</v>
      </c>
      <c r="Q92" s="24"/>
      <c r="R92" s="76" t="s">
        <v>644</v>
      </c>
      <c r="S92" s="22">
        <v>6</v>
      </c>
      <c r="T92" s="24"/>
      <c r="U92" s="24">
        <v>5</v>
      </c>
      <c r="V92" s="24"/>
      <c r="W92" s="25">
        <v>7</v>
      </c>
      <c r="X92" s="24"/>
      <c r="Y92" s="24">
        <v>6</v>
      </c>
      <c r="Z92" s="24"/>
      <c r="AA92" s="24"/>
      <c r="AB92" s="24"/>
      <c r="AC92" s="24"/>
      <c r="AD92" s="24"/>
      <c r="AE92" s="24"/>
      <c r="AF92" s="247">
        <v>8</v>
      </c>
      <c r="AG92" s="24"/>
      <c r="AH92" s="26">
        <v>6</v>
      </c>
      <c r="AI92" s="24">
        <v>6</v>
      </c>
      <c r="AJ92" s="27"/>
      <c r="AK92" s="24"/>
      <c r="AL92" s="66">
        <v>7</v>
      </c>
      <c r="AM92" s="24"/>
      <c r="AN92" s="27"/>
      <c r="AO92" s="84">
        <v>7</v>
      </c>
      <c r="AP92" s="83">
        <v>7</v>
      </c>
      <c r="AQ92" s="24">
        <v>6</v>
      </c>
      <c r="AR92" s="28"/>
      <c r="AS92" s="163">
        <v>7</v>
      </c>
      <c r="AT92" s="24"/>
      <c r="AU92">
        <f>E92 +F92</f>
        <v>16</v>
      </c>
    </row>
    <row r="93" spans="1:47" x14ac:dyDescent="0.25">
      <c r="A93" t="str">
        <f>B93 &amp; " - " &amp;D93</f>
        <v>PSG - Rimane</v>
      </c>
      <c r="B93" t="s">
        <v>705</v>
      </c>
      <c r="C93" s="29" t="s">
        <v>641</v>
      </c>
      <c r="D93" s="126" t="s">
        <v>1130</v>
      </c>
      <c r="E93" s="31"/>
      <c r="F93" s="124">
        <v>1</v>
      </c>
      <c r="G93" s="114"/>
      <c r="H93" s="34"/>
      <c r="I93" s="37"/>
      <c r="J93" s="37"/>
      <c r="K93" s="37"/>
      <c r="L93" s="37"/>
      <c r="M93" s="24"/>
      <c r="N93" s="24"/>
      <c r="O93" s="24"/>
      <c r="P93" s="24"/>
      <c r="Q93" s="24"/>
      <c r="R93" s="76"/>
      <c r="S93" s="22"/>
      <c r="T93" s="24"/>
      <c r="U93" s="24"/>
      <c r="V93" s="24"/>
      <c r="W93" s="24"/>
      <c r="X93" s="76"/>
      <c r="Y93" s="22"/>
      <c r="Z93" s="24"/>
      <c r="AA93" s="24"/>
      <c r="AB93" s="24"/>
      <c r="AC93" s="24"/>
      <c r="AD93" s="24"/>
      <c r="AE93" s="24"/>
      <c r="AF93" s="76"/>
      <c r="AG93" s="22"/>
      <c r="AH93" s="24"/>
      <c r="AI93" s="24"/>
      <c r="AJ93" s="24"/>
      <c r="AK93" s="24"/>
      <c r="AL93" s="76"/>
      <c r="AM93" s="22"/>
      <c r="AN93" s="24"/>
      <c r="AO93" s="37" t="s">
        <v>644</v>
      </c>
      <c r="AP93" s="24"/>
      <c r="AQ93" s="24"/>
      <c r="AR93" s="28"/>
      <c r="AS93" s="27"/>
      <c r="AT93" s="24"/>
      <c r="AU93">
        <f>E93 +F93</f>
        <v>1</v>
      </c>
    </row>
    <row r="94" spans="1:47" x14ac:dyDescent="0.25">
      <c r="A94" t="str">
        <f>B94 &amp; " - " &amp;D94</f>
        <v>PSG - Van der Wiel</v>
      </c>
      <c r="B94" t="s">
        <v>705</v>
      </c>
      <c r="C94" s="67" t="s">
        <v>641</v>
      </c>
      <c r="D94" s="85" t="s">
        <v>694</v>
      </c>
      <c r="E94" s="69">
        <v>16</v>
      </c>
      <c r="F94" s="115">
        <v>1</v>
      </c>
      <c r="G94" s="122">
        <v>2</v>
      </c>
      <c r="H94" s="34">
        <f>AVERAGE(N94,O94,S94,T94,U94,V94,W94,AD94,AH94,AI94,AJ94,AK94,AL94,AO94,AP94,AT94)</f>
        <v>5.875</v>
      </c>
      <c r="I94" s="37"/>
      <c r="J94" s="37"/>
      <c r="K94" s="37"/>
      <c r="L94" s="26"/>
      <c r="M94" s="38"/>
      <c r="N94" s="24">
        <v>5</v>
      </c>
      <c r="O94" s="24">
        <v>5</v>
      </c>
      <c r="P94" s="24"/>
      <c r="Q94" s="24"/>
      <c r="R94" s="24"/>
      <c r="S94" s="24">
        <v>6</v>
      </c>
      <c r="T94" s="24">
        <v>6</v>
      </c>
      <c r="U94" s="66">
        <v>7</v>
      </c>
      <c r="V94" s="24">
        <v>6</v>
      </c>
      <c r="W94" s="24">
        <v>5</v>
      </c>
      <c r="X94" s="24"/>
      <c r="Y94" s="24"/>
      <c r="Z94" s="24"/>
      <c r="AA94" s="24"/>
      <c r="AB94" s="24"/>
      <c r="AC94" s="76" t="s">
        <v>644</v>
      </c>
      <c r="AD94" s="25">
        <v>8</v>
      </c>
      <c r="AE94" s="24"/>
      <c r="AF94" s="27"/>
      <c r="AG94" s="37"/>
      <c r="AH94" s="27">
        <v>5</v>
      </c>
      <c r="AI94" s="25">
        <v>7</v>
      </c>
      <c r="AJ94" s="27">
        <v>4</v>
      </c>
      <c r="AK94" s="24">
        <v>5</v>
      </c>
      <c r="AL94" s="24">
        <v>5</v>
      </c>
      <c r="AM94" s="24"/>
      <c r="AN94" s="28"/>
      <c r="AO94" s="66">
        <v>7</v>
      </c>
      <c r="AP94" s="66">
        <v>7</v>
      </c>
      <c r="AQ94" s="24"/>
      <c r="AR94" s="27"/>
      <c r="AS94" s="27"/>
      <c r="AT94" s="24">
        <v>6</v>
      </c>
      <c r="AU94">
        <f>E94 +F94</f>
        <v>17</v>
      </c>
    </row>
    <row r="95" spans="1:47" x14ac:dyDescent="0.25">
      <c r="A95" t="str">
        <f>B95 &amp; " - " &amp;D95</f>
        <v>ASSE - Perrin</v>
      </c>
      <c r="B95" t="s">
        <v>746</v>
      </c>
      <c r="C95" s="29" t="s">
        <v>641</v>
      </c>
      <c r="D95" s="30" t="s">
        <v>144</v>
      </c>
      <c r="E95" s="31">
        <v>24</v>
      </c>
      <c r="F95" s="99"/>
      <c r="G95" s="114">
        <v>3</v>
      </c>
      <c r="H95" s="125">
        <f>AVERAGE(Y95,X95,L95,I95,M95,N95,P95,Q95,R95,S95,T95,U95,V95,W95,Z95,AA95,AD95,AL95,AN95,AO95,AP95,AQ95,AR95,AT95)</f>
        <v>5.5</v>
      </c>
      <c r="I95" s="143">
        <v>6</v>
      </c>
      <c r="J95" s="24"/>
      <c r="K95" s="24"/>
      <c r="L95" s="22">
        <v>6</v>
      </c>
      <c r="M95" s="24">
        <v>6</v>
      </c>
      <c r="N95" s="24">
        <v>6</v>
      </c>
      <c r="O95" s="24"/>
      <c r="P95" s="22">
        <v>6</v>
      </c>
      <c r="Q95" s="24">
        <v>5</v>
      </c>
      <c r="R95" s="24">
        <v>5</v>
      </c>
      <c r="S95" s="24">
        <v>5</v>
      </c>
      <c r="T95" s="24">
        <v>6</v>
      </c>
      <c r="U95" s="24">
        <v>5</v>
      </c>
      <c r="V95" s="24">
        <v>5</v>
      </c>
      <c r="W95" s="24">
        <v>5</v>
      </c>
      <c r="X95" s="37">
        <v>5</v>
      </c>
      <c r="Y95" s="24">
        <v>5</v>
      </c>
      <c r="Z95" s="24">
        <v>5</v>
      </c>
      <c r="AA95" s="24">
        <v>6</v>
      </c>
      <c r="AB95" s="24"/>
      <c r="AC95" s="24"/>
      <c r="AD95" s="24">
        <v>5</v>
      </c>
      <c r="AE95" s="24"/>
      <c r="AF95" s="27"/>
      <c r="AG95" s="24"/>
      <c r="AH95" s="27"/>
      <c r="AI95" s="24"/>
      <c r="AJ95" s="27"/>
      <c r="AK95" s="24"/>
      <c r="AL95" s="24">
        <v>5</v>
      </c>
      <c r="AM95" s="24"/>
      <c r="AN95" s="163">
        <v>7</v>
      </c>
      <c r="AO95" s="24">
        <v>6</v>
      </c>
      <c r="AP95" s="24">
        <v>5</v>
      </c>
      <c r="AQ95" s="24">
        <v>6</v>
      </c>
      <c r="AR95" s="142">
        <v>5</v>
      </c>
      <c r="AS95" s="27"/>
      <c r="AT95" s="24">
        <v>6</v>
      </c>
      <c r="AU95">
        <f>E95 +F95</f>
        <v>24</v>
      </c>
    </row>
    <row r="96" spans="1:47" x14ac:dyDescent="0.25">
      <c r="A96" t="str">
        <f>B96 &amp; " - " &amp;D96</f>
        <v>OL - S. Umtiti</v>
      </c>
      <c r="B96" t="s">
        <v>704</v>
      </c>
      <c r="C96" s="29" t="s">
        <v>641</v>
      </c>
      <c r="D96" s="30" t="s">
        <v>680</v>
      </c>
      <c r="E96" s="31">
        <v>30</v>
      </c>
      <c r="F96" s="99"/>
      <c r="G96" s="73">
        <v>1</v>
      </c>
      <c r="H96" s="34">
        <f>AVERAGE(J96,K96,L96,I96,M96,N96,O96,P96,Q96,R96,S96,U96,AB96,AC96,AD96,AE96,AF96,AG96,AH96,AI96,AK96,AL96,AM96,AN96,AO96,AP96,AQ96,AR96,AS96,AT96)</f>
        <v>5.5</v>
      </c>
      <c r="I96" s="37">
        <v>5</v>
      </c>
      <c r="J96" s="37">
        <v>6</v>
      </c>
      <c r="K96" s="24">
        <v>5</v>
      </c>
      <c r="L96" s="26">
        <v>6</v>
      </c>
      <c r="M96" s="38">
        <v>6</v>
      </c>
      <c r="N96" s="23">
        <v>5</v>
      </c>
      <c r="O96" s="24">
        <v>5</v>
      </c>
      <c r="P96" s="24">
        <v>4</v>
      </c>
      <c r="Q96" s="24">
        <v>6</v>
      </c>
      <c r="R96" s="24">
        <v>5</v>
      </c>
      <c r="S96" s="24">
        <v>6</v>
      </c>
      <c r="T96" s="24"/>
      <c r="U96" s="24">
        <v>5</v>
      </c>
      <c r="V96" s="24"/>
      <c r="W96" s="24"/>
      <c r="X96" s="24"/>
      <c r="Y96" s="24"/>
      <c r="Z96" s="24"/>
      <c r="AA96" s="24"/>
      <c r="AB96" s="24">
        <v>5</v>
      </c>
      <c r="AC96" s="24">
        <v>5</v>
      </c>
      <c r="AD96" s="24">
        <v>6</v>
      </c>
      <c r="AE96" s="24">
        <v>5</v>
      </c>
      <c r="AF96" s="27">
        <v>6</v>
      </c>
      <c r="AG96" s="24">
        <v>6</v>
      </c>
      <c r="AH96" s="247">
        <v>7</v>
      </c>
      <c r="AI96" s="24">
        <v>5</v>
      </c>
      <c r="AJ96" s="27"/>
      <c r="AK96" s="24">
        <v>6</v>
      </c>
      <c r="AL96" s="24">
        <v>6</v>
      </c>
      <c r="AM96" s="24">
        <v>6</v>
      </c>
      <c r="AN96" s="27">
        <v>6</v>
      </c>
      <c r="AO96" s="24">
        <v>6</v>
      </c>
      <c r="AP96" s="24">
        <v>6</v>
      </c>
      <c r="AQ96" s="24">
        <v>5</v>
      </c>
      <c r="AR96" s="27">
        <v>6</v>
      </c>
      <c r="AS96" s="27">
        <v>6</v>
      </c>
      <c r="AT96" s="82">
        <v>3</v>
      </c>
      <c r="AU96">
        <f>E96 +F96</f>
        <v>30</v>
      </c>
    </row>
    <row r="97" spans="1:47" x14ac:dyDescent="0.25">
      <c r="A97" t="str">
        <f>B97 &amp; " - " &amp;D97</f>
        <v>PSG - Verratti</v>
      </c>
      <c r="B97" t="s">
        <v>705</v>
      </c>
      <c r="C97" s="29" t="s">
        <v>654</v>
      </c>
      <c r="D97" t="s">
        <v>696</v>
      </c>
      <c r="E97" s="31">
        <v>11</v>
      </c>
      <c r="F97" s="99">
        <v>8</v>
      </c>
      <c r="G97" s="114" t="s">
        <v>679</v>
      </c>
      <c r="H97" s="34">
        <f>AVERAGE(J97,L97,I97,M97,N97,P97,Q97,S97,AA97,AB97,AI97)</f>
        <v>5.9090909090909092</v>
      </c>
      <c r="I97" s="74">
        <v>5</v>
      </c>
      <c r="J97" s="37">
        <v>6</v>
      </c>
      <c r="K97" s="37"/>
      <c r="L97" s="26">
        <v>6</v>
      </c>
      <c r="M97" s="66">
        <v>7</v>
      </c>
      <c r="N97" s="24">
        <v>6</v>
      </c>
      <c r="O97" s="37" t="s">
        <v>644</v>
      </c>
      <c r="P97" s="24">
        <v>6</v>
      </c>
      <c r="Q97" s="24">
        <v>6</v>
      </c>
      <c r="R97" s="24"/>
      <c r="S97" s="66">
        <v>7</v>
      </c>
      <c r="T97" s="37" t="s">
        <v>644</v>
      </c>
      <c r="U97" s="24"/>
      <c r="V97" s="24"/>
      <c r="W97" s="24"/>
      <c r="X97" s="37"/>
      <c r="Y97" s="24"/>
      <c r="Z97" s="37" t="s">
        <v>644</v>
      </c>
      <c r="AA97" s="24">
        <v>6</v>
      </c>
      <c r="AB97" s="37">
        <v>5</v>
      </c>
      <c r="AC97" s="76" t="s">
        <v>644</v>
      </c>
      <c r="AD97" s="24"/>
      <c r="AE97" s="37" t="s">
        <v>644</v>
      </c>
      <c r="AF97" s="27"/>
      <c r="AG97" s="24"/>
      <c r="AH97" s="139" t="s">
        <v>644</v>
      </c>
      <c r="AI97" s="24">
        <v>5</v>
      </c>
      <c r="AJ97" s="27"/>
      <c r="AK97" s="24"/>
      <c r="AL97" s="24"/>
      <c r="AM97" s="24"/>
      <c r="AN97" s="28"/>
      <c r="AO97" s="24"/>
      <c r="AP97" s="24"/>
      <c r="AQ97" s="24"/>
      <c r="AR97" s="26" t="s">
        <v>644</v>
      </c>
      <c r="AS97" s="27"/>
      <c r="AT97" s="24"/>
      <c r="AU97">
        <f>E97 +F97</f>
        <v>19</v>
      </c>
    </row>
    <row r="98" spans="1:47" x14ac:dyDescent="0.25">
      <c r="A98" t="str">
        <f>B98 &amp; " - " &amp;D98</f>
        <v>PSG - Rabiot</v>
      </c>
      <c r="B98" t="s">
        <v>705</v>
      </c>
      <c r="C98" s="29" t="s">
        <v>654</v>
      </c>
      <c r="D98" s="30" t="s">
        <v>697</v>
      </c>
      <c r="E98" s="31">
        <v>18</v>
      </c>
      <c r="F98" s="99">
        <v>5</v>
      </c>
      <c r="G98" s="73">
        <v>1</v>
      </c>
      <c r="H98" s="34">
        <f>AVERAGE(K98,R98,S98,T98,U98,V98,W98,X98,Z98,AD98,AG98,AI98,AJ98,AK98,AL98,AM98,AN98,AT98,AQ98)</f>
        <v>5.8947368421052628</v>
      </c>
      <c r="I98" s="37" t="s">
        <v>655</v>
      </c>
      <c r="J98" s="37"/>
      <c r="K98" s="37">
        <v>5</v>
      </c>
      <c r="L98" s="26"/>
      <c r="M98" s="87" t="s">
        <v>644</v>
      </c>
      <c r="N98" s="24"/>
      <c r="O98" s="24"/>
      <c r="P98" s="24"/>
      <c r="Q98" s="24"/>
      <c r="R98" s="24">
        <v>5</v>
      </c>
      <c r="S98" s="24">
        <v>5</v>
      </c>
      <c r="T98" s="66">
        <v>7</v>
      </c>
      <c r="U98" s="24">
        <v>6</v>
      </c>
      <c r="V98" s="24">
        <v>6</v>
      </c>
      <c r="W98" s="37">
        <v>5</v>
      </c>
      <c r="X98" s="66">
        <v>7</v>
      </c>
      <c r="Y98" s="37" t="s">
        <v>644</v>
      </c>
      <c r="Z98" s="24">
        <v>5</v>
      </c>
      <c r="AA98" s="37" t="s">
        <v>644</v>
      </c>
      <c r="AB98" s="22"/>
      <c r="AC98" s="37"/>
      <c r="AD98" s="66">
        <v>7</v>
      </c>
      <c r="AE98" s="24"/>
      <c r="AF98" s="27"/>
      <c r="AG98" s="24">
        <v>6</v>
      </c>
      <c r="AH98" s="139" t="s">
        <v>644</v>
      </c>
      <c r="AI98" s="84">
        <v>7</v>
      </c>
      <c r="AJ98" s="27">
        <v>5</v>
      </c>
      <c r="AK98" s="24">
        <v>6</v>
      </c>
      <c r="AL98" s="75">
        <v>7</v>
      </c>
      <c r="AM98" s="37">
        <v>5</v>
      </c>
      <c r="AN98" s="193">
        <v>7</v>
      </c>
      <c r="AO98" s="24"/>
      <c r="AP98" s="37"/>
      <c r="AQ98" s="37">
        <v>5</v>
      </c>
      <c r="AR98" s="26"/>
      <c r="AS98" s="27"/>
      <c r="AT98" s="23">
        <v>6</v>
      </c>
      <c r="AU98">
        <f>E98 +F98</f>
        <v>23</v>
      </c>
    </row>
    <row r="99" spans="1:47" x14ac:dyDescent="0.25">
      <c r="A99" t="str">
        <f>B99 &amp; " - " &amp;D99</f>
        <v>PSG - Pastore</v>
      </c>
      <c r="B99" t="s">
        <v>705</v>
      </c>
      <c r="C99" s="29" t="s">
        <v>654</v>
      </c>
      <c r="D99" t="s">
        <v>698</v>
      </c>
      <c r="E99" s="31">
        <v>11</v>
      </c>
      <c r="F99" s="99">
        <v>5</v>
      </c>
      <c r="G99" s="73">
        <v>2</v>
      </c>
      <c r="H99" s="34">
        <f>AVERAGE(N99,O99,P99,R99,AH99,AJ99,AL99,AR99,AT99)</f>
        <v>6.5555555555555554</v>
      </c>
      <c r="I99" s="21">
        <v>4</v>
      </c>
      <c r="J99" s="37" t="s">
        <v>644</v>
      </c>
      <c r="K99" s="37" t="s">
        <v>673</v>
      </c>
      <c r="L99" s="26"/>
      <c r="M99" s="38"/>
      <c r="N99" s="37">
        <v>6</v>
      </c>
      <c r="O99" s="25">
        <v>7</v>
      </c>
      <c r="P99" s="66">
        <v>7</v>
      </c>
      <c r="Q99" s="37" t="s">
        <v>644</v>
      </c>
      <c r="R99" s="24">
        <v>6</v>
      </c>
      <c r="S99" s="24"/>
      <c r="T99" s="24"/>
      <c r="U99" s="24"/>
      <c r="V99" s="22"/>
      <c r="W99" s="24"/>
      <c r="X99" s="24"/>
      <c r="Y99" s="24"/>
      <c r="Z99" s="24"/>
      <c r="AA99" s="24"/>
      <c r="AB99" s="37" t="s">
        <v>644</v>
      </c>
      <c r="AC99" s="23" t="s">
        <v>673</v>
      </c>
      <c r="AD99" s="37"/>
      <c r="AE99" s="24"/>
      <c r="AF99" s="27"/>
      <c r="AG99" s="24"/>
      <c r="AH99" s="27">
        <v>5</v>
      </c>
      <c r="AI99" s="24"/>
      <c r="AJ99" s="246">
        <v>3</v>
      </c>
      <c r="AK99" s="76" t="s">
        <v>644</v>
      </c>
      <c r="AL99" s="25">
        <v>9</v>
      </c>
      <c r="AM99" s="24"/>
      <c r="AN99" s="27"/>
      <c r="AO99" s="22"/>
      <c r="AP99" s="24"/>
      <c r="AQ99" s="24"/>
      <c r="AR99" s="163">
        <v>8</v>
      </c>
      <c r="AS99" s="27"/>
      <c r="AT99" s="66">
        <v>8</v>
      </c>
      <c r="AU99">
        <f>E99 +F99</f>
        <v>16</v>
      </c>
    </row>
    <row r="100" spans="1:47" x14ac:dyDescent="0.25">
      <c r="A100" t="str">
        <f>B100 &amp; " - " &amp;D100</f>
        <v>Losc - Obbadi</v>
      </c>
      <c r="B100" t="s">
        <v>771</v>
      </c>
      <c r="C100" s="302" t="s">
        <v>654</v>
      </c>
      <c r="D100" s="123" t="s">
        <v>759</v>
      </c>
      <c r="E100" s="31">
        <v>25</v>
      </c>
      <c r="F100" s="99">
        <v>5</v>
      </c>
      <c r="G100" s="73">
        <v>1</v>
      </c>
      <c r="H100" s="34">
        <f>AVERAGE(J100,K100,N100,P100,O100,Q100,R100,T100,U100,Y100,Z100,AA100,AB100,AC100,AD100,AE100,AF100,AG100,AJ100,AL100,AM100,AN100,AO100,AQ100,AR100,AS100)</f>
        <v>5.5</v>
      </c>
      <c r="I100" s="37" t="s">
        <v>644</v>
      </c>
      <c r="J100" s="24">
        <v>4</v>
      </c>
      <c r="K100" s="24">
        <v>4</v>
      </c>
      <c r="L100" s="26" t="s">
        <v>644</v>
      </c>
      <c r="M100" s="38"/>
      <c r="N100" s="24">
        <v>5</v>
      </c>
      <c r="O100" s="24">
        <v>5</v>
      </c>
      <c r="P100" s="24">
        <v>5</v>
      </c>
      <c r="Q100" s="24">
        <v>6</v>
      </c>
      <c r="R100" s="66">
        <v>7</v>
      </c>
      <c r="S100" s="24"/>
      <c r="T100" s="24">
        <v>4</v>
      </c>
      <c r="U100" s="37">
        <v>6</v>
      </c>
      <c r="V100" s="24"/>
      <c r="W100" s="24"/>
      <c r="X100" s="24"/>
      <c r="Y100" s="37">
        <v>5</v>
      </c>
      <c r="Z100" s="37">
        <v>6</v>
      </c>
      <c r="AA100" s="37">
        <v>5</v>
      </c>
      <c r="AB100" s="24">
        <v>6</v>
      </c>
      <c r="AC100" s="24">
        <v>5</v>
      </c>
      <c r="AD100" s="37">
        <v>5</v>
      </c>
      <c r="AE100" s="24">
        <v>6</v>
      </c>
      <c r="AF100" s="27">
        <v>6</v>
      </c>
      <c r="AG100" s="24">
        <v>6</v>
      </c>
      <c r="AH100" s="27"/>
      <c r="AI100" s="24"/>
      <c r="AJ100" s="27">
        <v>4</v>
      </c>
      <c r="AK100" s="37" t="s">
        <v>644</v>
      </c>
      <c r="AL100" s="37">
        <v>6</v>
      </c>
      <c r="AM100" s="24">
        <v>5</v>
      </c>
      <c r="AN100" s="142">
        <v>6</v>
      </c>
      <c r="AO100" s="25">
        <v>8</v>
      </c>
      <c r="AP100" s="37" t="s">
        <v>644</v>
      </c>
      <c r="AQ100" s="23">
        <v>6</v>
      </c>
      <c r="AR100" s="142">
        <v>5</v>
      </c>
      <c r="AS100" s="163">
        <v>7</v>
      </c>
      <c r="AT100" s="24"/>
      <c r="AU100">
        <f>E100 +F100</f>
        <v>30</v>
      </c>
    </row>
    <row r="101" spans="1:47" x14ac:dyDescent="0.25">
      <c r="A101" t="str">
        <f>B101 &amp; " - " &amp;D101</f>
        <v>OM - Diarra</v>
      </c>
      <c r="B101" t="s">
        <v>703</v>
      </c>
      <c r="C101" s="29" t="s">
        <v>654</v>
      </c>
      <c r="D101" s="38" t="s">
        <v>661</v>
      </c>
      <c r="E101" s="31">
        <v>25</v>
      </c>
      <c r="F101" s="27">
        <v>1</v>
      </c>
      <c r="G101" s="73">
        <v>1</v>
      </c>
      <c r="H101" s="34">
        <f>AVERAGE(AA101,K101,L101,M101,N101,O101,P101,Q101,R101,S101,T101,V101,W101,X101,Z101,AB101,AC101,AG101,AH101,AI101,AK101,AM101,AN101,AS101,AT101)</f>
        <v>5.48</v>
      </c>
      <c r="I101" s="24"/>
      <c r="J101" s="37"/>
      <c r="K101" s="75">
        <v>7</v>
      </c>
      <c r="L101" s="26">
        <v>4</v>
      </c>
      <c r="M101" s="282">
        <v>7</v>
      </c>
      <c r="N101" s="66">
        <v>7</v>
      </c>
      <c r="O101" s="24">
        <v>5</v>
      </c>
      <c r="P101" s="37">
        <v>5</v>
      </c>
      <c r="Q101" s="84">
        <v>7</v>
      </c>
      <c r="R101" s="37">
        <v>6</v>
      </c>
      <c r="S101" s="24">
        <v>5</v>
      </c>
      <c r="T101" s="24">
        <v>4</v>
      </c>
      <c r="U101" s="24"/>
      <c r="V101" s="83">
        <v>7</v>
      </c>
      <c r="W101" s="24">
        <v>6</v>
      </c>
      <c r="X101" s="24">
        <v>5</v>
      </c>
      <c r="Y101" s="37"/>
      <c r="Z101" s="24">
        <v>6</v>
      </c>
      <c r="AA101" s="24">
        <v>4</v>
      </c>
      <c r="AB101" s="37">
        <v>6</v>
      </c>
      <c r="AC101" s="76">
        <v>5</v>
      </c>
      <c r="AD101" s="24"/>
      <c r="AE101" s="24"/>
      <c r="AF101" s="27"/>
      <c r="AG101" s="24">
        <v>6</v>
      </c>
      <c r="AH101" s="27">
        <v>6</v>
      </c>
      <c r="AI101" s="24">
        <v>4</v>
      </c>
      <c r="AJ101" s="27"/>
      <c r="AK101" s="24">
        <v>5</v>
      </c>
      <c r="AL101" s="37"/>
      <c r="AM101" s="24">
        <v>4</v>
      </c>
      <c r="AN101" s="27">
        <v>5</v>
      </c>
      <c r="AO101" s="37"/>
      <c r="AP101" s="24"/>
      <c r="AQ101" s="24"/>
      <c r="AR101" s="26" t="s">
        <v>644</v>
      </c>
      <c r="AS101" s="27">
        <v>6</v>
      </c>
      <c r="AT101" s="24">
        <v>5</v>
      </c>
      <c r="AU101">
        <f>E101 +F101</f>
        <v>26</v>
      </c>
    </row>
    <row r="102" spans="1:47" x14ac:dyDescent="0.25">
      <c r="A102" t="str">
        <f>B102 &amp; " - " &amp;D102</f>
        <v>PSG - Augustin</v>
      </c>
      <c r="B102" t="s">
        <v>705</v>
      </c>
      <c r="C102" s="29" t="s">
        <v>654</v>
      </c>
      <c r="D102" s="126" t="s">
        <v>381</v>
      </c>
      <c r="E102" s="31">
        <v>4</v>
      </c>
      <c r="F102" s="99">
        <v>9</v>
      </c>
      <c r="G102" s="73">
        <v>1</v>
      </c>
      <c r="H102" s="34">
        <f>AVERAGE(J102,AF102,AH102,AO102)</f>
        <v>4.75</v>
      </c>
      <c r="I102" s="76" t="s">
        <v>644</v>
      </c>
      <c r="J102" s="37">
        <v>4</v>
      </c>
      <c r="K102" s="37" t="s">
        <v>644</v>
      </c>
      <c r="L102" s="94"/>
      <c r="M102" s="48"/>
      <c r="N102" s="24"/>
      <c r="O102" s="24"/>
      <c r="P102" s="24"/>
      <c r="Q102" s="24"/>
      <c r="R102" s="24"/>
      <c r="S102" s="24"/>
      <c r="T102" s="37" t="s">
        <v>644</v>
      </c>
      <c r="U102" s="37"/>
      <c r="V102" s="37" t="s">
        <v>644</v>
      </c>
      <c r="W102" s="77" t="s">
        <v>644</v>
      </c>
      <c r="X102" s="24"/>
      <c r="Y102" s="22"/>
      <c r="Z102" s="24"/>
      <c r="AA102" s="24"/>
      <c r="AB102" s="24"/>
      <c r="AC102" s="24"/>
      <c r="AD102" s="22"/>
      <c r="AE102" s="24"/>
      <c r="AF102" s="142">
        <v>5</v>
      </c>
      <c r="AG102" s="22"/>
      <c r="AH102" s="27">
        <v>4</v>
      </c>
      <c r="AI102" s="24"/>
      <c r="AJ102" s="28"/>
      <c r="AK102" s="76" t="s">
        <v>644</v>
      </c>
      <c r="AL102" s="22"/>
      <c r="AM102" s="76" t="s">
        <v>644</v>
      </c>
      <c r="AN102" s="27"/>
      <c r="AO102" s="24">
        <v>6</v>
      </c>
      <c r="AP102" s="24"/>
      <c r="AQ102" s="37" t="s">
        <v>644</v>
      </c>
      <c r="AR102" s="28"/>
      <c r="AS102" s="26" t="s">
        <v>644</v>
      </c>
      <c r="AT102" s="24"/>
      <c r="AU102">
        <f>E102 +F102</f>
        <v>13</v>
      </c>
    </row>
    <row r="103" spans="1:47" x14ac:dyDescent="0.25">
      <c r="A103" t="str">
        <f>B103 &amp; " - " &amp;D103</f>
        <v>PSG - Nkunku</v>
      </c>
      <c r="B103" t="s">
        <v>705</v>
      </c>
      <c r="C103" s="29" t="s">
        <v>654</v>
      </c>
      <c r="D103" s="126" t="s">
        <v>1115</v>
      </c>
      <c r="E103" s="31">
        <v>4</v>
      </c>
      <c r="F103" s="99">
        <v>1</v>
      </c>
      <c r="G103" s="73"/>
      <c r="H103" s="34">
        <f>AVERAGE(AK103,AO103,AS103,AQ103)</f>
        <v>6</v>
      </c>
      <c r="I103" s="76"/>
      <c r="J103" s="37"/>
      <c r="K103" s="37"/>
      <c r="L103" s="94"/>
      <c r="M103" s="48"/>
      <c r="N103" s="24"/>
      <c r="O103" s="24"/>
      <c r="P103" s="24"/>
      <c r="Q103" s="24"/>
      <c r="R103" s="24"/>
      <c r="S103" s="24"/>
      <c r="T103" s="37"/>
      <c r="U103" s="37"/>
      <c r="V103" s="37"/>
      <c r="W103" s="77"/>
      <c r="X103" s="24"/>
      <c r="Y103" s="22"/>
      <c r="Z103" s="24"/>
      <c r="AA103" s="24"/>
      <c r="AB103" s="24"/>
      <c r="AC103" s="24"/>
      <c r="AD103" s="22"/>
      <c r="AE103" s="24"/>
      <c r="AF103" s="142"/>
      <c r="AG103" s="22"/>
      <c r="AH103" s="27"/>
      <c r="AI103" s="24"/>
      <c r="AJ103" s="28"/>
      <c r="AK103" s="23">
        <v>5</v>
      </c>
      <c r="AL103" s="22"/>
      <c r="AM103" s="24"/>
      <c r="AN103" s="139" t="s">
        <v>644</v>
      </c>
      <c r="AO103" s="66">
        <v>7</v>
      </c>
      <c r="AP103" s="24"/>
      <c r="AQ103" s="24">
        <v>5</v>
      </c>
      <c r="AR103" s="28"/>
      <c r="AS103" s="163">
        <v>7</v>
      </c>
      <c r="AT103" s="24"/>
      <c r="AU103">
        <f>E103 +F103</f>
        <v>5</v>
      </c>
    </row>
    <row r="104" spans="1:47" x14ac:dyDescent="0.25">
      <c r="A104" t="str">
        <f>B104 &amp; " - " &amp;D104</f>
        <v>PSG - Méïté</v>
      </c>
      <c r="B104" t="s">
        <v>705</v>
      </c>
      <c r="C104" s="29" t="s">
        <v>654</v>
      </c>
      <c r="D104" s="126" t="s">
        <v>1131</v>
      </c>
      <c r="E104" s="31"/>
      <c r="F104" s="99">
        <v>1</v>
      </c>
      <c r="G104" s="73"/>
      <c r="H104" s="34"/>
      <c r="I104" s="76"/>
      <c r="J104" s="37"/>
      <c r="K104" s="37"/>
      <c r="L104" s="94"/>
      <c r="M104" s="48"/>
      <c r="N104" s="24"/>
      <c r="O104" s="24"/>
      <c r="P104" s="24"/>
      <c r="Q104" s="24"/>
      <c r="R104" s="24"/>
      <c r="S104" s="24"/>
      <c r="T104" s="37"/>
      <c r="U104" s="37"/>
      <c r="V104" s="37"/>
      <c r="W104" s="77"/>
      <c r="X104" s="24"/>
      <c r="Y104" s="22"/>
      <c r="Z104" s="24"/>
      <c r="AA104" s="24"/>
      <c r="AB104" s="24"/>
      <c r="AC104" s="24"/>
      <c r="AD104" s="22"/>
      <c r="AE104" s="24"/>
      <c r="AF104" s="142"/>
      <c r="AG104" s="22"/>
      <c r="AH104" s="27"/>
      <c r="AI104" s="24"/>
      <c r="AJ104" s="28"/>
      <c r="AK104" s="23"/>
      <c r="AL104" s="22"/>
      <c r="AM104" s="24"/>
      <c r="AN104" s="139"/>
      <c r="AO104" s="37" t="s">
        <v>644</v>
      </c>
      <c r="AP104" s="24"/>
      <c r="AQ104" s="24"/>
      <c r="AR104" s="28"/>
      <c r="AS104" s="27"/>
      <c r="AT104" s="24"/>
      <c r="AU104">
        <f>E104 +F104</f>
        <v>1</v>
      </c>
    </row>
    <row r="105" spans="1:47" x14ac:dyDescent="0.25">
      <c r="A105" t="str">
        <f>B105 &amp; " - " &amp;D105</f>
        <v>Losc - Sidibé</v>
      </c>
      <c r="B105" t="s">
        <v>771</v>
      </c>
      <c r="C105" s="67" t="s">
        <v>641</v>
      </c>
      <c r="D105" s="85" t="s">
        <v>751</v>
      </c>
      <c r="E105" s="69">
        <v>36</v>
      </c>
      <c r="F105" s="115">
        <v>1</v>
      </c>
      <c r="G105" s="68">
        <v>4</v>
      </c>
      <c r="H105" s="72">
        <f>AVERAGE(AT105,AS105,X105,I105,J105,K105,L105,M105,N105,P105,O105,Q105,R105,S105,T105,V105,W105,Y105,Z105,AA105,AB105,AC105,AD105,AF105,AG105,AH105,AI105,AJ105,AK105,AL105,AM105,AN105,AO105,AP105,AQ105,AR105)</f>
        <v>5.4722222222222223</v>
      </c>
      <c r="I105" s="24">
        <v>4</v>
      </c>
      <c r="J105" s="24">
        <v>6</v>
      </c>
      <c r="K105" s="24">
        <v>6</v>
      </c>
      <c r="L105" s="163">
        <v>7</v>
      </c>
      <c r="M105" s="38">
        <v>5</v>
      </c>
      <c r="N105" s="24">
        <v>5</v>
      </c>
      <c r="O105" s="24">
        <v>5</v>
      </c>
      <c r="P105" s="82">
        <v>3</v>
      </c>
      <c r="Q105" s="25">
        <v>7</v>
      </c>
      <c r="R105" s="24">
        <v>5</v>
      </c>
      <c r="S105" s="37">
        <v>5</v>
      </c>
      <c r="T105" s="24">
        <v>5</v>
      </c>
      <c r="U105" s="77" t="s">
        <v>644</v>
      </c>
      <c r="V105" s="24">
        <v>6</v>
      </c>
      <c r="W105" s="24">
        <v>5</v>
      </c>
      <c r="X105" s="24">
        <v>6</v>
      </c>
      <c r="Y105" s="24">
        <v>6</v>
      </c>
      <c r="Z105" s="22">
        <v>6</v>
      </c>
      <c r="AA105" s="24">
        <v>6</v>
      </c>
      <c r="AB105" s="24">
        <v>5</v>
      </c>
      <c r="AC105" s="24">
        <v>4</v>
      </c>
      <c r="AD105" s="24">
        <v>5</v>
      </c>
      <c r="AE105" s="24"/>
      <c r="AF105" s="27">
        <v>6</v>
      </c>
      <c r="AG105" s="24">
        <v>6</v>
      </c>
      <c r="AH105" s="27">
        <v>5</v>
      </c>
      <c r="AI105" s="24">
        <v>6</v>
      </c>
      <c r="AJ105" s="237">
        <v>3</v>
      </c>
      <c r="AK105" s="24">
        <v>5</v>
      </c>
      <c r="AL105" s="24">
        <v>6</v>
      </c>
      <c r="AM105" s="24">
        <v>5</v>
      </c>
      <c r="AN105" s="163">
        <v>7</v>
      </c>
      <c r="AO105" s="25">
        <v>7</v>
      </c>
      <c r="AP105" s="24">
        <v>6</v>
      </c>
      <c r="AQ105" s="23">
        <v>5</v>
      </c>
      <c r="AR105" s="27">
        <v>6</v>
      </c>
      <c r="AS105" s="163">
        <v>7</v>
      </c>
      <c r="AT105" s="24">
        <v>5</v>
      </c>
      <c r="AU105">
        <f>E105 +F105</f>
        <v>37</v>
      </c>
    </row>
    <row r="106" spans="1:47" x14ac:dyDescent="0.25">
      <c r="A106" t="str">
        <f>B106 &amp; " - " &amp;D106</f>
        <v>TFC - Blin</v>
      </c>
      <c r="B106" t="s">
        <v>868</v>
      </c>
      <c r="C106" s="29" t="s">
        <v>654</v>
      </c>
      <c r="D106" s="123" t="s">
        <v>861</v>
      </c>
      <c r="E106" s="31">
        <v>15</v>
      </c>
      <c r="F106" s="99">
        <v>9</v>
      </c>
      <c r="G106" s="73"/>
      <c r="H106" s="34">
        <f>AVERAGE(P106,AB106,AF106,AG106,AH106,AI106,AJ106,AK106,AL106,AN106,AO106,AP106,AQ106,AR106,AS106)</f>
        <v>5.4666666666666668</v>
      </c>
      <c r="I106" s="37" t="s">
        <v>644</v>
      </c>
      <c r="J106" s="37"/>
      <c r="K106" s="79"/>
      <c r="L106" s="155"/>
      <c r="M106" s="101" t="s">
        <v>644</v>
      </c>
      <c r="N106" s="37"/>
      <c r="O106" s="37" t="s">
        <v>644</v>
      </c>
      <c r="P106" s="37">
        <v>5</v>
      </c>
      <c r="Q106" s="37" t="s">
        <v>644</v>
      </c>
      <c r="R106" s="24"/>
      <c r="S106" s="24"/>
      <c r="T106" s="37"/>
      <c r="U106" s="37" t="s">
        <v>644</v>
      </c>
      <c r="V106" s="24"/>
      <c r="W106" s="76" t="s">
        <v>644</v>
      </c>
      <c r="X106" s="37" t="s">
        <v>644</v>
      </c>
      <c r="Y106" s="24"/>
      <c r="Z106" s="37" t="s">
        <v>644</v>
      </c>
      <c r="AA106" s="76" t="s">
        <v>644</v>
      </c>
      <c r="AB106" s="24">
        <v>6</v>
      </c>
      <c r="AC106" s="24"/>
      <c r="AD106" s="24"/>
      <c r="AE106" s="24"/>
      <c r="AF106" s="27">
        <v>6</v>
      </c>
      <c r="AG106" s="37">
        <v>6</v>
      </c>
      <c r="AH106" s="27">
        <v>5</v>
      </c>
      <c r="AI106" s="24">
        <v>6</v>
      </c>
      <c r="AJ106" s="27">
        <v>5</v>
      </c>
      <c r="AK106" s="24">
        <v>5</v>
      </c>
      <c r="AL106" s="66">
        <v>7</v>
      </c>
      <c r="AM106" s="24"/>
      <c r="AN106" s="27">
        <v>5</v>
      </c>
      <c r="AO106" s="66">
        <v>7</v>
      </c>
      <c r="AP106" s="37">
        <v>4</v>
      </c>
      <c r="AQ106" s="24">
        <v>5</v>
      </c>
      <c r="AR106" s="27">
        <v>5</v>
      </c>
      <c r="AS106" s="27">
        <v>5</v>
      </c>
      <c r="AT106" s="24"/>
      <c r="AU106">
        <f>E106 +F106</f>
        <v>24</v>
      </c>
    </row>
    <row r="107" spans="1:47" x14ac:dyDescent="0.25">
      <c r="A107" t="str">
        <f>B107 &amp; " - " &amp;D107</f>
        <v>PSG - Bahebeck</v>
      </c>
      <c r="B107" t="s">
        <v>705</v>
      </c>
      <c r="C107" s="130" t="s">
        <v>665</v>
      </c>
      <c r="D107" s="131" t="s">
        <v>701</v>
      </c>
      <c r="E107" s="132"/>
      <c r="F107" s="133"/>
      <c r="G107" s="134"/>
      <c r="H107" s="34"/>
      <c r="I107" s="135"/>
      <c r="J107" s="136"/>
      <c r="K107" s="137"/>
      <c r="L107" s="137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3"/>
      <c r="AE107" s="138"/>
      <c r="AF107" s="133"/>
      <c r="AG107" s="138"/>
      <c r="AH107" s="133"/>
      <c r="AI107" s="133"/>
      <c r="AJ107" s="138"/>
      <c r="AK107" s="138"/>
      <c r="AL107" s="138"/>
      <c r="AM107" s="138"/>
      <c r="AN107" s="133"/>
      <c r="AO107" s="138"/>
      <c r="AP107" s="138"/>
      <c r="AQ107" s="133"/>
      <c r="AR107" s="133"/>
      <c r="AS107" s="133"/>
      <c r="AT107" s="138"/>
      <c r="AU107">
        <f>E107 +F107</f>
        <v>0</v>
      </c>
    </row>
    <row r="108" spans="1:47" x14ac:dyDescent="0.25">
      <c r="A108" t="str">
        <f>B108 &amp; " - " &amp;D108</f>
        <v>ASM - Moutinho</v>
      </c>
      <c r="B108" t="s">
        <v>974</v>
      </c>
      <c r="C108" s="29" t="s">
        <v>654</v>
      </c>
      <c r="D108" s="30" t="s">
        <v>126</v>
      </c>
      <c r="E108" s="31">
        <v>24</v>
      </c>
      <c r="F108" s="99">
        <v>1</v>
      </c>
      <c r="G108" s="73">
        <v>1</v>
      </c>
      <c r="H108" s="34">
        <f>AVERAGE(J108,I108,N108,R108,S108,T108,U108,V108,W108,X108,Z108,AA108,AB108,AC108,AD108,AE108,AF108,AG108,AH108,AJ108,AK108,AL108,AR108,AT108)</f>
        <v>5.458333333333333</v>
      </c>
      <c r="I108" s="24">
        <v>6</v>
      </c>
      <c r="J108" s="21">
        <v>5</v>
      </c>
      <c r="K108" s="37"/>
      <c r="L108" s="27"/>
      <c r="M108" s="38"/>
      <c r="N108" s="24">
        <v>5</v>
      </c>
      <c r="O108" s="24"/>
      <c r="P108" s="37"/>
      <c r="Q108" s="24"/>
      <c r="R108" s="76">
        <v>5</v>
      </c>
      <c r="S108" s="37">
        <v>5</v>
      </c>
      <c r="T108" s="84">
        <v>7</v>
      </c>
      <c r="U108" s="37">
        <v>4</v>
      </c>
      <c r="V108" s="76">
        <v>5</v>
      </c>
      <c r="W108" s="37">
        <v>5</v>
      </c>
      <c r="X108" s="37">
        <v>4</v>
      </c>
      <c r="Y108" s="24"/>
      <c r="Z108" s="37">
        <v>6</v>
      </c>
      <c r="AA108" s="24">
        <v>5</v>
      </c>
      <c r="AB108" s="24">
        <v>5</v>
      </c>
      <c r="AC108" s="25">
        <v>8</v>
      </c>
      <c r="AD108" s="24">
        <v>6</v>
      </c>
      <c r="AE108" s="37">
        <v>4</v>
      </c>
      <c r="AF108" s="27">
        <v>6</v>
      </c>
      <c r="AG108" s="84">
        <v>7</v>
      </c>
      <c r="AH108" s="27">
        <v>5</v>
      </c>
      <c r="AI108" s="24"/>
      <c r="AJ108" s="26">
        <v>5</v>
      </c>
      <c r="AK108" s="24">
        <v>5</v>
      </c>
      <c r="AL108" s="37">
        <v>5</v>
      </c>
      <c r="AM108" s="37"/>
      <c r="AN108" s="27"/>
      <c r="AO108" s="37"/>
      <c r="AP108" s="24"/>
      <c r="AQ108" s="76" t="s">
        <v>644</v>
      </c>
      <c r="AR108" s="294">
        <v>7</v>
      </c>
      <c r="AS108" s="27"/>
      <c r="AT108" s="37">
        <v>6</v>
      </c>
      <c r="AU108">
        <f>E108 +F108</f>
        <v>25</v>
      </c>
    </row>
    <row r="109" spans="1:47" x14ac:dyDescent="0.25">
      <c r="A109" t="str">
        <f>B109 &amp; " - " &amp;D109</f>
        <v>PSG - Taufflieb</v>
      </c>
      <c r="B109" t="s">
        <v>705</v>
      </c>
      <c r="C109" s="29" t="s">
        <v>665</v>
      </c>
      <c r="D109" s="126" t="s">
        <v>1132</v>
      </c>
      <c r="E109" s="31"/>
      <c r="F109" s="99">
        <v>1</v>
      </c>
      <c r="G109" s="73"/>
      <c r="H109" s="34"/>
      <c r="I109" s="77"/>
      <c r="J109" s="37"/>
      <c r="K109" s="37"/>
      <c r="L109" s="139"/>
      <c r="M109" s="48"/>
      <c r="N109" s="24"/>
      <c r="O109" s="24"/>
      <c r="P109" s="24"/>
      <c r="Q109" s="24"/>
      <c r="R109" s="24"/>
      <c r="S109" s="24"/>
      <c r="T109" s="37"/>
      <c r="U109" s="37"/>
      <c r="V109" s="24"/>
      <c r="W109" s="22"/>
      <c r="X109" s="24"/>
      <c r="Y109" s="22"/>
      <c r="Z109" s="24"/>
      <c r="AA109" s="24"/>
      <c r="AB109" s="24"/>
      <c r="AC109" s="24"/>
      <c r="AD109" s="22"/>
      <c r="AE109" s="24"/>
      <c r="AF109" s="142"/>
      <c r="AG109" s="22"/>
      <c r="AH109" s="27"/>
      <c r="AI109" s="24"/>
      <c r="AJ109" s="28"/>
      <c r="AK109" s="22"/>
      <c r="AL109" s="22"/>
      <c r="AM109" s="24"/>
      <c r="AN109" s="22"/>
      <c r="AO109" s="24"/>
      <c r="AP109" s="37" t="s">
        <v>644</v>
      </c>
      <c r="AQ109" s="24"/>
      <c r="AR109" s="28"/>
      <c r="AS109" s="27"/>
      <c r="AT109" s="24"/>
      <c r="AU109">
        <f>E109 +F109</f>
        <v>1</v>
      </c>
    </row>
    <row r="110" spans="1:47" x14ac:dyDescent="0.25">
      <c r="A110" t="str">
        <f>B110 &amp; " - " &amp;D110</f>
        <v>PSG - Ongenda</v>
      </c>
      <c r="B110" t="s">
        <v>705</v>
      </c>
      <c r="C110" s="29" t="s">
        <v>665</v>
      </c>
      <c r="D110" s="123" t="s">
        <v>702</v>
      </c>
      <c r="E110" s="31">
        <v>4</v>
      </c>
      <c r="F110" s="99">
        <v>1</v>
      </c>
      <c r="G110" s="73">
        <v>1</v>
      </c>
      <c r="H110" s="34">
        <f>AVERAGE(V110,AF110,AN110,AO110)</f>
        <v>6.25</v>
      </c>
      <c r="I110" s="76"/>
      <c r="J110" s="37"/>
      <c r="K110" s="37"/>
      <c r="L110" s="94"/>
      <c r="M110" s="48"/>
      <c r="N110" s="24"/>
      <c r="O110" s="24"/>
      <c r="P110" s="24"/>
      <c r="Q110" s="24"/>
      <c r="R110" s="24"/>
      <c r="S110" s="24"/>
      <c r="T110" s="37"/>
      <c r="U110" s="37"/>
      <c r="V110" s="25">
        <v>7</v>
      </c>
      <c r="W110" s="22"/>
      <c r="X110" s="24"/>
      <c r="Y110" s="22"/>
      <c r="Z110" s="24"/>
      <c r="AA110" s="24"/>
      <c r="AB110" s="24"/>
      <c r="AC110" s="24"/>
      <c r="AD110" s="22"/>
      <c r="AE110" s="24"/>
      <c r="AF110" s="142">
        <v>5</v>
      </c>
      <c r="AG110" s="22"/>
      <c r="AH110" s="27"/>
      <c r="AI110" s="24"/>
      <c r="AJ110" s="28"/>
      <c r="AK110" s="22"/>
      <c r="AL110" s="22"/>
      <c r="AM110" s="24"/>
      <c r="AN110" s="163">
        <v>7</v>
      </c>
      <c r="AO110" s="24">
        <v>6</v>
      </c>
      <c r="AP110" s="37" t="s">
        <v>644</v>
      </c>
      <c r="AQ110" s="24"/>
      <c r="AR110" s="28"/>
      <c r="AS110" s="27"/>
      <c r="AT110" s="24"/>
      <c r="AU110">
        <f>E110 +F110</f>
        <v>5</v>
      </c>
    </row>
    <row r="111" spans="1:47" ht="15.75" thickBot="1" x14ac:dyDescent="0.3">
      <c r="A111" t="str">
        <f>B111 &amp; " - " &amp;D111</f>
        <v>PSG - Lavezzi</v>
      </c>
      <c r="B111" t="s">
        <v>705</v>
      </c>
      <c r="C111" s="259" t="s">
        <v>665</v>
      </c>
      <c r="D111" s="213" t="s">
        <v>93</v>
      </c>
      <c r="E111" s="214">
        <v>3</v>
      </c>
      <c r="F111" s="215">
        <v>13</v>
      </c>
      <c r="G111" s="254">
        <v>2</v>
      </c>
      <c r="H111" s="260">
        <f>AVERAGE(K111,N111,T111)</f>
        <v>4.333333333333333</v>
      </c>
      <c r="I111" s="61"/>
      <c r="J111" s="61" t="s">
        <v>644</v>
      </c>
      <c r="K111" s="61">
        <v>4</v>
      </c>
      <c r="L111" s="275" t="s">
        <v>644</v>
      </c>
      <c r="M111" s="149" t="s">
        <v>644</v>
      </c>
      <c r="N111" s="53">
        <v>4</v>
      </c>
      <c r="O111" s="61" t="s">
        <v>644</v>
      </c>
      <c r="P111" s="61" t="s">
        <v>644</v>
      </c>
      <c r="Q111" s="61" t="s">
        <v>644</v>
      </c>
      <c r="R111" s="61" t="s">
        <v>644</v>
      </c>
      <c r="S111" s="61" t="s">
        <v>644</v>
      </c>
      <c r="T111" s="53">
        <v>5</v>
      </c>
      <c r="U111" s="81" t="s">
        <v>644</v>
      </c>
      <c r="V111" s="59"/>
      <c r="W111" s="61"/>
      <c r="X111" s="53">
        <v>4</v>
      </c>
      <c r="Y111" s="61" t="s">
        <v>644</v>
      </c>
      <c r="Z111" s="53"/>
      <c r="AA111" s="61" t="s">
        <v>644</v>
      </c>
      <c r="AB111" s="61" t="s">
        <v>644</v>
      </c>
      <c r="AC111" s="61"/>
      <c r="AD111" s="61"/>
      <c r="AE111" s="59"/>
      <c r="AF111" s="62"/>
      <c r="AG111" s="59"/>
      <c r="AH111" s="63"/>
      <c r="AI111" s="53"/>
      <c r="AJ111" s="63"/>
      <c r="AK111" s="53"/>
      <c r="AL111" s="53"/>
      <c r="AM111" s="61"/>
      <c r="AN111" s="63"/>
      <c r="AO111" s="53"/>
      <c r="AP111" s="59"/>
      <c r="AQ111" s="61"/>
      <c r="AR111" s="62"/>
      <c r="AS111" s="164"/>
      <c r="AT111" s="61"/>
      <c r="AU111">
        <f>E111 +F111</f>
        <v>16</v>
      </c>
    </row>
    <row r="112" spans="1:47" x14ac:dyDescent="0.25">
      <c r="A112" t="str">
        <f>B112 &amp; " - " &amp;D112</f>
        <v>PSG - Trapp</v>
      </c>
      <c r="B112" t="s">
        <v>705</v>
      </c>
      <c r="C112" s="16" t="s">
        <v>638</v>
      </c>
      <c r="D112" s="308" t="s">
        <v>292</v>
      </c>
      <c r="E112" s="18">
        <v>35</v>
      </c>
      <c r="F112" s="95"/>
      <c r="G112" s="96"/>
      <c r="H112" s="20">
        <f>AVERAGE(Z112,J112,K112,L112,I112,M112,N112,O112,P112,Q112,S112,T112,U112,V112,W112,X112,Y112,AA112,AB112,AC112,AD112,AE112,AF112,AG112,AH112,AI112,AJ112,AK112,AL112,AM112,AN112,AO112,AR112,AS112,AQ112)</f>
        <v>5.4571428571428573</v>
      </c>
      <c r="I112" s="97">
        <v>6</v>
      </c>
      <c r="J112" s="22">
        <v>5</v>
      </c>
      <c r="K112" s="22">
        <v>6</v>
      </c>
      <c r="L112" s="22">
        <v>6</v>
      </c>
      <c r="M112" s="161">
        <v>3</v>
      </c>
      <c r="N112" s="24">
        <v>5</v>
      </c>
      <c r="O112" s="22">
        <v>6</v>
      </c>
      <c r="P112" s="24">
        <v>5</v>
      </c>
      <c r="Q112" s="24">
        <v>6</v>
      </c>
      <c r="R112" s="24"/>
      <c r="S112" s="24">
        <v>6</v>
      </c>
      <c r="T112" s="22">
        <v>6</v>
      </c>
      <c r="U112" s="22">
        <v>6</v>
      </c>
      <c r="V112" s="24">
        <v>6</v>
      </c>
      <c r="W112" s="24">
        <v>5</v>
      </c>
      <c r="X112" s="22">
        <v>5</v>
      </c>
      <c r="Y112" s="22">
        <v>6</v>
      </c>
      <c r="Z112" s="24">
        <v>5</v>
      </c>
      <c r="AA112" s="22">
        <v>6</v>
      </c>
      <c r="AB112" s="22">
        <v>5</v>
      </c>
      <c r="AC112" s="22">
        <v>6</v>
      </c>
      <c r="AD112" s="24">
        <v>5</v>
      </c>
      <c r="AE112" s="22">
        <v>6</v>
      </c>
      <c r="AF112" s="24">
        <v>6</v>
      </c>
      <c r="AG112" s="24">
        <v>6</v>
      </c>
      <c r="AH112" s="28">
        <v>5</v>
      </c>
      <c r="AI112" s="24">
        <v>4</v>
      </c>
      <c r="AJ112" s="24">
        <v>6</v>
      </c>
      <c r="AK112" s="28">
        <v>5</v>
      </c>
      <c r="AL112" s="22">
        <v>6</v>
      </c>
      <c r="AM112" s="24">
        <v>5</v>
      </c>
      <c r="AN112" s="24">
        <v>5</v>
      </c>
      <c r="AO112" s="28">
        <v>6</v>
      </c>
      <c r="AP112" s="27"/>
      <c r="AQ112" s="23">
        <v>5</v>
      </c>
      <c r="AR112" s="22">
        <v>6</v>
      </c>
      <c r="AS112" s="28">
        <v>5</v>
      </c>
      <c r="AT112" s="24"/>
      <c r="AU112">
        <f>E112 +F112</f>
        <v>35</v>
      </c>
    </row>
    <row r="113" spans="1:47" x14ac:dyDescent="0.25">
      <c r="A113" t="str">
        <f>B113 &amp; " - " &amp;D113</f>
        <v>OGCN - Pouplin</v>
      </c>
      <c r="B113" t="s">
        <v>728</v>
      </c>
      <c r="C113" s="29" t="s">
        <v>638</v>
      </c>
      <c r="D113" s="30" t="s">
        <v>706</v>
      </c>
      <c r="E113" s="31">
        <v>1</v>
      </c>
      <c r="F113" s="99"/>
      <c r="G113" s="73"/>
      <c r="H113" s="34"/>
      <c r="I113" s="48" t="s">
        <v>673</v>
      </c>
      <c r="J113" s="24"/>
      <c r="K113" s="24"/>
      <c r="L113" s="24"/>
      <c r="M113" s="24"/>
      <c r="N113" s="37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2"/>
      <c r="AA113" s="24"/>
      <c r="AB113" s="24"/>
      <c r="AC113" s="24"/>
      <c r="AD113" s="24"/>
      <c r="AE113" s="24"/>
      <c r="AF113" s="24"/>
      <c r="AG113" s="24"/>
      <c r="AH113" s="27"/>
      <c r="AI113" s="24"/>
      <c r="AJ113" s="37"/>
      <c r="AK113" s="27"/>
      <c r="AL113" s="24"/>
      <c r="AM113" s="24"/>
      <c r="AN113" s="22"/>
      <c r="AO113" s="27"/>
      <c r="AP113" s="27"/>
      <c r="AQ113" s="24"/>
      <c r="AR113" s="24"/>
      <c r="AS113" s="27"/>
      <c r="AT113" s="24"/>
      <c r="AU113">
        <f>E113 +F113</f>
        <v>1</v>
      </c>
    </row>
    <row r="114" spans="1:47" x14ac:dyDescent="0.25">
      <c r="A114" t="str">
        <f>B114 &amp; " - " &amp;D114</f>
        <v>OGCN - Hassen</v>
      </c>
      <c r="B114" t="s">
        <v>728</v>
      </c>
      <c r="C114" s="67" t="s">
        <v>638</v>
      </c>
      <c r="D114" s="85" t="s">
        <v>630</v>
      </c>
      <c r="E114" s="69">
        <v>12</v>
      </c>
      <c r="F114" s="115">
        <v>2</v>
      </c>
      <c r="G114" s="68"/>
      <c r="H114" s="72">
        <f>AVERAGE(J114,K114,L114,I114,M114,N114,O114,P114,T114,Q114,U114,V114)</f>
        <v>5.583333333333333</v>
      </c>
      <c r="I114" s="141">
        <v>5</v>
      </c>
      <c r="J114" s="142">
        <v>5</v>
      </c>
      <c r="K114" s="24">
        <v>6</v>
      </c>
      <c r="L114" s="24">
        <v>5</v>
      </c>
      <c r="M114" s="23">
        <v>5</v>
      </c>
      <c r="N114" s="37">
        <v>5</v>
      </c>
      <c r="O114" s="23">
        <v>6</v>
      </c>
      <c r="P114" s="24">
        <v>5</v>
      </c>
      <c r="Q114" s="24">
        <v>6</v>
      </c>
      <c r="R114" s="24"/>
      <c r="S114" s="24"/>
      <c r="T114" s="22">
        <v>6</v>
      </c>
      <c r="U114" s="25">
        <v>7</v>
      </c>
      <c r="V114" s="22">
        <v>6</v>
      </c>
      <c r="W114" s="24" t="s">
        <v>655</v>
      </c>
      <c r="X114" s="24"/>
      <c r="Y114" s="24"/>
      <c r="Z114" s="37" t="s">
        <v>644</v>
      </c>
      <c r="AA114" s="24"/>
      <c r="AB114" s="24"/>
      <c r="AC114" s="24"/>
      <c r="AD114" s="24"/>
      <c r="AE114" s="22"/>
      <c r="AF114" s="22"/>
      <c r="AG114" s="22"/>
      <c r="AH114" s="27"/>
      <c r="AI114" s="24"/>
      <c r="AJ114" s="37"/>
      <c r="AK114" s="27"/>
      <c r="AL114" s="24"/>
      <c r="AM114" s="24"/>
      <c r="AN114" s="24"/>
      <c r="AO114" s="27"/>
      <c r="AP114" s="27"/>
      <c r="AQ114" s="24"/>
      <c r="AR114" s="24"/>
      <c r="AS114" s="27"/>
      <c r="AT114" s="24"/>
      <c r="AU114">
        <f>E114 +F114</f>
        <v>14</v>
      </c>
    </row>
    <row r="115" spans="1:47" x14ac:dyDescent="0.25">
      <c r="A115" t="str">
        <f>B115 &amp; " - " &amp;D115</f>
        <v>OGCN - K. Gomis</v>
      </c>
      <c r="B115" t="s">
        <v>728</v>
      </c>
      <c r="C115" s="29" t="s">
        <v>641</v>
      </c>
      <c r="D115" s="30" t="s">
        <v>707</v>
      </c>
      <c r="E115" s="31">
        <v>1</v>
      </c>
      <c r="F115" s="99">
        <v>2</v>
      </c>
      <c r="G115" s="114"/>
      <c r="H115" s="34">
        <f>AVERAGE(J115,K115,I115)</f>
        <v>4.666666666666667</v>
      </c>
      <c r="I115" s="48">
        <v>4</v>
      </c>
      <c r="J115" s="21">
        <v>5</v>
      </c>
      <c r="K115" s="24">
        <v>5</v>
      </c>
      <c r="L115" s="24"/>
      <c r="M115" s="24"/>
      <c r="N115" s="37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37" t="s">
        <v>644</v>
      </c>
      <c r="AE115" s="24"/>
      <c r="AF115" s="24"/>
      <c r="AG115" s="24"/>
      <c r="AH115" s="27"/>
      <c r="AI115" s="24"/>
      <c r="AJ115" s="37"/>
      <c r="AK115" s="27"/>
      <c r="AL115" s="37"/>
      <c r="AM115" s="24"/>
      <c r="AN115" s="24"/>
      <c r="AO115" s="27"/>
      <c r="AP115" s="27"/>
      <c r="AQ115" s="24"/>
      <c r="AR115" s="24"/>
      <c r="AS115" s="27"/>
      <c r="AT115" s="24"/>
      <c r="AU115">
        <f>E115 +F115</f>
        <v>3</v>
      </c>
    </row>
    <row r="116" spans="1:47" x14ac:dyDescent="0.25">
      <c r="A116" t="str">
        <f>B116 &amp; " - " &amp;D116</f>
        <v>OGCN - Genevois</v>
      </c>
      <c r="B116" t="s">
        <v>728</v>
      </c>
      <c r="C116" s="29" t="s">
        <v>641</v>
      </c>
      <c r="D116" s="30" t="s">
        <v>708</v>
      </c>
      <c r="E116" s="31">
        <v>10</v>
      </c>
      <c r="F116" s="99">
        <v>4</v>
      </c>
      <c r="G116" s="114" t="s">
        <v>970</v>
      </c>
      <c r="H116" s="34">
        <f>AVERAGE(Q116,V116,W116,X116,Y116,AB116,AC116,AK116,AR116,AS116,AT116)</f>
        <v>5.1818181818181817</v>
      </c>
      <c r="I116" s="24"/>
      <c r="J116" s="36"/>
      <c r="K116" s="24"/>
      <c r="L116" s="24"/>
      <c r="M116" s="24"/>
      <c r="N116" s="37"/>
      <c r="O116" s="24"/>
      <c r="P116" s="24"/>
      <c r="Q116" s="22">
        <v>6</v>
      </c>
      <c r="R116" s="24"/>
      <c r="S116" s="24"/>
      <c r="T116" s="24"/>
      <c r="U116" s="24"/>
      <c r="V116" s="24">
        <v>5</v>
      </c>
      <c r="W116" s="24">
        <v>5</v>
      </c>
      <c r="X116" s="24">
        <v>6</v>
      </c>
      <c r="Y116" s="24">
        <v>4</v>
      </c>
      <c r="Z116" s="24"/>
      <c r="AA116" s="37" t="s">
        <v>644</v>
      </c>
      <c r="AB116" s="24">
        <v>5</v>
      </c>
      <c r="AC116" s="24">
        <v>5</v>
      </c>
      <c r="AD116" s="76"/>
      <c r="AE116" s="24"/>
      <c r="AF116" s="24"/>
      <c r="AG116" s="24"/>
      <c r="AH116" s="27"/>
      <c r="AI116" s="24"/>
      <c r="AJ116" s="37"/>
      <c r="AK116" s="27">
        <v>6</v>
      </c>
      <c r="AL116" s="37" t="s">
        <v>644</v>
      </c>
      <c r="AM116" s="24"/>
      <c r="AN116" s="24"/>
      <c r="AO116" s="27"/>
      <c r="AP116" s="27"/>
      <c r="AQ116" s="24"/>
      <c r="AR116" s="24">
        <v>6</v>
      </c>
      <c r="AS116" s="27">
        <v>5</v>
      </c>
      <c r="AT116" s="24">
        <v>4</v>
      </c>
      <c r="AU116">
        <f>E116 +F116</f>
        <v>14</v>
      </c>
    </row>
    <row r="117" spans="1:47" x14ac:dyDescent="0.25">
      <c r="A117" t="str">
        <f>B117 &amp; " - " &amp;D117</f>
        <v>OGCN - Boscagli</v>
      </c>
      <c r="B117" t="s">
        <v>728</v>
      </c>
      <c r="C117" s="29" t="s">
        <v>641</v>
      </c>
      <c r="D117" s="60" t="s">
        <v>709</v>
      </c>
      <c r="E117" s="31">
        <v>8</v>
      </c>
      <c r="F117" s="99">
        <v>3</v>
      </c>
      <c r="G117" s="73">
        <v>1</v>
      </c>
      <c r="H117" s="34">
        <f>AVERAGE(K117,L117,M117,O117,S117,Z117,AA117,AK117)</f>
        <v>5.375</v>
      </c>
      <c r="I117" s="38" t="s">
        <v>655</v>
      </c>
      <c r="J117" s="36"/>
      <c r="K117" s="24">
        <v>5</v>
      </c>
      <c r="L117" s="24">
        <v>4</v>
      </c>
      <c r="M117" s="24">
        <v>6</v>
      </c>
      <c r="N117" s="37"/>
      <c r="O117" s="24">
        <v>5</v>
      </c>
      <c r="P117" s="24"/>
      <c r="Q117" s="24"/>
      <c r="R117" s="24"/>
      <c r="S117" s="24">
        <v>5</v>
      </c>
      <c r="T117" s="24"/>
      <c r="U117" s="24"/>
      <c r="V117" s="24"/>
      <c r="W117" s="24"/>
      <c r="X117" s="24"/>
      <c r="Y117" s="37" t="s">
        <v>644</v>
      </c>
      <c r="Z117" s="24">
        <v>6</v>
      </c>
      <c r="AA117" s="22">
        <v>6</v>
      </c>
      <c r="AB117" s="24"/>
      <c r="AC117" s="24"/>
      <c r="AD117" s="24"/>
      <c r="AE117" s="24"/>
      <c r="AF117" s="24"/>
      <c r="AG117" s="24"/>
      <c r="AH117" s="27"/>
      <c r="AI117" s="24"/>
      <c r="AJ117" s="37"/>
      <c r="AK117" s="26">
        <v>6</v>
      </c>
      <c r="AL117" s="24"/>
      <c r="AM117" s="24"/>
      <c r="AN117" s="24"/>
      <c r="AO117" s="27"/>
      <c r="AP117" s="27"/>
      <c r="AQ117" s="24"/>
      <c r="AR117" s="37" t="s">
        <v>644</v>
      </c>
      <c r="AS117" s="27"/>
      <c r="AT117" s="24"/>
      <c r="AU117">
        <f>E117 +F117</f>
        <v>11</v>
      </c>
    </row>
    <row r="118" spans="1:47" x14ac:dyDescent="0.25">
      <c r="A118" t="str">
        <f>B118 &amp; " - " &amp;D118</f>
        <v>OGCN - N. Mendy</v>
      </c>
      <c r="B118" t="s">
        <v>728</v>
      </c>
      <c r="C118" s="29" t="s">
        <v>654</v>
      </c>
      <c r="D118" s="30" t="s">
        <v>717</v>
      </c>
      <c r="E118" s="31">
        <v>38</v>
      </c>
      <c r="F118" s="99"/>
      <c r="G118" s="73">
        <v>1</v>
      </c>
      <c r="H118" s="34">
        <f>AVERAGE(AT118,AS118,AR118,AQ118,AA118,Z118,Y118,X118,W118,J118,K118,L118,I118,M118,N118,O118,P118,R118,S118,T118,Q118,U118,V118,AB118,AC118,AD118,AE118,AF118,AG118,AH118,AI118,AJ118,AK118,AL118,AM118,AN118,AO118,AP118)</f>
        <v>5.4473684210526319</v>
      </c>
      <c r="I118" s="48">
        <v>5</v>
      </c>
      <c r="J118" s="24">
        <v>5</v>
      </c>
      <c r="K118" s="66">
        <v>7</v>
      </c>
      <c r="L118" s="24">
        <v>6</v>
      </c>
      <c r="M118" s="24">
        <v>5</v>
      </c>
      <c r="N118" s="75">
        <v>7</v>
      </c>
      <c r="O118" s="24">
        <v>5</v>
      </c>
      <c r="P118" s="24">
        <v>4</v>
      </c>
      <c r="Q118" s="24">
        <v>5</v>
      </c>
      <c r="R118" s="24">
        <v>5</v>
      </c>
      <c r="S118" s="24">
        <v>5</v>
      </c>
      <c r="T118" s="24">
        <v>5</v>
      </c>
      <c r="U118" s="24">
        <v>5</v>
      </c>
      <c r="V118" s="24">
        <v>6</v>
      </c>
      <c r="W118" s="24">
        <v>5</v>
      </c>
      <c r="X118" s="24">
        <v>5</v>
      </c>
      <c r="Y118" s="24">
        <v>4</v>
      </c>
      <c r="Z118" s="24">
        <v>6</v>
      </c>
      <c r="AA118" s="24">
        <v>5</v>
      </c>
      <c r="AB118" s="24">
        <v>5</v>
      </c>
      <c r="AC118" s="24">
        <v>5</v>
      </c>
      <c r="AD118" s="24">
        <v>6</v>
      </c>
      <c r="AE118" s="82">
        <v>3</v>
      </c>
      <c r="AF118" s="24">
        <v>6</v>
      </c>
      <c r="AG118" s="24">
        <v>6</v>
      </c>
      <c r="AH118" s="27">
        <v>6</v>
      </c>
      <c r="AI118" s="24">
        <v>6</v>
      </c>
      <c r="AJ118" s="37">
        <v>4</v>
      </c>
      <c r="AK118" s="27">
        <v>6</v>
      </c>
      <c r="AL118" s="24">
        <v>5</v>
      </c>
      <c r="AM118" s="66">
        <v>7</v>
      </c>
      <c r="AN118" s="24">
        <v>5</v>
      </c>
      <c r="AO118" s="163">
        <v>7</v>
      </c>
      <c r="AP118" s="27">
        <v>5</v>
      </c>
      <c r="AQ118" s="66">
        <v>7</v>
      </c>
      <c r="AR118" s="24">
        <v>5</v>
      </c>
      <c r="AS118" s="27">
        <v>6</v>
      </c>
      <c r="AT118" s="66">
        <v>7</v>
      </c>
      <c r="AU118">
        <f>E118 +F118</f>
        <v>38</v>
      </c>
    </row>
    <row r="119" spans="1:47" x14ac:dyDescent="0.25">
      <c r="A119" t="str">
        <f>B119 &amp; " - " &amp;D119</f>
        <v>ASM - Toulalan</v>
      </c>
      <c r="B119" t="s">
        <v>974</v>
      </c>
      <c r="C119" s="29" t="s">
        <v>654</v>
      </c>
      <c r="D119" s="30" t="s">
        <v>964</v>
      </c>
      <c r="E119" s="31">
        <v>25</v>
      </c>
      <c r="F119" s="99"/>
      <c r="G119" s="73"/>
      <c r="H119" s="34">
        <f>AVERAGE(AA119,J119,K119,L119,I119,Q119,R119,S119,T119,U119,V119,Z119,AB119,AC119,AI119,AJ119,AK119,AL119,AM119,AN119,AO119,AP119,AQ119,AS119,AT119)</f>
        <v>5.44</v>
      </c>
      <c r="I119" s="48">
        <v>6</v>
      </c>
      <c r="J119" s="21">
        <v>5</v>
      </c>
      <c r="K119" s="37">
        <v>5</v>
      </c>
      <c r="L119" s="24">
        <v>5</v>
      </c>
      <c r="M119" s="24"/>
      <c r="N119" s="24"/>
      <c r="O119" s="24"/>
      <c r="P119" s="37"/>
      <c r="Q119" s="24">
        <v>6</v>
      </c>
      <c r="R119" s="37">
        <v>5</v>
      </c>
      <c r="S119" s="37">
        <v>6</v>
      </c>
      <c r="T119" s="24">
        <v>6</v>
      </c>
      <c r="U119" s="37">
        <v>6</v>
      </c>
      <c r="V119" s="24">
        <v>5</v>
      </c>
      <c r="W119" s="37"/>
      <c r="X119" s="37"/>
      <c r="Y119" s="24"/>
      <c r="Z119" s="37">
        <v>5</v>
      </c>
      <c r="AA119" s="24">
        <v>6</v>
      </c>
      <c r="AB119" s="24">
        <v>5</v>
      </c>
      <c r="AC119" s="24">
        <v>6</v>
      </c>
      <c r="AD119" s="24"/>
      <c r="AE119" s="37"/>
      <c r="AF119" s="24"/>
      <c r="AG119" s="37"/>
      <c r="AH119" s="27"/>
      <c r="AI119" s="24">
        <v>5</v>
      </c>
      <c r="AJ119" s="84">
        <v>7</v>
      </c>
      <c r="AK119" s="27">
        <v>6</v>
      </c>
      <c r="AL119" s="37">
        <v>6</v>
      </c>
      <c r="AM119" s="37">
        <v>6</v>
      </c>
      <c r="AN119" s="24">
        <v>5</v>
      </c>
      <c r="AO119" s="252">
        <v>3</v>
      </c>
      <c r="AP119" s="27">
        <v>6</v>
      </c>
      <c r="AQ119" s="37">
        <v>6</v>
      </c>
      <c r="AR119" s="37"/>
      <c r="AS119" s="237">
        <v>3</v>
      </c>
      <c r="AT119" s="37">
        <v>6</v>
      </c>
      <c r="AU119">
        <f>E119 +F119</f>
        <v>25</v>
      </c>
    </row>
    <row r="120" spans="1:47" x14ac:dyDescent="0.25">
      <c r="A120" t="str">
        <f>B120 &amp; " - " &amp;D120</f>
        <v>OL - Cornet</v>
      </c>
      <c r="B120" t="s">
        <v>704</v>
      </c>
      <c r="C120" s="29" t="s">
        <v>665</v>
      </c>
      <c r="D120" s="60" t="s">
        <v>289</v>
      </c>
      <c r="E120" s="31">
        <v>16</v>
      </c>
      <c r="F120" s="99">
        <v>15</v>
      </c>
      <c r="G120" s="73">
        <v>8</v>
      </c>
      <c r="H120" s="34">
        <f>AVERAGE(P120,Y120,Z120,AA120,AF120,AH120,AI120,AJ120,AK120,AL120,AM120,AN120,AO120,AR120,AS120,AT120)</f>
        <v>5.4375</v>
      </c>
      <c r="I120" s="101"/>
      <c r="J120" s="79" t="s">
        <v>644</v>
      </c>
      <c r="K120" s="37" t="s">
        <v>644</v>
      </c>
      <c r="L120" s="37" t="s">
        <v>644</v>
      </c>
      <c r="M120" s="37" t="s">
        <v>644</v>
      </c>
      <c r="N120" s="37"/>
      <c r="O120" s="37" t="s">
        <v>644</v>
      </c>
      <c r="P120" s="37">
        <v>4</v>
      </c>
      <c r="Q120" s="37"/>
      <c r="R120" s="37" t="s">
        <v>644</v>
      </c>
      <c r="S120" s="77" t="s">
        <v>644</v>
      </c>
      <c r="T120" s="37" t="s">
        <v>644</v>
      </c>
      <c r="U120" s="24"/>
      <c r="V120" s="37" t="s">
        <v>644</v>
      </c>
      <c r="W120" s="37" t="s">
        <v>644</v>
      </c>
      <c r="X120" s="37"/>
      <c r="Y120" s="37">
        <v>4</v>
      </c>
      <c r="Z120" s="24">
        <v>4</v>
      </c>
      <c r="AA120" s="24">
        <v>5</v>
      </c>
      <c r="AB120" s="24"/>
      <c r="AC120" s="76" t="s">
        <v>644</v>
      </c>
      <c r="AD120" s="37" t="s">
        <v>644</v>
      </c>
      <c r="AE120" s="37" t="s">
        <v>644</v>
      </c>
      <c r="AF120" s="24">
        <v>5</v>
      </c>
      <c r="AG120" s="37" t="s">
        <v>644</v>
      </c>
      <c r="AH120" s="247">
        <v>7</v>
      </c>
      <c r="AI120" s="24">
        <v>4</v>
      </c>
      <c r="AJ120" s="75">
        <v>7</v>
      </c>
      <c r="AK120" s="247">
        <v>7</v>
      </c>
      <c r="AL120" s="37">
        <v>6</v>
      </c>
      <c r="AM120" s="24">
        <v>4</v>
      </c>
      <c r="AN120" s="24">
        <v>4</v>
      </c>
      <c r="AO120" s="247">
        <v>8</v>
      </c>
      <c r="AP120" s="27" t="s">
        <v>655</v>
      </c>
      <c r="AQ120" s="24"/>
      <c r="AR120" s="22">
        <v>6</v>
      </c>
      <c r="AS120" s="27">
        <v>6</v>
      </c>
      <c r="AT120" s="22">
        <v>6</v>
      </c>
      <c r="AU120">
        <f>E120 +F120</f>
        <v>31</v>
      </c>
    </row>
    <row r="121" spans="1:47" x14ac:dyDescent="0.25">
      <c r="A121" t="str">
        <f>B121 &amp; " - " &amp;D121</f>
        <v>OGCN - Bodmer</v>
      </c>
      <c r="B121" t="s">
        <v>728</v>
      </c>
      <c r="C121" s="67" t="s">
        <v>641</v>
      </c>
      <c r="D121" s="85" t="s">
        <v>713</v>
      </c>
      <c r="E121" s="69">
        <v>16</v>
      </c>
      <c r="F121" s="115">
        <v>2</v>
      </c>
      <c r="G121" s="68">
        <v>1</v>
      </c>
      <c r="H121" s="72">
        <f>AVERAGE(N121,O121,P121,R121,S121,Q121,W121,Y121,Z121,AA121,AE121,AH121,AI121,AJ121,AK121)</f>
        <v>5.0666666666666664</v>
      </c>
      <c r="I121" s="144" t="s">
        <v>673</v>
      </c>
      <c r="J121" s="24"/>
      <c r="K121" s="24"/>
      <c r="L121" s="24"/>
      <c r="M121" s="24"/>
      <c r="N121" s="37">
        <v>4</v>
      </c>
      <c r="O121" s="23">
        <v>5</v>
      </c>
      <c r="P121" s="24">
        <v>5</v>
      </c>
      <c r="Q121" s="83">
        <v>7</v>
      </c>
      <c r="R121" s="22">
        <v>6</v>
      </c>
      <c r="S121" s="24">
        <v>5</v>
      </c>
      <c r="T121" s="24"/>
      <c r="U121" s="24"/>
      <c r="V121" s="24"/>
      <c r="W121" s="24">
        <v>5</v>
      </c>
      <c r="X121" s="24"/>
      <c r="Y121" s="37">
        <v>5</v>
      </c>
      <c r="Z121" s="24">
        <v>6</v>
      </c>
      <c r="AA121" s="24">
        <v>6</v>
      </c>
      <c r="AB121" s="24"/>
      <c r="AC121" s="24"/>
      <c r="AD121" s="24"/>
      <c r="AE121" s="24">
        <v>4</v>
      </c>
      <c r="AF121" s="24"/>
      <c r="AG121" s="37" t="s">
        <v>644</v>
      </c>
      <c r="AH121" s="27">
        <v>4</v>
      </c>
      <c r="AI121" s="24">
        <v>4</v>
      </c>
      <c r="AJ121" s="37">
        <v>5</v>
      </c>
      <c r="AK121" s="27">
        <v>5</v>
      </c>
      <c r="AL121" s="24"/>
      <c r="AM121" s="24"/>
      <c r="AN121" s="24"/>
      <c r="AO121" s="28"/>
      <c r="AP121" s="27"/>
      <c r="AQ121" s="24"/>
      <c r="AR121" s="24"/>
      <c r="AS121" s="26" t="s">
        <v>644</v>
      </c>
      <c r="AT121" s="37" t="s">
        <v>644</v>
      </c>
      <c r="AU121">
        <f>E121 +F121</f>
        <v>18</v>
      </c>
    </row>
    <row r="122" spans="1:47" x14ac:dyDescent="0.25">
      <c r="A122" t="str">
        <f>B122 &amp; " - " &amp;D122</f>
        <v>OGCN - Ma. Traoré</v>
      </c>
      <c r="B122" t="s">
        <v>728</v>
      </c>
      <c r="C122" s="29" t="s">
        <v>654</v>
      </c>
      <c r="D122" s="30" t="s">
        <v>714</v>
      </c>
      <c r="E122" s="31">
        <v>4</v>
      </c>
      <c r="F122" s="99">
        <v>7</v>
      </c>
      <c r="G122" s="73">
        <v>2</v>
      </c>
      <c r="H122" s="34">
        <f>AVERAGE(Q122,AK122,AL122)</f>
        <v>5.666666666666667</v>
      </c>
      <c r="I122" s="48"/>
      <c r="J122" s="24" t="s">
        <v>673</v>
      </c>
      <c r="K122" s="24"/>
      <c r="L122" s="24"/>
      <c r="M122" s="24"/>
      <c r="N122" s="37"/>
      <c r="O122" s="37" t="s">
        <v>644</v>
      </c>
      <c r="P122" s="37" t="s">
        <v>644</v>
      </c>
      <c r="Q122" s="24">
        <v>5</v>
      </c>
      <c r="R122" s="77" t="s">
        <v>644</v>
      </c>
      <c r="S122" s="24"/>
      <c r="T122" s="37" t="s">
        <v>644</v>
      </c>
      <c r="U122" s="37" t="s">
        <v>644</v>
      </c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7"/>
      <c r="AI122" s="24"/>
      <c r="AJ122" s="37" t="s">
        <v>644</v>
      </c>
      <c r="AK122" s="247">
        <v>7</v>
      </c>
      <c r="AL122" s="24">
        <v>5</v>
      </c>
      <c r="AM122" s="24"/>
      <c r="AN122" s="24"/>
      <c r="AO122" s="27"/>
      <c r="AP122" s="27"/>
      <c r="AQ122" s="24"/>
      <c r="AR122" s="24"/>
      <c r="AS122" s="26" t="s">
        <v>644</v>
      </c>
      <c r="AT122" s="37" t="s">
        <v>644</v>
      </c>
      <c r="AU122">
        <f>E122 +F122</f>
        <v>11</v>
      </c>
    </row>
    <row r="123" spans="1:47" x14ac:dyDescent="0.25">
      <c r="A123" t="str">
        <f>B123 &amp; " - " &amp;D123</f>
        <v>OGCN - Eysseric</v>
      </c>
      <c r="B123" t="s">
        <v>728</v>
      </c>
      <c r="C123" s="50" t="s">
        <v>654</v>
      </c>
      <c r="D123" s="57" t="s">
        <v>203</v>
      </c>
      <c r="E123" s="52"/>
      <c r="F123" s="63">
        <v>1</v>
      </c>
      <c r="G123" s="145"/>
      <c r="H123" s="34"/>
      <c r="I123" s="45"/>
      <c r="J123" s="61" t="s">
        <v>644</v>
      </c>
      <c r="K123" s="46"/>
      <c r="L123" s="46"/>
      <c r="M123" s="46"/>
      <c r="N123" s="55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7"/>
      <c r="AI123" s="46"/>
      <c r="AJ123" s="55"/>
      <c r="AK123" s="47"/>
      <c r="AL123" s="46"/>
      <c r="AM123" s="46"/>
      <c r="AN123" s="46"/>
      <c r="AO123" s="47"/>
      <c r="AP123" s="47"/>
      <c r="AQ123" s="46"/>
      <c r="AR123" s="46"/>
      <c r="AS123" s="47"/>
      <c r="AT123" s="46"/>
      <c r="AU123">
        <f>E123 +F123</f>
        <v>1</v>
      </c>
    </row>
    <row r="124" spans="1:47" x14ac:dyDescent="0.25">
      <c r="A124" t="str">
        <f>B124 &amp; " - " &amp;D124</f>
        <v>OGCN - Vercauteren</v>
      </c>
      <c r="B124" t="s">
        <v>728</v>
      </c>
      <c r="C124" s="50" t="s">
        <v>654</v>
      </c>
      <c r="D124" s="57" t="s">
        <v>715</v>
      </c>
      <c r="E124" s="52"/>
      <c r="F124" s="63"/>
      <c r="G124" s="145"/>
      <c r="H124" s="34"/>
      <c r="I124" s="45"/>
      <c r="J124" s="61"/>
      <c r="K124" s="46"/>
      <c r="L124" s="46"/>
      <c r="M124" s="46"/>
      <c r="N124" s="55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7"/>
      <c r="AI124" s="46"/>
      <c r="AJ124" s="55"/>
      <c r="AK124" s="47"/>
      <c r="AL124" s="46"/>
      <c r="AM124" s="46"/>
      <c r="AN124" s="46"/>
      <c r="AO124" s="47"/>
      <c r="AP124" s="47"/>
      <c r="AQ124" s="46"/>
      <c r="AR124" s="46"/>
      <c r="AS124" s="47"/>
      <c r="AT124" s="46"/>
      <c r="AU124">
        <f>E124 +F124</f>
        <v>0</v>
      </c>
    </row>
    <row r="125" spans="1:47" x14ac:dyDescent="0.25">
      <c r="A125" t="str">
        <f>B125 &amp; " - " &amp;D125</f>
        <v>OGCN - Hult</v>
      </c>
      <c r="B125" t="s">
        <v>728</v>
      </c>
      <c r="C125" s="29" t="s">
        <v>654</v>
      </c>
      <c r="D125" s="60" t="s">
        <v>598</v>
      </c>
      <c r="E125" s="31">
        <v>9</v>
      </c>
      <c r="F125" s="99">
        <v>5</v>
      </c>
      <c r="G125" s="73">
        <v>1</v>
      </c>
      <c r="H125" s="34">
        <f>AVERAGE(V125,X125,AA125,AB125,AC125,AD125,AF125,AN125)</f>
        <v>5.25</v>
      </c>
      <c r="I125" s="24"/>
      <c r="J125" s="36"/>
      <c r="K125" s="24"/>
      <c r="L125" s="24"/>
      <c r="M125" s="24"/>
      <c r="N125" s="37"/>
      <c r="O125" s="37"/>
      <c r="P125" s="24"/>
      <c r="Q125" s="37" t="s">
        <v>644</v>
      </c>
      <c r="R125" s="24"/>
      <c r="S125" s="24"/>
      <c r="T125" s="24"/>
      <c r="U125" s="37" t="s">
        <v>644</v>
      </c>
      <c r="V125" s="24">
        <v>6</v>
      </c>
      <c r="W125" s="24"/>
      <c r="X125" s="24">
        <v>5</v>
      </c>
      <c r="Y125" s="37" t="s">
        <v>655</v>
      </c>
      <c r="Z125" s="24"/>
      <c r="AA125" s="24">
        <v>5</v>
      </c>
      <c r="AB125" s="22">
        <v>6</v>
      </c>
      <c r="AC125" s="24">
        <v>5</v>
      </c>
      <c r="AD125" s="23">
        <v>5</v>
      </c>
      <c r="AE125" s="24"/>
      <c r="AF125" s="66">
        <v>7</v>
      </c>
      <c r="AG125" s="24"/>
      <c r="AH125" s="26" t="s">
        <v>644</v>
      </c>
      <c r="AI125" s="24"/>
      <c r="AJ125" s="37"/>
      <c r="AK125" s="26"/>
      <c r="AL125" s="24"/>
      <c r="AM125" s="37" t="s">
        <v>644</v>
      </c>
      <c r="AN125" s="166">
        <v>3</v>
      </c>
      <c r="AO125" s="26" t="s">
        <v>644</v>
      </c>
      <c r="AP125" s="26" t="s">
        <v>644</v>
      </c>
      <c r="AQ125" s="37"/>
      <c r="AR125" s="37"/>
      <c r="AS125" s="27"/>
      <c r="AT125" s="24"/>
      <c r="AU125">
        <f>E125 +F125</f>
        <v>14</v>
      </c>
    </row>
    <row r="126" spans="1:47" x14ac:dyDescent="0.25">
      <c r="A126" t="str">
        <f>B126 &amp; " - " &amp;D126</f>
        <v>OL - Lopes</v>
      </c>
      <c r="B126" t="s">
        <v>704</v>
      </c>
      <c r="C126" s="29" t="s">
        <v>638</v>
      </c>
      <c r="D126" s="30" t="s">
        <v>124</v>
      </c>
      <c r="E126" s="31">
        <v>37</v>
      </c>
      <c r="F126" s="32"/>
      <c r="G126" s="190"/>
      <c r="H126" s="34">
        <f>AVERAGE(Z126,J126,K126,L126,I126,M126,N126,O126,P126,Q126,R126,S126,T126,U126,V126,W126,Y126,AA126,AB126,AC126,AD126,AE126,AF126,AG126,AH126,AI126,AJ126,AK126,AL126,AM126,AN126,AO126,AP126,AQ126,AR126,AS126,AT126)</f>
        <v>5.4324324324324325</v>
      </c>
      <c r="I126" s="77">
        <v>6</v>
      </c>
      <c r="J126" s="77">
        <v>6</v>
      </c>
      <c r="K126" s="24">
        <v>5</v>
      </c>
      <c r="L126" s="75">
        <v>7</v>
      </c>
      <c r="M126" s="22">
        <v>6</v>
      </c>
      <c r="N126" s="24">
        <v>5</v>
      </c>
      <c r="O126" s="22">
        <v>6</v>
      </c>
      <c r="P126" s="24">
        <v>4</v>
      </c>
      <c r="Q126" s="22">
        <v>6</v>
      </c>
      <c r="R126" s="24">
        <v>4</v>
      </c>
      <c r="S126" s="25">
        <v>7</v>
      </c>
      <c r="T126" s="22">
        <v>6</v>
      </c>
      <c r="U126" s="22">
        <v>5</v>
      </c>
      <c r="V126" s="23">
        <v>5</v>
      </c>
      <c r="W126" s="24">
        <v>5</v>
      </c>
      <c r="X126" s="24"/>
      <c r="Y126" s="24">
        <v>5</v>
      </c>
      <c r="Z126" s="23">
        <v>4</v>
      </c>
      <c r="AA126" s="23">
        <v>6</v>
      </c>
      <c r="AB126" s="142">
        <v>5</v>
      </c>
      <c r="AC126" s="23">
        <v>5</v>
      </c>
      <c r="AD126" s="142">
        <v>5</v>
      </c>
      <c r="AE126" s="142">
        <v>5</v>
      </c>
      <c r="AF126" s="22">
        <v>6</v>
      </c>
      <c r="AG126" s="28">
        <v>6</v>
      </c>
      <c r="AH126" s="83">
        <v>7</v>
      </c>
      <c r="AI126" s="24">
        <v>5</v>
      </c>
      <c r="AJ126" s="24">
        <v>6</v>
      </c>
      <c r="AK126" s="23">
        <v>6</v>
      </c>
      <c r="AL126" s="24">
        <v>5</v>
      </c>
      <c r="AM126" s="22">
        <v>6</v>
      </c>
      <c r="AN126" s="142">
        <v>5</v>
      </c>
      <c r="AO126" s="247">
        <v>7</v>
      </c>
      <c r="AP126" s="24">
        <v>5</v>
      </c>
      <c r="AQ126" s="23">
        <v>6</v>
      </c>
      <c r="AR126" s="27">
        <v>5</v>
      </c>
      <c r="AS126" s="24">
        <v>4</v>
      </c>
      <c r="AT126" s="23">
        <v>4</v>
      </c>
      <c r="AU126">
        <f>E126 +F126</f>
        <v>37</v>
      </c>
    </row>
    <row r="127" spans="1:47" x14ac:dyDescent="0.25">
      <c r="A127" t="str">
        <f>B127 &amp; " - " &amp;D127</f>
        <v>OL - Ferri</v>
      </c>
      <c r="B127" t="s">
        <v>704</v>
      </c>
      <c r="C127" s="29" t="s">
        <v>654</v>
      </c>
      <c r="D127" s="30" t="s">
        <v>139</v>
      </c>
      <c r="E127" s="31">
        <v>26</v>
      </c>
      <c r="F127" s="99">
        <v>8</v>
      </c>
      <c r="G127" s="73">
        <v>2</v>
      </c>
      <c r="H127" s="34">
        <f>AVERAGE(Z127,X127,J127,K127,L127,I127,M127,P127,Q127,R127,S127,T127,U127,V127,W127,Y127,AA127,AC127,AE127,AH127,AI127,AJ127,AL127,AN127,AO127,AP127,AQ127,AR127,AS127)</f>
        <v>5.4137931034482758</v>
      </c>
      <c r="I127" s="101">
        <v>6</v>
      </c>
      <c r="J127" s="74">
        <v>6</v>
      </c>
      <c r="K127" s="24">
        <v>4</v>
      </c>
      <c r="L127" s="37">
        <v>6</v>
      </c>
      <c r="M127" s="24">
        <v>4</v>
      </c>
      <c r="N127" s="37" t="s">
        <v>644</v>
      </c>
      <c r="O127" s="24"/>
      <c r="P127" s="24">
        <v>4</v>
      </c>
      <c r="Q127" s="24">
        <v>5</v>
      </c>
      <c r="R127" s="24">
        <v>5</v>
      </c>
      <c r="S127" s="24">
        <v>5</v>
      </c>
      <c r="T127" s="24">
        <v>6</v>
      </c>
      <c r="U127" s="66">
        <v>7</v>
      </c>
      <c r="V127" s="37">
        <v>5</v>
      </c>
      <c r="W127" s="24">
        <v>6</v>
      </c>
      <c r="X127" s="37">
        <v>6</v>
      </c>
      <c r="Y127" s="24">
        <v>6</v>
      </c>
      <c r="Z127" s="22">
        <v>5</v>
      </c>
      <c r="AA127" s="76">
        <v>5</v>
      </c>
      <c r="AB127" s="77" t="s">
        <v>644</v>
      </c>
      <c r="AC127" s="24">
        <v>5</v>
      </c>
      <c r="AD127" s="24"/>
      <c r="AE127" s="24">
        <v>4</v>
      </c>
      <c r="AF127" s="37" t="s">
        <v>644</v>
      </c>
      <c r="AG127" s="37" t="s">
        <v>644</v>
      </c>
      <c r="AH127" s="163">
        <v>7</v>
      </c>
      <c r="AI127" s="24">
        <v>4</v>
      </c>
      <c r="AJ127" s="24">
        <v>6</v>
      </c>
      <c r="AK127" s="27"/>
      <c r="AL127" s="24">
        <v>6</v>
      </c>
      <c r="AM127" s="76" t="s">
        <v>644</v>
      </c>
      <c r="AN127" s="24">
        <v>5</v>
      </c>
      <c r="AO127" s="163">
        <v>7</v>
      </c>
      <c r="AP127" s="26">
        <v>4</v>
      </c>
      <c r="AQ127" s="37">
        <v>6</v>
      </c>
      <c r="AR127" s="24">
        <v>5</v>
      </c>
      <c r="AS127" s="163">
        <v>7</v>
      </c>
      <c r="AT127" s="24"/>
      <c r="AU127">
        <f>E127 +F127</f>
        <v>34</v>
      </c>
    </row>
    <row r="128" spans="1:47" x14ac:dyDescent="0.25">
      <c r="A128" t="str">
        <f>B128 &amp; " - " &amp;D128</f>
        <v>MHSC - Boudebouz</v>
      </c>
      <c r="B128" t="s">
        <v>838</v>
      </c>
      <c r="C128" s="29" t="s">
        <v>654</v>
      </c>
      <c r="D128" s="154" t="s">
        <v>527</v>
      </c>
      <c r="E128" s="31">
        <v>37</v>
      </c>
      <c r="F128" s="99">
        <v>1</v>
      </c>
      <c r="G128" s="73">
        <v>2</v>
      </c>
      <c r="H128" s="34">
        <f>AVERAGE(AT128,AS128,AR128,AA128,Y128,X128,K128,L128,I128,M128,N128,O128,P128,Q128,R128,S128,T128,U128,V128,W128,Z128,AB128,AC128,AD128,AF128,AE128,AG128,AH128,AI128,AJ128,AK128,AL128,AM128,AN128,AO128,AP128,AQ128)</f>
        <v>5.4054054054054053</v>
      </c>
      <c r="I128" s="87">
        <v>5</v>
      </c>
      <c r="J128" s="37" t="s">
        <v>644</v>
      </c>
      <c r="K128" s="37">
        <v>5</v>
      </c>
      <c r="L128" s="37">
        <v>5</v>
      </c>
      <c r="M128" s="66">
        <v>7</v>
      </c>
      <c r="N128" s="24">
        <v>5</v>
      </c>
      <c r="O128" s="24">
        <v>6</v>
      </c>
      <c r="P128" s="24">
        <v>5</v>
      </c>
      <c r="Q128" s="24">
        <v>4</v>
      </c>
      <c r="R128" s="24">
        <v>5</v>
      </c>
      <c r="S128" s="25">
        <v>7</v>
      </c>
      <c r="T128" s="24">
        <v>5</v>
      </c>
      <c r="U128" s="24">
        <v>6</v>
      </c>
      <c r="V128" s="66">
        <v>7</v>
      </c>
      <c r="W128" s="24">
        <v>6</v>
      </c>
      <c r="X128" s="24">
        <v>6</v>
      </c>
      <c r="Y128" s="24">
        <v>5</v>
      </c>
      <c r="Z128" s="66">
        <v>7</v>
      </c>
      <c r="AA128" s="24">
        <v>4</v>
      </c>
      <c r="AB128" s="82">
        <v>3</v>
      </c>
      <c r="AC128" s="24">
        <v>4</v>
      </c>
      <c r="AD128" s="24">
        <v>6</v>
      </c>
      <c r="AE128" s="66">
        <v>7</v>
      </c>
      <c r="AF128" s="24">
        <v>4</v>
      </c>
      <c r="AG128" s="24">
        <v>6</v>
      </c>
      <c r="AH128" s="27">
        <v>6</v>
      </c>
      <c r="AI128" s="24">
        <v>6</v>
      </c>
      <c r="AJ128" s="66">
        <v>7</v>
      </c>
      <c r="AK128" s="27">
        <v>5</v>
      </c>
      <c r="AL128" s="37">
        <v>4</v>
      </c>
      <c r="AM128" s="82">
        <v>3</v>
      </c>
      <c r="AN128" s="24">
        <v>5</v>
      </c>
      <c r="AO128" s="27">
        <v>5</v>
      </c>
      <c r="AP128" s="27">
        <v>5</v>
      </c>
      <c r="AQ128" s="24">
        <v>6</v>
      </c>
      <c r="AR128" s="66">
        <v>8</v>
      </c>
      <c r="AS128" s="28">
        <v>6</v>
      </c>
      <c r="AT128" s="24">
        <v>4</v>
      </c>
      <c r="AU128">
        <f>E128 +F128</f>
        <v>38</v>
      </c>
    </row>
    <row r="129" spans="1:47" x14ac:dyDescent="0.25">
      <c r="A129" t="str">
        <f>B129 &amp; " - " &amp;D129</f>
        <v>SMC - Vercoutre</v>
      </c>
      <c r="B129" t="s">
        <v>1010</v>
      </c>
      <c r="C129" s="29" t="s">
        <v>638</v>
      </c>
      <c r="D129" s="30" t="s">
        <v>116</v>
      </c>
      <c r="E129" s="31">
        <v>38</v>
      </c>
      <c r="F129" s="99"/>
      <c r="G129" s="73"/>
      <c r="H129" s="34">
        <f>AVERAGE(AA129,J129,K129,L129,I129,M129,N129,O129,P129,Q129,R129,S129,T129,U129,V129,W129,X129,Y129,Z129,AB129,AC129,AD129,AE129,AF129,AG129,AH129,AI129,AJ129,AK129,AL129,AM129,AN129,AO129,AP129,AQ129,AR129,AS129,AT129)</f>
        <v>5.3947368421052628</v>
      </c>
      <c r="I129" s="152">
        <v>7</v>
      </c>
      <c r="J129" s="25">
        <v>7</v>
      </c>
      <c r="K129" s="76">
        <v>4</v>
      </c>
      <c r="L129" s="24">
        <v>4</v>
      </c>
      <c r="M129" s="37">
        <v>6</v>
      </c>
      <c r="N129" s="37">
        <v>5</v>
      </c>
      <c r="O129" s="24">
        <v>5</v>
      </c>
      <c r="P129" s="77">
        <v>6</v>
      </c>
      <c r="Q129" s="22">
        <v>6</v>
      </c>
      <c r="R129" s="22">
        <v>6</v>
      </c>
      <c r="S129" s="24">
        <v>4</v>
      </c>
      <c r="T129" s="66">
        <v>7</v>
      </c>
      <c r="U129" s="24">
        <v>6</v>
      </c>
      <c r="V129" s="77">
        <v>6</v>
      </c>
      <c r="W129" s="24">
        <v>5</v>
      </c>
      <c r="X129" s="24">
        <v>5</v>
      </c>
      <c r="Y129" s="37">
        <v>4</v>
      </c>
      <c r="Z129" s="24">
        <v>6</v>
      </c>
      <c r="AA129" s="24">
        <v>6</v>
      </c>
      <c r="AB129" s="24">
        <v>5</v>
      </c>
      <c r="AC129" s="37">
        <v>5</v>
      </c>
      <c r="AD129" s="24">
        <v>5</v>
      </c>
      <c r="AE129" s="25">
        <v>7</v>
      </c>
      <c r="AF129" s="23">
        <v>6</v>
      </c>
      <c r="AG129" s="24">
        <v>5</v>
      </c>
      <c r="AH129" s="27">
        <v>4</v>
      </c>
      <c r="AI129" s="77">
        <v>6</v>
      </c>
      <c r="AJ129" s="24">
        <v>6</v>
      </c>
      <c r="AK129" s="27">
        <v>5</v>
      </c>
      <c r="AL129" s="76">
        <v>5</v>
      </c>
      <c r="AM129" s="24">
        <v>5</v>
      </c>
      <c r="AN129" s="24">
        <v>4</v>
      </c>
      <c r="AO129" s="26">
        <v>6</v>
      </c>
      <c r="AP129" s="237">
        <v>2</v>
      </c>
      <c r="AQ129" s="24">
        <v>5</v>
      </c>
      <c r="AR129" s="22">
        <v>6</v>
      </c>
      <c r="AS129" s="27">
        <v>6</v>
      </c>
      <c r="AT129" s="25">
        <v>7</v>
      </c>
      <c r="AU129">
        <f>E129 +F129</f>
        <v>38</v>
      </c>
    </row>
    <row r="130" spans="1:47" x14ac:dyDescent="0.25">
      <c r="A130" t="str">
        <f>B130 &amp; " - " &amp;D130</f>
        <v>FCL - Lecomte</v>
      </c>
      <c r="B130" t="s">
        <v>816</v>
      </c>
      <c r="C130" s="29" t="s">
        <v>638</v>
      </c>
      <c r="D130" s="30" t="s">
        <v>156</v>
      </c>
      <c r="E130" s="31">
        <v>37</v>
      </c>
      <c r="F130" s="99"/>
      <c r="G130" s="73"/>
      <c r="H130" s="34">
        <f>AVERAGE(Z130,J130,I130,M130,N130,O130,P130,Q130,R130,S130,T130,U130,V130,W130,X130,Y130,AA130,AB130,AC130,AD130,AE130,AF130,AG130,AH130,AI130,AJ130,AK130,AL130,AM130,AN130,AO130,AP130,AQ130,AR130,AS130,AT130)</f>
        <v>5.3888888888888893</v>
      </c>
      <c r="I130" s="281">
        <v>7</v>
      </c>
      <c r="J130" s="76">
        <v>5</v>
      </c>
      <c r="K130" s="37" t="s">
        <v>655</v>
      </c>
      <c r="L130" s="77"/>
      <c r="M130" s="24">
        <v>4</v>
      </c>
      <c r="N130" s="24">
        <v>5</v>
      </c>
      <c r="O130" s="22">
        <v>6</v>
      </c>
      <c r="P130" s="37">
        <v>5</v>
      </c>
      <c r="Q130" s="23">
        <v>5</v>
      </c>
      <c r="R130" s="84">
        <v>7</v>
      </c>
      <c r="S130" s="24">
        <v>5</v>
      </c>
      <c r="T130" s="24">
        <v>5</v>
      </c>
      <c r="U130" s="24">
        <v>6</v>
      </c>
      <c r="V130" s="23">
        <v>5</v>
      </c>
      <c r="W130" s="24">
        <v>5</v>
      </c>
      <c r="X130" s="75">
        <v>7</v>
      </c>
      <c r="Y130" s="24">
        <v>4</v>
      </c>
      <c r="Z130" s="24">
        <v>5</v>
      </c>
      <c r="AA130" s="25">
        <v>7</v>
      </c>
      <c r="AB130" s="24">
        <v>4</v>
      </c>
      <c r="AC130" s="23">
        <v>5</v>
      </c>
      <c r="AD130" s="24">
        <v>5</v>
      </c>
      <c r="AE130" s="25">
        <v>7</v>
      </c>
      <c r="AF130" s="24">
        <v>4</v>
      </c>
      <c r="AG130" s="24">
        <v>6</v>
      </c>
      <c r="AH130" s="27">
        <v>4</v>
      </c>
      <c r="AI130" s="23">
        <v>5</v>
      </c>
      <c r="AJ130" s="25">
        <v>7</v>
      </c>
      <c r="AK130" s="129">
        <v>7</v>
      </c>
      <c r="AL130" s="24">
        <v>4</v>
      </c>
      <c r="AM130" s="24">
        <v>4</v>
      </c>
      <c r="AN130" s="23">
        <v>5</v>
      </c>
      <c r="AO130" s="27">
        <v>6</v>
      </c>
      <c r="AP130" s="27">
        <v>5</v>
      </c>
      <c r="AQ130" s="23">
        <v>5</v>
      </c>
      <c r="AR130" s="23">
        <v>6</v>
      </c>
      <c r="AS130" s="26">
        <v>5</v>
      </c>
      <c r="AT130" s="75">
        <v>7</v>
      </c>
      <c r="AU130">
        <f>E130 +F130</f>
        <v>37</v>
      </c>
    </row>
    <row r="131" spans="1:47" x14ac:dyDescent="0.25">
      <c r="A131" t="str">
        <f>B131 &amp; " - " &amp;D131</f>
        <v>OGCN - Wallyson</v>
      </c>
      <c r="B131" t="s">
        <v>728</v>
      </c>
      <c r="C131" s="245" t="s">
        <v>654</v>
      </c>
      <c r="D131" s="176" t="s">
        <v>718</v>
      </c>
      <c r="E131" s="31">
        <v>8</v>
      </c>
      <c r="F131" s="99">
        <v>9</v>
      </c>
      <c r="G131" s="73"/>
      <c r="H131" s="34">
        <f>AVERAGE(P131,R131,S131,T131,U131,X131,Z131,AB131)</f>
        <v>4.875</v>
      </c>
      <c r="I131" s="48"/>
      <c r="J131" s="24"/>
      <c r="K131" s="37" t="s">
        <v>644</v>
      </c>
      <c r="L131" s="37" t="s">
        <v>644</v>
      </c>
      <c r="M131" s="37" t="s">
        <v>644</v>
      </c>
      <c r="N131" s="37" t="s">
        <v>644</v>
      </c>
      <c r="O131" s="37" t="s">
        <v>644</v>
      </c>
      <c r="P131" s="24">
        <v>5</v>
      </c>
      <c r="Q131" s="24"/>
      <c r="R131" s="66">
        <v>7</v>
      </c>
      <c r="S131" s="24">
        <v>5</v>
      </c>
      <c r="T131" s="37">
        <v>5</v>
      </c>
      <c r="U131" s="24">
        <v>5</v>
      </c>
      <c r="V131" s="24"/>
      <c r="W131" s="24"/>
      <c r="X131" s="24">
        <v>5</v>
      </c>
      <c r="Y131" s="24"/>
      <c r="Z131" s="24">
        <v>4</v>
      </c>
      <c r="AA131" s="37" t="s">
        <v>644</v>
      </c>
      <c r="AB131" s="82">
        <v>3</v>
      </c>
      <c r="AC131" s="24"/>
      <c r="AD131" s="24"/>
      <c r="AE131" s="24"/>
      <c r="AF131" s="24"/>
      <c r="AG131" s="24"/>
      <c r="AH131" s="27"/>
      <c r="AI131" s="24"/>
      <c r="AJ131" s="37"/>
      <c r="AK131" s="26" t="s">
        <v>644</v>
      </c>
      <c r="AL131" s="37"/>
      <c r="AM131" s="24"/>
      <c r="AN131" s="37" t="s">
        <v>644</v>
      </c>
      <c r="AO131" s="26" t="s">
        <v>644</v>
      </c>
      <c r="AP131" s="27"/>
      <c r="AQ131" s="24"/>
      <c r="AR131" s="24"/>
      <c r="AS131" s="26"/>
      <c r="AT131" s="24"/>
      <c r="AU131">
        <f>E131 +F131</f>
        <v>17</v>
      </c>
    </row>
    <row r="132" spans="1:47" x14ac:dyDescent="0.25">
      <c r="A132" t="str">
        <f>B132 &amp; " - " &amp;D132</f>
        <v>OGCN - Raheriharimanana</v>
      </c>
      <c r="B132" t="s">
        <v>728</v>
      </c>
      <c r="C132" s="245" t="s">
        <v>654</v>
      </c>
      <c r="D132" s="176" t="s">
        <v>719</v>
      </c>
      <c r="E132" s="31">
        <v>1</v>
      </c>
      <c r="F132" s="99">
        <v>3</v>
      </c>
      <c r="G132" s="73"/>
      <c r="H132" s="34">
        <f>AVERAGE(X132)</f>
        <v>5</v>
      </c>
      <c r="I132" s="48"/>
      <c r="J132" s="24"/>
      <c r="K132" s="37"/>
      <c r="L132" s="37"/>
      <c r="M132" s="37"/>
      <c r="N132" s="37"/>
      <c r="O132" s="37"/>
      <c r="P132" s="24"/>
      <c r="Q132" s="24"/>
      <c r="R132" s="24"/>
      <c r="S132" s="24"/>
      <c r="T132" s="37"/>
      <c r="U132" s="24"/>
      <c r="V132" s="37" t="s">
        <v>644</v>
      </c>
      <c r="W132" s="24"/>
      <c r="X132" s="24">
        <v>5</v>
      </c>
      <c r="Y132" s="37" t="s">
        <v>644</v>
      </c>
      <c r="Z132" s="24"/>
      <c r="AA132" s="24"/>
      <c r="AB132" s="24"/>
      <c r="AC132" s="24"/>
      <c r="AD132" s="24"/>
      <c r="AE132" s="24"/>
      <c r="AF132" s="24"/>
      <c r="AG132" s="24"/>
      <c r="AH132" s="27"/>
      <c r="AI132" s="24"/>
      <c r="AJ132" s="37"/>
      <c r="AK132" s="26"/>
      <c r="AL132" s="37"/>
      <c r="AM132" s="24"/>
      <c r="AN132" s="37" t="s">
        <v>644</v>
      </c>
      <c r="AO132" s="27"/>
      <c r="AP132" s="27"/>
      <c r="AQ132" s="24"/>
      <c r="AR132" s="24"/>
      <c r="AS132" s="26"/>
      <c r="AT132" s="24"/>
      <c r="AU132">
        <f>E132 +F132</f>
        <v>4</v>
      </c>
    </row>
    <row r="133" spans="1:47" x14ac:dyDescent="0.25">
      <c r="A133" t="str">
        <f>B133 &amp; " - " &amp;D133</f>
        <v>OGCN - Correia</v>
      </c>
      <c r="B133" t="s">
        <v>728</v>
      </c>
      <c r="C133" s="245" t="s">
        <v>654</v>
      </c>
      <c r="D133" s="176" t="s">
        <v>711</v>
      </c>
      <c r="E133" s="31">
        <v>2</v>
      </c>
      <c r="F133" s="99">
        <v>2</v>
      </c>
      <c r="G133" s="73"/>
      <c r="H133" s="34">
        <f>AVERAGE(J133,K133,L133)</f>
        <v>4.666666666666667</v>
      </c>
      <c r="I133" s="38"/>
      <c r="J133" s="21">
        <v>4</v>
      </c>
      <c r="K133" s="24">
        <v>5</v>
      </c>
      <c r="L133" s="24">
        <v>5</v>
      </c>
      <c r="M133" s="24"/>
      <c r="N133" s="37"/>
      <c r="O133" s="24"/>
      <c r="P133" s="24"/>
      <c r="Q133" s="24"/>
      <c r="R133" s="24"/>
      <c r="S133" s="24"/>
      <c r="T133" s="24"/>
      <c r="U133" s="24"/>
      <c r="V133" s="37" t="s">
        <v>644</v>
      </c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7"/>
      <c r="AI133" s="24"/>
      <c r="AJ133" s="37"/>
      <c r="AK133" s="27"/>
      <c r="AL133" s="24"/>
      <c r="AM133" s="24"/>
      <c r="AN133" s="24"/>
      <c r="AO133" s="27"/>
      <c r="AP133" s="27"/>
      <c r="AQ133" s="24"/>
      <c r="AR133" s="24"/>
      <c r="AS133" s="27"/>
      <c r="AT133" s="24"/>
      <c r="AU133">
        <f>E133 +F133</f>
        <v>4</v>
      </c>
    </row>
    <row r="134" spans="1:47" x14ac:dyDescent="0.25">
      <c r="A134" t="str">
        <f>B134 &amp; " - " &amp;D134</f>
        <v>OGCN - Lloris</v>
      </c>
      <c r="B134" t="s">
        <v>728</v>
      </c>
      <c r="C134" s="245" t="s">
        <v>654</v>
      </c>
      <c r="D134" s="176" t="s">
        <v>1082</v>
      </c>
      <c r="E134" s="31">
        <v>1</v>
      </c>
      <c r="F134" s="99">
        <v>1</v>
      </c>
      <c r="G134" s="73"/>
      <c r="H134" s="34">
        <f>AVERAGE(AR134)</f>
        <v>4</v>
      </c>
      <c r="I134" s="38"/>
      <c r="J134" s="21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37"/>
      <c r="X134" s="24"/>
      <c r="Y134" s="24"/>
      <c r="Z134" s="24"/>
      <c r="AA134" s="24"/>
      <c r="AB134" s="24"/>
      <c r="AC134" s="37" t="s">
        <v>644</v>
      </c>
      <c r="AD134" s="24"/>
      <c r="AE134" s="24"/>
      <c r="AF134" s="24"/>
      <c r="AG134" s="24"/>
      <c r="AH134" s="27"/>
      <c r="AI134" s="24"/>
      <c r="AJ134" s="37"/>
      <c r="AK134" s="27"/>
      <c r="AL134" s="24"/>
      <c r="AM134" s="24"/>
      <c r="AN134" s="24"/>
      <c r="AO134" s="27"/>
      <c r="AP134" s="27"/>
      <c r="AQ134" s="24"/>
      <c r="AR134" s="24">
        <v>4</v>
      </c>
      <c r="AS134" s="27"/>
      <c r="AT134" s="24"/>
      <c r="AU134">
        <f>E134 +F134</f>
        <v>2</v>
      </c>
    </row>
    <row r="135" spans="1:47" x14ac:dyDescent="0.25">
      <c r="A135" t="str">
        <f>B135 &amp; " - " &amp;D135</f>
        <v>OGCN - P. Puel</v>
      </c>
      <c r="B135" t="s">
        <v>728</v>
      </c>
      <c r="C135" s="245" t="s">
        <v>654</v>
      </c>
      <c r="D135" s="30" t="s">
        <v>723</v>
      </c>
      <c r="E135" s="31">
        <v>2</v>
      </c>
      <c r="F135" s="99">
        <v>9</v>
      </c>
      <c r="G135" s="73"/>
      <c r="H135" s="100">
        <f>AVERAGE(X135,AF135)</f>
        <v>4</v>
      </c>
      <c r="I135" s="48"/>
      <c r="J135" s="24"/>
      <c r="K135" s="37"/>
      <c r="L135" s="37" t="s">
        <v>644</v>
      </c>
      <c r="M135" s="37" t="s">
        <v>644</v>
      </c>
      <c r="N135" s="37"/>
      <c r="O135" s="24"/>
      <c r="P135" s="24"/>
      <c r="Q135" s="37" t="s">
        <v>644</v>
      </c>
      <c r="R135" s="37" t="s">
        <v>644</v>
      </c>
      <c r="S135" s="37" t="s">
        <v>644</v>
      </c>
      <c r="T135" s="24"/>
      <c r="U135" s="24"/>
      <c r="V135" s="37"/>
      <c r="W135" s="37" t="s">
        <v>644</v>
      </c>
      <c r="X135" s="24">
        <v>4</v>
      </c>
      <c r="Y135" s="24"/>
      <c r="Z135" s="37" t="s">
        <v>644</v>
      </c>
      <c r="AA135" s="24"/>
      <c r="AB135" s="24"/>
      <c r="AC135" s="24"/>
      <c r="AD135" s="24"/>
      <c r="AE135" s="37" t="s">
        <v>644</v>
      </c>
      <c r="AF135" s="24">
        <v>4</v>
      </c>
      <c r="AG135" s="24"/>
      <c r="AH135" s="27"/>
      <c r="AI135" s="24"/>
      <c r="AJ135" s="37"/>
      <c r="AK135" s="27"/>
      <c r="AL135" s="24"/>
      <c r="AM135" s="24"/>
      <c r="AN135" s="24"/>
      <c r="AO135" s="27"/>
      <c r="AP135" s="27"/>
      <c r="AQ135" s="24"/>
      <c r="AR135" s="37" t="s">
        <v>644</v>
      </c>
      <c r="AS135" s="27"/>
      <c r="AT135" s="24"/>
      <c r="AU135">
        <f>E135 +F135</f>
        <v>11</v>
      </c>
    </row>
    <row r="136" spans="1:47" x14ac:dyDescent="0.25">
      <c r="A136" t="str">
        <f>B136 &amp; " - " &amp;D136</f>
        <v>OGCN - A. Mendy</v>
      </c>
      <c r="B136" t="s">
        <v>728</v>
      </c>
      <c r="C136" s="245" t="s">
        <v>654</v>
      </c>
      <c r="D136" s="176" t="s">
        <v>725</v>
      </c>
      <c r="E136" s="31">
        <v>3</v>
      </c>
      <c r="F136" s="99">
        <v>14</v>
      </c>
      <c r="G136" s="73">
        <v>1</v>
      </c>
      <c r="H136" s="34">
        <f>AVERAGE(Q136,X136,AC136)</f>
        <v>4</v>
      </c>
      <c r="I136" s="87"/>
      <c r="J136" s="36"/>
      <c r="K136" s="37" t="s">
        <v>644</v>
      </c>
      <c r="L136" s="37" t="s">
        <v>644</v>
      </c>
      <c r="M136" s="24"/>
      <c r="N136" s="37"/>
      <c r="O136" s="77" t="s">
        <v>644</v>
      </c>
      <c r="P136" s="24"/>
      <c r="Q136" s="24">
        <v>4</v>
      </c>
      <c r="R136" s="24"/>
      <c r="S136" s="37" t="s">
        <v>644</v>
      </c>
      <c r="T136" s="37" t="s">
        <v>644</v>
      </c>
      <c r="U136" s="24"/>
      <c r="V136" s="37" t="s">
        <v>644</v>
      </c>
      <c r="W136" s="24"/>
      <c r="X136" s="24">
        <v>4</v>
      </c>
      <c r="Y136" s="24"/>
      <c r="Z136" s="37" t="s">
        <v>644</v>
      </c>
      <c r="AA136" s="24"/>
      <c r="AB136" s="37" t="s">
        <v>644</v>
      </c>
      <c r="AC136" s="24">
        <v>4</v>
      </c>
      <c r="AD136" s="37"/>
      <c r="AE136" s="37" t="s">
        <v>644</v>
      </c>
      <c r="AF136" s="37" t="s">
        <v>644</v>
      </c>
      <c r="AG136" s="37" t="s">
        <v>644</v>
      </c>
      <c r="AH136" s="26" t="s">
        <v>644</v>
      </c>
      <c r="AI136" s="24"/>
      <c r="AJ136" s="37"/>
      <c r="AK136" s="27"/>
      <c r="AL136" s="24"/>
      <c r="AM136" s="37" t="s">
        <v>644</v>
      </c>
      <c r="AN136" s="24"/>
      <c r="AO136" s="27"/>
      <c r="AP136" s="26" t="s">
        <v>644</v>
      </c>
      <c r="AQ136" s="24"/>
      <c r="AR136" s="24"/>
      <c r="AS136" s="27"/>
      <c r="AT136" s="37" t="s">
        <v>644</v>
      </c>
      <c r="AU136">
        <f>E136 +F136</f>
        <v>17</v>
      </c>
    </row>
    <row r="137" spans="1:47" x14ac:dyDescent="0.25">
      <c r="A137" t="str">
        <f>B137 &amp; " - " &amp;D137</f>
        <v>OGCN - Walter</v>
      </c>
      <c r="B137" t="s">
        <v>728</v>
      </c>
      <c r="C137" s="245" t="s">
        <v>654</v>
      </c>
      <c r="D137" s="176" t="s">
        <v>1086</v>
      </c>
      <c r="E137" s="31">
        <v>6</v>
      </c>
      <c r="F137" s="99">
        <v>6</v>
      </c>
      <c r="G137" s="73"/>
      <c r="H137" s="34">
        <f>AVERAGE(AF137,AG137,AJ137,AK137,AM137,AR137)</f>
        <v>5.333333333333333</v>
      </c>
      <c r="I137" s="48"/>
      <c r="J137" s="24"/>
      <c r="K137" s="37"/>
      <c r="L137" s="37"/>
      <c r="M137" s="37"/>
      <c r="N137" s="37"/>
      <c r="O137" s="37"/>
      <c r="P137" s="24"/>
      <c r="Q137" s="24"/>
      <c r="R137" s="24"/>
      <c r="S137" s="24"/>
      <c r="T137" s="37"/>
      <c r="U137" s="24"/>
      <c r="V137" s="37"/>
      <c r="W137" s="24"/>
      <c r="X137" s="24"/>
      <c r="Y137" s="37"/>
      <c r="Z137" s="24"/>
      <c r="AA137" s="24"/>
      <c r="AB137" s="24"/>
      <c r="AC137" s="24"/>
      <c r="AD137" s="37" t="s">
        <v>644</v>
      </c>
      <c r="AE137" s="24"/>
      <c r="AF137" s="24">
        <v>6</v>
      </c>
      <c r="AG137" s="24">
        <v>5</v>
      </c>
      <c r="AH137" s="26" t="s">
        <v>644</v>
      </c>
      <c r="AI137" s="37" t="s">
        <v>644</v>
      </c>
      <c r="AJ137" s="37">
        <v>5</v>
      </c>
      <c r="AK137" s="26">
        <v>6</v>
      </c>
      <c r="AL137" s="37" t="s">
        <v>644</v>
      </c>
      <c r="AM137" s="24">
        <v>5</v>
      </c>
      <c r="AN137" s="24"/>
      <c r="AO137" s="27"/>
      <c r="AP137" s="26" t="s">
        <v>644</v>
      </c>
      <c r="AQ137" s="37" t="s">
        <v>644</v>
      </c>
      <c r="AR137" s="24">
        <v>5</v>
      </c>
      <c r="AS137" s="26"/>
      <c r="AT137" s="24"/>
      <c r="AU137">
        <f>E137 +F137</f>
        <v>12</v>
      </c>
    </row>
    <row r="138" spans="1:47" x14ac:dyDescent="0.25">
      <c r="A138" t="str">
        <f>B138 &amp; " - " &amp;D138</f>
        <v>OGCN - Rafetraniaina</v>
      </c>
      <c r="B138" t="s">
        <v>728</v>
      </c>
      <c r="C138" s="39" t="s">
        <v>654</v>
      </c>
      <c r="D138" s="225" t="s">
        <v>720</v>
      </c>
      <c r="E138" s="41"/>
      <c r="F138" s="226">
        <v>1</v>
      </c>
      <c r="G138" s="40"/>
      <c r="H138" s="72"/>
      <c r="I138" s="64"/>
      <c r="J138" s="61" t="s">
        <v>644</v>
      </c>
      <c r="K138" s="61"/>
      <c r="L138" s="61"/>
      <c r="M138" s="53"/>
      <c r="N138" s="61"/>
      <c r="O138" s="53"/>
      <c r="P138" s="53"/>
      <c r="Q138" s="53"/>
      <c r="R138" s="53"/>
      <c r="S138" s="53"/>
      <c r="T138" s="53"/>
      <c r="U138" s="53"/>
      <c r="V138" s="61"/>
      <c r="W138" s="53"/>
      <c r="X138" s="53"/>
      <c r="Y138" s="53"/>
      <c r="Z138" s="53"/>
      <c r="AA138" s="53"/>
      <c r="AB138" s="61"/>
      <c r="AC138" s="61"/>
      <c r="AD138" s="61"/>
      <c r="AE138" s="53"/>
      <c r="AF138" s="61"/>
      <c r="AG138" s="53"/>
      <c r="AH138" s="63"/>
      <c r="AI138" s="53"/>
      <c r="AJ138" s="61"/>
      <c r="AK138" s="63"/>
      <c r="AL138" s="61"/>
      <c r="AM138" s="61"/>
      <c r="AN138" s="53"/>
      <c r="AO138" s="63"/>
      <c r="AP138" s="63"/>
      <c r="AQ138" s="53"/>
      <c r="AR138" s="53"/>
      <c r="AS138" s="63"/>
      <c r="AT138" s="53"/>
      <c r="AU138">
        <f>E138 +F138</f>
        <v>1</v>
      </c>
    </row>
    <row r="139" spans="1:47" x14ac:dyDescent="0.25">
      <c r="A139" t="str">
        <f>B139 &amp; " - " &amp;D139</f>
        <v>OGCN - Bosetti</v>
      </c>
      <c r="B139" t="s">
        <v>728</v>
      </c>
      <c r="C139" s="50" t="s">
        <v>665</v>
      </c>
      <c r="D139" s="57" t="s">
        <v>721</v>
      </c>
      <c r="E139" s="52"/>
      <c r="F139" s="63"/>
      <c r="G139" s="145"/>
      <c r="H139" s="34"/>
      <c r="I139" s="149"/>
      <c r="J139" s="63"/>
      <c r="K139" s="61"/>
      <c r="L139" s="61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63"/>
      <c r="AE139" s="53"/>
      <c r="AF139" s="63"/>
      <c r="AG139" s="53"/>
      <c r="AH139" s="63"/>
      <c r="AI139" s="63"/>
      <c r="AJ139" s="53"/>
      <c r="AK139" s="53"/>
      <c r="AL139" s="53"/>
      <c r="AM139" s="53"/>
      <c r="AN139" s="63"/>
      <c r="AO139" s="53"/>
      <c r="AP139" s="53"/>
      <c r="AQ139" s="63"/>
      <c r="AR139" s="63"/>
      <c r="AS139" s="63"/>
      <c r="AT139" s="53"/>
      <c r="AU139">
        <f>E139 +F139</f>
        <v>0</v>
      </c>
    </row>
    <row r="140" spans="1:47" x14ac:dyDescent="0.25">
      <c r="A140" t="str">
        <f>B140 &amp; " - " &amp;D140</f>
        <v>OGCN - Constant</v>
      </c>
      <c r="B140" t="s">
        <v>728</v>
      </c>
      <c r="C140" s="50" t="s">
        <v>665</v>
      </c>
      <c r="D140" s="57" t="s">
        <v>722</v>
      </c>
      <c r="E140" s="52"/>
      <c r="F140" s="63"/>
      <c r="G140" s="145"/>
      <c r="H140" s="150"/>
      <c r="I140" s="45"/>
      <c r="J140" s="46"/>
      <c r="K140" s="55"/>
      <c r="L140" s="55"/>
      <c r="M140" s="46"/>
      <c r="N140" s="55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55"/>
      <c r="AG140" s="55"/>
      <c r="AH140" s="47"/>
      <c r="AI140" s="46"/>
      <c r="AJ140" s="55"/>
      <c r="AK140" s="47"/>
      <c r="AL140" s="46"/>
      <c r="AM140" s="46"/>
      <c r="AN140" s="46"/>
      <c r="AO140" s="47"/>
      <c r="AP140" s="47"/>
      <c r="AQ140" s="46"/>
      <c r="AR140" s="46"/>
      <c r="AS140" s="47"/>
      <c r="AT140" s="46"/>
      <c r="AU140">
        <f>E140 +F140</f>
        <v>0</v>
      </c>
    </row>
    <row r="141" spans="1:47" x14ac:dyDescent="0.25">
      <c r="A141" t="str">
        <f>B141 &amp; " - " &amp;D141</f>
        <v>OGCN - Honorat</v>
      </c>
      <c r="B141" t="s">
        <v>728</v>
      </c>
      <c r="C141" s="29" t="s">
        <v>665</v>
      </c>
      <c r="D141" s="30" t="s">
        <v>724</v>
      </c>
      <c r="E141" s="31"/>
      <c r="F141" s="99">
        <v>6</v>
      </c>
      <c r="G141" s="73"/>
      <c r="H141" s="151"/>
      <c r="I141" s="87"/>
      <c r="J141" s="36"/>
      <c r="K141" s="37"/>
      <c r="L141" s="37"/>
      <c r="M141" s="24"/>
      <c r="N141" s="37"/>
      <c r="O141" s="24"/>
      <c r="P141" s="24"/>
      <c r="Q141" s="24"/>
      <c r="R141" s="24"/>
      <c r="S141" s="24"/>
      <c r="T141" s="37" t="s">
        <v>644</v>
      </c>
      <c r="U141" s="24"/>
      <c r="V141" s="24"/>
      <c r="W141" s="24"/>
      <c r="X141" s="24"/>
      <c r="Y141" s="24"/>
      <c r="Z141" s="24"/>
      <c r="AA141" s="24"/>
      <c r="AB141" s="37" t="s">
        <v>644</v>
      </c>
      <c r="AC141" s="37" t="s">
        <v>644</v>
      </c>
      <c r="AD141" s="37" t="s">
        <v>644</v>
      </c>
      <c r="AE141" s="37" t="s">
        <v>644</v>
      </c>
      <c r="AF141" s="24"/>
      <c r="AG141" s="24"/>
      <c r="AH141" s="27"/>
      <c r="AI141" s="24"/>
      <c r="AJ141" s="37"/>
      <c r="AK141" s="27"/>
      <c r="AL141" s="24"/>
      <c r="AM141" s="24"/>
      <c r="AN141" s="37" t="s">
        <v>644</v>
      </c>
      <c r="AO141" s="27"/>
      <c r="AP141" s="27"/>
      <c r="AQ141" s="37"/>
      <c r="AR141" s="24"/>
      <c r="AS141" s="27"/>
      <c r="AT141" s="37"/>
      <c r="AU141">
        <f>E141 +F141</f>
        <v>6</v>
      </c>
    </row>
    <row r="142" spans="1:47" x14ac:dyDescent="0.25">
      <c r="A142" t="str">
        <f>B142 &amp; " - " &amp;D142</f>
        <v>FCN - Riou</v>
      </c>
      <c r="B142" t="s">
        <v>955</v>
      </c>
      <c r="C142" s="29" t="s">
        <v>638</v>
      </c>
      <c r="D142" s="30" t="s">
        <v>89</v>
      </c>
      <c r="E142" s="31">
        <v>31</v>
      </c>
      <c r="F142" s="99"/>
      <c r="G142" s="73"/>
      <c r="H142" s="34">
        <f>AVERAGE(AA142,J142,K142,L142,I142,N142,P142,O142,R142,S142,T142,Q142,U142,V142,W142,Z142,AB142,AC142,AD142,AE142,AF142,AG142,AH142,AJ142,AK142,AI142,AL142,AM142,AN142,AR142,AS142)</f>
        <v>5.387096774193548</v>
      </c>
      <c r="I142" s="175">
        <v>6</v>
      </c>
      <c r="J142" s="22">
        <v>6</v>
      </c>
      <c r="K142" s="77">
        <v>6</v>
      </c>
      <c r="L142" s="24">
        <v>5</v>
      </c>
      <c r="M142" s="24"/>
      <c r="N142" s="24">
        <v>5</v>
      </c>
      <c r="O142" s="25">
        <v>7</v>
      </c>
      <c r="P142" s="24">
        <v>5</v>
      </c>
      <c r="Q142" s="23">
        <v>5</v>
      </c>
      <c r="R142" s="22">
        <v>6</v>
      </c>
      <c r="S142" s="25">
        <v>7</v>
      </c>
      <c r="T142" s="24">
        <v>5</v>
      </c>
      <c r="U142" s="24">
        <v>5</v>
      </c>
      <c r="V142" s="23">
        <v>5</v>
      </c>
      <c r="W142" s="22">
        <v>6</v>
      </c>
      <c r="X142" s="24"/>
      <c r="Y142" s="24"/>
      <c r="Z142" s="24">
        <v>4</v>
      </c>
      <c r="AA142" s="22">
        <v>6</v>
      </c>
      <c r="AB142" s="23">
        <v>5</v>
      </c>
      <c r="AC142" s="24">
        <v>4</v>
      </c>
      <c r="AD142" s="24">
        <v>6</v>
      </c>
      <c r="AE142" s="75">
        <v>7</v>
      </c>
      <c r="AF142" s="23">
        <v>4</v>
      </c>
      <c r="AG142" s="77">
        <v>5</v>
      </c>
      <c r="AH142" s="139">
        <v>5</v>
      </c>
      <c r="AI142" s="22">
        <v>6</v>
      </c>
      <c r="AJ142" s="77">
        <v>6</v>
      </c>
      <c r="AK142" s="27">
        <v>4</v>
      </c>
      <c r="AL142" s="22">
        <v>6</v>
      </c>
      <c r="AM142" s="24">
        <v>5</v>
      </c>
      <c r="AN142" s="82">
        <v>3</v>
      </c>
      <c r="AO142" s="28"/>
      <c r="AP142" s="27"/>
      <c r="AQ142" s="24"/>
      <c r="AR142" s="25">
        <v>7</v>
      </c>
      <c r="AS142" s="27">
        <v>5</v>
      </c>
      <c r="AT142" s="24"/>
      <c r="AU142">
        <f>E142 +F142</f>
        <v>31</v>
      </c>
    </row>
    <row r="143" spans="1:47" x14ac:dyDescent="0.25">
      <c r="A143" t="str">
        <f>B143 &amp; " - " &amp;D143</f>
        <v>OGCN - Ranieri</v>
      </c>
      <c r="B143" t="s">
        <v>728</v>
      </c>
      <c r="C143" s="245" t="s">
        <v>665</v>
      </c>
      <c r="D143" s="176" t="s">
        <v>1075</v>
      </c>
      <c r="E143" s="31"/>
      <c r="F143" s="99">
        <v>2</v>
      </c>
      <c r="G143" s="73"/>
      <c r="H143" s="34"/>
      <c r="I143" s="87"/>
      <c r="J143" s="36"/>
      <c r="K143" s="37"/>
      <c r="L143" s="37"/>
      <c r="M143" s="24"/>
      <c r="N143" s="37"/>
      <c r="O143" s="77"/>
      <c r="P143" s="24"/>
      <c r="Q143" s="24"/>
      <c r="R143" s="24"/>
      <c r="S143" s="37"/>
      <c r="T143" s="37"/>
      <c r="U143" s="24"/>
      <c r="V143" s="37"/>
      <c r="W143" s="24"/>
      <c r="X143" s="24"/>
      <c r="Y143" s="24"/>
      <c r="Z143" s="37"/>
      <c r="AA143" s="24"/>
      <c r="AB143" s="37" t="s">
        <v>644</v>
      </c>
      <c r="AC143" s="24"/>
      <c r="AD143" s="37"/>
      <c r="AE143" s="37"/>
      <c r="AF143" s="24"/>
      <c r="AG143" s="24"/>
      <c r="AH143" s="27"/>
      <c r="AI143" s="37" t="s">
        <v>644</v>
      </c>
      <c r="AJ143" s="37"/>
      <c r="AK143" s="27"/>
      <c r="AL143" s="24"/>
      <c r="AM143" s="24"/>
      <c r="AN143" s="24"/>
      <c r="AO143" s="27"/>
      <c r="AP143" s="27"/>
      <c r="AQ143" s="24"/>
      <c r="AR143" s="24"/>
      <c r="AS143" s="27"/>
      <c r="AT143" s="24"/>
      <c r="AU143">
        <f>E143 +F143</f>
        <v>2</v>
      </c>
    </row>
    <row r="144" spans="1:47" x14ac:dyDescent="0.25">
      <c r="A144" t="str">
        <f>B144 &amp; " - " &amp;D144</f>
        <v>OGCN - Caddy</v>
      </c>
      <c r="B144" t="s">
        <v>728</v>
      </c>
      <c r="C144" s="245" t="s">
        <v>665</v>
      </c>
      <c r="D144" s="176" t="s">
        <v>1087</v>
      </c>
      <c r="E144" s="31">
        <v>3</v>
      </c>
      <c r="F144" s="99">
        <v>4</v>
      </c>
      <c r="G144" s="73"/>
      <c r="H144" s="34">
        <f>AVERAGE(AD144,AE144,AF144)</f>
        <v>4</v>
      </c>
      <c r="I144" s="87"/>
      <c r="J144" s="36"/>
      <c r="K144" s="37"/>
      <c r="L144" s="37"/>
      <c r="M144" s="24"/>
      <c r="N144" s="37"/>
      <c r="O144" s="77"/>
      <c r="P144" s="24"/>
      <c r="Q144" s="24"/>
      <c r="R144" s="24"/>
      <c r="S144" s="37"/>
      <c r="T144" s="37"/>
      <c r="U144" s="24"/>
      <c r="V144" s="37"/>
      <c r="W144" s="24"/>
      <c r="X144" s="24"/>
      <c r="Y144" s="24"/>
      <c r="Z144" s="37"/>
      <c r="AA144" s="24"/>
      <c r="AB144" s="37"/>
      <c r="AC144" s="24"/>
      <c r="AD144" s="37">
        <v>4</v>
      </c>
      <c r="AE144" s="37">
        <v>4</v>
      </c>
      <c r="AF144" s="24">
        <v>4</v>
      </c>
      <c r="AG144" s="37" t="s">
        <v>644</v>
      </c>
      <c r="AH144" s="27"/>
      <c r="AI144" s="37" t="s">
        <v>644</v>
      </c>
      <c r="AJ144" s="37"/>
      <c r="AK144" s="27"/>
      <c r="AL144" s="24"/>
      <c r="AM144" s="24"/>
      <c r="AN144" s="24"/>
      <c r="AO144" s="26" t="s">
        <v>644</v>
      </c>
      <c r="AP144" s="27"/>
      <c r="AQ144" s="37" t="s">
        <v>644</v>
      </c>
      <c r="AR144" s="24"/>
      <c r="AS144" s="27"/>
      <c r="AT144" s="24"/>
      <c r="AU144">
        <f>E144 +F144</f>
        <v>7</v>
      </c>
    </row>
    <row r="145" spans="1:47" x14ac:dyDescent="0.25">
      <c r="A145" t="str">
        <f>B145 &amp; " - " &amp;D145</f>
        <v>OGCN - Le Bihan</v>
      </c>
      <c r="B145" t="s">
        <v>728</v>
      </c>
      <c r="C145" s="245" t="s">
        <v>665</v>
      </c>
      <c r="D145" s="176" t="s">
        <v>726</v>
      </c>
      <c r="E145" s="31">
        <v>1</v>
      </c>
      <c r="F145" s="99">
        <v>2</v>
      </c>
      <c r="G145" s="73">
        <v>1</v>
      </c>
      <c r="H145" s="151">
        <f>AVERAGE(O145)</f>
        <v>7</v>
      </c>
      <c r="I145" s="87"/>
      <c r="J145" s="36"/>
      <c r="K145" s="37"/>
      <c r="L145" s="37"/>
      <c r="M145" s="37" t="s">
        <v>644</v>
      </c>
      <c r="N145" s="37" t="s">
        <v>644</v>
      </c>
      <c r="O145" s="25">
        <v>7</v>
      </c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37"/>
      <c r="AE145" s="37"/>
      <c r="AF145" s="24"/>
      <c r="AG145" s="24"/>
      <c r="AH145" s="27"/>
      <c r="AI145" s="24"/>
      <c r="AJ145" s="37"/>
      <c r="AK145" s="27"/>
      <c r="AL145" s="24"/>
      <c r="AM145" s="24"/>
      <c r="AN145" s="24"/>
      <c r="AO145" s="27"/>
      <c r="AP145" s="27"/>
      <c r="AQ145" s="24"/>
      <c r="AR145" s="24"/>
      <c r="AS145" s="27"/>
      <c r="AT145" s="24"/>
      <c r="AU145">
        <f>E145 +F145</f>
        <v>3</v>
      </c>
    </row>
    <row r="146" spans="1:47" x14ac:dyDescent="0.25">
      <c r="A146" t="str">
        <f>B146 &amp; " - " &amp;D146</f>
        <v>OGCN - Pléa</v>
      </c>
      <c r="B146" t="s">
        <v>728</v>
      </c>
      <c r="C146" s="245" t="s">
        <v>665</v>
      </c>
      <c r="D146" s="30" t="s">
        <v>716</v>
      </c>
      <c r="E146" s="31">
        <v>17</v>
      </c>
      <c r="F146" s="99">
        <v>2</v>
      </c>
      <c r="G146" s="73">
        <v>6</v>
      </c>
      <c r="H146" s="34">
        <f>AVERAGE(J146,K146,L146,I146,M146,N146,AH146,AI146,AJ146,AK146,AM146,AN146,AO146,AP146,AQ146,AR146,AS146,AT146)</f>
        <v>5.1111111111111107</v>
      </c>
      <c r="I146" s="48">
        <v>5</v>
      </c>
      <c r="J146" s="25">
        <v>8</v>
      </c>
      <c r="K146" s="22">
        <v>5</v>
      </c>
      <c r="L146" s="37">
        <v>5</v>
      </c>
      <c r="M146" s="24">
        <v>4</v>
      </c>
      <c r="N146" s="37">
        <v>4</v>
      </c>
      <c r="O146" s="37"/>
      <c r="P146" s="24"/>
      <c r="Q146" s="24"/>
      <c r="R146" s="37"/>
      <c r="S146" s="22"/>
      <c r="T146" s="24"/>
      <c r="U146" s="24"/>
      <c r="V146" s="24"/>
      <c r="W146" s="24"/>
      <c r="X146" s="37"/>
      <c r="Y146" s="22"/>
      <c r="Z146" s="24"/>
      <c r="AA146" s="24"/>
      <c r="AB146" s="24"/>
      <c r="AC146" s="22"/>
      <c r="AD146" s="24"/>
      <c r="AE146" s="24"/>
      <c r="AF146" s="24"/>
      <c r="AG146" s="24"/>
      <c r="AH146" s="237">
        <v>3</v>
      </c>
      <c r="AI146" s="24">
        <v>4</v>
      </c>
      <c r="AJ146" s="37">
        <v>5</v>
      </c>
      <c r="AK146" s="27">
        <v>5</v>
      </c>
      <c r="AL146" s="77" t="s">
        <v>644</v>
      </c>
      <c r="AM146" s="25">
        <v>7</v>
      </c>
      <c r="AN146" s="82">
        <v>3</v>
      </c>
      <c r="AO146" s="27">
        <v>5</v>
      </c>
      <c r="AP146" s="27">
        <v>6</v>
      </c>
      <c r="AQ146" s="24">
        <v>5</v>
      </c>
      <c r="AR146" s="37">
        <v>4</v>
      </c>
      <c r="AS146" s="27">
        <v>6</v>
      </c>
      <c r="AT146" s="25">
        <v>8</v>
      </c>
      <c r="AU146">
        <f>E146 +F146</f>
        <v>19</v>
      </c>
    </row>
    <row r="147" spans="1:47" ht="15.75" thickBot="1" x14ac:dyDescent="0.3">
      <c r="A147" t="str">
        <f>B147 &amp; " - " &amp;D147</f>
        <v>OGCN - Benrahma</v>
      </c>
      <c r="B147" t="s">
        <v>728</v>
      </c>
      <c r="C147" s="259" t="s">
        <v>665</v>
      </c>
      <c r="D147" s="213" t="s">
        <v>727</v>
      </c>
      <c r="E147" s="214"/>
      <c r="F147" s="215">
        <v>9</v>
      </c>
      <c r="G147" s="254">
        <v>2</v>
      </c>
      <c r="H147" s="120"/>
      <c r="I147" s="149" t="s">
        <v>644</v>
      </c>
      <c r="J147" s="53"/>
      <c r="K147" s="53"/>
      <c r="L147" s="53"/>
      <c r="M147" s="53"/>
      <c r="N147" s="81" t="s">
        <v>644</v>
      </c>
      <c r="O147" s="53"/>
      <c r="P147" s="61" t="s">
        <v>644</v>
      </c>
      <c r="Q147" s="61" t="s">
        <v>644</v>
      </c>
      <c r="R147" s="81" t="s">
        <v>644</v>
      </c>
      <c r="S147" s="61" t="s">
        <v>644</v>
      </c>
      <c r="T147" s="53"/>
      <c r="U147" s="61" t="s">
        <v>644</v>
      </c>
      <c r="V147" s="53"/>
      <c r="W147" s="61" t="s">
        <v>644</v>
      </c>
      <c r="X147" s="53"/>
      <c r="Y147" s="61" t="s">
        <v>644</v>
      </c>
      <c r="Z147" s="53"/>
      <c r="AA147" s="53"/>
      <c r="AB147" s="53"/>
      <c r="AC147" s="53"/>
      <c r="AD147" s="53"/>
      <c r="AE147" s="61"/>
      <c r="AF147" s="53"/>
      <c r="AG147" s="53"/>
      <c r="AH147" s="63"/>
      <c r="AI147" s="53"/>
      <c r="AJ147" s="61"/>
      <c r="AK147" s="63"/>
      <c r="AL147" s="53"/>
      <c r="AM147" s="53"/>
      <c r="AN147" s="59"/>
      <c r="AO147" s="63"/>
      <c r="AP147" s="63"/>
      <c r="AQ147" s="53"/>
      <c r="AR147" s="53"/>
      <c r="AS147" s="63"/>
      <c r="AT147" s="53"/>
      <c r="AU147">
        <f>E147 +F147</f>
        <v>9</v>
      </c>
    </row>
    <row r="148" spans="1:47" x14ac:dyDescent="0.25">
      <c r="A148" t="str">
        <f>B148 &amp; " - " &amp;D148</f>
        <v>SR - De Préville</v>
      </c>
      <c r="B148" t="s">
        <v>933</v>
      </c>
      <c r="C148" s="16" t="s">
        <v>665</v>
      </c>
      <c r="D148" s="17" t="s">
        <v>204</v>
      </c>
      <c r="E148" s="18">
        <v>34</v>
      </c>
      <c r="F148" s="95">
        <v>2</v>
      </c>
      <c r="G148" s="158">
        <v>7</v>
      </c>
      <c r="H148" s="20">
        <f>AVERAGE(AS148,Y148,X148,W148,J148,K148,L148,I148,M148,N148,P148,Q148,R148,S148,T148,U148,AA148,AB148,AC148,AD148,AE148,AF148,AG148,AH148,AI148,AJ148,AK148,AL148,AM148,AN148,AO148,AP148,AQ148,AR148)</f>
        <v>5.382352941176471</v>
      </c>
      <c r="I148" s="75">
        <v>7</v>
      </c>
      <c r="J148" s="37">
        <v>5</v>
      </c>
      <c r="K148" s="37">
        <v>4</v>
      </c>
      <c r="L148" s="127">
        <v>7</v>
      </c>
      <c r="M148" s="24">
        <v>4</v>
      </c>
      <c r="N148" s="84">
        <v>7</v>
      </c>
      <c r="O148" s="37" t="s">
        <v>644</v>
      </c>
      <c r="P148" s="24">
        <v>6</v>
      </c>
      <c r="Q148" s="24">
        <v>4</v>
      </c>
      <c r="R148" s="24">
        <v>5</v>
      </c>
      <c r="S148" s="37">
        <v>4</v>
      </c>
      <c r="T148" s="37">
        <v>5</v>
      </c>
      <c r="U148" s="27">
        <v>4</v>
      </c>
      <c r="V148" s="26" t="s">
        <v>644</v>
      </c>
      <c r="W148" s="25">
        <v>7</v>
      </c>
      <c r="X148" s="24">
        <v>5</v>
      </c>
      <c r="Y148" s="28">
        <v>5</v>
      </c>
      <c r="Z148" s="37"/>
      <c r="AA148" s="76">
        <v>5</v>
      </c>
      <c r="AB148" s="24">
        <v>4</v>
      </c>
      <c r="AC148" s="25">
        <v>7</v>
      </c>
      <c r="AD148" s="24">
        <v>4</v>
      </c>
      <c r="AE148" s="27">
        <v>4</v>
      </c>
      <c r="AF148" s="27">
        <v>6</v>
      </c>
      <c r="AG148" s="83">
        <v>7</v>
      </c>
      <c r="AH148" s="24">
        <v>5</v>
      </c>
      <c r="AI148" s="37">
        <v>6</v>
      </c>
      <c r="AJ148" s="193">
        <v>7</v>
      </c>
      <c r="AK148" s="37">
        <v>4</v>
      </c>
      <c r="AL148" s="24">
        <v>6</v>
      </c>
      <c r="AM148" s="23">
        <v>6</v>
      </c>
      <c r="AN148" s="27">
        <v>5</v>
      </c>
      <c r="AO148" s="129">
        <v>7</v>
      </c>
      <c r="AP148" s="84">
        <v>7</v>
      </c>
      <c r="AQ148" s="27">
        <v>4</v>
      </c>
      <c r="AR148" s="24">
        <v>5</v>
      </c>
      <c r="AS148" s="27">
        <v>5</v>
      </c>
      <c r="AT148" s="24"/>
      <c r="AU148">
        <f>E148 +F148</f>
        <v>36</v>
      </c>
    </row>
    <row r="149" spans="1:47" x14ac:dyDescent="0.25">
      <c r="A149" t="str">
        <f>B149 &amp; " - " &amp;D149</f>
        <v>ASSE - Moulin</v>
      </c>
      <c r="B149" t="s">
        <v>746</v>
      </c>
      <c r="C149" s="29" t="s">
        <v>638</v>
      </c>
      <c r="D149" s="30" t="s">
        <v>544</v>
      </c>
      <c r="E149" s="31"/>
      <c r="F149" s="99"/>
      <c r="G149" s="73"/>
      <c r="H149" s="100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7"/>
      <c r="V149" s="48"/>
      <c r="W149" s="24"/>
      <c r="X149" s="24"/>
      <c r="Y149" s="27"/>
      <c r="Z149" s="24"/>
      <c r="AA149" s="24"/>
      <c r="AB149" s="24"/>
      <c r="AC149" s="24"/>
      <c r="AD149" s="24"/>
      <c r="AE149" s="27"/>
      <c r="AF149" s="48"/>
      <c r="AG149" s="24"/>
      <c r="AH149" s="24"/>
      <c r="AI149" s="24"/>
      <c r="AJ149" s="27"/>
      <c r="AK149" s="24"/>
      <c r="AL149" s="24"/>
      <c r="AM149" s="24"/>
      <c r="AN149" s="27"/>
      <c r="AO149" s="27"/>
      <c r="AP149" s="24"/>
      <c r="AQ149" s="27"/>
      <c r="AR149" s="24"/>
      <c r="AS149" s="27"/>
      <c r="AT149" s="24"/>
      <c r="AU149">
        <f>E149 +F149</f>
        <v>0</v>
      </c>
    </row>
    <row r="150" spans="1:47" x14ac:dyDescent="0.25">
      <c r="A150" t="str">
        <f>B150 &amp; " - " &amp;D150</f>
        <v>ASSE - Valette</v>
      </c>
      <c r="B150" t="s">
        <v>746</v>
      </c>
      <c r="C150" s="67" t="s">
        <v>638</v>
      </c>
      <c r="D150" s="153" t="s">
        <v>729</v>
      </c>
      <c r="E150" s="69"/>
      <c r="F150" s="115"/>
      <c r="G150" s="68"/>
      <c r="H150" s="4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7"/>
      <c r="V150" s="48"/>
      <c r="W150" s="24"/>
      <c r="X150" s="24"/>
      <c r="Y150" s="27"/>
      <c r="Z150" s="24"/>
      <c r="AA150" s="24"/>
      <c r="AB150" s="24"/>
      <c r="AC150" s="24"/>
      <c r="AD150" s="24"/>
      <c r="AE150" s="27"/>
      <c r="AF150" s="48"/>
      <c r="AG150" s="24"/>
      <c r="AH150" s="24"/>
      <c r="AI150" s="24"/>
      <c r="AJ150" s="27"/>
      <c r="AK150" s="24"/>
      <c r="AL150" s="24"/>
      <c r="AM150" s="24"/>
      <c r="AN150" s="27"/>
      <c r="AO150" s="27"/>
      <c r="AP150" s="24"/>
      <c r="AQ150" s="27"/>
      <c r="AR150" s="24"/>
      <c r="AS150" s="27"/>
      <c r="AT150" s="24"/>
      <c r="AU150">
        <f>E150 +F150</f>
        <v>0</v>
      </c>
    </row>
    <row r="151" spans="1:47" x14ac:dyDescent="0.25">
      <c r="A151" t="str">
        <f>B151 &amp; " - " &amp;D151</f>
        <v>EAG - Giresse</v>
      </c>
      <c r="B151" t="s">
        <v>999</v>
      </c>
      <c r="C151" s="29" t="s">
        <v>654</v>
      </c>
      <c r="D151" s="30" t="s">
        <v>987</v>
      </c>
      <c r="E151" s="31">
        <v>20</v>
      </c>
      <c r="F151" s="99">
        <v>5</v>
      </c>
      <c r="G151" s="73">
        <v>4</v>
      </c>
      <c r="H151" s="34">
        <f>AVERAGE(K151,I151,Y151,Z151,AB151,AD151,AE151,AF151,AG151,AH151,AI151,AJ151,AK151,AL151,AM151,AN151,AO151,AP151,AQ151,AS151,AT151)</f>
        <v>5.3809523809523814</v>
      </c>
      <c r="I151" s="76">
        <v>5</v>
      </c>
      <c r="J151" s="37" t="s">
        <v>644</v>
      </c>
      <c r="K151" s="37">
        <v>4</v>
      </c>
      <c r="L151" s="24"/>
      <c r="M151" s="37"/>
      <c r="N151" s="37"/>
      <c r="O151" s="24"/>
      <c r="P151" s="37"/>
      <c r="Q151" s="37" t="s">
        <v>644</v>
      </c>
      <c r="R151" s="37"/>
      <c r="S151" s="37"/>
      <c r="T151" s="24"/>
      <c r="U151" s="27"/>
      <c r="V151" s="26" t="s">
        <v>644</v>
      </c>
      <c r="W151" s="24"/>
      <c r="X151" s="22"/>
      <c r="Y151" s="26">
        <v>4</v>
      </c>
      <c r="Z151" s="24">
        <v>5</v>
      </c>
      <c r="AA151" s="22"/>
      <c r="AB151" s="24">
        <v>5</v>
      </c>
      <c r="AC151" s="37" t="s">
        <v>644</v>
      </c>
      <c r="AD151" s="75">
        <v>7</v>
      </c>
      <c r="AE151" s="27">
        <v>5</v>
      </c>
      <c r="AF151" s="247">
        <v>8</v>
      </c>
      <c r="AG151" s="24">
        <v>5</v>
      </c>
      <c r="AH151" s="22">
        <v>5</v>
      </c>
      <c r="AI151" s="24">
        <v>5</v>
      </c>
      <c r="AJ151" s="247">
        <v>7</v>
      </c>
      <c r="AK151" s="24">
        <v>4</v>
      </c>
      <c r="AL151" s="37">
        <v>5</v>
      </c>
      <c r="AM151" s="24">
        <v>5</v>
      </c>
      <c r="AN151" s="27">
        <v>6</v>
      </c>
      <c r="AO151" s="26">
        <v>5</v>
      </c>
      <c r="AP151" s="84">
        <v>8</v>
      </c>
      <c r="AQ151" s="26">
        <v>5</v>
      </c>
      <c r="AR151" s="24"/>
      <c r="AS151" s="27">
        <v>5</v>
      </c>
      <c r="AT151" s="24">
        <v>5</v>
      </c>
      <c r="AU151">
        <f>E151 +F151</f>
        <v>25</v>
      </c>
    </row>
    <row r="152" spans="1:47" x14ac:dyDescent="0.25">
      <c r="A152" t="str">
        <f>B152 &amp; " - " &amp;D152</f>
        <v>ASSE - Clerc</v>
      </c>
      <c r="B152" t="s">
        <v>746</v>
      </c>
      <c r="C152" s="29" t="s">
        <v>641</v>
      </c>
      <c r="D152" s="30" t="s">
        <v>730</v>
      </c>
      <c r="E152" s="31">
        <v>10</v>
      </c>
      <c r="F152" s="99"/>
      <c r="G152" s="73"/>
      <c r="H152" s="34">
        <f>AVERAGE(I152,M152,O152,Q152,R152,S152,T152,U152,V152,X152)</f>
        <v>5</v>
      </c>
      <c r="I152" s="74">
        <v>5</v>
      </c>
      <c r="J152" s="24"/>
      <c r="K152" s="24"/>
      <c r="L152" s="24"/>
      <c r="M152" s="24">
        <v>4</v>
      </c>
      <c r="N152" s="24"/>
      <c r="O152" s="24">
        <v>6</v>
      </c>
      <c r="P152" s="24"/>
      <c r="Q152" s="24">
        <v>4</v>
      </c>
      <c r="R152" s="24">
        <v>5</v>
      </c>
      <c r="S152" s="24">
        <v>5</v>
      </c>
      <c r="T152" s="66">
        <v>7</v>
      </c>
      <c r="U152" s="27">
        <v>5</v>
      </c>
      <c r="V152" s="27">
        <v>4</v>
      </c>
      <c r="W152" s="24"/>
      <c r="X152" s="24">
        <v>5</v>
      </c>
      <c r="Y152" s="27"/>
      <c r="Z152" s="24"/>
      <c r="AA152" s="24"/>
      <c r="AB152" s="24"/>
      <c r="AC152" s="24"/>
      <c r="AD152" s="24"/>
      <c r="AE152" s="27"/>
      <c r="AF152" s="48"/>
      <c r="AG152" s="24"/>
      <c r="AH152" s="24"/>
      <c r="AI152" s="24"/>
      <c r="AJ152" s="27"/>
      <c r="AK152" s="24"/>
      <c r="AL152" s="24"/>
      <c r="AM152" s="24"/>
      <c r="AN152" s="27"/>
      <c r="AO152" s="27"/>
      <c r="AP152" s="24"/>
      <c r="AQ152" s="27"/>
      <c r="AR152" s="24"/>
      <c r="AS152" s="27"/>
      <c r="AT152" s="24"/>
      <c r="AU152">
        <f>E152 +F152</f>
        <v>10</v>
      </c>
    </row>
    <row r="153" spans="1:47" x14ac:dyDescent="0.25">
      <c r="A153" t="str">
        <f>B153 &amp; " - " &amp;D153</f>
        <v>ASSE - Théophile-Catherine</v>
      </c>
      <c r="B153" t="s">
        <v>746</v>
      </c>
      <c r="C153" s="29" t="s">
        <v>641</v>
      </c>
      <c r="D153" s="30" t="s">
        <v>731</v>
      </c>
      <c r="E153" s="31">
        <v>22</v>
      </c>
      <c r="F153" s="99"/>
      <c r="G153" s="73">
        <v>1</v>
      </c>
      <c r="H153" s="34">
        <f>AVERAGE(J153,K153,L153,I153,AB153,AC153,AD153,AE153,AF153,AG153,AH153,AI153,AJ153,AK153,AM153,AN153,AO153,AP153,AQ153,AR153,AS153,AT153)</f>
        <v>5.0454545454545459</v>
      </c>
      <c r="I153" s="24">
        <v>4</v>
      </c>
      <c r="J153" s="24">
        <v>5</v>
      </c>
      <c r="K153" s="24">
        <v>5</v>
      </c>
      <c r="L153" s="24">
        <v>5</v>
      </c>
      <c r="M153" s="24"/>
      <c r="N153" s="24"/>
      <c r="O153" s="24"/>
      <c r="P153" s="24"/>
      <c r="Q153" s="24"/>
      <c r="R153" s="24"/>
      <c r="S153" s="24"/>
      <c r="T153" s="24"/>
      <c r="U153" s="27"/>
      <c r="V153" s="27"/>
      <c r="W153" s="24"/>
      <c r="X153" s="24"/>
      <c r="Y153" s="26"/>
      <c r="Z153" s="24"/>
      <c r="AA153" s="24"/>
      <c r="AB153" s="24">
        <v>5</v>
      </c>
      <c r="AC153" s="24">
        <v>5</v>
      </c>
      <c r="AD153" s="24">
        <v>4</v>
      </c>
      <c r="AE153" s="27">
        <v>4</v>
      </c>
      <c r="AF153" s="27">
        <v>5</v>
      </c>
      <c r="AG153" s="24">
        <v>5</v>
      </c>
      <c r="AH153" s="24">
        <v>5</v>
      </c>
      <c r="AI153" s="24">
        <v>4</v>
      </c>
      <c r="AJ153" s="27">
        <v>4</v>
      </c>
      <c r="AK153" s="24">
        <v>5</v>
      </c>
      <c r="AL153" s="24"/>
      <c r="AM153" s="66">
        <v>7</v>
      </c>
      <c r="AN153" s="247">
        <v>7</v>
      </c>
      <c r="AO153" s="27">
        <v>6</v>
      </c>
      <c r="AP153" s="66">
        <v>7</v>
      </c>
      <c r="AQ153" s="27">
        <v>5</v>
      </c>
      <c r="AR153" s="24">
        <v>4</v>
      </c>
      <c r="AS153" s="27">
        <v>5</v>
      </c>
      <c r="AT153" s="24">
        <v>5</v>
      </c>
      <c r="AU153">
        <f>E153 +F153</f>
        <v>22</v>
      </c>
    </row>
    <row r="154" spans="1:47" x14ac:dyDescent="0.25">
      <c r="A154" t="str">
        <f>B154 &amp; " - " &amp;D154</f>
        <v>ASSE - Brison</v>
      </c>
      <c r="B154" t="s">
        <v>746</v>
      </c>
      <c r="C154" s="29" t="s">
        <v>641</v>
      </c>
      <c r="D154" s="30" t="s">
        <v>732</v>
      </c>
      <c r="E154" s="31">
        <v>4</v>
      </c>
      <c r="F154" s="99">
        <v>3</v>
      </c>
      <c r="G154" s="73"/>
      <c r="H154" s="34">
        <f>AVERAGE(O154,Q154,AA154,AB154,AD154)</f>
        <v>4.5999999999999996</v>
      </c>
      <c r="I154" s="37"/>
      <c r="J154" s="36"/>
      <c r="K154" s="37" t="s">
        <v>644</v>
      </c>
      <c r="L154" s="24"/>
      <c r="M154" s="37"/>
      <c r="N154" s="24"/>
      <c r="O154" s="24">
        <v>5</v>
      </c>
      <c r="P154" s="22"/>
      <c r="Q154" s="24">
        <v>4</v>
      </c>
      <c r="R154" s="24"/>
      <c r="S154" s="24"/>
      <c r="T154" s="24"/>
      <c r="U154" s="27"/>
      <c r="V154" s="87"/>
      <c r="W154" s="37"/>
      <c r="X154" s="24"/>
      <c r="Y154" s="27"/>
      <c r="Z154" s="24"/>
      <c r="AA154" s="24">
        <v>6</v>
      </c>
      <c r="AB154" s="82">
        <v>3</v>
      </c>
      <c r="AC154" s="24"/>
      <c r="AD154" s="24">
        <v>5</v>
      </c>
      <c r="AE154" s="27"/>
      <c r="AF154" s="87"/>
      <c r="AG154" s="37" t="s">
        <v>644</v>
      </c>
      <c r="AH154" s="24"/>
      <c r="AI154" s="37"/>
      <c r="AJ154" s="27"/>
      <c r="AK154" s="24"/>
      <c r="AL154" s="24"/>
      <c r="AM154" s="37"/>
      <c r="AN154" s="27"/>
      <c r="AO154" s="27"/>
      <c r="AP154" s="24"/>
      <c r="AQ154" s="27"/>
      <c r="AR154" s="24"/>
      <c r="AS154" s="27"/>
      <c r="AT154" s="24"/>
      <c r="AU154">
        <f>E154 +F154</f>
        <v>7</v>
      </c>
    </row>
    <row r="155" spans="1:47" x14ac:dyDescent="0.25">
      <c r="A155" t="str">
        <f>B155 &amp; " - " &amp;D155</f>
        <v>SCO - Mangani</v>
      </c>
      <c r="B155" t="s">
        <v>1066</v>
      </c>
      <c r="C155" s="29" t="s">
        <v>654</v>
      </c>
      <c r="D155" s="154" t="s">
        <v>487</v>
      </c>
      <c r="E155" s="31">
        <v>31</v>
      </c>
      <c r="F155" s="99">
        <v>2</v>
      </c>
      <c r="G155" s="73">
        <v>5</v>
      </c>
      <c r="H155" s="34">
        <f>AVERAGE(Z155,V155,J155,K155,L155,I155,M155,N155,O155,P155,Q155,R155,S155,T155,U155,W155,X155,AA155,AF155,AJ155,AK155,AL155,AM155,AN155,AO155,AP155,AQ155,AR155,AS155)</f>
        <v>5.3793103448275863</v>
      </c>
      <c r="I155" s="84">
        <v>7</v>
      </c>
      <c r="J155" s="24">
        <v>6</v>
      </c>
      <c r="K155" s="37">
        <v>5</v>
      </c>
      <c r="L155" s="77">
        <v>6</v>
      </c>
      <c r="M155" s="37">
        <v>4</v>
      </c>
      <c r="N155" s="75">
        <v>7</v>
      </c>
      <c r="O155" s="37">
        <v>6</v>
      </c>
      <c r="P155" s="75">
        <v>7</v>
      </c>
      <c r="Q155" s="37">
        <v>6</v>
      </c>
      <c r="R155" s="37">
        <v>5</v>
      </c>
      <c r="S155" s="24">
        <v>5</v>
      </c>
      <c r="T155" s="24">
        <v>5</v>
      </c>
      <c r="U155" s="27">
        <v>6</v>
      </c>
      <c r="V155" s="26">
        <v>5</v>
      </c>
      <c r="W155" s="37">
        <v>5</v>
      </c>
      <c r="X155" s="24">
        <v>5</v>
      </c>
      <c r="Y155" s="26" t="s">
        <v>673</v>
      </c>
      <c r="Z155" s="24">
        <v>4</v>
      </c>
      <c r="AA155" s="24">
        <v>5</v>
      </c>
      <c r="AB155" s="37" t="s">
        <v>644</v>
      </c>
      <c r="AC155" s="37"/>
      <c r="AD155" s="24"/>
      <c r="AE155" s="26" t="s">
        <v>644</v>
      </c>
      <c r="AF155" s="27">
        <v>4</v>
      </c>
      <c r="AG155" s="24" t="s">
        <v>655</v>
      </c>
      <c r="AH155" s="37"/>
      <c r="AI155" s="24"/>
      <c r="AJ155" s="26">
        <v>5</v>
      </c>
      <c r="AK155" s="24">
        <v>5</v>
      </c>
      <c r="AL155" s="37">
        <v>5</v>
      </c>
      <c r="AM155" s="75">
        <v>8</v>
      </c>
      <c r="AN155" s="26">
        <v>6</v>
      </c>
      <c r="AO155" s="26">
        <v>5</v>
      </c>
      <c r="AP155" s="24">
        <v>6</v>
      </c>
      <c r="AQ155" s="26">
        <v>5</v>
      </c>
      <c r="AR155" s="37">
        <v>4</v>
      </c>
      <c r="AS155" s="27">
        <v>4</v>
      </c>
      <c r="AT155" s="37"/>
      <c r="AU155">
        <f>E155 +F155</f>
        <v>33</v>
      </c>
    </row>
    <row r="156" spans="1:47" x14ac:dyDescent="0.25">
      <c r="A156" t="str">
        <f>B156 &amp; " - " &amp;D156</f>
        <v>ASSE - Karamoko</v>
      </c>
      <c r="B156" t="s">
        <v>746</v>
      </c>
      <c r="C156" s="29" t="s">
        <v>641</v>
      </c>
      <c r="D156" s="60" t="s">
        <v>540</v>
      </c>
      <c r="E156" s="31"/>
      <c r="F156" s="99"/>
      <c r="G156" s="114"/>
      <c r="H156" s="34"/>
      <c r="I156" s="36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7"/>
      <c r="W156" s="24"/>
      <c r="X156" s="24"/>
      <c r="Y156" s="24"/>
      <c r="Z156" s="24"/>
      <c r="AA156" s="24"/>
      <c r="AB156" s="24"/>
      <c r="AC156" s="24"/>
      <c r="AD156" s="24"/>
      <c r="AE156" s="27"/>
      <c r="AF156" s="38"/>
      <c r="AG156" s="24"/>
      <c r="AH156" s="24"/>
      <c r="AI156" s="24"/>
      <c r="AJ156" s="27"/>
      <c r="AK156" s="24"/>
      <c r="AL156" s="24"/>
      <c r="AM156" s="24"/>
      <c r="AN156" s="27"/>
      <c r="AO156" s="27"/>
      <c r="AP156" s="24"/>
      <c r="AQ156" s="27"/>
      <c r="AR156" s="24"/>
      <c r="AS156" s="27"/>
      <c r="AT156" s="24"/>
      <c r="AU156">
        <f>E156 +F156</f>
        <v>0</v>
      </c>
    </row>
    <row r="157" spans="1:47" x14ac:dyDescent="0.25">
      <c r="A157" t="str">
        <f>B157 &amp; " - " &amp;D157</f>
        <v>ASSE - Assou-Ekotto</v>
      </c>
      <c r="B157" t="s">
        <v>746</v>
      </c>
      <c r="C157" s="29" t="s">
        <v>641</v>
      </c>
      <c r="D157" s="60" t="s">
        <v>733</v>
      </c>
      <c r="E157" s="31">
        <v>19</v>
      </c>
      <c r="F157" s="99">
        <v>1</v>
      </c>
      <c r="G157" s="114"/>
      <c r="H157" s="34">
        <f>AVERAGE(J157,L157,I157,R157,S157,T157,U157,V157,W157,X157,AI157,AM157,AN157,AO157,AP157,AQ157,AR157,AS157,AT157)</f>
        <v>5.3157894736842106</v>
      </c>
      <c r="I157" s="21">
        <v>5</v>
      </c>
      <c r="J157" s="24">
        <v>5</v>
      </c>
      <c r="K157" s="24"/>
      <c r="L157" s="24">
        <v>5</v>
      </c>
      <c r="M157" s="24"/>
      <c r="N157" s="24"/>
      <c r="O157" s="24"/>
      <c r="P157" s="24"/>
      <c r="Q157" s="24"/>
      <c r="R157" s="24">
        <v>6</v>
      </c>
      <c r="S157" s="24">
        <v>5</v>
      </c>
      <c r="T157" s="24">
        <v>5</v>
      </c>
      <c r="U157" s="24">
        <v>5</v>
      </c>
      <c r="V157" s="27">
        <v>5</v>
      </c>
      <c r="W157" s="24">
        <v>5</v>
      </c>
      <c r="X157" s="24">
        <v>5</v>
      </c>
      <c r="Y157" s="24"/>
      <c r="Z157" s="24"/>
      <c r="AA157" s="24"/>
      <c r="AB157" s="24"/>
      <c r="AC157" s="24"/>
      <c r="AD157" s="24"/>
      <c r="AE157" s="27"/>
      <c r="AF157" s="38"/>
      <c r="AG157" s="24"/>
      <c r="AH157" s="24"/>
      <c r="AI157" s="24">
        <v>5</v>
      </c>
      <c r="AJ157" s="27"/>
      <c r="AK157" s="24"/>
      <c r="AL157" s="37" t="s">
        <v>644</v>
      </c>
      <c r="AM157" s="24">
        <v>6</v>
      </c>
      <c r="AN157" s="27">
        <v>6</v>
      </c>
      <c r="AO157" s="163">
        <v>7</v>
      </c>
      <c r="AP157" s="24">
        <v>5</v>
      </c>
      <c r="AQ157" s="27">
        <v>6</v>
      </c>
      <c r="AR157" s="24">
        <v>5</v>
      </c>
      <c r="AS157" s="27">
        <v>4</v>
      </c>
      <c r="AT157" s="24">
        <v>6</v>
      </c>
      <c r="AU157">
        <f>E157 +F157</f>
        <v>20</v>
      </c>
    </row>
    <row r="158" spans="1:47" x14ac:dyDescent="0.25">
      <c r="A158" t="str">
        <f>B158 &amp; " - " &amp;D158</f>
        <v>ASSE - Polomat</v>
      </c>
      <c r="B158" t="s">
        <v>746</v>
      </c>
      <c r="C158" s="29" t="s">
        <v>641</v>
      </c>
      <c r="D158" s="65" t="s">
        <v>734</v>
      </c>
      <c r="E158" s="31">
        <v>9</v>
      </c>
      <c r="F158" s="99">
        <v>6</v>
      </c>
      <c r="G158" s="114"/>
      <c r="H158" s="34">
        <f>AVERAGE(K158,M158,N158,P158,V158,Y158,Z158,AC158,AD158)</f>
        <v>5</v>
      </c>
      <c r="I158" s="36"/>
      <c r="J158" s="24"/>
      <c r="K158" s="24">
        <v>6</v>
      </c>
      <c r="L158" s="24"/>
      <c r="M158" s="24">
        <v>5</v>
      </c>
      <c r="N158" s="24">
        <v>5</v>
      </c>
      <c r="O158" s="24"/>
      <c r="P158" s="24">
        <v>5</v>
      </c>
      <c r="Q158" s="24"/>
      <c r="R158" s="37" t="s">
        <v>644</v>
      </c>
      <c r="S158" s="24"/>
      <c r="T158" s="24"/>
      <c r="U158" s="37" t="s">
        <v>644</v>
      </c>
      <c r="V158" s="27">
        <v>5</v>
      </c>
      <c r="W158" s="37" t="s">
        <v>644</v>
      </c>
      <c r="X158" s="24"/>
      <c r="Y158" s="24">
        <v>4</v>
      </c>
      <c r="Z158" s="24">
        <v>5</v>
      </c>
      <c r="AA158" s="37" t="s">
        <v>644</v>
      </c>
      <c r="AB158" s="24"/>
      <c r="AC158" s="24">
        <v>5</v>
      </c>
      <c r="AD158" s="24">
        <v>5</v>
      </c>
      <c r="AE158" s="27"/>
      <c r="AF158" s="38"/>
      <c r="AG158" s="24"/>
      <c r="AH158" s="24"/>
      <c r="AI158" s="24"/>
      <c r="AJ158" s="27"/>
      <c r="AK158" s="24"/>
      <c r="AL158" s="24"/>
      <c r="AM158" s="24"/>
      <c r="AN158" s="27"/>
      <c r="AO158" s="27"/>
      <c r="AP158" s="24"/>
      <c r="AQ158" s="27"/>
      <c r="AR158" s="24"/>
      <c r="AS158" s="26" t="s">
        <v>644</v>
      </c>
      <c r="AT158" s="37" t="s">
        <v>644</v>
      </c>
      <c r="AU158">
        <f>E158 +F158</f>
        <v>15</v>
      </c>
    </row>
    <row r="159" spans="1:47" x14ac:dyDescent="0.25">
      <c r="A159" t="str">
        <f>B159 &amp; " - " &amp;D159</f>
        <v>ASSE - Malcuit</v>
      </c>
      <c r="B159" t="s">
        <v>746</v>
      </c>
      <c r="C159" s="29" t="s">
        <v>641</v>
      </c>
      <c r="D159" s="154" t="s">
        <v>592</v>
      </c>
      <c r="E159" s="31">
        <v>10</v>
      </c>
      <c r="F159" s="99"/>
      <c r="G159" s="114"/>
      <c r="H159" s="34">
        <f>AVERAGE(N159,P159,Y159,Z159,AA159,AE159,AN159,AR159,AS159)</f>
        <v>5.1111111111111107</v>
      </c>
      <c r="I159" s="36"/>
      <c r="J159" s="24"/>
      <c r="K159" s="24"/>
      <c r="L159" s="24"/>
      <c r="M159" s="24"/>
      <c r="N159" s="24">
        <v>5</v>
      </c>
      <c r="O159" s="24"/>
      <c r="P159" s="24">
        <v>5</v>
      </c>
      <c r="Q159" s="24"/>
      <c r="R159" s="24"/>
      <c r="S159" s="24"/>
      <c r="T159" s="24"/>
      <c r="U159" s="24"/>
      <c r="V159" s="27"/>
      <c r="W159" s="24"/>
      <c r="X159" s="24"/>
      <c r="Y159" s="24">
        <v>5</v>
      </c>
      <c r="Z159" s="24">
        <v>5</v>
      </c>
      <c r="AA159" s="24">
        <v>6</v>
      </c>
      <c r="AB159" s="24"/>
      <c r="AC159" s="24"/>
      <c r="AD159" s="24"/>
      <c r="AE159" s="27">
        <v>5</v>
      </c>
      <c r="AF159" s="38"/>
      <c r="AG159" s="24"/>
      <c r="AH159" s="24"/>
      <c r="AI159" s="24"/>
      <c r="AJ159" s="27"/>
      <c r="AK159" s="24"/>
      <c r="AL159" s="24"/>
      <c r="AM159" s="24"/>
      <c r="AN159" s="163">
        <v>8</v>
      </c>
      <c r="AO159" s="27"/>
      <c r="AP159" s="24"/>
      <c r="AQ159" s="27"/>
      <c r="AR159" s="24">
        <v>4</v>
      </c>
      <c r="AS159" s="237">
        <v>3</v>
      </c>
      <c r="AT159" s="24"/>
      <c r="AU159">
        <f>E159 +F159</f>
        <v>10</v>
      </c>
    </row>
    <row r="160" spans="1:47" x14ac:dyDescent="0.25">
      <c r="A160" t="str">
        <f>B160 &amp; " - " &amp;D160</f>
        <v>ASSE - Pierre Gabriel</v>
      </c>
      <c r="B160" t="s">
        <v>746</v>
      </c>
      <c r="C160" s="29" t="s">
        <v>641</v>
      </c>
      <c r="D160" s="65" t="s">
        <v>735</v>
      </c>
      <c r="E160" s="31">
        <v>4</v>
      </c>
      <c r="F160" s="99">
        <v>1</v>
      </c>
      <c r="G160" s="114"/>
      <c r="H160" s="34">
        <f>AVERAGE(W160,AH160,AK160,AL160)</f>
        <v>4.75</v>
      </c>
      <c r="I160" s="36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7"/>
      <c r="W160" s="24">
        <v>4</v>
      </c>
      <c r="X160" s="24"/>
      <c r="Y160" s="24"/>
      <c r="Z160" s="37" t="s">
        <v>644</v>
      </c>
      <c r="AA160" s="24"/>
      <c r="AB160" s="24"/>
      <c r="AC160" s="24"/>
      <c r="AD160" s="24"/>
      <c r="AE160" s="27"/>
      <c r="AF160" s="38"/>
      <c r="AG160" s="24"/>
      <c r="AH160" s="24">
        <v>5</v>
      </c>
      <c r="AI160" s="24"/>
      <c r="AJ160" s="27"/>
      <c r="AK160" s="24">
        <v>5</v>
      </c>
      <c r="AL160" s="24">
        <v>5</v>
      </c>
      <c r="AM160" s="24"/>
      <c r="AN160" s="27"/>
      <c r="AO160" s="27"/>
      <c r="AP160" s="24"/>
      <c r="AQ160" s="27"/>
      <c r="AR160" s="24"/>
      <c r="AS160" s="27"/>
      <c r="AT160" s="24"/>
      <c r="AU160">
        <f>E160 +F160</f>
        <v>5</v>
      </c>
    </row>
    <row r="161" spans="1:47" x14ac:dyDescent="0.25">
      <c r="A161" t="str">
        <f>B161 &amp; " - " &amp;D161</f>
        <v>ASSE - Tabanou</v>
      </c>
      <c r="B161" t="s">
        <v>746</v>
      </c>
      <c r="C161" s="29" t="s">
        <v>641</v>
      </c>
      <c r="D161" s="154" t="s">
        <v>1088</v>
      </c>
      <c r="E161" s="31">
        <v>8</v>
      </c>
      <c r="F161" s="99">
        <v>3</v>
      </c>
      <c r="G161" s="73"/>
      <c r="H161" s="34">
        <f>AVERAGE(AE161,AF161,AG161,AH161,AJ161,AK161,AL161,AS161)</f>
        <v>4.625</v>
      </c>
      <c r="I161" s="24"/>
      <c r="J161" s="36"/>
      <c r="K161" s="37"/>
      <c r="L161" s="22"/>
      <c r="M161" s="24"/>
      <c r="N161" s="23"/>
      <c r="O161" s="37"/>
      <c r="P161" s="24"/>
      <c r="Q161" s="24"/>
      <c r="R161" s="23"/>
      <c r="S161" s="37"/>
      <c r="T161" s="24"/>
      <c r="U161" s="27"/>
      <c r="V161" s="27"/>
      <c r="W161" s="24"/>
      <c r="X161" s="37"/>
      <c r="Y161" s="27"/>
      <c r="Z161" s="24"/>
      <c r="AA161" s="37"/>
      <c r="AB161" s="24"/>
      <c r="AC161" s="24"/>
      <c r="AD161" s="37" t="s">
        <v>644</v>
      </c>
      <c r="AE161" s="27">
        <v>5</v>
      </c>
      <c r="AF161" s="27">
        <v>6</v>
      </c>
      <c r="AG161" s="24">
        <v>5</v>
      </c>
      <c r="AH161" s="24">
        <v>5</v>
      </c>
      <c r="AI161" s="24"/>
      <c r="AJ161" s="27">
        <v>5</v>
      </c>
      <c r="AK161" s="24">
        <v>5</v>
      </c>
      <c r="AL161" s="82">
        <v>3</v>
      </c>
      <c r="AM161" s="24"/>
      <c r="AN161" s="27"/>
      <c r="AO161" s="27"/>
      <c r="AP161" s="37" t="s">
        <v>644</v>
      </c>
      <c r="AQ161" s="26" t="s">
        <v>644</v>
      </c>
      <c r="AR161" s="24"/>
      <c r="AS161" s="237">
        <v>3</v>
      </c>
      <c r="AT161" s="24"/>
      <c r="AU161">
        <f>E161 +F161</f>
        <v>11</v>
      </c>
    </row>
    <row r="162" spans="1:47" x14ac:dyDescent="0.25">
      <c r="A162" t="str">
        <f>B162 &amp; " - " &amp;D162</f>
        <v>OL - Valbuena</v>
      </c>
      <c r="B162" t="s">
        <v>704</v>
      </c>
      <c r="C162" s="67" t="s">
        <v>654</v>
      </c>
      <c r="D162" s="68" t="s">
        <v>298</v>
      </c>
      <c r="E162" s="69">
        <v>21</v>
      </c>
      <c r="F162" s="115">
        <v>5</v>
      </c>
      <c r="G162" s="68">
        <v>1</v>
      </c>
      <c r="H162" s="72">
        <f>AVERAGE(W162,J162,K162,L162,M162,N162,P162,Q162,R162,S162,T162,U162,V162,Y162,AD162,AE162,AF162,AG162,AH162,AI162,AP162,AQ162)</f>
        <v>5.3636363636363633</v>
      </c>
      <c r="I162" s="79"/>
      <c r="J162" s="37">
        <v>4</v>
      </c>
      <c r="K162" s="24">
        <v>4</v>
      </c>
      <c r="L162" s="37">
        <v>6</v>
      </c>
      <c r="M162" s="83">
        <v>7</v>
      </c>
      <c r="N162" s="24">
        <v>5</v>
      </c>
      <c r="O162" s="22"/>
      <c r="P162" s="24">
        <v>5</v>
      </c>
      <c r="Q162" s="24">
        <v>5</v>
      </c>
      <c r="R162" s="23">
        <v>5</v>
      </c>
      <c r="S162" s="25">
        <v>8</v>
      </c>
      <c r="T162" s="83">
        <v>7</v>
      </c>
      <c r="U162" s="83">
        <v>7</v>
      </c>
      <c r="V162" s="27">
        <v>4</v>
      </c>
      <c r="W162" s="24">
        <v>5</v>
      </c>
      <c r="X162" s="24"/>
      <c r="Y162" s="27">
        <v>5</v>
      </c>
      <c r="Z162" s="23"/>
      <c r="AA162" s="22"/>
      <c r="AB162" s="22"/>
      <c r="AC162" s="76" t="s">
        <v>644</v>
      </c>
      <c r="AD162" s="66">
        <v>7</v>
      </c>
      <c r="AE162" s="27">
        <v>4</v>
      </c>
      <c r="AF162" s="24">
        <v>4</v>
      </c>
      <c r="AG162" s="24">
        <v>6</v>
      </c>
      <c r="AH162" s="23">
        <v>6</v>
      </c>
      <c r="AI162" s="24">
        <v>4</v>
      </c>
      <c r="AJ162" s="28"/>
      <c r="AK162" s="24"/>
      <c r="AL162" s="24"/>
      <c r="AM162" s="22"/>
      <c r="AN162" s="26" t="s">
        <v>644</v>
      </c>
      <c r="AO162" s="26" t="s">
        <v>644</v>
      </c>
      <c r="AP162" s="24">
        <v>6</v>
      </c>
      <c r="AQ162" s="27">
        <v>4</v>
      </c>
      <c r="AR162" s="24"/>
      <c r="AS162" s="28"/>
      <c r="AT162" s="37" t="s">
        <v>644</v>
      </c>
      <c r="AU162">
        <f>E162 +F162</f>
        <v>26</v>
      </c>
    </row>
    <row r="163" spans="1:47" x14ac:dyDescent="0.25">
      <c r="A163" t="str">
        <f>B163 &amp; " - " &amp;D163</f>
        <v>OGCN - Pied</v>
      </c>
      <c r="B163" t="s">
        <v>728</v>
      </c>
      <c r="C163" s="146" t="s">
        <v>654</v>
      </c>
      <c r="D163" s="154" t="s">
        <v>68</v>
      </c>
      <c r="E163" s="148">
        <v>33</v>
      </c>
      <c r="F163" s="142"/>
      <c r="G163" s="49"/>
      <c r="H163" s="34">
        <f>AVERAGE(AA163,Z163,K163,L163,M163,N163,O163,P163,R163,S163,T163,Q163,U163,V163,W163,AB163,AC163,AD163,AE163,AF163,AG163,AH163,AI163,AJ163,AK163,AL163,AM163,AO163,AP163,AQ163,AR163,AS163,AT163)</f>
        <v>5.3636363636363633</v>
      </c>
      <c r="I163" s="296"/>
      <c r="J163" s="23"/>
      <c r="K163" s="23">
        <v>5</v>
      </c>
      <c r="L163" s="23">
        <v>5</v>
      </c>
      <c r="M163" s="23">
        <v>5</v>
      </c>
      <c r="N163" s="23">
        <v>5</v>
      </c>
      <c r="O163" s="23">
        <v>6</v>
      </c>
      <c r="P163" s="23">
        <v>5</v>
      </c>
      <c r="Q163" s="23">
        <v>6</v>
      </c>
      <c r="R163" s="23">
        <v>5</v>
      </c>
      <c r="S163" s="23">
        <v>5</v>
      </c>
      <c r="T163" s="23">
        <v>6</v>
      </c>
      <c r="U163" s="142">
        <v>6</v>
      </c>
      <c r="V163" s="284">
        <v>7</v>
      </c>
      <c r="W163" s="23">
        <v>5</v>
      </c>
      <c r="X163" s="23"/>
      <c r="Y163" s="142"/>
      <c r="Z163" s="23">
        <v>5</v>
      </c>
      <c r="AA163" s="23">
        <v>5</v>
      </c>
      <c r="AB163" s="76">
        <v>5</v>
      </c>
      <c r="AC163" s="23">
        <v>5</v>
      </c>
      <c r="AD163" s="23">
        <v>6</v>
      </c>
      <c r="AE163" s="142">
        <v>6</v>
      </c>
      <c r="AF163" s="142">
        <v>6</v>
      </c>
      <c r="AG163" s="23">
        <v>5</v>
      </c>
      <c r="AH163" s="23">
        <v>5</v>
      </c>
      <c r="AI163" s="23">
        <v>6</v>
      </c>
      <c r="AJ163" s="142">
        <v>4</v>
      </c>
      <c r="AK163" s="83">
        <v>7</v>
      </c>
      <c r="AL163" s="23">
        <v>5</v>
      </c>
      <c r="AM163" s="23">
        <v>5</v>
      </c>
      <c r="AN163" s="142"/>
      <c r="AO163" s="142">
        <v>6</v>
      </c>
      <c r="AP163" s="23">
        <v>5</v>
      </c>
      <c r="AQ163" s="142">
        <v>6</v>
      </c>
      <c r="AR163" s="161">
        <v>3</v>
      </c>
      <c r="AS163" s="142">
        <v>6</v>
      </c>
      <c r="AT163" s="23">
        <v>5</v>
      </c>
      <c r="AU163">
        <f>E163 +F163</f>
        <v>33</v>
      </c>
    </row>
    <row r="164" spans="1:47" x14ac:dyDescent="0.25">
      <c r="A164" t="str">
        <f>B164 &amp; " - " &amp;D164</f>
        <v>ASSE - Cohade</v>
      </c>
      <c r="B164" t="s">
        <v>746</v>
      </c>
      <c r="C164" s="29" t="s">
        <v>654</v>
      </c>
      <c r="D164" s="60" t="s">
        <v>737</v>
      </c>
      <c r="E164" s="31">
        <v>14</v>
      </c>
      <c r="F164" s="99">
        <v>5</v>
      </c>
      <c r="G164" s="114"/>
      <c r="H164" s="34">
        <f>AVERAGE(V164,Y164,Z164,AE164,AF164,AG164,AH164,AK164,AN164,AO164,AP164,AQ164,AR164,AT164)</f>
        <v>4.9285714285714288</v>
      </c>
      <c r="I164" s="24"/>
      <c r="J164" s="37"/>
      <c r="K164" s="24"/>
      <c r="L164" s="24"/>
      <c r="M164" s="37"/>
      <c r="N164" s="24"/>
      <c r="O164" s="37"/>
      <c r="P164" s="24"/>
      <c r="Q164" s="37"/>
      <c r="R164" s="24"/>
      <c r="S164" s="24"/>
      <c r="T164" s="37" t="s">
        <v>644</v>
      </c>
      <c r="U164" s="27"/>
      <c r="V164" s="87">
        <v>4</v>
      </c>
      <c r="W164" s="76" t="s">
        <v>644</v>
      </c>
      <c r="X164" s="37" t="s">
        <v>644</v>
      </c>
      <c r="Y164" s="27">
        <v>5</v>
      </c>
      <c r="Z164" s="24">
        <v>4</v>
      </c>
      <c r="AA164" s="24"/>
      <c r="AB164" s="37"/>
      <c r="AC164" s="37" t="s">
        <v>644</v>
      </c>
      <c r="AD164" s="24"/>
      <c r="AE164" s="27">
        <v>4</v>
      </c>
      <c r="AF164" s="265">
        <v>7</v>
      </c>
      <c r="AG164" s="24">
        <v>5</v>
      </c>
      <c r="AH164" s="24">
        <v>6</v>
      </c>
      <c r="AI164" s="37" t="s">
        <v>644</v>
      </c>
      <c r="AJ164" s="27"/>
      <c r="AK164" s="24">
        <v>4</v>
      </c>
      <c r="AL164" s="24"/>
      <c r="AM164" s="24"/>
      <c r="AN164" s="27">
        <v>5</v>
      </c>
      <c r="AO164" s="27">
        <v>5</v>
      </c>
      <c r="AP164" s="24">
        <v>5</v>
      </c>
      <c r="AQ164" s="27">
        <v>5</v>
      </c>
      <c r="AR164" s="24">
        <v>5</v>
      </c>
      <c r="AS164" s="26" t="s">
        <v>644</v>
      </c>
      <c r="AT164" s="24">
        <v>5</v>
      </c>
      <c r="AU164">
        <f>E164 +F164</f>
        <v>19</v>
      </c>
    </row>
    <row r="165" spans="1:47" x14ac:dyDescent="0.25">
      <c r="A165" t="str">
        <f>B165 &amp; " - " &amp;D165</f>
        <v>ASSE - Corgnet</v>
      </c>
      <c r="B165" t="s">
        <v>746</v>
      </c>
      <c r="C165" s="29" t="s">
        <v>654</v>
      </c>
      <c r="D165" s="60" t="s">
        <v>738</v>
      </c>
      <c r="E165" s="31">
        <v>5</v>
      </c>
      <c r="F165" s="99">
        <v>11</v>
      </c>
      <c r="G165" s="73">
        <v>1</v>
      </c>
      <c r="H165" s="34">
        <f>AVERAGE(O165,V165,AC165,AG165,AL165,AT165)</f>
        <v>4.666666666666667</v>
      </c>
      <c r="I165" s="37"/>
      <c r="J165" s="155" t="s">
        <v>644</v>
      </c>
      <c r="K165" s="37" t="s">
        <v>644</v>
      </c>
      <c r="L165" s="37"/>
      <c r="M165" s="24"/>
      <c r="N165" s="37" t="s">
        <v>644</v>
      </c>
      <c r="O165" s="24">
        <v>6</v>
      </c>
      <c r="P165" s="24"/>
      <c r="Q165" s="24"/>
      <c r="R165" s="24"/>
      <c r="S165" s="24"/>
      <c r="T165" s="24"/>
      <c r="U165" s="27"/>
      <c r="V165" s="26">
        <v>4</v>
      </c>
      <c r="W165" s="24"/>
      <c r="X165" s="24"/>
      <c r="Y165" s="26" t="s">
        <v>644</v>
      </c>
      <c r="Z165" s="37" t="s">
        <v>644</v>
      </c>
      <c r="AA165" s="77" t="s">
        <v>644</v>
      </c>
      <c r="AB165" s="37" t="s">
        <v>644</v>
      </c>
      <c r="AC165" s="24">
        <v>4</v>
      </c>
      <c r="AD165" s="37" t="s">
        <v>644</v>
      </c>
      <c r="AE165" s="27"/>
      <c r="AF165" s="87" t="s">
        <v>644</v>
      </c>
      <c r="AG165" s="66">
        <v>7</v>
      </c>
      <c r="AH165" s="24"/>
      <c r="AI165" s="37"/>
      <c r="AJ165" s="26" t="s">
        <v>644</v>
      </c>
      <c r="AK165" s="37"/>
      <c r="AL165" s="37">
        <v>4</v>
      </c>
      <c r="AM165" s="24"/>
      <c r="AN165" s="26"/>
      <c r="AO165" s="27"/>
      <c r="AP165" s="24"/>
      <c r="AQ165" s="26"/>
      <c r="AR165" s="24"/>
      <c r="AS165" s="27"/>
      <c r="AT165" s="166">
        <v>3</v>
      </c>
      <c r="AU165">
        <f>E165 +F165</f>
        <v>16</v>
      </c>
    </row>
    <row r="166" spans="1:47" x14ac:dyDescent="0.25">
      <c r="A166" t="str">
        <f>B166 &amp; " - " &amp;D166</f>
        <v>ASSE - Diomandé</v>
      </c>
      <c r="B166" t="s">
        <v>746</v>
      </c>
      <c r="C166" s="130" t="s">
        <v>654</v>
      </c>
      <c r="D166" s="131" t="s">
        <v>739</v>
      </c>
      <c r="E166" s="132">
        <v>3</v>
      </c>
      <c r="F166" s="133">
        <v>4</v>
      </c>
      <c r="G166" s="134"/>
      <c r="H166" s="80">
        <f>AVERAGE(J166,Q166,S166)</f>
        <v>4.666666666666667</v>
      </c>
      <c r="I166" s="135" t="s">
        <v>644</v>
      </c>
      <c r="J166" s="133">
        <v>5</v>
      </c>
      <c r="K166" s="137"/>
      <c r="L166" s="138" t="s">
        <v>644</v>
      </c>
      <c r="M166" s="138"/>
      <c r="N166" s="138"/>
      <c r="O166" s="138" t="s">
        <v>644</v>
      </c>
      <c r="P166" s="138"/>
      <c r="Q166" s="138">
        <v>4</v>
      </c>
      <c r="R166" s="138" t="s">
        <v>644</v>
      </c>
      <c r="S166" s="138">
        <v>5</v>
      </c>
      <c r="T166" s="138"/>
      <c r="U166" s="138"/>
      <c r="V166" s="138"/>
      <c r="W166" s="138"/>
      <c r="X166" s="138"/>
      <c r="Y166" s="138"/>
      <c r="Z166" s="138"/>
      <c r="AA166" s="138"/>
      <c r="AB166" s="138"/>
      <c r="AC166" s="138"/>
      <c r="AD166" s="133"/>
      <c r="AE166" s="138"/>
      <c r="AF166" s="133"/>
      <c r="AG166" s="138"/>
      <c r="AH166" s="133"/>
      <c r="AI166" s="133"/>
      <c r="AJ166" s="138"/>
      <c r="AK166" s="138"/>
      <c r="AL166" s="138"/>
      <c r="AM166" s="138"/>
      <c r="AN166" s="133"/>
      <c r="AO166" s="138"/>
      <c r="AP166" s="138"/>
      <c r="AQ166" s="133"/>
      <c r="AR166" s="133"/>
      <c r="AS166" s="133"/>
      <c r="AT166" s="138"/>
      <c r="AU166">
        <f>E166 +F166</f>
        <v>7</v>
      </c>
    </row>
    <row r="167" spans="1:47" x14ac:dyDescent="0.25">
      <c r="A167" t="str">
        <f>B167 &amp; " - " &amp;D167</f>
        <v>ASSE - Mollo</v>
      </c>
      <c r="B167" t="s">
        <v>746</v>
      </c>
      <c r="C167" s="130" t="s">
        <v>654</v>
      </c>
      <c r="D167" s="131" t="s">
        <v>740</v>
      </c>
      <c r="E167" s="132"/>
      <c r="F167" s="133">
        <v>1</v>
      </c>
      <c r="G167" s="134"/>
      <c r="H167" s="34"/>
      <c r="I167" s="135" t="s">
        <v>644</v>
      </c>
      <c r="J167" s="133"/>
      <c r="K167" s="137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38"/>
      <c r="Y167" s="138"/>
      <c r="Z167" s="138"/>
      <c r="AA167" s="138"/>
      <c r="AB167" s="138"/>
      <c r="AC167" s="138"/>
      <c r="AD167" s="133"/>
      <c r="AE167" s="138"/>
      <c r="AF167" s="133"/>
      <c r="AG167" s="138"/>
      <c r="AH167" s="133"/>
      <c r="AI167" s="133"/>
      <c r="AJ167" s="138"/>
      <c r="AK167" s="138"/>
      <c r="AL167" s="138"/>
      <c r="AM167" s="138"/>
      <c r="AN167" s="133"/>
      <c r="AO167" s="138"/>
      <c r="AP167" s="138"/>
      <c r="AQ167" s="133"/>
      <c r="AR167" s="133"/>
      <c r="AS167" s="133"/>
      <c r="AT167" s="138"/>
      <c r="AU167">
        <f>E167 +F167</f>
        <v>1</v>
      </c>
    </row>
    <row r="168" spans="1:47" x14ac:dyDescent="0.25">
      <c r="A168" t="str">
        <f>B168 &amp; " - " &amp;D168</f>
        <v>OGCN - Ricardo Pereira</v>
      </c>
      <c r="B168" t="s">
        <v>728</v>
      </c>
      <c r="C168" s="29" t="s">
        <v>641</v>
      </c>
      <c r="D168" s="176" t="s">
        <v>712</v>
      </c>
      <c r="E168" s="31">
        <v>26</v>
      </c>
      <c r="F168" s="99"/>
      <c r="G168" s="73"/>
      <c r="H168" s="34">
        <f>AVERAGE(M168,N168,O168,P168,R168,S168,T168,Q168,U168,X168,AB168,AE168,AG168,AH168,AI168,AJ168,AK168,AL168,AM168,AN168,AO168,AP168,AQ168,AS168,AT168)</f>
        <v>5.36</v>
      </c>
      <c r="I168" s="24"/>
      <c r="J168" s="21"/>
      <c r="K168" s="24"/>
      <c r="L168" s="24"/>
      <c r="M168" s="24">
        <v>5</v>
      </c>
      <c r="N168" s="84">
        <v>7</v>
      </c>
      <c r="O168" s="24">
        <v>5</v>
      </c>
      <c r="P168" s="24">
        <v>6</v>
      </c>
      <c r="Q168" s="24">
        <v>6</v>
      </c>
      <c r="R168" s="24">
        <v>5</v>
      </c>
      <c r="S168" s="24">
        <v>5</v>
      </c>
      <c r="T168" s="24">
        <v>6</v>
      </c>
      <c r="U168" s="27">
        <v>6</v>
      </c>
      <c r="V168" s="27"/>
      <c r="W168" s="37" t="s">
        <v>677</v>
      </c>
      <c r="X168" s="24">
        <v>5</v>
      </c>
      <c r="Y168" s="27"/>
      <c r="Z168" s="24"/>
      <c r="AA168" s="24"/>
      <c r="AB168" s="24">
        <v>4</v>
      </c>
      <c r="AC168" s="24"/>
      <c r="AD168" s="24"/>
      <c r="AE168" s="27">
        <v>6</v>
      </c>
      <c r="AF168" s="27"/>
      <c r="AG168" s="24">
        <v>5</v>
      </c>
      <c r="AH168" s="24">
        <v>5</v>
      </c>
      <c r="AI168" s="24">
        <v>5</v>
      </c>
      <c r="AJ168" s="26">
        <v>4</v>
      </c>
      <c r="AK168" s="24">
        <v>6</v>
      </c>
      <c r="AL168" s="24">
        <v>6</v>
      </c>
      <c r="AM168" s="24">
        <v>6</v>
      </c>
      <c r="AN168" s="237">
        <v>3</v>
      </c>
      <c r="AO168" s="27">
        <v>6</v>
      </c>
      <c r="AP168" s="24">
        <v>4</v>
      </c>
      <c r="AQ168" s="27">
        <v>6</v>
      </c>
      <c r="AR168" s="24"/>
      <c r="AS168" s="27">
        <v>6</v>
      </c>
      <c r="AT168" s="24">
        <v>6</v>
      </c>
      <c r="AU168">
        <f>E168 +F168</f>
        <v>26</v>
      </c>
    </row>
    <row r="169" spans="1:47" x14ac:dyDescent="0.25">
      <c r="A169" t="str">
        <f>B169 &amp; " - " &amp;D169</f>
        <v>EAG - Lössl</v>
      </c>
      <c r="B169" t="s">
        <v>999</v>
      </c>
      <c r="C169" s="29" t="s">
        <v>638</v>
      </c>
      <c r="D169" s="60" t="s">
        <v>975</v>
      </c>
      <c r="E169" s="31">
        <v>37</v>
      </c>
      <c r="F169" s="99"/>
      <c r="G169" s="73"/>
      <c r="H169" s="34">
        <f>AVERAGE(AA169,K169,L169,I169,M169,N169,O169,P169,Q169,R169,S169,T169,U169,V169,W169,X169,Y169,Z169,AB169,AC169,AD169,AE169,AF169,AG169,AH169,AI169,AJ169,AK169,AL169,AM169,AN169,AO169,AP169,AQ169,AR169,AS169,AT169)</f>
        <v>5.3513513513513518</v>
      </c>
      <c r="I169" s="76">
        <v>5</v>
      </c>
      <c r="J169" s="24"/>
      <c r="K169" s="37">
        <v>4</v>
      </c>
      <c r="L169" s="25">
        <v>7</v>
      </c>
      <c r="M169" s="77">
        <v>6</v>
      </c>
      <c r="N169" s="37">
        <v>5</v>
      </c>
      <c r="O169" s="66">
        <v>7</v>
      </c>
      <c r="P169" s="37">
        <v>4</v>
      </c>
      <c r="Q169" s="22">
        <v>6</v>
      </c>
      <c r="R169" s="23">
        <v>5</v>
      </c>
      <c r="S169" s="22">
        <v>6</v>
      </c>
      <c r="T169" s="23">
        <v>5</v>
      </c>
      <c r="U169" s="27">
        <v>5</v>
      </c>
      <c r="V169" s="94">
        <v>6</v>
      </c>
      <c r="W169" s="24">
        <v>5</v>
      </c>
      <c r="X169" s="24">
        <v>5</v>
      </c>
      <c r="Y169" s="26">
        <v>5</v>
      </c>
      <c r="Z169" s="23">
        <v>5</v>
      </c>
      <c r="AA169" s="24">
        <v>5</v>
      </c>
      <c r="AB169" s="22">
        <v>6</v>
      </c>
      <c r="AC169" s="37">
        <v>4</v>
      </c>
      <c r="AD169" s="22">
        <v>6</v>
      </c>
      <c r="AE169" s="163">
        <v>8</v>
      </c>
      <c r="AF169" s="247">
        <v>7</v>
      </c>
      <c r="AG169" s="22">
        <v>6</v>
      </c>
      <c r="AH169" s="24">
        <v>4</v>
      </c>
      <c r="AI169" s="24">
        <v>4</v>
      </c>
      <c r="AJ169" s="27">
        <v>5</v>
      </c>
      <c r="AK169" s="82">
        <v>3</v>
      </c>
      <c r="AL169" s="77">
        <v>6</v>
      </c>
      <c r="AM169" s="22">
        <v>6</v>
      </c>
      <c r="AN169" s="27">
        <v>5</v>
      </c>
      <c r="AO169" s="26">
        <v>5</v>
      </c>
      <c r="AP169" s="22">
        <v>6</v>
      </c>
      <c r="AQ169" s="142">
        <v>5</v>
      </c>
      <c r="AR169" s="24">
        <v>5</v>
      </c>
      <c r="AS169" s="247">
        <v>7</v>
      </c>
      <c r="AT169" s="24">
        <v>4</v>
      </c>
      <c r="AU169">
        <f>E169 +F169</f>
        <v>37</v>
      </c>
    </row>
    <row r="170" spans="1:47" x14ac:dyDescent="0.25">
      <c r="A170" t="str">
        <f>B170 &amp; " - " &amp;D170</f>
        <v>OM - Batshuayi</v>
      </c>
      <c r="B170" t="s">
        <v>703</v>
      </c>
      <c r="C170" s="29" t="s">
        <v>665</v>
      </c>
      <c r="D170" s="60" t="s">
        <v>666</v>
      </c>
      <c r="E170" s="31">
        <v>32</v>
      </c>
      <c r="F170" s="99">
        <v>4</v>
      </c>
      <c r="G170" s="73">
        <v>17</v>
      </c>
      <c r="H170" s="34">
        <f>AVERAGE(AA170,W170,J170,K170,L170,I170,M170,N170,P170,Q170,R170,S170,T170,U170,V170,X170,Y170,Z170,AB170,AC170,AD170,AE170,AG170,AH170,AK170,AJ170,AL170,AM170,AP170,AQ170,AR170,AS170)</f>
        <v>5.34375</v>
      </c>
      <c r="I170" s="37">
        <v>4</v>
      </c>
      <c r="J170" s="37">
        <v>4</v>
      </c>
      <c r="K170" s="25">
        <v>8</v>
      </c>
      <c r="L170" s="37">
        <v>5</v>
      </c>
      <c r="M170" s="25">
        <v>7</v>
      </c>
      <c r="N170" s="24">
        <v>5</v>
      </c>
      <c r="O170" s="77" t="s">
        <v>644</v>
      </c>
      <c r="P170" s="22">
        <v>6</v>
      </c>
      <c r="Q170" s="25">
        <v>7</v>
      </c>
      <c r="R170" s="22">
        <v>6</v>
      </c>
      <c r="S170" s="22">
        <v>6</v>
      </c>
      <c r="T170" s="24">
        <v>6</v>
      </c>
      <c r="U170" s="26">
        <v>4</v>
      </c>
      <c r="V170" s="129">
        <v>7</v>
      </c>
      <c r="W170" s="22">
        <v>6</v>
      </c>
      <c r="X170" s="37">
        <v>5</v>
      </c>
      <c r="Y170" s="27">
        <v>5</v>
      </c>
      <c r="Z170" s="77">
        <v>6</v>
      </c>
      <c r="AA170" s="23">
        <v>4</v>
      </c>
      <c r="AB170" s="166">
        <v>3</v>
      </c>
      <c r="AC170" s="25">
        <v>7</v>
      </c>
      <c r="AD170" s="24">
        <v>5</v>
      </c>
      <c r="AE170" s="26">
        <v>4</v>
      </c>
      <c r="AF170" s="27"/>
      <c r="AG170" s="24">
        <v>4</v>
      </c>
      <c r="AH170" s="234">
        <v>3</v>
      </c>
      <c r="AI170" s="77" t="s">
        <v>644</v>
      </c>
      <c r="AJ170" s="142">
        <v>6</v>
      </c>
      <c r="AK170" s="37">
        <v>5</v>
      </c>
      <c r="AL170" s="23">
        <v>6</v>
      </c>
      <c r="AM170" s="37">
        <v>4</v>
      </c>
      <c r="AN170" s="94" t="s">
        <v>644</v>
      </c>
      <c r="AO170" s="26" t="s">
        <v>644</v>
      </c>
      <c r="AP170" s="77">
        <v>6</v>
      </c>
      <c r="AQ170" s="27">
        <v>5</v>
      </c>
      <c r="AR170" s="77">
        <v>6</v>
      </c>
      <c r="AS170" s="94">
        <v>6</v>
      </c>
      <c r="AT170" s="37"/>
      <c r="AU170">
        <f>E170 +F170</f>
        <v>36</v>
      </c>
    </row>
    <row r="171" spans="1:47" x14ac:dyDescent="0.25">
      <c r="A171" t="str">
        <f>B171 &amp; " - " &amp;D171</f>
        <v>ASSE - Pinheiro</v>
      </c>
      <c r="B171" t="s">
        <v>746</v>
      </c>
      <c r="C171" s="29" t="s">
        <v>654</v>
      </c>
      <c r="D171" s="65" t="s">
        <v>742</v>
      </c>
      <c r="E171" s="31"/>
      <c r="F171" s="99">
        <v>2</v>
      </c>
      <c r="G171" s="73"/>
      <c r="H171" s="34"/>
      <c r="I171" s="24"/>
      <c r="J171" s="36"/>
      <c r="K171" s="37"/>
      <c r="L171" s="22"/>
      <c r="M171" s="24"/>
      <c r="N171" s="23"/>
      <c r="O171" s="37"/>
      <c r="P171" s="24"/>
      <c r="Q171" s="24"/>
      <c r="R171" s="23"/>
      <c r="S171" s="37" t="s">
        <v>644</v>
      </c>
      <c r="T171" s="24"/>
      <c r="U171" s="27"/>
      <c r="V171" s="27"/>
      <c r="W171" s="24"/>
      <c r="X171" s="37"/>
      <c r="Y171" s="27"/>
      <c r="Z171" s="24"/>
      <c r="AA171" s="37" t="s">
        <v>644</v>
      </c>
      <c r="AB171" s="24"/>
      <c r="AC171" s="24"/>
      <c r="AD171" s="24"/>
      <c r="AE171" s="27"/>
      <c r="AF171" s="27"/>
      <c r="AG171" s="24"/>
      <c r="AH171" s="24"/>
      <c r="AI171" s="24"/>
      <c r="AJ171" s="27"/>
      <c r="AK171" s="24"/>
      <c r="AL171" s="24"/>
      <c r="AM171" s="24"/>
      <c r="AN171" s="27"/>
      <c r="AO171" s="27"/>
      <c r="AP171" s="24"/>
      <c r="AQ171" s="27"/>
      <c r="AR171" s="24"/>
      <c r="AS171" s="27"/>
      <c r="AT171" s="24"/>
      <c r="AU171">
        <f>E171 +F171</f>
        <v>2</v>
      </c>
    </row>
    <row r="172" spans="1:47" x14ac:dyDescent="0.25">
      <c r="A172" t="str">
        <f>B172 &amp; " - " &amp;D172</f>
        <v>ASSE - Selnaes</v>
      </c>
      <c r="B172" t="s">
        <v>746</v>
      </c>
      <c r="C172" s="29" t="s">
        <v>654</v>
      </c>
      <c r="D172" s="65" t="s">
        <v>1116</v>
      </c>
      <c r="E172" s="31">
        <v>2</v>
      </c>
      <c r="F172" s="99">
        <v>1</v>
      </c>
      <c r="G172" s="73"/>
      <c r="H172" s="34">
        <f>AVERAGE(AI172,AL172)</f>
        <v>4.5</v>
      </c>
      <c r="I172" s="24"/>
      <c r="J172" s="36"/>
      <c r="K172" s="37"/>
      <c r="L172" s="22"/>
      <c r="M172" s="24"/>
      <c r="N172" s="23"/>
      <c r="O172" s="37"/>
      <c r="P172" s="24"/>
      <c r="Q172" s="24"/>
      <c r="R172" s="23"/>
      <c r="S172" s="37"/>
      <c r="T172" s="24"/>
      <c r="U172" s="27"/>
      <c r="V172" s="27"/>
      <c r="W172" s="24"/>
      <c r="X172" s="37"/>
      <c r="Y172" s="27"/>
      <c r="Z172" s="24"/>
      <c r="AA172" s="37"/>
      <c r="AB172" s="24"/>
      <c r="AC172" s="24"/>
      <c r="AD172" s="24"/>
      <c r="AE172" s="27"/>
      <c r="AF172" s="27"/>
      <c r="AG172" s="24"/>
      <c r="AH172" s="24"/>
      <c r="AI172" s="24">
        <v>5</v>
      </c>
      <c r="AJ172" s="27"/>
      <c r="AK172" s="37" t="s">
        <v>644</v>
      </c>
      <c r="AL172" s="24">
        <v>4</v>
      </c>
      <c r="AM172" s="24"/>
      <c r="AN172" s="27"/>
      <c r="AO172" s="27"/>
      <c r="AP172" s="24"/>
      <c r="AQ172" s="27"/>
      <c r="AR172" s="24"/>
      <c r="AS172" s="27"/>
      <c r="AT172" s="24"/>
      <c r="AU172">
        <f>E172 +F172</f>
        <v>3</v>
      </c>
    </row>
    <row r="173" spans="1:47" x14ac:dyDescent="0.25">
      <c r="A173" t="str">
        <f>B173 &amp; " - " &amp;D173</f>
        <v>OM - Mandanda</v>
      </c>
      <c r="B173" t="s">
        <v>703</v>
      </c>
      <c r="C173" s="67" t="s">
        <v>638</v>
      </c>
      <c r="D173" s="85" t="s">
        <v>463</v>
      </c>
      <c r="E173" s="69">
        <v>36</v>
      </c>
      <c r="F173" s="115"/>
      <c r="G173" s="68"/>
      <c r="H173" s="72">
        <f>AVERAGE(AA173,J173,K173,L173,I173,M173,N173,O173,P173,Q173,R173,S173,T173,U173,V173,W173,X173,Y173,Z173,AB173,AC173,AD173,AF173,AG173,AH173,AI173,AK173,AJ173,AL173,AM173,AN173,AO173,AP173,AQ173,AR173,AS173)</f>
        <v>5.333333333333333</v>
      </c>
      <c r="I173" s="21">
        <v>5</v>
      </c>
      <c r="J173" s="21">
        <v>6</v>
      </c>
      <c r="K173" s="22">
        <v>6</v>
      </c>
      <c r="L173" s="23">
        <v>4</v>
      </c>
      <c r="M173" s="24">
        <v>5</v>
      </c>
      <c r="N173" s="23">
        <v>5</v>
      </c>
      <c r="O173" s="23">
        <v>5</v>
      </c>
      <c r="P173" s="24">
        <v>5</v>
      </c>
      <c r="Q173" s="24">
        <v>5</v>
      </c>
      <c r="R173" s="23">
        <v>5</v>
      </c>
      <c r="S173" s="24">
        <v>6</v>
      </c>
      <c r="T173" s="22">
        <v>6</v>
      </c>
      <c r="U173" s="27">
        <v>6</v>
      </c>
      <c r="V173" s="247">
        <v>7</v>
      </c>
      <c r="W173" s="23">
        <v>5</v>
      </c>
      <c r="X173" s="22">
        <v>6</v>
      </c>
      <c r="Y173" s="27">
        <v>4</v>
      </c>
      <c r="Z173" s="24">
        <v>5</v>
      </c>
      <c r="AA173" s="24">
        <v>5</v>
      </c>
      <c r="AB173" s="77">
        <v>6</v>
      </c>
      <c r="AC173" s="24">
        <v>5</v>
      </c>
      <c r="AD173" s="66">
        <v>7</v>
      </c>
      <c r="AE173" s="28"/>
      <c r="AF173" s="28">
        <v>6</v>
      </c>
      <c r="AG173" s="24">
        <v>4</v>
      </c>
      <c r="AH173" s="24">
        <v>5</v>
      </c>
      <c r="AI173" s="24">
        <v>5</v>
      </c>
      <c r="AJ173" s="28">
        <v>6</v>
      </c>
      <c r="AK173" s="23">
        <v>6</v>
      </c>
      <c r="AL173" s="83">
        <v>7</v>
      </c>
      <c r="AM173" s="82">
        <v>2</v>
      </c>
      <c r="AN173" s="27">
        <v>4</v>
      </c>
      <c r="AO173" s="28">
        <v>6</v>
      </c>
      <c r="AP173" s="24">
        <v>5</v>
      </c>
      <c r="AQ173" s="142">
        <v>5</v>
      </c>
      <c r="AR173" s="22">
        <v>6</v>
      </c>
      <c r="AS173" s="28">
        <v>6</v>
      </c>
      <c r="AT173" s="22"/>
      <c r="AU173">
        <f>E173 +F173</f>
        <v>36</v>
      </c>
    </row>
    <row r="174" spans="1:47" x14ac:dyDescent="0.25">
      <c r="A174" t="str">
        <f>B174 &amp; " - " &amp;D174</f>
        <v>ASM - Subasic</v>
      </c>
      <c r="B174" t="s">
        <v>974</v>
      </c>
      <c r="C174" s="29" t="s">
        <v>638</v>
      </c>
      <c r="D174" s="30" t="s">
        <v>957</v>
      </c>
      <c r="E174" s="31">
        <v>36</v>
      </c>
      <c r="F174" s="99"/>
      <c r="G174" s="73"/>
      <c r="H174" s="34">
        <f>AVERAGE(J174,K174,L174,I174,M174,N174,O174,P174,Q174,R174,S174,T174,U174,V174,W174,X174,Y174,AB174,AC174,AD174,AE174,AF174,AG174,AH174,AI174,AJ174,AK174,AL174,AM174,AN174,AO174,AP174,AQ174,AR174,AS174,AT174)</f>
        <v>5.333333333333333</v>
      </c>
      <c r="I174" s="24">
        <v>5</v>
      </c>
      <c r="J174" s="143">
        <v>6</v>
      </c>
      <c r="K174" s="76">
        <v>5</v>
      </c>
      <c r="L174" s="24">
        <v>6</v>
      </c>
      <c r="M174" s="25">
        <v>7</v>
      </c>
      <c r="N174" s="23">
        <v>5</v>
      </c>
      <c r="O174" s="23">
        <v>5</v>
      </c>
      <c r="P174" s="37">
        <v>5</v>
      </c>
      <c r="Q174" s="24">
        <v>5</v>
      </c>
      <c r="R174" s="76">
        <v>6</v>
      </c>
      <c r="S174" s="75">
        <v>7</v>
      </c>
      <c r="T174" s="22">
        <v>6</v>
      </c>
      <c r="U174" s="252">
        <v>3</v>
      </c>
      <c r="V174" s="28">
        <v>6</v>
      </c>
      <c r="W174" s="37">
        <v>4</v>
      </c>
      <c r="X174" s="76">
        <v>5</v>
      </c>
      <c r="Y174" s="142">
        <v>5</v>
      </c>
      <c r="Z174" s="77"/>
      <c r="AA174" s="22"/>
      <c r="AB174" s="23">
        <v>4</v>
      </c>
      <c r="AC174" s="22">
        <v>6</v>
      </c>
      <c r="AD174" s="25">
        <v>8</v>
      </c>
      <c r="AE174" s="139">
        <v>5</v>
      </c>
      <c r="AF174" s="28">
        <v>6</v>
      </c>
      <c r="AG174" s="77">
        <v>6</v>
      </c>
      <c r="AH174" s="23">
        <v>6</v>
      </c>
      <c r="AI174" s="23">
        <v>6</v>
      </c>
      <c r="AJ174" s="129">
        <v>7</v>
      </c>
      <c r="AK174" s="23">
        <v>6</v>
      </c>
      <c r="AL174" s="37">
        <v>5</v>
      </c>
      <c r="AM174" s="75">
        <v>7</v>
      </c>
      <c r="AN174" s="142">
        <v>4</v>
      </c>
      <c r="AO174" s="252">
        <v>3</v>
      </c>
      <c r="AP174" s="24">
        <v>5</v>
      </c>
      <c r="AQ174" s="26">
        <v>5</v>
      </c>
      <c r="AR174" s="37">
        <v>4</v>
      </c>
      <c r="AS174" s="273">
        <v>2</v>
      </c>
      <c r="AT174" s="77">
        <v>6</v>
      </c>
      <c r="AU174">
        <f>E174 +F174</f>
        <v>36</v>
      </c>
    </row>
    <row r="175" spans="1:47" x14ac:dyDescent="0.25">
      <c r="A175" t="str">
        <f>B175 &amp; " - " &amp;D175</f>
        <v>ASSE - Bamba</v>
      </c>
      <c r="B175" t="s">
        <v>746</v>
      </c>
      <c r="C175" s="130" t="s">
        <v>665</v>
      </c>
      <c r="D175" s="131" t="s">
        <v>496</v>
      </c>
      <c r="E175" s="132">
        <v>4</v>
      </c>
      <c r="F175" s="133">
        <v>1</v>
      </c>
      <c r="G175" s="134">
        <v>1</v>
      </c>
      <c r="H175" s="80">
        <f>AVERAGE(I175,N175,P175,X175)</f>
        <v>4.5</v>
      </c>
      <c r="I175" s="135">
        <v>4</v>
      </c>
      <c r="J175" s="133"/>
      <c r="K175" s="137"/>
      <c r="L175" s="138"/>
      <c r="M175" s="138" t="s">
        <v>644</v>
      </c>
      <c r="N175" s="138">
        <v>7</v>
      </c>
      <c r="O175" s="138"/>
      <c r="P175" s="138">
        <v>3</v>
      </c>
      <c r="Q175" s="138"/>
      <c r="R175" s="138"/>
      <c r="S175" s="138"/>
      <c r="T175" s="138"/>
      <c r="U175" s="138"/>
      <c r="V175" s="138"/>
      <c r="W175" s="138"/>
      <c r="X175" s="138">
        <v>4</v>
      </c>
      <c r="Y175" s="138"/>
      <c r="Z175" s="138"/>
      <c r="AA175" s="138"/>
      <c r="AB175" s="138"/>
      <c r="AC175" s="138"/>
      <c r="AD175" s="133"/>
      <c r="AE175" s="138"/>
      <c r="AF175" s="133"/>
      <c r="AG175" s="138"/>
      <c r="AH175" s="133"/>
      <c r="AI175" s="133"/>
      <c r="AJ175" s="138"/>
      <c r="AK175" s="138"/>
      <c r="AL175" s="138"/>
      <c r="AM175" s="138"/>
      <c r="AN175" s="133"/>
      <c r="AO175" s="138"/>
      <c r="AP175" s="138"/>
      <c r="AQ175" s="133"/>
      <c r="AR175" s="133"/>
      <c r="AS175" s="133"/>
      <c r="AT175" s="138"/>
      <c r="AU175">
        <f>E175 +F175</f>
        <v>5</v>
      </c>
    </row>
    <row r="176" spans="1:47" x14ac:dyDescent="0.25">
      <c r="A176" t="str">
        <f>B176 &amp; " - " &amp;D176</f>
        <v>ASSE - Maupay</v>
      </c>
      <c r="B176" t="s">
        <v>746</v>
      </c>
      <c r="C176" s="29" t="s">
        <v>665</v>
      </c>
      <c r="D176" s="154" t="s">
        <v>744</v>
      </c>
      <c r="E176" s="31">
        <v>5</v>
      </c>
      <c r="F176" s="99">
        <v>10</v>
      </c>
      <c r="G176" s="73">
        <v>1</v>
      </c>
      <c r="H176" s="34">
        <f>AVERAGE(W176,AA176,AK176,AL176,AT176)</f>
        <v>4.2</v>
      </c>
      <c r="I176" s="24"/>
      <c r="J176" s="22"/>
      <c r="K176" s="37" t="s">
        <v>644</v>
      </c>
      <c r="L176" s="37" t="s">
        <v>644</v>
      </c>
      <c r="M176" s="24"/>
      <c r="N176" s="24"/>
      <c r="O176" s="37"/>
      <c r="P176" s="24"/>
      <c r="Q176" s="24"/>
      <c r="R176" s="24"/>
      <c r="S176" s="24"/>
      <c r="T176" s="37" t="s">
        <v>644</v>
      </c>
      <c r="U176" s="26"/>
      <c r="V176" s="87" t="s">
        <v>644</v>
      </c>
      <c r="W176" s="24">
        <v>5</v>
      </c>
      <c r="X176" s="37" t="s">
        <v>644</v>
      </c>
      <c r="Y176" s="26" t="s">
        <v>644</v>
      </c>
      <c r="Z176" s="37" t="s">
        <v>644</v>
      </c>
      <c r="AA176" s="24">
        <v>4</v>
      </c>
      <c r="AB176" s="37" t="s">
        <v>644</v>
      </c>
      <c r="AC176" s="37" t="s">
        <v>644</v>
      </c>
      <c r="AD176" s="37"/>
      <c r="AE176" s="26"/>
      <c r="AF176" s="48"/>
      <c r="AG176" s="24"/>
      <c r="AH176" s="24"/>
      <c r="AI176" s="24"/>
      <c r="AJ176" s="27"/>
      <c r="AK176" s="24">
        <v>4</v>
      </c>
      <c r="AL176" s="24">
        <v>4</v>
      </c>
      <c r="AM176" s="24"/>
      <c r="AN176" s="27"/>
      <c r="AO176" s="94" t="s">
        <v>644</v>
      </c>
      <c r="AP176" s="24"/>
      <c r="AQ176" s="27"/>
      <c r="AR176" s="24"/>
      <c r="AS176" s="27"/>
      <c r="AT176" s="37">
        <v>4</v>
      </c>
      <c r="AU176">
        <f>E176 +F176</f>
        <v>15</v>
      </c>
    </row>
    <row r="177" spans="1:47" x14ac:dyDescent="0.25">
      <c r="A177" t="str">
        <f>B177 &amp; " - " &amp;D177</f>
        <v>ASSE - Bahebeck</v>
      </c>
      <c r="B177" t="s">
        <v>746</v>
      </c>
      <c r="C177" s="29" t="s">
        <v>665</v>
      </c>
      <c r="D177" s="154" t="s">
        <v>701</v>
      </c>
      <c r="E177" s="31">
        <v>11</v>
      </c>
      <c r="F177" s="99">
        <v>5</v>
      </c>
      <c r="G177" s="73">
        <v>1</v>
      </c>
      <c r="H177" s="34">
        <f>AVERAGE(J177,L177,Q177,S177,AC177,AD177,AE177,AF177,AI177,AM177,AN177)</f>
        <v>4.6363636363636367</v>
      </c>
      <c r="I177" s="24"/>
      <c r="J177" s="23">
        <v>5</v>
      </c>
      <c r="K177" s="24"/>
      <c r="L177" s="24">
        <v>4</v>
      </c>
      <c r="M177" s="24"/>
      <c r="N177" s="37" t="s">
        <v>644</v>
      </c>
      <c r="O177" s="37"/>
      <c r="P177" s="37" t="s">
        <v>644</v>
      </c>
      <c r="Q177" s="24">
        <v>4</v>
      </c>
      <c r="R177" s="24"/>
      <c r="S177" s="37">
        <v>4</v>
      </c>
      <c r="T177" s="37" t="s">
        <v>644</v>
      </c>
      <c r="U177" s="26"/>
      <c r="V177" s="87" t="s">
        <v>644</v>
      </c>
      <c r="W177" s="24"/>
      <c r="X177" s="24"/>
      <c r="Y177" s="27"/>
      <c r="Z177" s="24"/>
      <c r="AA177" s="24"/>
      <c r="AB177" s="37"/>
      <c r="AC177" s="24">
        <v>4</v>
      </c>
      <c r="AD177" s="77">
        <v>6</v>
      </c>
      <c r="AE177" s="26">
        <v>4</v>
      </c>
      <c r="AF177" s="48">
        <v>4</v>
      </c>
      <c r="AG177" s="24"/>
      <c r="AH177" s="24"/>
      <c r="AI177" s="24">
        <v>5</v>
      </c>
      <c r="AJ177" s="27"/>
      <c r="AK177" s="24"/>
      <c r="AL177" s="24"/>
      <c r="AM177" s="24">
        <v>6</v>
      </c>
      <c r="AN177" s="27">
        <v>5</v>
      </c>
      <c r="AO177" s="27" t="s">
        <v>673</v>
      </c>
      <c r="AP177" s="24"/>
      <c r="AQ177" s="27"/>
      <c r="AR177" s="24"/>
      <c r="AS177" s="27"/>
      <c r="AT177" s="37"/>
      <c r="AU177">
        <f>E177 +F177</f>
        <v>16</v>
      </c>
    </row>
    <row r="178" spans="1:47" x14ac:dyDescent="0.25">
      <c r="A178" t="str">
        <f>B178 &amp; " - " &amp;D178</f>
        <v>ASSE - Beric</v>
      </c>
      <c r="B178" t="s">
        <v>746</v>
      </c>
      <c r="C178" s="29" t="s">
        <v>665</v>
      </c>
      <c r="D178" s="65" t="s">
        <v>745</v>
      </c>
      <c r="E178" s="31">
        <v>7</v>
      </c>
      <c r="F178" s="99">
        <v>3</v>
      </c>
      <c r="G178" s="73">
        <v>3</v>
      </c>
      <c r="H178" s="34">
        <f>AVERAGE(N178,P178,Q178,R178,S178,T178,U178)</f>
        <v>5</v>
      </c>
      <c r="I178" s="24"/>
      <c r="J178" s="22"/>
      <c r="K178" s="24"/>
      <c r="L178" s="24"/>
      <c r="M178" s="37" t="s">
        <v>644</v>
      </c>
      <c r="N178" s="22">
        <v>6</v>
      </c>
      <c r="O178" s="37" t="s">
        <v>644</v>
      </c>
      <c r="P178" s="24">
        <v>4</v>
      </c>
      <c r="Q178" s="24">
        <v>4</v>
      </c>
      <c r="R178" s="22">
        <v>6</v>
      </c>
      <c r="S178" s="24">
        <v>4</v>
      </c>
      <c r="T178" s="75">
        <v>7</v>
      </c>
      <c r="U178" s="26">
        <v>4</v>
      </c>
      <c r="V178" s="48"/>
      <c r="W178" s="24"/>
      <c r="X178" s="24"/>
      <c r="Y178" s="27"/>
      <c r="Z178" s="24"/>
      <c r="AA178" s="24"/>
      <c r="AB178" s="37"/>
      <c r="AC178" s="24"/>
      <c r="AD178" s="37"/>
      <c r="AE178" s="26"/>
      <c r="AF178" s="48"/>
      <c r="AG178" s="24"/>
      <c r="AH178" s="24"/>
      <c r="AI178" s="24"/>
      <c r="AJ178" s="27"/>
      <c r="AK178" s="24"/>
      <c r="AL178" s="24"/>
      <c r="AM178" s="24"/>
      <c r="AN178" s="27"/>
      <c r="AO178" s="27"/>
      <c r="AP178" s="24"/>
      <c r="AQ178" s="27"/>
      <c r="AR178" s="24"/>
      <c r="AS178" s="27"/>
      <c r="AT178" s="37" t="s">
        <v>644</v>
      </c>
      <c r="AU178">
        <f>E178 +F178</f>
        <v>10</v>
      </c>
    </row>
    <row r="179" spans="1:47" x14ac:dyDescent="0.25">
      <c r="A179" t="str">
        <f>B179 &amp; " - " &amp;D179</f>
        <v>ASSE - Söderlund</v>
      </c>
      <c r="B179" t="s">
        <v>746</v>
      </c>
      <c r="C179" s="29" t="s">
        <v>665</v>
      </c>
      <c r="D179" s="65" t="s">
        <v>1076</v>
      </c>
      <c r="E179" s="31">
        <v>10</v>
      </c>
      <c r="F179" s="99">
        <v>4</v>
      </c>
      <c r="G179" s="73">
        <v>2</v>
      </c>
      <c r="H179" s="34">
        <f>AVERAGE(AB179,AC179,AD179,AE179,AF179,AG179,AH179,AI179,AJ179,AM179)</f>
        <v>4.8</v>
      </c>
      <c r="I179" s="24"/>
      <c r="J179" s="22"/>
      <c r="K179" s="24"/>
      <c r="L179" s="24"/>
      <c r="M179" s="37"/>
      <c r="N179" s="22"/>
      <c r="O179" s="37"/>
      <c r="P179" s="24"/>
      <c r="Q179" s="24"/>
      <c r="R179" s="22"/>
      <c r="S179" s="24"/>
      <c r="T179" s="22"/>
      <c r="U179" s="26"/>
      <c r="V179" s="48"/>
      <c r="W179" s="24"/>
      <c r="X179" s="24"/>
      <c r="Y179" s="27"/>
      <c r="Z179" s="24"/>
      <c r="AA179" s="24"/>
      <c r="AB179" s="37">
        <v>4</v>
      </c>
      <c r="AC179" s="22">
        <v>6</v>
      </c>
      <c r="AD179" s="37">
        <v>6</v>
      </c>
      <c r="AE179" s="26">
        <v>4</v>
      </c>
      <c r="AF179" s="26">
        <v>4</v>
      </c>
      <c r="AG179" s="25">
        <v>8</v>
      </c>
      <c r="AH179" s="24">
        <v>4</v>
      </c>
      <c r="AI179" s="24">
        <v>4</v>
      </c>
      <c r="AJ179" s="27">
        <v>4</v>
      </c>
      <c r="AK179" s="37" t="s">
        <v>644</v>
      </c>
      <c r="AL179" s="37" t="s">
        <v>644</v>
      </c>
      <c r="AM179" s="24">
        <v>4</v>
      </c>
      <c r="AN179" s="26" t="s">
        <v>644</v>
      </c>
      <c r="AO179" s="27"/>
      <c r="AP179" s="24"/>
      <c r="AQ179" s="27"/>
      <c r="AR179" s="37" t="s">
        <v>644</v>
      </c>
      <c r="AS179" s="27"/>
      <c r="AT179" s="37"/>
      <c r="AU179">
        <f>E179 +F179</f>
        <v>14</v>
      </c>
    </row>
    <row r="180" spans="1:47" x14ac:dyDescent="0.25">
      <c r="A180" t="str">
        <f>B180 &amp; " - " &amp;D180</f>
        <v>ASSE - Tannane</v>
      </c>
      <c r="B180" t="s">
        <v>746</v>
      </c>
      <c r="C180" s="29" t="s">
        <v>665</v>
      </c>
      <c r="D180" s="65" t="s">
        <v>1089</v>
      </c>
      <c r="E180" s="31">
        <v>7</v>
      </c>
      <c r="F180" s="99">
        <v>3</v>
      </c>
      <c r="G180" s="73">
        <v>2</v>
      </c>
      <c r="H180" s="34">
        <f>AVERAGE(AG180,AH180,AI180,AJ180,AL180,AP180,AO180,AQ180)</f>
        <v>5.5</v>
      </c>
      <c r="I180" s="24"/>
      <c r="J180" s="36"/>
      <c r="K180" s="37"/>
      <c r="L180" s="22"/>
      <c r="M180" s="24"/>
      <c r="N180" s="23"/>
      <c r="O180" s="37"/>
      <c r="P180" s="24"/>
      <c r="Q180" s="24"/>
      <c r="R180" s="23"/>
      <c r="S180" s="37"/>
      <c r="T180" s="24"/>
      <c r="U180" s="27"/>
      <c r="V180" s="27"/>
      <c r="W180" s="24"/>
      <c r="X180" s="37"/>
      <c r="Y180" s="27"/>
      <c r="Z180" s="24"/>
      <c r="AA180" s="37"/>
      <c r="AB180" s="24"/>
      <c r="AC180" s="24"/>
      <c r="AD180" s="37"/>
      <c r="AE180" s="26" t="s">
        <v>644</v>
      </c>
      <c r="AF180" s="27"/>
      <c r="AG180" s="25">
        <v>8</v>
      </c>
      <c r="AH180" s="24">
        <v>6</v>
      </c>
      <c r="AI180" s="24">
        <v>5</v>
      </c>
      <c r="AJ180" s="27">
        <v>4</v>
      </c>
      <c r="AK180" s="24"/>
      <c r="AL180" s="24">
        <v>4</v>
      </c>
      <c r="AM180" s="77" t="s">
        <v>644</v>
      </c>
      <c r="AN180" s="27"/>
      <c r="AO180" s="26">
        <v>6</v>
      </c>
      <c r="AP180" s="24">
        <v>5</v>
      </c>
      <c r="AQ180" s="27">
        <v>6</v>
      </c>
      <c r="AR180" s="24"/>
      <c r="AS180" s="27"/>
      <c r="AT180" s="24"/>
      <c r="AU180">
        <f>E180 +F180</f>
        <v>10</v>
      </c>
    </row>
    <row r="181" spans="1:47" ht="15.75" thickBot="1" x14ac:dyDescent="0.3">
      <c r="A181" t="str">
        <f>B181 &amp; " - " &amp;D181</f>
        <v>MHSC - Pionnier</v>
      </c>
      <c r="B181" t="s">
        <v>838</v>
      </c>
      <c r="C181" s="88" t="s">
        <v>638</v>
      </c>
      <c r="D181" s="140" t="s">
        <v>819</v>
      </c>
      <c r="E181" s="90">
        <v>25</v>
      </c>
      <c r="F181" s="119"/>
      <c r="G181" s="89"/>
      <c r="H181" s="120">
        <f>AVERAGE(P181,Q181,R181,S181,T181,U181,V181,W181,X181,Y181,Z181,AA181,AB181,AC181,AD181,AE181,AF181,AG181,AH181,AJ181,AK181,AL181,AM181,AN181,AT181)</f>
        <v>5.32</v>
      </c>
      <c r="I181" s="37"/>
      <c r="J181" s="24"/>
      <c r="K181" s="24"/>
      <c r="L181" s="24"/>
      <c r="M181" s="24"/>
      <c r="N181" s="24"/>
      <c r="O181" s="24"/>
      <c r="P181" s="24">
        <v>6</v>
      </c>
      <c r="Q181" s="24">
        <v>5</v>
      </c>
      <c r="R181" s="25">
        <v>7</v>
      </c>
      <c r="S181" s="22">
        <v>5</v>
      </c>
      <c r="T181" s="24">
        <v>6</v>
      </c>
      <c r="U181" s="27">
        <v>5</v>
      </c>
      <c r="V181" s="38">
        <v>5</v>
      </c>
      <c r="W181" s="24">
        <v>5</v>
      </c>
      <c r="X181" s="24">
        <v>4</v>
      </c>
      <c r="Y181" s="27">
        <v>6</v>
      </c>
      <c r="Z181" s="24">
        <v>5</v>
      </c>
      <c r="AA181" s="24">
        <v>6</v>
      </c>
      <c r="AB181" s="24">
        <v>5</v>
      </c>
      <c r="AC181" s="24">
        <v>5</v>
      </c>
      <c r="AD181" s="24">
        <v>5</v>
      </c>
      <c r="AE181" s="28">
        <v>6</v>
      </c>
      <c r="AF181" s="38">
        <v>4</v>
      </c>
      <c r="AG181" s="24">
        <v>5</v>
      </c>
      <c r="AH181" s="25">
        <v>7</v>
      </c>
      <c r="AI181" s="24"/>
      <c r="AJ181" s="28">
        <v>6</v>
      </c>
      <c r="AK181" s="25">
        <v>7</v>
      </c>
      <c r="AL181" s="24">
        <v>4</v>
      </c>
      <c r="AM181" s="24">
        <v>4</v>
      </c>
      <c r="AN181" s="27">
        <v>4</v>
      </c>
      <c r="AO181" s="27"/>
      <c r="AP181" s="24"/>
      <c r="AQ181" s="27"/>
      <c r="AR181" s="24"/>
      <c r="AS181" s="27"/>
      <c r="AT181" s="24">
        <v>6</v>
      </c>
      <c r="AU181">
        <f>E181 +F181</f>
        <v>25</v>
      </c>
    </row>
    <row r="182" spans="1:47" x14ac:dyDescent="0.25">
      <c r="A182" t="str">
        <f>B182 &amp; " - " &amp;D182</f>
        <v>Losc - Elana</v>
      </c>
      <c r="B182" t="s">
        <v>771</v>
      </c>
      <c r="C182" t="s">
        <v>638</v>
      </c>
      <c r="D182" t="s">
        <v>747</v>
      </c>
      <c r="E182" s="18"/>
      <c r="F182" s="95"/>
      <c r="G182" s="158"/>
      <c r="H182" s="159"/>
      <c r="I182" s="48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7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7"/>
      <c r="AI182" s="27"/>
      <c r="AJ182" s="24"/>
      <c r="AK182" s="24"/>
      <c r="AL182" s="24"/>
      <c r="AM182" s="27"/>
      <c r="AN182" s="24"/>
      <c r="AO182" s="24"/>
      <c r="AP182" s="27"/>
      <c r="AQ182" s="24"/>
      <c r="AR182" s="27"/>
      <c r="AS182" s="27"/>
      <c r="AT182" s="24"/>
      <c r="AU182">
        <f>E182 +F182</f>
        <v>0</v>
      </c>
    </row>
    <row r="183" spans="1:47" x14ac:dyDescent="0.25">
      <c r="A183" t="str">
        <f>B183 &amp; " - " &amp;D183</f>
        <v>OGCN - Koziello</v>
      </c>
      <c r="B183" t="s">
        <v>728</v>
      </c>
      <c r="C183" s="30" t="s">
        <v>654</v>
      </c>
      <c r="D183" s="60" t="s">
        <v>530</v>
      </c>
      <c r="E183" s="31">
        <v>32</v>
      </c>
      <c r="F183" s="99">
        <v>3</v>
      </c>
      <c r="G183" s="73">
        <v>3</v>
      </c>
      <c r="H183" s="34">
        <f>AVERAGE(AA183,Z183,Y183,W183,J183,K183,L183,I183,M183,N183,O183,P183,R183,S183,T183,U183,V183,AC183,AD183,AE183,AG183,AH183,AI183,AJ183,AL183,AN183,AO183,AP183,AQ183,AR183,AS183,AT183)</f>
        <v>5.3125</v>
      </c>
      <c r="I183" s="48">
        <v>5</v>
      </c>
      <c r="J183" s="24">
        <v>5</v>
      </c>
      <c r="K183" s="24">
        <v>5</v>
      </c>
      <c r="L183" s="24">
        <v>5</v>
      </c>
      <c r="M183" s="24">
        <v>5</v>
      </c>
      <c r="N183" s="37">
        <v>5</v>
      </c>
      <c r="O183" s="24">
        <v>4</v>
      </c>
      <c r="P183" s="25">
        <v>7</v>
      </c>
      <c r="Q183" s="24"/>
      <c r="R183" s="24">
        <v>5</v>
      </c>
      <c r="S183" s="24">
        <v>4</v>
      </c>
      <c r="T183" s="37">
        <v>5</v>
      </c>
      <c r="U183" s="24">
        <v>5</v>
      </c>
      <c r="V183" s="247">
        <v>7</v>
      </c>
      <c r="W183" s="24">
        <v>5</v>
      </c>
      <c r="X183" s="37" t="s">
        <v>644</v>
      </c>
      <c r="Y183" s="24">
        <v>4</v>
      </c>
      <c r="Z183" s="24">
        <v>5</v>
      </c>
      <c r="AA183" s="24">
        <v>5</v>
      </c>
      <c r="AB183" s="24"/>
      <c r="AC183" s="24">
        <v>6</v>
      </c>
      <c r="AD183" s="25">
        <v>7</v>
      </c>
      <c r="AE183" s="24">
        <v>4</v>
      </c>
      <c r="AF183" s="37" t="s">
        <v>644</v>
      </c>
      <c r="AG183" s="24">
        <v>5</v>
      </c>
      <c r="AH183" s="27">
        <v>6</v>
      </c>
      <c r="AI183" s="27">
        <v>5</v>
      </c>
      <c r="AJ183" s="37">
        <v>5</v>
      </c>
      <c r="AK183" s="37"/>
      <c r="AL183" s="84">
        <v>7</v>
      </c>
      <c r="AM183" s="26" t="s">
        <v>644</v>
      </c>
      <c r="AN183" s="24">
        <v>5</v>
      </c>
      <c r="AO183" s="66">
        <v>7</v>
      </c>
      <c r="AP183" s="27">
        <v>5</v>
      </c>
      <c r="AQ183" s="24">
        <v>6</v>
      </c>
      <c r="AR183" s="27">
        <v>5</v>
      </c>
      <c r="AS183" s="26">
        <v>6</v>
      </c>
      <c r="AT183" s="24">
        <v>5</v>
      </c>
      <c r="AU183">
        <f>E183 +F183</f>
        <v>35</v>
      </c>
    </row>
    <row r="184" spans="1:47" x14ac:dyDescent="0.25">
      <c r="A184" t="str">
        <f>B184 &amp; " - " &amp;D184</f>
        <v>Losc - Maignan</v>
      </c>
      <c r="B184" t="s">
        <v>771</v>
      </c>
      <c r="C184" t="s">
        <v>638</v>
      </c>
      <c r="D184" s="126" t="s">
        <v>748</v>
      </c>
      <c r="E184" s="31">
        <v>3</v>
      </c>
      <c r="F184" s="99">
        <v>1</v>
      </c>
      <c r="G184" s="73"/>
      <c r="H184" s="34">
        <f>AVERAGE(P184,O184,Q184)</f>
        <v>5.666666666666667</v>
      </c>
      <c r="I184" s="160"/>
      <c r="J184" s="24"/>
      <c r="K184" s="24"/>
      <c r="L184" s="24"/>
      <c r="M184" s="24"/>
      <c r="N184" s="37" t="s">
        <v>644</v>
      </c>
      <c r="O184" s="24">
        <v>5</v>
      </c>
      <c r="P184" s="23">
        <v>6</v>
      </c>
      <c r="Q184" s="22">
        <v>6</v>
      </c>
      <c r="R184" s="24"/>
      <c r="S184" s="24"/>
      <c r="T184" s="24"/>
      <c r="U184" s="24"/>
      <c r="V184" s="28"/>
      <c r="W184" s="24"/>
      <c r="X184" s="24"/>
      <c r="Y184" s="24"/>
      <c r="Z184" s="22"/>
      <c r="AA184" s="24"/>
      <c r="AB184" s="22"/>
      <c r="AC184" s="24"/>
      <c r="AD184" s="24"/>
      <c r="AE184" s="24"/>
      <c r="AF184" s="24"/>
      <c r="AG184" s="22"/>
      <c r="AH184" s="27"/>
      <c r="AI184" s="27"/>
      <c r="AJ184" s="22"/>
      <c r="AK184" s="22"/>
      <c r="AL184" s="24"/>
      <c r="AM184" s="27"/>
      <c r="AN184" s="22"/>
      <c r="AO184" s="22"/>
      <c r="AP184" s="27"/>
      <c r="AQ184" s="24"/>
      <c r="AR184" s="27"/>
      <c r="AS184" s="27"/>
      <c r="AT184" s="24"/>
      <c r="AU184">
        <f>E184 +F184</f>
        <v>4</v>
      </c>
    </row>
    <row r="185" spans="1:47" x14ac:dyDescent="0.25">
      <c r="A185" t="str">
        <f>B185 &amp; " - " &amp;D185</f>
        <v>Losc - Butez</v>
      </c>
      <c r="B185" t="s">
        <v>771</v>
      </c>
      <c r="C185" s="85" t="s">
        <v>638</v>
      </c>
      <c r="D185" s="85" t="s">
        <v>749</v>
      </c>
      <c r="E185" s="69"/>
      <c r="F185" s="115"/>
      <c r="G185" s="68"/>
      <c r="H185" s="44"/>
      <c r="I185" s="48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7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7"/>
      <c r="AI185" s="27"/>
      <c r="AJ185" s="24"/>
      <c r="AK185" s="24"/>
      <c r="AL185" s="24"/>
      <c r="AM185" s="27"/>
      <c r="AN185" s="24"/>
      <c r="AO185" s="24"/>
      <c r="AP185" s="27"/>
      <c r="AQ185" s="24"/>
      <c r="AR185" s="27"/>
      <c r="AS185" s="27"/>
      <c r="AT185" s="24"/>
      <c r="AU185">
        <f>E185 +F185</f>
        <v>0</v>
      </c>
    </row>
    <row r="186" spans="1:47" x14ac:dyDescent="0.25">
      <c r="A186" t="str">
        <f>B186 &amp; " - " &amp;D186</f>
        <v>OGCN - Cardinale</v>
      </c>
      <c r="B186" t="s">
        <v>728</v>
      </c>
      <c r="C186" s="30" t="s">
        <v>638</v>
      </c>
      <c r="D186" s="176" t="s">
        <v>614</v>
      </c>
      <c r="E186" s="31">
        <v>25</v>
      </c>
      <c r="F186" s="99">
        <v>1</v>
      </c>
      <c r="G186" s="114" t="s">
        <v>679</v>
      </c>
      <c r="H186" s="34">
        <f>AVERAGE(R186,S186,W186,X186,Y186,Z186,AA186,AB186,AC186,AD186,AE186,AF186,AG186,AH186,AI186,AJ186,AK186,AL186,AM186,AN186,AO186,AP186,AQ186,AR186,AS186,AT186)</f>
        <v>5.3076923076923075</v>
      </c>
      <c r="I186" s="48"/>
      <c r="J186" s="24"/>
      <c r="K186" s="24"/>
      <c r="L186" s="24"/>
      <c r="M186" s="24"/>
      <c r="N186" s="37"/>
      <c r="O186" s="24"/>
      <c r="P186" s="24"/>
      <c r="Q186" s="24"/>
      <c r="R186" s="24">
        <v>5</v>
      </c>
      <c r="S186" s="24">
        <v>5</v>
      </c>
      <c r="T186" s="24"/>
      <c r="U186" s="24"/>
      <c r="V186" s="27"/>
      <c r="W186" s="24">
        <v>5</v>
      </c>
      <c r="X186" s="22">
        <v>6</v>
      </c>
      <c r="Y186" s="24">
        <v>5</v>
      </c>
      <c r="Z186" s="24">
        <v>6</v>
      </c>
      <c r="AA186" s="25">
        <v>7</v>
      </c>
      <c r="AB186" s="24">
        <v>5</v>
      </c>
      <c r="AC186" s="24">
        <v>6</v>
      </c>
      <c r="AD186" s="24">
        <v>5</v>
      </c>
      <c r="AE186" s="24">
        <v>5</v>
      </c>
      <c r="AF186" s="22">
        <v>6</v>
      </c>
      <c r="AG186" s="24">
        <v>5</v>
      </c>
      <c r="AH186" s="27">
        <v>6</v>
      </c>
      <c r="AI186" s="28">
        <v>6</v>
      </c>
      <c r="AJ186" s="37">
        <v>4</v>
      </c>
      <c r="AK186" s="24">
        <v>4</v>
      </c>
      <c r="AL186" s="25">
        <v>7</v>
      </c>
      <c r="AM186" s="28">
        <v>6</v>
      </c>
      <c r="AN186" s="82">
        <v>3</v>
      </c>
      <c r="AO186" s="22">
        <v>6</v>
      </c>
      <c r="AP186" s="27">
        <v>5</v>
      </c>
      <c r="AQ186" s="22">
        <v>6</v>
      </c>
      <c r="AR186" s="27">
        <v>4</v>
      </c>
      <c r="AS186" s="28">
        <v>5</v>
      </c>
      <c r="AT186" s="24">
        <v>5</v>
      </c>
      <c r="AU186">
        <f>E186 +F186</f>
        <v>26</v>
      </c>
    </row>
    <row r="187" spans="1:47" x14ac:dyDescent="0.25">
      <c r="A187" t="str">
        <f>B187 &amp; " - " &amp;D187</f>
        <v>MHSC - Dabo</v>
      </c>
      <c r="B187" t="s">
        <v>838</v>
      </c>
      <c r="C187" s="30" t="s">
        <v>654</v>
      </c>
      <c r="D187" s="60" t="s">
        <v>822</v>
      </c>
      <c r="E187" s="31">
        <v>32</v>
      </c>
      <c r="F187" s="99">
        <v>4</v>
      </c>
      <c r="G187" s="73">
        <v>5</v>
      </c>
      <c r="H187" s="34">
        <f>AVERAGE(Y187,X187,V187,J187,K187,L187,I187,M187,N187,O187,P187,Q187,S187,T187,U187,W187,Z187,AA187,AC187,AD187,AE187,AF187,AG187,AH187,AI187,AJ187,AM187,AO187,AP187,AQ187,AR187,AS187,AT187)</f>
        <v>5.3030303030303028</v>
      </c>
      <c r="I187" s="87">
        <v>5</v>
      </c>
      <c r="J187" s="37">
        <v>4</v>
      </c>
      <c r="K187" s="37">
        <v>5</v>
      </c>
      <c r="L187" s="37">
        <v>5</v>
      </c>
      <c r="M187" s="24">
        <v>5</v>
      </c>
      <c r="N187" s="24">
        <v>5</v>
      </c>
      <c r="O187" s="66">
        <v>7</v>
      </c>
      <c r="P187" s="24">
        <v>5</v>
      </c>
      <c r="Q187" s="24">
        <v>5</v>
      </c>
      <c r="R187" s="24"/>
      <c r="S187" s="24">
        <v>4</v>
      </c>
      <c r="T187" s="24">
        <v>6</v>
      </c>
      <c r="U187" s="24">
        <v>6</v>
      </c>
      <c r="V187" s="247">
        <v>8</v>
      </c>
      <c r="W187" s="24">
        <v>6</v>
      </c>
      <c r="X187" s="24">
        <v>5</v>
      </c>
      <c r="Y187" s="24">
        <v>4</v>
      </c>
      <c r="Z187" s="66">
        <v>7</v>
      </c>
      <c r="AA187" s="37">
        <v>5</v>
      </c>
      <c r="AB187" s="76" t="s">
        <v>644</v>
      </c>
      <c r="AC187" s="24">
        <v>5</v>
      </c>
      <c r="AD187" s="24">
        <v>4</v>
      </c>
      <c r="AE187" s="25">
        <v>8</v>
      </c>
      <c r="AF187" s="23">
        <v>5</v>
      </c>
      <c r="AG187" s="24">
        <v>4</v>
      </c>
      <c r="AH187" s="27">
        <v>5</v>
      </c>
      <c r="AI187" s="142">
        <v>5</v>
      </c>
      <c r="AJ187" s="25">
        <v>7</v>
      </c>
      <c r="AK187" s="37" t="s">
        <v>677</v>
      </c>
      <c r="AL187" s="37" t="s">
        <v>644</v>
      </c>
      <c r="AM187" s="27">
        <v>4</v>
      </c>
      <c r="AN187" s="24"/>
      <c r="AO187" s="37">
        <v>4</v>
      </c>
      <c r="AP187" s="28">
        <v>6</v>
      </c>
      <c r="AQ187" s="24">
        <v>6</v>
      </c>
      <c r="AR187" s="27">
        <v>6</v>
      </c>
      <c r="AS187" s="27">
        <v>5</v>
      </c>
      <c r="AT187" s="24">
        <v>4</v>
      </c>
      <c r="AU187">
        <f>E187 +F187</f>
        <v>36</v>
      </c>
    </row>
    <row r="188" spans="1:47" x14ac:dyDescent="0.25">
      <c r="A188" t="str">
        <f>B188 &amp; " - " &amp;D188</f>
        <v>Losc - Béria</v>
      </c>
      <c r="B188" t="s">
        <v>771</v>
      </c>
      <c r="C188" t="s">
        <v>641</v>
      </c>
      <c r="D188" t="s">
        <v>752</v>
      </c>
      <c r="E188" s="31">
        <v>1</v>
      </c>
      <c r="F188" s="99"/>
      <c r="G188" s="73"/>
      <c r="H188" s="34">
        <f>AVERAGE(AQ188)</f>
        <v>5</v>
      </c>
      <c r="I188" s="14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7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7"/>
      <c r="AI188" s="27"/>
      <c r="AJ188" s="24"/>
      <c r="AK188" s="24"/>
      <c r="AL188" s="24"/>
      <c r="AM188" s="27"/>
      <c r="AN188" s="24"/>
      <c r="AO188" s="24"/>
      <c r="AP188" s="27"/>
      <c r="AQ188" s="24">
        <v>5</v>
      </c>
      <c r="AR188" s="27"/>
      <c r="AS188" s="27"/>
      <c r="AT188" s="24"/>
      <c r="AU188">
        <f>E188 +F188</f>
        <v>1</v>
      </c>
    </row>
    <row r="189" spans="1:47" x14ac:dyDescent="0.25">
      <c r="A189" t="str">
        <f>B189 &amp; " - " &amp;D189</f>
        <v>OM - Cabella</v>
      </c>
      <c r="B189" t="s">
        <v>703</v>
      </c>
      <c r="C189" s="30" t="s">
        <v>654</v>
      </c>
      <c r="D189" s="38" t="s">
        <v>293</v>
      </c>
      <c r="E189" s="31">
        <v>30</v>
      </c>
      <c r="F189" s="27">
        <v>4</v>
      </c>
      <c r="G189" s="73">
        <v>5</v>
      </c>
      <c r="H189" s="34">
        <f>AVERAGE(AA189,K189,L189,M189,N189,O189,P189,Q189,R189,S189,T189,V189,W189,X189,Y189,Z189,AD189,AE189,AF189,AG189,AH189,AI189,AK189,AJ189,AL189,AM189,AN189,AO189,AP189,AT189)</f>
        <v>5.3</v>
      </c>
      <c r="I189" s="38"/>
      <c r="J189" s="37"/>
      <c r="K189" s="37">
        <v>6</v>
      </c>
      <c r="L189" s="37">
        <v>5</v>
      </c>
      <c r="M189" s="37">
        <v>5</v>
      </c>
      <c r="N189" s="24">
        <v>4</v>
      </c>
      <c r="O189" s="24">
        <v>5</v>
      </c>
      <c r="P189" s="37">
        <v>4</v>
      </c>
      <c r="Q189" s="37">
        <v>5</v>
      </c>
      <c r="R189" s="37">
        <v>6</v>
      </c>
      <c r="S189" s="24">
        <v>5</v>
      </c>
      <c r="T189" s="24">
        <v>5</v>
      </c>
      <c r="U189" s="24"/>
      <c r="V189" s="284">
        <v>7</v>
      </c>
      <c r="W189" s="24">
        <v>5</v>
      </c>
      <c r="X189" s="25">
        <v>8</v>
      </c>
      <c r="Y189" s="77">
        <v>6</v>
      </c>
      <c r="Z189" s="24">
        <v>6</v>
      </c>
      <c r="AA189" s="24">
        <v>4</v>
      </c>
      <c r="AB189" s="37"/>
      <c r="AC189" s="76" t="s">
        <v>644</v>
      </c>
      <c r="AD189" s="22">
        <v>6</v>
      </c>
      <c r="AE189" s="24">
        <v>4</v>
      </c>
      <c r="AF189" s="24">
        <v>4</v>
      </c>
      <c r="AG189" s="22">
        <v>6</v>
      </c>
      <c r="AH189" s="27">
        <v>5</v>
      </c>
      <c r="AI189" s="27">
        <v>5</v>
      </c>
      <c r="AJ189" s="22">
        <v>6</v>
      </c>
      <c r="AK189" s="66">
        <v>7</v>
      </c>
      <c r="AL189" s="37">
        <v>5</v>
      </c>
      <c r="AM189" s="27">
        <v>4</v>
      </c>
      <c r="AN189" s="24">
        <v>6</v>
      </c>
      <c r="AO189" s="37">
        <v>5</v>
      </c>
      <c r="AP189" s="27">
        <v>4</v>
      </c>
      <c r="AQ189" s="37" t="s">
        <v>644</v>
      </c>
      <c r="AR189" s="26" t="s">
        <v>644</v>
      </c>
      <c r="AS189" s="26" t="s">
        <v>644</v>
      </c>
      <c r="AT189" s="24">
        <v>6</v>
      </c>
      <c r="AU189">
        <f>E189 +F189</f>
        <v>34</v>
      </c>
    </row>
    <row r="190" spans="1:47" x14ac:dyDescent="0.25">
      <c r="A190" t="str">
        <f>B190 &amp; " - " &amp;D190</f>
        <v>Losc - Amadou</v>
      </c>
      <c r="B190" t="s">
        <v>771</v>
      </c>
      <c r="C190" t="s">
        <v>641</v>
      </c>
      <c r="D190" s="123" t="s">
        <v>755</v>
      </c>
      <c r="E190" s="31">
        <v>18</v>
      </c>
      <c r="F190" s="99">
        <v>4</v>
      </c>
      <c r="G190" s="73">
        <v>1</v>
      </c>
      <c r="H190" s="34">
        <f>AVERAGE(I190,M190,R190,AE190,AF190,AG190,AH190,AI190,AJ190,AK190,AL190,AM190,AN190,AO190,AP190,AQ190,AR190,AS190,AT190)</f>
        <v>5.2105263157894735</v>
      </c>
      <c r="I190" s="48">
        <v>5</v>
      </c>
      <c r="J190" s="24"/>
      <c r="K190" s="24"/>
      <c r="L190" s="37" t="s">
        <v>644</v>
      </c>
      <c r="M190" s="24">
        <v>5</v>
      </c>
      <c r="N190" s="24"/>
      <c r="O190" s="24"/>
      <c r="P190" s="37"/>
      <c r="Q190" s="24"/>
      <c r="R190" s="24">
        <v>5</v>
      </c>
      <c r="S190" s="24"/>
      <c r="T190" s="24"/>
      <c r="U190" s="24"/>
      <c r="V190" s="26"/>
      <c r="W190" s="24"/>
      <c r="X190" s="24"/>
      <c r="Y190" s="37" t="s">
        <v>644</v>
      </c>
      <c r="Z190" s="24"/>
      <c r="AA190" s="24"/>
      <c r="AB190" s="24"/>
      <c r="AC190" s="37" t="s">
        <v>644</v>
      </c>
      <c r="AD190" s="24"/>
      <c r="AE190" s="24">
        <v>5</v>
      </c>
      <c r="AF190" s="24">
        <v>5</v>
      </c>
      <c r="AG190" s="24">
        <v>5</v>
      </c>
      <c r="AH190" s="27">
        <v>5</v>
      </c>
      <c r="AI190" s="27">
        <v>5</v>
      </c>
      <c r="AJ190" s="82">
        <v>3</v>
      </c>
      <c r="AK190" s="24">
        <v>6</v>
      </c>
      <c r="AL190" s="25">
        <v>7</v>
      </c>
      <c r="AM190" s="27">
        <v>5</v>
      </c>
      <c r="AN190" s="24">
        <v>5</v>
      </c>
      <c r="AO190" s="37">
        <v>6</v>
      </c>
      <c r="AP190" s="26">
        <v>5</v>
      </c>
      <c r="AQ190" s="24">
        <v>5</v>
      </c>
      <c r="AR190" s="27">
        <v>6</v>
      </c>
      <c r="AS190" s="26">
        <v>6</v>
      </c>
      <c r="AT190" s="24">
        <v>5</v>
      </c>
      <c r="AU190">
        <f>E190 +F190</f>
        <v>22</v>
      </c>
    </row>
    <row r="191" spans="1:47" x14ac:dyDescent="0.25">
      <c r="A191" t="str">
        <f>B191 &amp; " - " &amp;D191</f>
        <v>MHSC - Congré</v>
      </c>
      <c r="B191" t="s">
        <v>838</v>
      </c>
      <c r="C191" s="30" t="s">
        <v>641</v>
      </c>
      <c r="D191" s="30" t="s">
        <v>99</v>
      </c>
      <c r="E191" s="31">
        <v>35</v>
      </c>
      <c r="F191" s="99"/>
      <c r="G191" s="73">
        <v>2</v>
      </c>
      <c r="H191" s="34">
        <f>AVERAGE(AS191,AA191,Y191,X191,V191,J191,K191,I191,M191,N191,O191,P191,Q191,R191,S191,T191,U191,W191,Z191,AB191,AC191,AD191,AE191,AF191,AG191,AH191,AI191,AJ191,AK191,AL191,AM191,AO191,AP191,AQ191,AR191)</f>
        <v>5.2857142857142856</v>
      </c>
      <c r="I191" s="171">
        <v>5</v>
      </c>
      <c r="J191" s="37">
        <v>6</v>
      </c>
      <c r="K191" s="24">
        <v>5</v>
      </c>
      <c r="L191" s="37"/>
      <c r="M191" s="24">
        <v>5</v>
      </c>
      <c r="N191" s="24">
        <v>5</v>
      </c>
      <c r="O191" s="25">
        <v>7</v>
      </c>
      <c r="P191" s="24">
        <v>5</v>
      </c>
      <c r="Q191" s="37">
        <v>5</v>
      </c>
      <c r="R191" s="66">
        <v>7</v>
      </c>
      <c r="S191" s="24">
        <v>5</v>
      </c>
      <c r="T191" s="24">
        <v>5</v>
      </c>
      <c r="U191" s="24">
        <v>5</v>
      </c>
      <c r="V191" s="27">
        <v>5</v>
      </c>
      <c r="W191" s="24">
        <v>6</v>
      </c>
      <c r="X191" s="24">
        <v>4</v>
      </c>
      <c r="Y191" s="24">
        <v>5</v>
      </c>
      <c r="Z191" s="24">
        <v>5</v>
      </c>
      <c r="AA191" s="24">
        <v>5</v>
      </c>
      <c r="AB191" s="24">
        <v>5</v>
      </c>
      <c r="AC191" s="24">
        <v>5</v>
      </c>
      <c r="AD191" s="24">
        <v>5</v>
      </c>
      <c r="AE191" s="66">
        <v>7</v>
      </c>
      <c r="AF191" s="24">
        <v>5</v>
      </c>
      <c r="AG191" s="24">
        <v>5</v>
      </c>
      <c r="AH191" s="27">
        <v>6</v>
      </c>
      <c r="AI191" s="27">
        <v>5</v>
      </c>
      <c r="AJ191" s="24">
        <v>6</v>
      </c>
      <c r="AK191" s="24">
        <v>5</v>
      </c>
      <c r="AL191" s="24">
        <v>4</v>
      </c>
      <c r="AM191" s="27">
        <v>5</v>
      </c>
      <c r="AN191" s="24"/>
      <c r="AO191" s="82">
        <v>3</v>
      </c>
      <c r="AP191" s="27">
        <v>6</v>
      </c>
      <c r="AQ191" s="24">
        <v>6</v>
      </c>
      <c r="AR191" s="28">
        <v>6</v>
      </c>
      <c r="AS191" s="27">
        <v>6</v>
      </c>
      <c r="AT191" s="24"/>
      <c r="AU191">
        <f>E191 +F191</f>
        <v>35</v>
      </c>
    </row>
    <row r="192" spans="1:47" x14ac:dyDescent="0.25">
      <c r="A192" t="str">
        <f>B192 &amp; " - " &amp;D192</f>
        <v>Losc - Sunzu</v>
      </c>
      <c r="B192" t="s">
        <v>771</v>
      </c>
      <c r="C192" t="s">
        <v>641</v>
      </c>
      <c r="D192" s="123" t="s">
        <v>756</v>
      </c>
      <c r="E192" s="31">
        <v>10</v>
      </c>
      <c r="F192" s="99">
        <v>2</v>
      </c>
      <c r="G192" s="73">
        <v>1</v>
      </c>
      <c r="H192" s="34">
        <f>AVERAGE(P192,Q192,R192,T192,U192,X192,AN192,AP192,AQ192,AR192)</f>
        <v>5.0999999999999996</v>
      </c>
      <c r="I192" s="48"/>
      <c r="J192" s="24"/>
      <c r="K192" s="24"/>
      <c r="L192" s="24"/>
      <c r="M192" s="37" t="s">
        <v>644</v>
      </c>
      <c r="N192" s="24"/>
      <c r="O192" s="24"/>
      <c r="P192" s="37">
        <v>4</v>
      </c>
      <c r="Q192" s="24">
        <v>5</v>
      </c>
      <c r="R192" s="82">
        <v>3</v>
      </c>
      <c r="S192" s="24"/>
      <c r="T192" s="24">
        <v>5</v>
      </c>
      <c r="U192" s="24">
        <v>4</v>
      </c>
      <c r="V192" s="26"/>
      <c r="W192" s="37" t="s">
        <v>644</v>
      </c>
      <c r="X192" s="24">
        <v>6</v>
      </c>
      <c r="Y192" s="24"/>
      <c r="Z192" s="24"/>
      <c r="AA192" s="24"/>
      <c r="AB192" s="24"/>
      <c r="AC192" s="24"/>
      <c r="AD192" s="24"/>
      <c r="AE192" s="24"/>
      <c r="AF192" s="24"/>
      <c r="AG192" s="24"/>
      <c r="AH192" s="27"/>
      <c r="AI192" s="27"/>
      <c r="AJ192" s="24"/>
      <c r="AK192" s="24"/>
      <c r="AL192" s="24"/>
      <c r="AM192" s="27"/>
      <c r="AN192" s="25">
        <v>7</v>
      </c>
      <c r="AO192" s="37"/>
      <c r="AP192" s="26">
        <v>5</v>
      </c>
      <c r="AQ192" s="24">
        <v>6</v>
      </c>
      <c r="AR192" s="27">
        <v>6</v>
      </c>
      <c r="AS192" s="26"/>
      <c r="AT192" s="24"/>
      <c r="AU192">
        <f>E192 +F192</f>
        <v>12</v>
      </c>
    </row>
    <row r="193" spans="1:47" x14ac:dyDescent="0.25">
      <c r="A193" t="str">
        <f>B193 &amp; " - " &amp;D193</f>
        <v>Losc - Basa</v>
      </c>
      <c r="B193" t="s">
        <v>771</v>
      </c>
      <c r="C193" s="85" t="s">
        <v>641</v>
      </c>
      <c r="D193" s="162" t="s">
        <v>51</v>
      </c>
      <c r="E193" s="69">
        <v>15</v>
      </c>
      <c r="F193" s="115"/>
      <c r="G193" s="122"/>
      <c r="H193" s="72">
        <f>AVERAGE(K193,L193,M193,N193,P193,O193,U193,V193,AK193,AL193,AM193,AO193,AQ193,AS193,AT193)</f>
        <v>5.6</v>
      </c>
      <c r="I193" s="48"/>
      <c r="J193" s="24"/>
      <c r="K193" s="24">
        <v>6</v>
      </c>
      <c r="L193" s="24">
        <v>5</v>
      </c>
      <c r="M193" s="24">
        <v>5</v>
      </c>
      <c r="N193" s="24">
        <v>5</v>
      </c>
      <c r="O193" s="24">
        <v>5</v>
      </c>
      <c r="P193" s="24">
        <v>4</v>
      </c>
      <c r="Q193" s="24"/>
      <c r="R193" s="24"/>
      <c r="S193" s="24"/>
      <c r="T193" s="24"/>
      <c r="U193" s="24">
        <v>6</v>
      </c>
      <c r="V193" s="27">
        <v>5</v>
      </c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7"/>
      <c r="AI193" s="27"/>
      <c r="AJ193" s="24"/>
      <c r="AK193" s="24">
        <v>6</v>
      </c>
      <c r="AL193" s="24">
        <v>6</v>
      </c>
      <c r="AM193" s="27">
        <v>6</v>
      </c>
      <c r="AN193" s="24"/>
      <c r="AO193" s="24">
        <v>6</v>
      </c>
      <c r="AP193" s="28"/>
      <c r="AQ193" s="66">
        <v>7</v>
      </c>
      <c r="AR193" s="27"/>
      <c r="AS193" s="27">
        <v>6</v>
      </c>
      <c r="AT193" s="24">
        <v>6</v>
      </c>
      <c r="AU193">
        <f>E193 +F193</f>
        <v>15</v>
      </c>
    </row>
    <row r="194" spans="1:47" x14ac:dyDescent="0.25">
      <c r="A194" t="str">
        <f>B194 &amp; " - " &amp;D194</f>
        <v>MHSC - Roussillon</v>
      </c>
      <c r="B194" t="s">
        <v>838</v>
      </c>
      <c r="C194" s="30" t="s">
        <v>641</v>
      </c>
      <c r="D194" s="60" t="s">
        <v>572</v>
      </c>
      <c r="E194" s="31">
        <v>31</v>
      </c>
      <c r="F194" s="99">
        <v>2</v>
      </c>
      <c r="G194" s="73">
        <v>3</v>
      </c>
      <c r="H194" s="34">
        <f>AVERAGE(Y194,X194,K194,L194,N194,O194,P194,Q194,R194,S194,T194,U194,V194,W194,Z194,AA194,AB194,AD194,AE194,AG194,AH194,AI194,AJ194,AK194,AL194,AM194,AN194,AO194,AP194,AQ194,AR194,AS194)</f>
        <v>5.28125</v>
      </c>
      <c r="I194" s="87"/>
      <c r="J194" s="37"/>
      <c r="K194" s="37">
        <v>4</v>
      </c>
      <c r="L194" s="37">
        <v>5</v>
      </c>
      <c r="M194" s="37" t="s">
        <v>644</v>
      </c>
      <c r="N194" s="24">
        <v>5</v>
      </c>
      <c r="O194" s="24">
        <v>5</v>
      </c>
      <c r="P194" s="24">
        <v>6</v>
      </c>
      <c r="Q194" s="24">
        <v>5</v>
      </c>
      <c r="R194" s="24">
        <v>5</v>
      </c>
      <c r="S194" s="24">
        <v>5</v>
      </c>
      <c r="T194" s="22">
        <v>5</v>
      </c>
      <c r="U194" s="22">
        <v>6</v>
      </c>
      <c r="V194" s="27">
        <v>4</v>
      </c>
      <c r="W194" s="24">
        <v>5</v>
      </c>
      <c r="X194" s="24">
        <v>6</v>
      </c>
      <c r="Y194" s="24">
        <v>4</v>
      </c>
      <c r="Z194" s="24">
        <v>4</v>
      </c>
      <c r="AA194" s="37">
        <v>4</v>
      </c>
      <c r="AB194" s="24">
        <v>6</v>
      </c>
      <c r="AC194" s="24"/>
      <c r="AD194" s="24">
        <v>5</v>
      </c>
      <c r="AE194" s="24">
        <v>5</v>
      </c>
      <c r="AF194" s="22"/>
      <c r="AG194" s="24">
        <v>5</v>
      </c>
      <c r="AH194" s="27">
        <v>6</v>
      </c>
      <c r="AI194" s="284">
        <v>7</v>
      </c>
      <c r="AJ194" s="24">
        <v>6</v>
      </c>
      <c r="AK194" s="24">
        <v>5</v>
      </c>
      <c r="AL194" s="24">
        <v>5</v>
      </c>
      <c r="AM194" s="27">
        <v>5</v>
      </c>
      <c r="AN194" s="24">
        <v>4</v>
      </c>
      <c r="AO194" s="24">
        <v>5</v>
      </c>
      <c r="AP194" s="163">
        <v>7</v>
      </c>
      <c r="AQ194" s="25">
        <v>8</v>
      </c>
      <c r="AR194" s="27">
        <v>5</v>
      </c>
      <c r="AS194" s="163">
        <v>7</v>
      </c>
      <c r="AT194" s="24"/>
      <c r="AU194">
        <f>E194 +F194</f>
        <v>33</v>
      </c>
    </row>
    <row r="195" spans="1:47" x14ac:dyDescent="0.25">
      <c r="A195" t="str">
        <f>B195 &amp; " - " &amp;D195</f>
        <v>Losc - Martin</v>
      </c>
      <c r="B195" t="s">
        <v>771</v>
      </c>
      <c r="C195" t="s">
        <v>654</v>
      </c>
      <c r="D195" s="123" t="s">
        <v>65</v>
      </c>
      <c r="E195" s="31">
        <v>4</v>
      </c>
      <c r="F195" s="99">
        <v>8</v>
      </c>
      <c r="G195" s="73"/>
      <c r="H195" s="34">
        <f>AVERAGE(S195,W195,X195,Y195)</f>
        <v>4.75</v>
      </c>
      <c r="I195" s="48"/>
      <c r="J195" s="26"/>
      <c r="K195" s="24"/>
      <c r="L195" s="24"/>
      <c r="M195" s="24"/>
      <c r="N195" s="24"/>
      <c r="O195" s="37" t="s">
        <v>644</v>
      </c>
      <c r="P195" s="24"/>
      <c r="Q195" s="24"/>
      <c r="R195" s="37" t="s">
        <v>644</v>
      </c>
      <c r="S195" s="24">
        <v>4</v>
      </c>
      <c r="T195" s="76" t="s">
        <v>644</v>
      </c>
      <c r="U195" s="37" t="s">
        <v>644</v>
      </c>
      <c r="V195" s="26" t="s">
        <v>644</v>
      </c>
      <c r="W195" s="24">
        <v>4</v>
      </c>
      <c r="X195" s="24">
        <v>6</v>
      </c>
      <c r="Y195" s="37">
        <v>5</v>
      </c>
      <c r="Z195" s="37" t="s">
        <v>644</v>
      </c>
      <c r="AA195" s="37" t="s">
        <v>644</v>
      </c>
      <c r="AB195" s="24"/>
      <c r="AC195" s="24"/>
      <c r="AD195" s="24"/>
      <c r="AE195" s="24"/>
      <c r="AF195" s="24"/>
      <c r="AG195" s="24"/>
      <c r="AH195" s="26" t="s">
        <v>644</v>
      </c>
      <c r="AI195" s="27"/>
      <c r="AJ195" s="24"/>
      <c r="AK195" s="24"/>
      <c r="AL195" s="24"/>
      <c r="AM195" s="27"/>
      <c r="AN195" s="24"/>
      <c r="AO195" s="24"/>
      <c r="AP195" s="27"/>
      <c r="AQ195" s="24"/>
      <c r="AR195" s="27"/>
      <c r="AS195" s="27"/>
      <c r="AT195" s="24"/>
      <c r="AU195">
        <f>E195 +F195</f>
        <v>12</v>
      </c>
    </row>
    <row r="196" spans="1:47" x14ac:dyDescent="0.25">
      <c r="A196" t="str">
        <f>B196 &amp; " - " &amp;D196</f>
        <v>Losc - Meïté</v>
      </c>
      <c r="B196" t="s">
        <v>771</v>
      </c>
      <c r="C196" s="64" t="s">
        <v>654</v>
      </c>
      <c r="D196" s="64" t="s">
        <v>758</v>
      </c>
      <c r="E196" s="52"/>
      <c r="F196" s="63">
        <v>3</v>
      </c>
      <c r="G196" s="145"/>
      <c r="H196" s="34"/>
      <c r="I196" s="64"/>
      <c r="J196" s="61" t="s">
        <v>644</v>
      </c>
      <c r="K196" s="53"/>
      <c r="L196" s="53"/>
      <c r="M196" s="53"/>
      <c r="N196" s="53"/>
      <c r="O196" s="53"/>
      <c r="P196" s="53"/>
      <c r="Q196" s="53"/>
      <c r="R196" s="53"/>
      <c r="S196" s="61" t="s">
        <v>644</v>
      </c>
      <c r="T196" s="53"/>
      <c r="U196" s="61"/>
      <c r="V196" s="63"/>
      <c r="W196" s="53"/>
      <c r="X196" s="61" t="s">
        <v>644</v>
      </c>
      <c r="Y196" s="53"/>
      <c r="Z196" s="61"/>
      <c r="AA196" s="61"/>
      <c r="AB196" s="53"/>
      <c r="AC196" s="53"/>
      <c r="AD196" s="53"/>
      <c r="AE196" s="53"/>
      <c r="AF196" s="53"/>
      <c r="AG196" s="53"/>
      <c r="AH196" s="63"/>
      <c r="AI196" s="63"/>
      <c r="AJ196" s="61"/>
      <c r="AK196" s="61"/>
      <c r="AL196" s="53"/>
      <c r="AM196" s="62"/>
      <c r="AN196" s="53"/>
      <c r="AO196" s="53"/>
      <c r="AP196" s="63"/>
      <c r="AQ196" s="53"/>
      <c r="AR196" s="63"/>
      <c r="AS196" s="63"/>
      <c r="AT196" s="61"/>
      <c r="AU196">
        <f>E196 +F196</f>
        <v>3</v>
      </c>
    </row>
    <row r="197" spans="1:47" x14ac:dyDescent="0.25">
      <c r="A197" t="str">
        <f>B197 &amp; " - " &amp;D197</f>
        <v>OL - Darder</v>
      </c>
      <c r="B197" t="s">
        <v>704</v>
      </c>
      <c r="C197" s="30" t="s">
        <v>654</v>
      </c>
      <c r="D197" s="176" t="s">
        <v>294</v>
      </c>
      <c r="E197" s="31">
        <v>18</v>
      </c>
      <c r="F197" s="99">
        <v>8</v>
      </c>
      <c r="G197" s="73">
        <v>2</v>
      </c>
      <c r="H197" s="34">
        <f>AVERAGE(N197,O197,Q197,R197,S197,T197,U197,V197,W197,AB197,AD197,AJ197,AK197,AL197,AM197,AN197,AO197,AS197)</f>
        <v>5.2777777777777777</v>
      </c>
      <c r="I197" s="112"/>
      <c r="J197" s="37"/>
      <c r="K197" s="24"/>
      <c r="L197" s="37"/>
      <c r="M197" s="22"/>
      <c r="N197" s="24">
        <v>4</v>
      </c>
      <c r="O197" s="23">
        <v>5</v>
      </c>
      <c r="P197" s="24"/>
      <c r="Q197" s="24">
        <v>4</v>
      </c>
      <c r="R197" s="23">
        <v>4</v>
      </c>
      <c r="S197" s="22">
        <v>6</v>
      </c>
      <c r="T197" s="23">
        <v>5</v>
      </c>
      <c r="U197" s="23">
        <v>5</v>
      </c>
      <c r="V197" s="27">
        <v>4</v>
      </c>
      <c r="W197" s="24">
        <v>5</v>
      </c>
      <c r="X197" s="24"/>
      <c r="Y197" s="37" t="s">
        <v>644</v>
      </c>
      <c r="Z197" s="76" t="s">
        <v>644</v>
      </c>
      <c r="AA197" s="76" t="s">
        <v>644</v>
      </c>
      <c r="AB197" s="23">
        <v>6</v>
      </c>
      <c r="AC197" s="24"/>
      <c r="AD197" s="24">
        <v>6</v>
      </c>
      <c r="AE197" s="24"/>
      <c r="AF197" s="24"/>
      <c r="AG197" s="37" t="s">
        <v>644</v>
      </c>
      <c r="AH197" s="139" t="s">
        <v>644</v>
      </c>
      <c r="AI197" s="26" t="s">
        <v>644</v>
      </c>
      <c r="AJ197" s="22">
        <v>6</v>
      </c>
      <c r="AK197" s="24">
        <v>6</v>
      </c>
      <c r="AL197" s="24">
        <v>4</v>
      </c>
      <c r="AM197" s="142">
        <v>5</v>
      </c>
      <c r="AN197" s="24">
        <v>6</v>
      </c>
      <c r="AO197" s="24">
        <v>6</v>
      </c>
      <c r="AP197" s="26" t="s">
        <v>677</v>
      </c>
      <c r="AQ197" s="24"/>
      <c r="AR197" s="26" t="s">
        <v>644</v>
      </c>
      <c r="AS197" s="284">
        <v>8</v>
      </c>
      <c r="AT197" s="24"/>
      <c r="AU197">
        <f>E197 +F197</f>
        <v>26</v>
      </c>
    </row>
    <row r="198" spans="1:47" x14ac:dyDescent="0.25">
      <c r="A198" t="str">
        <f>B198 &amp; " - " &amp;D198</f>
        <v>Losc - Corchia</v>
      </c>
      <c r="B198" t="s">
        <v>771</v>
      </c>
      <c r="C198" t="s">
        <v>641</v>
      </c>
      <c r="D198" t="s">
        <v>122</v>
      </c>
      <c r="E198" s="31">
        <v>30</v>
      </c>
      <c r="F198" s="99">
        <v>3</v>
      </c>
      <c r="G198" s="73">
        <v>2</v>
      </c>
      <c r="H198" s="34">
        <f>AVERAGE(I198,K198,L198,M198,O198,Q198,S198,U198,V198,W198,X198,Y198,AA198,AB198,AC198,AD198,AE198,AF198,AG198,AH198,AI198,AJ198,AK198,AN198,AO198,AP198,AR198,AS198,AT198)</f>
        <v>5.2758620689655169</v>
      </c>
      <c r="I198" s="48">
        <v>5</v>
      </c>
      <c r="J198" s="24" t="s">
        <v>673</v>
      </c>
      <c r="K198" s="24">
        <v>6</v>
      </c>
      <c r="L198" s="24">
        <v>5</v>
      </c>
      <c r="M198" s="24">
        <v>5</v>
      </c>
      <c r="N198" s="37" t="s">
        <v>644</v>
      </c>
      <c r="O198" s="24">
        <v>5</v>
      </c>
      <c r="P198" s="37" t="s">
        <v>644</v>
      </c>
      <c r="Q198" s="24">
        <v>4</v>
      </c>
      <c r="R198" s="24"/>
      <c r="S198" s="22">
        <v>6</v>
      </c>
      <c r="T198" s="24"/>
      <c r="U198" s="24">
        <v>5</v>
      </c>
      <c r="V198" s="27">
        <v>5</v>
      </c>
      <c r="W198" s="24">
        <v>5</v>
      </c>
      <c r="X198" s="24">
        <v>6</v>
      </c>
      <c r="Y198" s="24">
        <v>6</v>
      </c>
      <c r="Z198" s="24"/>
      <c r="AA198" s="24">
        <v>6</v>
      </c>
      <c r="AB198" s="24">
        <v>4</v>
      </c>
      <c r="AC198" s="24">
        <v>4</v>
      </c>
      <c r="AD198" s="24">
        <v>5</v>
      </c>
      <c r="AE198" s="22">
        <v>6</v>
      </c>
      <c r="AF198" s="24">
        <v>6</v>
      </c>
      <c r="AG198" s="24">
        <v>6</v>
      </c>
      <c r="AH198" s="27">
        <v>5</v>
      </c>
      <c r="AI198" s="27">
        <v>5</v>
      </c>
      <c r="AJ198" s="24">
        <v>4</v>
      </c>
      <c r="AK198" s="24">
        <v>4</v>
      </c>
      <c r="AL198" s="24"/>
      <c r="AM198" s="28"/>
      <c r="AN198" s="24">
        <v>5</v>
      </c>
      <c r="AO198" s="24">
        <v>6</v>
      </c>
      <c r="AP198" s="27">
        <v>6</v>
      </c>
      <c r="AQ198" s="76" t="s">
        <v>644</v>
      </c>
      <c r="AR198" s="27">
        <v>6</v>
      </c>
      <c r="AS198" s="27">
        <v>6</v>
      </c>
      <c r="AT198" s="24">
        <v>6</v>
      </c>
      <c r="AU198">
        <f>E198 +F198</f>
        <v>33</v>
      </c>
    </row>
    <row r="199" spans="1:47" x14ac:dyDescent="0.25">
      <c r="A199" t="str">
        <f>B199 &amp; " - " &amp;D199</f>
        <v>OM - B. Mendy</v>
      </c>
      <c r="B199" t="s">
        <v>703</v>
      </c>
      <c r="C199" s="30" t="s">
        <v>641</v>
      </c>
      <c r="D199" s="30" t="s">
        <v>653</v>
      </c>
      <c r="E199" s="31">
        <v>22</v>
      </c>
      <c r="F199" s="99">
        <v>2</v>
      </c>
      <c r="G199" s="73">
        <v>1</v>
      </c>
      <c r="H199" s="34">
        <f>AVERAGE(AA199,J199,K199,L199,I199,M199,N199,R199,S199,T199,U199,W199,X199,Y199,Z199,AK199,AJ199,AO199,AP199,AQ199,AR199,AS199)</f>
        <v>5.2727272727272725</v>
      </c>
      <c r="I199" s="279">
        <v>5</v>
      </c>
      <c r="J199" s="37">
        <v>4</v>
      </c>
      <c r="K199" s="37">
        <v>6</v>
      </c>
      <c r="L199" s="37">
        <v>5</v>
      </c>
      <c r="M199" s="25">
        <v>7</v>
      </c>
      <c r="N199" s="24">
        <v>5</v>
      </c>
      <c r="O199" s="37" t="s">
        <v>644</v>
      </c>
      <c r="P199" s="24"/>
      <c r="Q199" s="24"/>
      <c r="R199" s="24">
        <v>6</v>
      </c>
      <c r="S199" s="24">
        <v>5</v>
      </c>
      <c r="T199" s="24">
        <v>6</v>
      </c>
      <c r="U199" s="24">
        <v>5</v>
      </c>
      <c r="V199" s="27"/>
      <c r="W199" s="24">
        <v>5</v>
      </c>
      <c r="X199" s="24">
        <v>6</v>
      </c>
      <c r="Y199" s="37">
        <v>5</v>
      </c>
      <c r="Z199" s="24">
        <v>5</v>
      </c>
      <c r="AA199" s="24">
        <v>5</v>
      </c>
      <c r="AB199" s="37"/>
      <c r="AC199" s="24"/>
      <c r="AD199" s="24"/>
      <c r="AE199" s="24"/>
      <c r="AF199" s="24"/>
      <c r="AG199" s="24"/>
      <c r="AH199" s="27"/>
      <c r="AI199" s="27"/>
      <c r="AJ199" s="24">
        <v>5</v>
      </c>
      <c r="AK199" s="37">
        <v>6</v>
      </c>
      <c r="AL199" s="24" t="s">
        <v>673</v>
      </c>
      <c r="AM199" s="27"/>
      <c r="AN199" s="24"/>
      <c r="AO199" s="24">
        <v>5</v>
      </c>
      <c r="AP199" s="27">
        <v>4</v>
      </c>
      <c r="AQ199" s="24">
        <v>5</v>
      </c>
      <c r="AR199" s="27">
        <v>5</v>
      </c>
      <c r="AS199" s="27">
        <v>6</v>
      </c>
      <c r="AT199" s="24"/>
      <c r="AU199">
        <f>E199 +F199</f>
        <v>24</v>
      </c>
    </row>
    <row r="200" spans="1:47" x14ac:dyDescent="0.25">
      <c r="A200" t="str">
        <f>B200 &amp; " - " &amp;D200</f>
        <v>Losc - Yeboah</v>
      </c>
      <c r="B200" t="s">
        <v>771</v>
      </c>
      <c r="C200" s="297" t="s">
        <v>654</v>
      </c>
      <c r="D200" s="126" t="s">
        <v>760</v>
      </c>
      <c r="E200" s="31">
        <v>1</v>
      </c>
      <c r="F200" s="99">
        <v>2</v>
      </c>
      <c r="G200" s="73"/>
      <c r="H200" s="34">
        <f>AVERAGE(U200)</f>
        <v>5</v>
      </c>
      <c r="I200" s="87"/>
      <c r="J200" s="24"/>
      <c r="K200" s="24"/>
      <c r="L200" s="37"/>
      <c r="M200" s="24"/>
      <c r="N200" s="24"/>
      <c r="O200" s="24"/>
      <c r="P200" s="24"/>
      <c r="Q200" s="24"/>
      <c r="R200" s="24"/>
      <c r="S200" s="76" t="s">
        <v>644</v>
      </c>
      <c r="T200" s="76" t="s">
        <v>644</v>
      </c>
      <c r="U200" s="37">
        <v>5</v>
      </c>
      <c r="V200" s="27"/>
      <c r="W200" s="24"/>
      <c r="X200" s="24"/>
      <c r="Y200" s="24"/>
      <c r="Z200" s="37"/>
      <c r="AA200" s="37"/>
      <c r="AB200" s="24"/>
      <c r="AC200" s="24"/>
      <c r="AD200" s="37"/>
      <c r="AE200" s="24"/>
      <c r="AF200" s="24"/>
      <c r="AG200" s="24"/>
      <c r="AH200" s="27"/>
      <c r="AI200" s="27"/>
      <c r="AJ200" s="24"/>
      <c r="AK200" s="24"/>
      <c r="AL200" s="37"/>
      <c r="AM200" s="27"/>
      <c r="AN200" s="22"/>
      <c r="AO200" s="24"/>
      <c r="AP200" s="27"/>
      <c r="AQ200" s="22"/>
      <c r="AR200" s="28"/>
      <c r="AS200" s="27"/>
      <c r="AT200" s="24"/>
      <c r="AU200">
        <f>E200 +F200</f>
        <v>3</v>
      </c>
    </row>
    <row r="201" spans="1:47" x14ac:dyDescent="0.25">
      <c r="A201" t="str">
        <f>B201 &amp; " - " &amp;D201</f>
        <v>Losc - Mbemba</v>
      </c>
      <c r="B201" t="s">
        <v>771</v>
      </c>
      <c r="C201" s="297" t="s">
        <v>654</v>
      </c>
      <c r="D201" s="126" t="s">
        <v>761</v>
      </c>
      <c r="E201" s="31">
        <v>1</v>
      </c>
      <c r="F201" s="99"/>
      <c r="G201" s="73"/>
      <c r="H201" s="34">
        <f>AVERAGE(V201)</f>
        <v>4</v>
      </c>
      <c r="I201" s="87"/>
      <c r="J201" s="24"/>
      <c r="K201" s="24"/>
      <c r="L201" s="37"/>
      <c r="M201" s="24"/>
      <c r="N201" s="24"/>
      <c r="O201" s="24"/>
      <c r="P201" s="24"/>
      <c r="Q201" s="24"/>
      <c r="R201" s="24"/>
      <c r="S201" s="76"/>
      <c r="T201" s="76"/>
      <c r="U201" s="37"/>
      <c r="V201" s="27">
        <v>4</v>
      </c>
      <c r="W201" s="24"/>
      <c r="X201" s="24"/>
      <c r="Y201" s="24"/>
      <c r="Z201" s="37"/>
      <c r="AA201" s="37"/>
      <c r="AB201" s="24"/>
      <c r="AC201" s="24"/>
      <c r="AD201" s="37"/>
      <c r="AE201" s="24"/>
      <c r="AF201" s="24"/>
      <c r="AG201" s="24"/>
      <c r="AH201" s="27"/>
      <c r="AI201" s="27"/>
      <c r="AJ201" s="24"/>
      <c r="AK201" s="24"/>
      <c r="AL201" s="37"/>
      <c r="AM201" s="27"/>
      <c r="AN201" s="22"/>
      <c r="AO201" s="24"/>
      <c r="AP201" s="27"/>
      <c r="AQ201" s="22"/>
      <c r="AR201" s="28"/>
      <c r="AS201" s="27"/>
      <c r="AT201" s="24"/>
      <c r="AU201">
        <f>E201 +F201</f>
        <v>1</v>
      </c>
    </row>
    <row r="202" spans="1:47" x14ac:dyDescent="0.25">
      <c r="A202" t="str">
        <f>B202 &amp; " - " &amp;D202</f>
        <v>Losc - Lopes</v>
      </c>
      <c r="B202" t="s">
        <v>771</v>
      </c>
      <c r="C202" s="297" t="s">
        <v>654</v>
      </c>
      <c r="D202" s="123" t="s">
        <v>124</v>
      </c>
      <c r="E202" s="31">
        <v>5</v>
      </c>
      <c r="F202" s="99">
        <v>7</v>
      </c>
      <c r="G202" s="73">
        <v>2</v>
      </c>
      <c r="H202" s="34">
        <f>AVERAGE(AF202,AK202,AN202,AR202,AS202,AT202)</f>
        <v>6</v>
      </c>
      <c r="I202" s="87"/>
      <c r="J202" s="24"/>
      <c r="K202" s="24"/>
      <c r="L202" s="37"/>
      <c r="M202" s="24"/>
      <c r="N202" s="24"/>
      <c r="O202" s="24"/>
      <c r="P202" s="24"/>
      <c r="Q202" s="24"/>
      <c r="R202" s="24"/>
      <c r="S202" s="76"/>
      <c r="T202" s="76"/>
      <c r="U202" s="37"/>
      <c r="V202" s="27"/>
      <c r="W202" s="24"/>
      <c r="X202" s="24"/>
      <c r="Y202" s="24"/>
      <c r="Z202" s="37"/>
      <c r="AA202" s="37"/>
      <c r="AB202" s="37" t="s">
        <v>644</v>
      </c>
      <c r="AC202" s="37" t="s">
        <v>644</v>
      </c>
      <c r="AD202" s="37" t="s">
        <v>644</v>
      </c>
      <c r="AE202" s="24"/>
      <c r="AF202" s="24">
        <v>5</v>
      </c>
      <c r="AG202" s="24"/>
      <c r="AH202" s="27"/>
      <c r="AI202" s="26" t="s">
        <v>644</v>
      </c>
      <c r="AJ202" s="37" t="s">
        <v>644</v>
      </c>
      <c r="AK202" s="25">
        <v>7</v>
      </c>
      <c r="AL202" s="37"/>
      <c r="AM202" s="27"/>
      <c r="AN202" s="23">
        <v>6</v>
      </c>
      <c r="AO202" s="24"/>
      <c r="AP202" s="27"/>
      <c r="AQ202" s="76" t="s">
        <v>644</v>
      </c>
      <c r="AR202" s="94">
        <v>6</v>
      </c>
      <c r="AS202" s="27">
        <v>6</v>
      </c>
      <c r="AT202" s="24">
        <v>6</v>
      </c>
      <c r="AU202">
        <f>E202 +F202</f>
        <v>12</v>
      </c>
    </row>
    <row r="203" spans="1:47" x14ac:dyDescent="0.25">
      <c r="A203" t="str">
        <f>B203 &amp; " - " &amp;D203</f>
        <v>Losc - Amalfitano</v>
      </c>
      <c r="B203" t="s">
        <v>771</v>
      </c>
      <c r="C203" s="297" t="s">
        <v>654</v>
      </c>
      <c r="D203" s="123" t="s">
        <v>1090</v>
      </c>
      <c r="E203" s="31">
        <v>10</v>
      </c>
      <c r="F203" s="99">
        <v>5</v>
      </c>
      <c r="G203" s="73">
        <v>2</v>
      </c>
      <c r="H203" s="34">
        <f>AVERAGE(AI203,AK203,AL203,AM203,AN203,AO203,AP203,AQ203,AR203,AS203,AT203)</f>
        <v>5.7272727272727275</v>
      </c>
      <c r="I203" s="87"/>
      <c r="J203" s="24"/>
      <c r="K203" s="24"/>
      <c r="L203" s="37"/>
      <c r="M203" s="24"/>
      <c r="N203" s="24"/>
      <c r="O203" s="24"/>
      <c r="P203" s="24"/>
      <c r="Q203" s="24"/>
      <c r="R203" s="24"/>
      <c r="S203" s="76"/>
      <c r="T203" s="76"/>
      <c r="U203" s="37"/>
      <c r="V203" s="27"/>
      <c r="W203" s="24"/>
      <c r="X203" s="24"/>
      <c r="Y203" s="24"/>
      <c r="Z203" s="37"/>
      <c r="AA203" s="37"/>
      <c r="AB203" s="37"/>
      <c r="AC203" s="37"/>
      <c r="AD203" s="37" t="s">
        <v>644</v>
      </c>
      <c r="AE203" s="37" t="s">
        <v>644</v>
      </c>
      <c r="AF203" s="24"/>
      <c r="AG203" s="24"/>
      <c r="AH203" s="26" t="s">
        <v>644</v>
      </c>
      <c r="AI203" s="27">
        <v>5</v>
      </c>
      <c r="AJ203" s="37" t="s">
        <v>644</v>
      </c>
      <c r="AK203" s="24">
        <v>6</v>
      </c>
      <c r="AL203" s="37">
        <v>5</v>
      </c>
      <c r="AM203" s="247">
        <v>7</v>
      </c>
      <c r="AN203" s="23">
        <v>5</v>
      </c>
      <c r="AO203" s="22">
        <v>6</v>
      </c>
      <c r="AP203" s="26">
        <v>5</v>
      </c>
      <c r="AQ203" s="23">
        <v>5</v>
      </c>
      <c r="AR203" s="284">
        <v>7</v>
      </c>
      <c r="AS203" s="27">
        <v>6</v>
      </c>
      <c r="AT203" s="24">
        <v>6</v>
      </c>
      <c r="AU203">
        <f>E203 +F203</f>
        <v>15</v>
      </c>
    </row>
    <row r="204" spans="1:47" x14ac:dyDescent="0.25">
      <c r="A204" t="str">
        <f>B204 &amp; " - " &amp;D204</f>
        <v>Losc - Y. Koné</v>
      </c>
      <c r="B204" t="s">
        <v>771</v>
      </c>
      <c r="C204" t="s">
        <v>654</v>
      </c>
      <c r="D204" t="s">
        <v>753</v>
      </c>
      <c r="E204" s="31"/>
      <c r="F204" s="99">
        <v>1</v>
      </c>
      <c r="G204" s="73"/>
      <c r="H204" s="34"/>
      <c r="I204" s="48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7"/>
      <c r="W204" s="24"/>
      <c r="X204" s="24"/>
      <c r="Y204" s="24"/>
      <c r="Z204" s="37" t="s">
        <v>644</v>
      </c>
      <c r="AA204" s="24"/>
      <c r="AB204" s="24"/>
      <c r="AC204" s="24"/>
      <c r="AD204" s="24"/>
      <c r="AE204" s="24"/>
      <c r="AF204" s="24"/>
      <c r="AG204" s="24"/>
      <c r="AH204" s="27"/>
      <c r="AI204" s="27"/>
      <c r="AJ204" s="24"/>
      <c r="AK204" s="24"/>
      <c r="AL204" s="24"/>
      <c r="AM204" s="27"/>
      <c r="AN204" s="24"/>
      <c r="AO204" s="24"/>
      <c r="AP204" s="27"/>
      <c r="AQ204" s="24"/>
      <c r="AR204" s="27"/>
      <c r="AS204" s="27"/>
      <c r="AT204" s="24"/>
      <c r="AU204">
        <f>E204 +F204</f>
        <v>1</v>
      </c>
    </row>
    <row r="205" spans="1:47" x14ac:dyDescent="0.25">
      <c r="A205" t="str">
        <f>B205 &amp; " - " &amp;D205</f>
        <v>Losc - Pavard</v>
      </c>
      <c r="B205" t="s">
        <v>771</v>
      </c>
      <c r="C205" t="s">
        <v>654</v>
      </c>
      <c r="D205" s="123" t="s">
        <v>754</v>
      </c>
      <c r="E205" s="31">
        <v>6</v>
      </c>
      <c r="F205" s="99">
        <v>7</v>
      </c>
      <c r="G205" s="73"/>
      <c r="H205" s="34">
        <f>AVERAGE(J205,I205,Q205,Z205,AC205,AE205)</f>
        <v>5</v>
      </c>
      <c r="I205" s="48">
        <v>5</v>
      </c>
      <c r="J205" s="24">
        <v>5</v>
      </c>
      <c r="K205" s="37" t="s">
        <v>644</v>
      </c>
      <c r="L205" s="24"/>
      <c r="M205" s="24"/>
      <c r="N205" s="24"/>
      <c r="O205" s="24"/>
      <c r="P205" s="37"/>
      <c r="Q205" s="24">
        <v>5</v>
      </c>
      <c r="R205" s="37" t="s">
        <v>644</v>
      </c>
      <c r="S205" s="24"/>
      <c r="T205" s="24"/>
      <c r="U205" s="24"/>
      <c r="V205" s="26"/>
      <c r="W205" s="24"/>
      <c r="X205" s="24"/>
      <c r="Y205" s="24"/>
      <c r="Z205" s="24">
        <v>5</v>
      </c>
      <c r="AA205" s="37" t="s">
        <v>644</v>
      </c>
      <c r="AB205" s="37" t="s">
        <v>644</v>
      </c>
      <c r="AC205" s="24">
        <v>5</v>
      </c>
      <c r="AD205" s="24"/>
      <c r="AE205" s="24">
        <v>5</v>
      </c>
      <c r="AF205" s="24"/>
      <c r="AG205" s="24"/>
      <c r="AH205" s="26" t="s">
        <v>644</v>
      </c>
      <c r="AI205" s="27"/>
      <c r="AJ205" s="37" t="s">
        <v>644</v>
      </c>
      <c r="AK205" s="37" t="s">
        <v>644</v>
      </c>
      <c r="AL205" s="24"/>
      <c r="AM205" s="27"/>
      <c r="AN205" s="24"/>
      <c r="AO205" s="37"/>
      <c r="AP205" s="26"/>
      <c r="AQ205" s="24"/>
      <c r="AR205" s="27"/>
      <c r="AS205" s="26"/>
      <c r="AT205" s="24"/>
      <c r="AU205">
        <f>E205 +F205</f>
        <v>13</v>
      </c>
    </row>
    <row r="206" spans="1:47" x14ac:dyDescent="0.25">
      <c r="A206" t="str">
        <f>B206 &amp; " - " &amp;D206</f>
        <v>OL - Yanga-Mbiwa</v>
      </c>
      <c r="B206" t="s">
        <v>704</v>
      </c>
      <c r="C206" s="85" t="s">
        <v>641</v>
      </c>
      <c r="D206" s="162" t="s">
        <v>678</v>
      </c>
      <c r="E206" s="69">
        <v>27</v>
      </c>
      <c r="F206" s="115"/>
      <c r="G206" s="122" t="s">
        <v>1096</v>
      </c>
      <c r="H206" s="72">
        <f>AVERAGE(K206,L206,M206,R206,T206,U206,V206,Z206,AA206,AB206,AC206,AD206,AE206,AF206,AG206,AH206,AI206,AJ206,AK206,AM206,AN206,AO206,AP206,AQ206,AR206,AS206)</f>
        <v>5.2692307692307692</v>
      </c>
      <c r="I206" s="101"/>
      <c r="J206" s="37"/>
      <c r="K206" s="24">
        <v>4</v>
      </c>
      <c r="L206" s="37">
        <v>5</v>
      </c>
      <c r="M206" s="24">
        <v>6</v>
      </c>
      <c r="N206" s="24"/>
      <c r="O206" s="24"/>
      <c r="P206" s="24"/>
      <c r="Q206" s="24"/>
      <c r="R206" s="24">
        <v>4</v>
      </c>
      <c r="S206" s="24"/>
      <c r="T206" s="24">
        <v>6</v>
      </c>
      <c r="U206" s="24">
        <v>5</v>
      </c>
      <c r="V206" s="27">
        <v>4</v>
      </c>
      <c r="W206" s="24"/>
      <c r="X206" s="24"/>
      <c r="Y206" s="24"/>
      <c r="Z206" s="82">
        <v>2</v>
      </c>
      <c r="AA206" s="24">
        <v>5</v>
      </c>
      <c r="AB206" s="24">
        <v>5</v>
      </c>
      <c r="AC206" s="24">
        <v>5</v>
      </c>
      <c r="AD206" s="24">
        <v>5</v>
      </c>
      <c r="AE206" s="24">
        <v>5</v>
      </c>
      <c r="AF206" s="24">
        <v>6</v>
      </c>
      <c r="AG206" s="24">
        <v>6</v>
      </c>
      <c r="AH206" s="27">
        <v>6</v>
      </c>
      <c r="AI206" s="27">
        <v>5</v>
      </c>
      <c r="AJ206" s="24">
        <v>5</v>
      </c>
      <c r="AK206" s="24">
        <v>6</v>
      </c>
      <c r="AL206" s="24"/>
      <c r="AM206" s="163">
        <v>7</v>
      </c>
      <c r="AN206" s="24">
        <v>5</v>
      </c>
      <c r="AO206" s="66">
        <v>7</v>
      </c>
      <c r="AP206" s="27">
        <v>5</v>
      </c>
      <c r="AQ206" s="24">
        <v>5</v>
      </c>
      <c r="AR206" s="27">
        <v>5</v>
      </c>
      <c r="AS206" s="247">
        <v>8</v>
      </c>
      <c r="AT206" s="24" t="s">
        <v>673</v>
      </c>
      <c r="AU206">
        <f>E206 +F206</f>
        <v>27</v>
      </c>
    </row>
    <row r="207" spans="1:47" x14ac:dyDescent="0.25">
      <c r="A207" t="str">
        <f>B207 &amp; " - " &amp;D207</f>
        <v>Losc - Frey</v>
      </c>
      <c r="B207" t="s">
        <v>771</v>
      </c>
      <c r="C207" s="64" t="s">
        <v>665</v>
      </c>
      <c r="D207" s="64" t="s">
        <v>763</v>
      </c>
      <c r="E207" s="52"/>
      <c r="F207" s="63"/>
      <c r="G207" s="145"/>
      <c r="H207" s="34"/>
      <c r="I207" s="45"/>
      <c r="J207" s="55"/>
      <c r="K207" s="46"/>
      <c r="L207" s="46"/>
      <c r="M207" s="55"/>
      <c r="N207" s="46"/>
      <c r="O207" s="55"/>
      <c r="P207" s="46"/>
      <c r="Q207" s="46"/>
      <c r="R207" s="55"/>
      <c r="S207" s="46"/>
      <c r="T207" s="59"/>
      <c r="U207" s="55"/>
      <c r="V207" s="56"/>
      <c r="W207" s="46"/>
      <c r="X207" s="55"/>
      <c r="Y207" s="55"/>
      <c r="Z207" s="46"/>
      <c r="AA207" s="55"/>
      <c r="AB207" s="59"/>
      <c r="AC207" s="46"/>
      <c r="AD207" s="46"/>
      <c r="AE207" s="46"/>
      <c r="AF207" s="46"/>
      <c r="AG207" s="46"/>
      <c r="AH207" s="47"/>
      <c r="AI207" s="47"/>
      <c r="AJ207" s="46"/>
      <c r="AK207" s="46"/>
      <c r="AL207" s="46"/>
      <c r="AM207" s="47"/>
      <c r="AN207" s="46"/>
      <c r="AO207" s="55"/>
      <c r="AP207" s="47"/>
      <c r="AQ207" s="46"/>
      <c r="AR207" s="47"/>
      <c r="AS207" s="47"/>
      <c r="AT207" s="46"/>
      <c r="AU207">
        <f>E207 +F207</f>
        <v>0</v>
      </c>
    </row>
    <row r="208" spans="1:47" x14ac:dyDescent="0.25">
      <c r="A208" t="str">
        <f>B208 &amp; " - " &amp;D208</f>
        <v>Losc - Mendes</v>
      </c>
      <c r="B208" t="s">
        <v>771</v>
      </c>
      <c r="C208" s="64" t="s">
        <v>665</v>
      </c>
      <c r="D208" s="64" t="s">
        <v>764</v>
      </c>
      <c r="E208" s="52"/>
      <c r="F208" s="63">
        <v>3</v>
      </c>
      <c r="G208" s="145"/>
      <c r="H208" s="34"/>
      <c r="I208" s="64">
        <v>4</v>
      </c>
      <c r="J208" s="61"/>
      <c r="K208" s="61" t="s">
        <v>644</v>
      </c>
      <c r="L208" s="61" t="s">
        <v>644</v>
      </c>
      <c r="M208" s="53"/>
      <c r="N208" s="53"/>
      <c r="O208" s="53"/>
      <c r="P208" s="53"/>
      <c r="Q208" s="53"/>
      <c r="R208" s="53"/>
      <c r="S208" s="53"/>
      <c r="T208" s="61"/>
      <c r="U208" s="53"/>
      <c r="V208" s="63"/>
      <c r="W208" s="53"/>
      <c r="X208" s="53"/>
      <c r="Y208" s="53"/>
      <c r="Z208" s="59"/>
      <c r="AA208" s="53"/>
      <c r="AB208" s="53"/>
      <c r="AC208" s="53"/>
      <c r="AD208" s="53"/>
      <c r="AE208" s="53"/>
      <c r="AF208" s="53"/>
      <c r="AG208" s="61"/>
      <c r="AH208" s="164"/>
      <c r="AI208" s="63"/>
      <c r="AJ208" s="53"/>
      <c r="AK208" s="61"/>
      <c r="AL208" s="53"/>
      <c r="AM208" s="62"/>
      <c r="AN208" s="53"/>
      <c r="AO208" s="53"/>
      <c r="AP208" s="63"/>
      <c r="AQ208" s="61"/>
      <c r="AR208" s="62"/>
      <c r="AS208" s="62"/>
      <c r="AT208" s="53"/>
      <c r="AU208">
        <f>E208 +F208</f>
        <v>3</v>
      </c>
    </row>
    <row r="209" spans="1:47" x14ac:dyDescent="0.25">
      <c r="A209" t="str">
        <f>B209 &amp; " - " &amp;D209</f>
        <v>Losc - Rodelin</v>
      </c>
      <c r="B209" t="s">
        <v>771</v>
      </c>
      <c r="C209" s="64" t="s">
        <v>665</v>
      </c>
      <c r="D209" s="64" t="s">
        <v>466</v>
      </c>
      <c r="E209" s="52">
        <v>1</v>
      </c>
      <c r="F209" s="63"/>
      <c r="G209" s="145"/>
      <c r="H209" s="34"/>
      <c r="I209" s="149"/>
      <c r="J209" s="53"/>
      <c r="K209" s="61"/>
      <c r="L209" s="61">
        <v>4</v>
      </c>
      <c r="M209" s="53"/>
      <c r="N209" s="53"/>
      <c r="O209" s="53"/>
      <c r="P209" s="61"/>
      <c r="Q209" s="53"/>
      <c r="R209" s="53"/>
      <c r="S209" s="61"/>
      <c r="T209" s="53"/>
      <c r="U209" s="53"/>
      <c r="V209" s="63"/>
      <c r="W209" s="61"/>
      <c r="X209" s="53"/>
      <c r="Y209" s="53"/>
      <c r="Z209" s="61"/>
      <c r="AA209" s="61"/>
      <c r="AB209" s="53"/>
      <c r="AC209" s="53"/>
      <c r="AD209" s="53"/>
      <c r="AE209" s="53"/>
      <c r="AF209" s="53"/>
      <c r="AG209" s="53"/>
      <c r="AH209" s="63"/>
      <c r="AI209" s="63"/>
      <c r="AJ209" s="53"/>
      <c r="AK209" s="53"/>
      <c r="AL209" s="53"/>
      <c r="AM209" s="63"/>
      <c r="AN209" s="53"/>
      <c r="AO209" s="53"/>
      <c r="AP209" s="63"/>
      <c r="AQ209" s="53"/>
      <c r="AR209" s="63"/>
      <c r="AS209" s="63"/>
      <c r="AT209" s="53"/>
      <c r="AU209">
        <f>E209 +F209</f>
        <v>1</v>
      </c>
    </row>
    <row r="210" spans="1:47" x14ac:dyDescent="0.25">
      <c r="A210" t="str">
        <f>B210 &amp; " - " &amp;D210</f>
        <v>Losc - Koubemba</v>
      </c>
      <c r="B210" t="s">
        <v>771</v>
      </c>
      <c r="C210" s="50" t="s">
        <v>665</v>
      </c>
      <c r="D210" s="57" t="s">
        <v>765</v>
      </c>
      <c r="E210" s="52"/>
      <c r="F210" s="63"/>
      <c r="G210" s="145"/>
      <c r="H210" s="34"/>
      <c r="I210" s="149"/>
      <c r="J210" s="6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63"/>
      <c r="AE210" s="53"/>
      <c r="AF210" s="63"/>
      <c r="AG210" s="53"/>
      <c r="AH210" s="63"/>
      <c r="AI210" s="63"/>
      <c r="AJ210" s="53"/>
      <c r="AK210" s="53"/>
      <c r="AL210" s="53"/>
      <c r="AM210" s="53"/>
      <c r="AN210" s="63"/>
      <c r="AO210" s="53"/>
      <c r="AP210" s="53"/>
      <c r="AQ210" s="63"/>
      <c r="AR210" s="63"/>
      <c r="AS210" s="63"/>
      <c r="AT210" s="53"/>
      <c r="AU210">
        <f>E210 +F210</f>
        <v>0</v>
      </c>
    </row>
    <row r="211" spans="1:47" x14ac:dyDescent="0.25">
      <c r="A211" t="str">
        <f>B211 &amp; " - " &amp;D211</f>
        <v>Losc - Araujo</v>
      </c>
      <c r="B211" t="s">
        <v>771</v>
      </c>
      <c r="C211" s="50" t="s">
        <v>665</v>
      </c>
      <c r="D211" s="57" t="s">
        <v>766</v>
      </c>
      <c r="E211" s="52"/>
      <c r="F211" s="63">
        <v>1</v>
      </c>
      <c r="G211" s="145"/>
      <c r="H211" s="34"/>
      <c r="I211" s="149"/>
      <c r="J211" s="6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 t="s">
        <v>644</v>
      </c>
      <c r="W211" s="53"/>
      <c r="X211" s="53"/>
      <c r="Y211" s="53"/>
      <c r="Z211" s="53"/>
      <c r="AA211" s="53"/>
      <c r="AB211" s="53"/>
      <c r="AC211" s="53"/>
      <c r="AD211" s="63"/>
      <c r="AE211" s="53"/>
      <c r="AF211" s="63"/>
      <c r="AG211" s="53"/>
      <c r="AH211" s="63"/>
      <c r="AI211" s="63"/>
      <c r="AJ211" s="53"/>
      <c r="AK211" s="53"/>
      <c r="AL211" s="53"/>
      <c r="AM211" s="53"/>
      <c r="AN211" s="63"/>
      <c r="AO211" s="53"/>
      <c r="AP211" s="53"/>
      <c r="AQ211" s="63"/>
      <c r="AR211" s="63"/>
      <c r="AS211" s="63"/>
      <c r="AT211" s="53"/>
      <c r="AU211">
        <f>E211 +F211</f>
        <v>1</v>
      </c>
    </row>
    <row r="212" spans="1:47" x14ac:dyDescent="0.25">
      <c r="A212" t="str">
        <f>B212 &amp; " - " &amp;D212</f>
        <v>Losc - Tallo</v>
      </c>
      <c r="B212" t="s">
        <v>771</v>
      </c>
      <c r="C212" t="s">
        <v>665</v>
      </c>
      <c r="D212" t="s">
        <v>767</v>
      </c>
      <c r="E212" s="31">
        <v>12</v>
      </c>
      <c r="F212" s="99">
        <v>11</v>
      </c>
      <c r="G212" s="73"/>
      <c r="H212" s="34">
        <f>AVERAGE(M212,N212,P212,Q212,R212,W212,X212,AB212,AC212,AD212,AH212)</f>
        <v>4.0909090909090908</v>
      </c>
      <c r="I212" s="87" t="s">
        <v>644</v>
      </c>
      <c r="J212" s="37" t="s">
        <v>644</v>
      </c>
      <c r="K212" s="24"/>
      <c r="L212" s="24"/>
      <c r="M212" s="24">
        <v>4</v>
      </c>
      <c r="N212" s="24">
        <v>5</v>
      </c>
      <c r="O212" s="24" t="s">
        <v>673</v>
      </c>
      <c r="P212" s="24">
        <v>4</v>
      </c>
      <c r="Q212" s="24">
        <v>4</v>
      </c>
      <c r="R212" s="24">
        <v>4</v>
      </c>
      <c r="S212" s="24"/>
      <c r="T212" s="24"/>
      <c r="U212" s="37" t="s">
        <v>644</v>
      </c>
      <c r="V212" s="27"/>
      <c r="W212" s="82">
        <v>3</v>
      </c>
      <c r="X212" s="24">
        <v>4</v>
      </c>
      <c r="Y212" s="37" t="s">
        <v>644</v>
      </c>
      <c r="Z212" s="37" t="s">
        <v>644</v>
      </c>
      <c r="AA212" s="37" t="s">
        <v>644</v>
      </c>
      <c r="AB212" s="24">
        <v>5</v>
      </c>
      <c r="AC212" s="24">
        <v>4</v>
      </c>
      <c r="AD212" s="82">
        <v>3</v>
      </c>
      <c r="AE212" s="24"/>
      <c r="AF212" s="24"/>
      <c r="AG212" s="24"/>
      <c r="AH212" s="27">
        <v>5</v>
      </c>
      <c r="AI212" s="26" t="s">
        <v>644</v>
      </c>
      <c r="AJ212" s="24"/>
      <c r="AK212" s="24"/>
      <c r="AL212" s="24"/>
      <c r="AM212" s="27"/>
      <c r="AN212" s="37" t="s">
        <v>644</v>
      </c>
      <c r="AO212" s="37" t="s">
        <v>644</v>
      </c>
      <c r="AP212" s="26" t="s">
        <v>644</v>
      </c>
      <c r="AQ212" s="24"/>
      <c r="AR212" s="27"/>
      <c r="AS212" s="26" t="s">
        <v>644</v>
      </c>
      <c r="AT212" s="24"/>
      <c r="AU212">
        <f>E212 +F212</f>
        <v>23</v>
      </c>
    </row>
    <row r="213" spans="1:47" x14ac:dyDescent="0.25">
      <c r="A213" t="str">
        <f>B213 &amp; " - " &amp;D213</f>
        <v>Losc - Guillaume</v>
      </c>
      <c r="B213" t="s">
        <v>771</v>
      </c>
      <c r="C213" s="38" t="s">
        <v>665</v>
      </c>
      <c r="D213" t="s">
        <v>768</v>
      </c>
      <c r="E213" s="31">
        <v>5</v>
      </c>
      <c r="F213" s="99">
        <v>5</v>
      </c>
      <c r="G213" s="73"/>
      <c r="H213" s="34">
        <f>AVERAGE(J213,K213,L213,O213,S213,T213)</f>
        <v>4.5</v>
      </c>
      <c r="I213" s="48"/>
      <c r="J213" s="24">
        <v>5</v>
      </c>
      <c r="K213" s="24">
        <v>4</v>
      </c>
      <c r="L213" s="24">
        <v>4</v>
      </c>
      <c r="M213" s="24"/>
      <c r="N213" s="37" t="s">
        <v>644</v>
      </c>
      <c r="O213" s="24">
        <v>4</v>
      </c>
      <c r="P213" s="24"/>
      <c r="Q213" s="24"/>
      <c r="R213" s="37" t="s">
        <v>644</v>
      </c>
      <c r="S213" s="24">
        <v>5</v>
      </c>
      <c r="T213" s="24">
        <v>5</v>
      </c>
      <c r="U213" s="24"/>
      <c r="V213" s="27"/>
      <c r="W213" s="37" t="s">
        <v>644</v>
      </c>
      <c r="X213" s="37" t="s">
        <v>644</v>
      </c>
      <c r="Y213" s="24"/>
      <c r="Z213" s="24"/>
      <c r="AA213" s="24"/>
      <c r="AB213" s="24"/>
      <c r="AC213" s="24"/>
      <c r="AD213" s="24"/>
      <c r="AE213" s="24"/>
      <c r="AF213" s="24"/>
      <c r="AG213" s="24"/>
      <c r="AH213" s="27"/>
      <c r="AI213" s="27"/>
      <c r="AJ213" s="24"/>
      <c r="AK213" s="24"/>
      <c r="AL213" s="24"/>
      <c r="AM213" s="27"/>
      <c r="AN213" s="24"/>
      <c r="AO213" s="24"/>
      <c r="AP213" s="27"/>
      <c r="AQ213" s="24"/>
      <c r="AR213" s="27"/>
      <c r="AS213" s="27"/>
      <c r="AT213" s="24"/>
      <c r="AU213">
        <f>E213 +F213</f>
        <v>10</v>
      </c>
    </row>
    <row r="214" spans="1:47" x14ac:dyDescent="0.25">
      <c r="A214" t="str">
        <f>B214 &amp; " - " &amp;D214</f>
        <v>Losc - Nangis</v>
      </c>
      <c r="B214" t="s">
        <v>771</v>
      </c>
      <c r="C214" s="38" t="s">
        <v>665</v>
      </c>
      <c r="D214" t="s">
        <v>769</v>
      </c>
      <c r="E214" s="31">
        <v>3</v>
      </c>
      <c r="F214" s="99">
        <v>7</v>
      </c>
      <c r="G214" s="73"/>
      <c r="H214" s="34">
        <f>AVERAGE(P214,Q214,R214,W214)</f>
        <v>4</v>
      </c>
      <c r="I214" s="48"/>
      <c r="J214" s="24"/>
      <c r="K214" s="24"/>
      <c r="L214" s="24"/>
      <c r="M214" s="37" t="s">
        <v>644</v>
      </c>
      <c r="N214" s="24"/>
      <c r="O214" s="37" t="s">
        <v>644</v>
      </c>
      <c r="P214" s="24">
        <v>4</v>
      </c>
      <c r="Q214" s="24">
        <v>4</v>
      </c>
      <c r="R214" s="24">
        <v>4</v>
      </c>
      <c r="S214" s="24"/>
      <c r="T214" s="24"/>
      <c r="U214" s="24"/>
      <c r="V214" s="26" t="s">
        <v>644</v>
      </c>
      <c r="W214" s="24">
        <v>4</v>
      </c>
      <c r="X214" s="37" t="s">
        <v>644</v>
      </c>
      <c r="Y214" s="24"/>
      <c r="Z214" s="24"/>
      <c r="AA214" s="24"/>
      <c r="AB214" s="37" t="s">
        <v>644</v>
      </c>
      <c r="AC214" s="24"/>
      <c r="AD214" s="24"/>
      <c r="AE214" s="37" t="s">
        <v>644</v>
      </c>
      <c r="AF214" s="24"/>
      <c r="AG214" s="24"/>
      <c r="AH214" s="27"/>
      <c r="AI214" s="27"/>
      <c r="AJ214" s="24"/>
      <c r="AK214" s="24"/>
      <c r="AL214" s="24"/>
      <c r="AM214" s="27"/>
      <c r="AN214" s="24"/>
      <c r="AO214" s="24"/>
      <c r="AP214" s="27"/>
      <c r="AQ214" s="24"/>
      <c r="AR214" s="27"/>
      <c r="AS214" s="27"/>
      <c r="AT214" s="24"/>
      <c r="AU214">
        <f>E214 +F214</f>
        <v>10</v>
      </c>
    </row>
    <row r="215" spans="1:47" x14ac:dyDescent="0.25">
      <c r="A215" t="str">
        <f>B215 &amp; " - " &amp;D215</f>
        <v>Losc - Eder</v>
      </c>
      <c r="B215" t="s">
        <v>771</v>
      </c>
      <c r="C215" s="38" t="s">
        <v>665</v>
      </c>
      <c r="D215" s="126" t="s">
        <v>1091</v>
      </c>
      <c r="E215" s="31">
        <v>12</v>
      </c>
      <c r="F215" s="99">
        <v>1</v>
      </c>
      <c r="G215" s="73">
        <v>6</v>
      </c>
      <c r="H215" s="34">
        <f>AVERAGE(AF215,AG215,AJ215,AK215,AL215,AM215,AN215,AO215,AP215,AQ215,AR215,AS215,AT215)</f>
        <v>5.3076923076923075</v>
      </c>
      <c r="I215" s="48"/>
      <c r="J215" s="24"/>
      <c r="K215" s="24"/>
      <c r="L215" s="24"/>
      <c r="M215" s="37"/>
      <c r="N215" s="24"/>
      <c r="O215" s="37"/>
      <c r="P215" s="24"/>
      <c r="Q215" s="24"/>
      <c r="R215" s="24"/>
      <c r="S215" s="24"/>
      <c r="T215" s="24"/>
      <c r="U215" s="24"/>
      <c r="V215" s="26"/>
      <c r="W215" s="24"/>
      <c r="X215" s="37"/>
      <c r="Y215" s="24"/>
      <c r="Z215" s="24"/>
      <c r="AA215" s="24"/>
      <c r="AB215" s="37"/>
      <c r="AC215" s="24"/>
      <c r="AD215" s="24"/>
      <c r="AE215" s="37"/>
      <c r="AF215" s="37">
        <v>4</v>
      </c>
      <c r="AG215" s="22">
        <v>6</v>
      </c>
      <c r="AH215" s="27"/>
      <c r="AI215" s="27"/>
      <c r="AJ215" s="82">
        <v>3</v>
      </c>
      <c r="AK215" s="22">
        <v>6</v>
      </c>
      <c r="AL215" s="66">
        <v>7</v>
      </c>
      <c r="AM215" s="27">
        <v>4</v>
      </c>
      <c r="AN215" s="25">
        <v>8</v>
      </c>
      <c r="AO215" s="25">
        <v>7</v>
      </c>
      <c r="AP215" s="27">
        <v>4</v>
      </c>
      <c r="AQ215" s="24">
        <v>5</v>
      </c>
      <c r="AR215" s="27">
        <v>6</v>
      </c>
      <c r="AS215" s="27">
        <v>4</v>
      </c>
      <c r="AT215" s="22">
        <v>5</v>
      </c>
      <c r="AU215">
        <f>E215 +F215</f>
        <v>13</v>
      </c>
    </row>
    <row r="216" spans="1:47" x14ac:dyDescent="0.25">
      <c r="A216" t="str">
        <f>B216 &amp; " - " &amp;D216</f>
        <v>FCGB - Plasil</v>
      </c>
      <c r="B216" t="s">
        <v>796</v>
      </c>
      <c r="C216" s="30" t="s">
        <v>654</v>
      </c>
      <c r="D216" s="30" t="s">
        <v>786</v>
      </c>
      <c r="E216" s="31">
        <v>25</v>
      </c>
      <c r="F216" s="99">
        <v>2</v>
      </c>
      <c r="G216" s="73">
        <v>3</v>
      </c>
      <c r="H216" s="34">
        <f>AVERAGE(O216,P216,Q216,R216,S216,T216,U216,V216,X216,Y216,Z216,AA216,AB216,AC216,AD216,AE216,AF216,AG216,AH216,AN216,AO216,AP216,AR216,AS216,AT216,AQ216)</f>
        <v>5.2692307692307692</v>
      </c>
      <c r="I216" s="38"/>
      <c r="J216" s="24"/>
      <c r="K216" s="37"/>
      <c r="L216" s="24"/>
      <c r="M216" s="24"/>
      <c r="N216" s="24"/>
      <c r="O216" s="77">
        <v>6</v>
      </c>
      <c r="P216" s="22">
        <v>6</v>
      </c>
      <c r="Q216" s="24">
        <v>5</v>
      </c>
      <c r="R216" s="24">
        <v>5</v>
      </c>
      <c r="S216" s="24">
        <v>5</v>
      </c>
      <c r="T216" s="24">
        <v>5</v>
      </c>
      <c r="U216" s="22">
        <v>6</v>
      </c>
      <c r="V216" s="26">
        <v>4</v>
      </c>
      <c r="W216" s="37" t="s">
        <v>644</v>
      </c>
      <c r="X216" s="24">
        <v>4</v>
      </c>
      <c r="Y216" s="24">
        <v>6</v>
      </c>
      <c r="Z216" s="24">
        <v>6</v>
      </c>
      <c r="AA216" s="24">
        <v>5</v>
      </c>
      <c r="AB216" s="24">
        <v>6</v>
      </c>
      <c r="AC216" s="24">
        <v>6</v>
      </c>
      <c r="AD216" s="24">
        <v>5</v>
      </c>
      <c r="AE216" s="24">
        <v>6</v>
      </c>
      <c r="AF216" s="24">
        <v>4</v>
      </c>
      <c r="AG216" s="24">
        <v>5</v>
      </c>
      <c r="AH216" s="27">
        <v>6</v>
      </c>
      <c r="AI216" s="27"/>
      <c r="AJ216" s="24"/>
      <c r="AK216" s="24"/>
      <c r="AL216" s="24"/>
      <c r="AM216" s="27"/>
      <c r="AN216" s="24">
        <v>4</v>
      </c>
      <c r="AO216" s="24">
        <v>5</v>
      </c>
      <c r="AP216" s="27">
        <v>5</v>
      </c>
      <c r="AQ216" s="24">
        <v>5</v>
      </c>
      <c r="AR216" s="27">
        <v>5</v>
      </c>
      <c r="AS216" s="163">
        <v>7</v>
      </c>
      <c r="AT216" s="24">
        <v>5</v>
      </c>
      <c r="AU216">
        <f>E216 +F216</f>
        <v>27</v>
      </c>
    </row>
    <row r="217" spans="1:47" ht="15.75" thickBot="1" x14ac:dyDescent="0.3">
      <c r="A217" t="str">
        <f>B217 &amp; " - " &amp;D217</f>
        <v>Losc - Guirassy</v>
      </c>
      <c r="B217" t="s">
        <v>771</v>
      </c>
      <c r="C217" s="213" t="s">
        <v>665</v>
      </c>
      <c r="D217" s="266" t="s">
        <v>770</v>
      </c>
      <c r="E217" s="214">
        <v>3</v>
      </c>
      <c r="F217" s="215">
        <v>5</v>
      </c>
      <c r="G217" s="254"/>
      <c r="H217" s="260">
        <f>AVERAGE(I217,U217,V217)</f>
        <v>4.666666666666667</v>
      </c>
      <c r="I217" s="64">
        <v>4</v>
      </c>
      <c r="J217" s="53"/>
      <c r="K217" s="61" t="s">
        <v>644</v>
      </c>
      <c r="L217" s="53"/>
      <c r="M217" s="53"/>
      <c r="N217" s="53"/>
      <c r="O217" s="53"/>
      <c r="P217" s="61" t="s">
        <v>644</v>
      </c>
      <c r="Q217" s="61" t="s">
        <v>644</v>
      </c>
      <c r="R217" s="53"/>
      <c r="S217" s="61" t="s">
        <v>644</v>
      </c>
      <c r="T217" s="61" t="s">
        <v>644</v>
      </c>
      <c r="U217" s="53">
        <v>5</v>
      </c>
      <c r="V217" s="63">
        <v>5</v>
      </c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63"/>
      <c r="AI217" s="63"/>
      <c r="AJ217" s="53"/>
      <c r="AK217" s="53"/>
      <c r="AL217" s="53"/>
      <c r="AM217" s="63"/>
      <c r="AN217" s="53"/>
      <c r="AO217" s="53"/>
      <c r="AP217" s="63"/>
      <c r="AQ217" s="53"/>
      <c r="AR217" s="63"/>
      <c r="AS217" s="63"/>
      <c r="AT217" s="53"/>
      <c r="AU217">
        <f>E217 +F217</f>
        <v>8</v>
      </c>
    </row>
    <row r="218" spans="1:47" x14ac:dyDescent="0.25">
      <c r="A218" t="str">
        <f>B218 &amp; " - " &amp;D218</f>
        <v>FCGB - Carrasso</v>
      </c>
      <c r="B218" t="s">
        <v>796</v>
      </c>
      <c r="C218" s="29" t="s">
        <v>638</v>
      </c>
      <c r="D218" t="s">
        <v>772</v>
      </c>
      <c r="E218" s="31">
        <v>20</v>
      </c>
      <c r="F218" s="99"/>
      <c r="G218" s="114" t="s">
        <v>679</v>
      </c>
      <c r="H218" s="34">
        <f>AVERAGE(L218,I218,M218,N218,O218,P218,Q218,R218,S218,T218,V218,W218,X218,Y218,Z218,AA218,AB218,AC218,AD218)</f>
        <v>5.2105263157894735</v>
      </c>
      <c r="I218" s="23">
        <v>5</v>
      </c>
      <c r="J218" s="24"/>
      <c r="K218" s="24"/>
      <c r="L218" s="22">
        <v>6</v>
      </c>
      <c r="M218" s="24">
        <v>4</v>
      </c>
      <c r="N218" s="24">
        <v>5</v>
      </c>
      <c r="O218" s="24">
        <v>4</v>
      </c>
      <c r="P218" s="24">
        <v>5</v>
      </c>
      <c r="Q218" s="24">
        <v>4</v>
      </c>
      <c r="R218" s="22">
        <v>5</v>
      </c>
      <c r="S218" s="22">
        <v>6</v>
      </c>
      <c r="T218" s="24">
        <v>4</v>
      </c>
      <c r="U218" s="24" t="s">
        <v>673</v>
      </c>
      <c r="V218" s="24">
        <v>5</v>
      </c>
      <c r="W218" s="23">
        <v>5</v>
      </c>
      <c r="X218" s="23">
        <v>6</v>
      </c>
      <c r="Y218" s="22">
        <v>6</v>
      </c>
      <c r="Z218" s="24">
        <v>5</v>
      </c>
      <c r="AA218" s="24">
        <v>6</v>
      </c>
      <c r="AB218" s="25">
        <v>7</v>
      </c>
      <c r="AC218" s="25">
        <v>7</v>
      </c>
      <c r="AD218" s="23">
        <v>4</v>
      </c>
      <c r="AE218" s="24"/>
      <c r="AF218" s="22"/>
      <c r="AG218" s="22"/>
      <c r="AH218" s="27"/>
      <c r="AI218" s="24"/>
      <c r="AJ218" s="27"/>
      <c r="AK218" s="24"/>
      <c r="AL218" s="24"/>
      <c r="AM218" s="27"/>
      <c r="AN218" s="22"/>
      <c r="AO218" s="27"/>
      <c r="AP218" s="27"/>
      <c r="AQ218" s="28"/>
      <c r="AR218" s="24"/>
      <c r="AS218" s="27"/>
      <c r="AT218" s="24"/>
      <c r="AU218">
        <f>E218 +F218</f>
        <v>20</v>
      </c>
    </row>
    <row r="219" spans="1:47" x14ac:dyDescent="0.25">
      <c r="A219" t="str">
        <f>B219 &amp; " - " &amp;D219</f>
        <v>FCGB - Bernardoni</v>
      </c>
      <c r="B219" t="s">
        <v>796</v>
      </c>
      <c r="C219" s="29" t="s">
        <v>638</v>
      </c>
      <c r="D219" s="126" t="s">
        <v>1013</v>
      </c>
      <c r="E219" s="31">
        <v>7</v>
      </c>
      <c r="F219" s="99"/>
      <c r="G219" s="114"/>
      <c r="H219" s="34">
        <f>AVERAGE(AF219,AG219,AH219,AI219,AJ219,AK219,AL219)</f>
        <v>4.5714285714285712</v>
      </c>
      <c r="I219" s="23"/>
      <c r="J219" s="24"/>
      <c r="K219" s="24"/>
      <c r="L219" s="22"/>
      <c r="M219" s="24"/>
      <c r="N219" s="24"/>
      <c r="O219" s="24"/>
      <c r="P219" s="24"/>
      <c r="Q219" s="24"/>
      <c r="R219" s="22"/>
      <c r="S219" s="22"/>
      <c r="T219" s="24"/>
      <c r="U219" s="24"/>
      <c r="V219" s="24"/>
      <c r="W219" s="23"/>
      <c r="X219" s="23"/>
      <c r="Y219" s="22"/>
      <c r="Z219" s="24"/>
      <c r="AA219" s="24"/>
      <c r="AB219" s="23"/>
      <c r="AC219" s="22"/>
      <c r="AD219" s="23"/>
      <c r="AE219" s="24"/>
      <c r="AF219" s="161">
        <v>2</v>
      </c>
      <c r="AG219" s="23">
        <v>5</v>
      </c>
      <c r="AH219" s="27">
        <v>4</v>
      </c>
      <c r="AI219" s="22">
        <v>6</v>
      </c>
      <c r="AJ219" s="27">
        <v>4</v>
      </c>
      <c r="AK219" s="24">
        <v>5</v>
      </c>
      <c r="AL219" s="24">
        <v>6</v>
      </c>
      <c r="AM219" s="27"/>
      <c r="AN219" s="22"/>
      <c r="AO219" s="27"/>
      <c r="AP219" s="27"/>
      <c r="AQ219" s="28"/>
      <c r="AR219" s="24"/>
      <c r="AS219" s="27"/>
      <c r="AT219" s="24"/>
      <c r="AU219">
        <f>E219 +F219</f>
        <v>7</v>
      </c>
    </row>
    <row r="220" spans="1:47" x14ac:dyDescent="0.25">
      <c r="A220" t="str">
        <f>B220 &amp; " - " &amp;D220</f>
        <v>FCGB - Prior</v>
      </c>
      <c r="B220" t="s">
        <v>796</v>
      </c>
      <c r="C220" s="67" t="s">
        <v>638</v>
      </c>
      <c r="D220" s="153" t="s">
        <v>773</v>
      </c>
      <c r="E220" s="69">
        <v>11</v>
      </c>
      <c r="F220" s="115">
        <v>2</v>
      </c>
      <c r="G220" s="122"/>
      <c r="H220" s="72">
        <f>AVERAGE(J220,K220,U220,AM220,AE220,AN220,AO220,AP220,AR220,AS220,AT220,AQ220)</f>
        <v>5.75</v>
      </c>
      <c r="I220" s="24"/>
      <c r="J220" s="24">
        <v>5</v>
      </c>
      <c r="K220" s="25">
        <v>7</v>
      </c>
      <c r="L220" s="24"/>
      <c r="M220" s="24"/>
      <c r="N220" s="24"/>
      <c r="O220" s="24"/>
      <c r="P220" s="24"/>
      <c r="Q220" s="24"/>
      <c r="R220" s="24"/>
      <c r="S220" s="24"/>
      <c r="T220" s="24"/>
      <c r="U220" s="24">
        <v>6</v>
      </c>
      <c r="V220" s="24"/>
      <c r="W220" s="24"/>
      <c r="X220" s="24"/>
      <c r="Y220" s="24"/>
      <c r="Z220" s="24"/>
      <c r="AA220" s="24"/>
      <c r="AB220" s="24"/>
      <c r="AC220" s="24"/>
      <c r="AD220" s="37" t="s">
        <v>644</v>
      </c>
      <c r="AE220" s="22">
        <v>6</v>
      </c>
      <c r="AF220" s="24"/>
      <c r="AG220" s="24"/>
      <c r="AH220" s="27"/>
      <c r="AI220" s="24"/>
      <c r="AJ220" s="27"/>
      <c r="AK220" s="24"/>
      <c r="AL220" s="24"/>
      <c r="AM220" s="27">
        <v>5</v>
      </c>
      <c r="AN220" s="24">
        <v>6</v>
      </c>
      <c r="AO220" s="247">
        <v>7</v>
      </c>
      <c r="AP220" s="27">
        <v>4</v>
      </c>
      <c r="AQ220" s="27">
        <v>5</v>
      </c>
      <c r="AR220" s="24">
        <v>6</v>
      </c>
      <c r="AS220" s="28">
        <v>6</v>
      </c>
      <c r="AT220" s="24">
        <v>6</v>
      </c>
      <c r="AU220">
        <f>E220 +F220</f>
        <v>13</v>
      </c>
    </row>
    <row r="221" spans="1:47" x14ac:dyDescent="0.25">
      <c r="A221" t="str">
        <f>B221 &amp; " - " &amp;D221</f>
        <v>FCGB - L. Sané</v>
      </c>
      <c r="B221" t="s">
        <v>796</v>
      </c>
      <c r="C221" s="29" t="s">
        <v>641</v>
      </c>
      <c r="D221" t="s">
        <v>774</v>
      </c>
      <c r="E221" s="31">
        <v>11</v>
      </c>
      <c r="F221" s="99">
        <v>2</v>
      </c>
      <c r="G221" s="73"/>
      <c r="H221" s="34">
        <f>AVERAGE(R221,S221,T221,U221,V221,W221,AJ221,AK221,AL221,AT221,AQ221)</f>
        <v>4.7272727272727275</v>
      </c>
      <c r="I221" s="24"/>
      <c r="J221" s="24"/>
      <c r="K221" s="24"/>
      <c r="L221" s="24"/>
      <c r="M221" s="24"/>
      <c r="N221" s="24"/>
      <c r="O221" s="24"/>
      <c r="P221" s="24"/>
      <c r="Q221" s="24"/>
      <c r="R221" s="24">
        <v>6</v>
      </c>
      <c r="S221" s="24">
        <v>5</v>
      </c>
      <c r="T221" s="24">
        <v>5</v>
      </c>
      <c r="U221" s="24">
        <v>6</v>
      </c>
      <c r="V221" s="37">
        <v>5</v>
      </c>
      <c r="W221" s="24">
        <v>4</v>
      </c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7"/>
      <c r="AI221" s="37" t="s">
        <v>644</v>
      </c>
      <c r="AJ221" s="237">
        <v>2</v>
      </c>
      <c r="AK221" s="23">
        <v>6</v>
      </c>
      <c r="AL221" s="82">
        <v>3</v>
      </c>
      <c r="AM221" s="27"/>
      <c r="AN221" s="24"/>
      <c r="AO221" s="26" t="s">
        <v>644</v>
      </c>
      <c r="AP221" s="27"/>
      <c r="AQ221" s="27">
        <v>5</v>
      </c>
      <c r="AR221" s="24"/>
      <c r="AS221" s="27"/>
      <c r="AT221" s="24">
        <v>5</v>
      </c>
      <c r="AU221">
        <f>E221 +F221</f>
        <v>13</v>
      </c>
    </row>
    <row r="222" spans="1:47" x14ac:dyDescent="0.25">
      <c r="A222" t="str">
        <f>B222 &amp; " - " &amp;D222</f>
        <v>FCGB - Pallois</v>
      </c>
      <c r="B222" t="s">
        <v>796</v>
      </c>
      <c r="C222" s="29" t="s">
        <v>641</v>
      </c>
      <c r="D222" s="154" t="s">
        <v>775</v>
      </c>
      <c r="E222" s="31">
        <v>17</v>
      </c>
      <c r="F222" s="99"/>
      <c r="G222" s="114" t="s">
        <v>970</v>
      </c>
      <c r="H222" s="34">
        <f>AVERAGE(J222,K222,L222,I222,M222,N222,O222,P222,Q222,R222,T222,U222,AR222,AS222,AT222,AQ222)</f>
        <v>5.25</v>
      </c>
      <c r="I222" s="24">
        <v>5</v>
      </c>
      <c r="J222" s="24">
        <v>5</v>
      </c>
      <c r="K222" s="37">
        <v>5</v>
      </c>
      <c r="L222" s="24">
        <v>6</v>
      </c>
      <c r="M222" s="24">
        <v>5</v>
      </c>
      <c r="N222" s="24">
        <v>5</v>
      </c>
      <c r="O222" s="82">
        <v>3</v>
      </c>
      <c r="P222" s="24">
        <v>5</v>
      </c>
      <c r="Q222" s="24">
        <v>5</v>
      </c>
      <c r="R222" s="24">
        <v>5</v>
      </c>
      <c r="S222" s="24"/>
      <c r="T222" s="24">
        <v>5</v>
      </c>
      <c r="U222" s="24">
        <v>5</v>
      </c>
      <c r="V222" s="24" t="s">
        <v>673</v>
      </c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7"/>
      <c r="AI222" s="24"/>
      <c r="AJ222" s="27"/>
      <c r="AK222" s="24"/>
      <c r="AL222" s="24"/>
      <c r="AM222" s="27"/>
      <c r="AN222" s="24"/>
      <c r="AO222" s="27"/>
      <c r="AP222" s="27"/>
      <c r="AQ222" s="247">
        <v>7</v>
      </c>
      <c r="AR222" s="24">
        <v>6</v>
      </c>
      <c r="AS222" s="163">
        <v>7</v>
      </c>
      <c r="AT222" s="24">
        <v>5</v>
      </c>
      <c r="AU222">
        <f>E222 +F222</f>
        <v>17</v>
      </c>
    </row>
    <row r="223" spans="1:47" x14ac:dyDescent="0.25">
      <c r="A223" t="str">
        <f>B223 &amp; " - " &amp;D223</f>
        <v>Losc - Soumaoro</v>
      </c>
      <c r="B223" t="s">
        <v>771</v>
      </c>
      <c r="C223" s="29" t="s">
        <v>641</v>
      </c>
      <c r="D223" t="s">
        <v>750</v>
      </c>
      <c r="E223" s="31">
        <v>25</v>
      </c>
      <c r="F223" s="99">
        <v>2</v>
      </c>
      <c r="G223" s="73">
        <v>1</v>
      </c>
      <c r="H223" s="34">
        <f>AVERAGE(J223,M223,N223,R223,S223,T223,U223,W223,X223,Y223,Z223,AA223,AB223,AC223,AD223,AE223,AF223,AG223,AH223,AI223,AJ223,AK223,AL223,AM223,AP223,AR223)</f>
        <v>5.2692307692307692</v>
      </c>
      <c r="I223" s="24"/>
      <c r="J223" s="24">
        <v>5</v>
      </c>
      <c r="K223" s="24"/>
      <c r="L223" s="24"/>
      <c r="M223" s="24">
        <v>5</v>
      </c>
      <c r="N223" s="24">
        <v>5</v>
      </c>
      <c r="O223" s="24"/>
      <c r="P223" s="24"/>
      <c r="Q223" s="24"/>
      <c r="R223" s="24">
        <v>5</v>
      </c>
      <c r="S223" s="24">
        <v>5</v>
      </c>
      <c r="T223" s="24">
        <v>5</v>
      </c>
      <c r="U223" s="24">
        <v>4</v>
      </c>
      <c r="V223" s="24"/>
      <c r="W223" s="24">
        <v>5</v>
      </c>
      <c r="X223" s="24">
        <v>6</v>
      </c>
      <c r="Y223" s="24">
        <v>5</v>
      </c>
      <c r="Z223" s="24">
        <v>5</v>
      </c>
      <c r="AA223" s="24">
        <v>5</v>
      </c>
      <c r="AB223" s="24">
        <v>5</v>
      </c>
      <c r="AC223" s="24">
        <v>6</v>
      </c>
      <c r="AD223" s="24">
        <v>5</v>
      </c>
      <c r="AE223" s="24">
        <v>5</v>
      </c>
      <c r="AF223" s="25">
        <v>8</v>
      </c>
      <c r="AG223" s="24">
        <v>5</v>
      </c>
      <c r="AH223" s="27">
        <v>6</v>
      </c>
      <c r="AI223" s="24">
        <v>6</v>
      </c>
      <c r="AJ223" s="27">
        <v>4</v>
      </c>
      <c r="AK223" s="24">
        <v>5</v>
      </c>
      <c r="AL223" s="24">
        <v>5</v>
      </c>
      <c r="AM223" s="27">
        <v>6</v>
      </c>
      <c r="AN223" s="24"/>
      <c r="AO223" s="26" t="s">
        <v>644</v>
      </c>
      <c r="AP223" s="27">
        <v>5</v>
      </c>
      <c r="AQ223" s="27"/>
      <c r="AR223" s="24">
        <v>6</v>
      </c>
      <c r="AS223" s="27"/>
      <c r="AT223" s="24"/>
      <c r="AU223">
        <f>E223 +F223</f>
        <v>27</v>
      </c>
    </row>
    <row r="224" spans="1:47" x14ac:dyDescent="0.25">
      <c r="A224" t="str">
        <f>B224 &amp; " - " &amp;D224</f>
        <v>FCGB - Poundjé</v>
      </c>
      <c r="B224" t="s">
        <v>796</v>
      </c>
      <c r="C224" s="29" t="s">
        <v>641</v>
      </c>
      <c r="D224" s="60" t="s">
        <v>777</v>
      </c>
      <c r="E224" s="31">
        <v>14</v>
      </c>
      <c r="F224" s="99"/>
      <c r="G224" s="73"/>
      <c r="H224" s="34">
        <f>AVERAGE(K224,L224,I224,M224,O224,P224,Q224,S224,T224,AH224,AI224,AL224,AN224,AR224)</f>
        <v>5</v>
      </c>
      <c r="I224" s="24">
        <v>5</v>
      </c>
      <c r="J224" s="24"/>
      <c r="K224" s="37">
        <v>6</v>
      </c>
      <c r="L224" s="24">
        <v>5</v>
      </c>
      <c r="M224" s="24">
        <v>4</v>
      </c>
      <c r="N224" s="24"/>
      <c r="O224" s="24">
        <v>5</v>
      </c>
      <c r="P224" s="24">
        <v>5</v>
      </c>
      <c r="Q224" s="24">
        <v>6</v>
      </c>
      <c r="R224" s="24"/>
      <c r="S224" s="24">
        <v>5</v>
      </c>
      <c r="T224" s="24">
        <v>5</v>
      </c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2"/>
      <c r="AF224" s="24"/>
      <c r="AG224" s="24"/>
      <c r="AH224" s="27">
        <v>5</v>
      </c>
      <c r="AI224" s="24">
        <v>6</v>
      </c>
      <c r="AJ224" s="27"/>
      <c r="AK224" s="24"/>
      <c r="AL224" s="82">
        <v>3</v>
      </c>
      <c r="AM224" s="27"/>
      <c r="AN224" s="24">
        <v>5</v>
      </c>
      <c r="AO224" s="27"/>
      <c r="AP224" s="27"/>
      <c r="AQ224" s="27"/>
      <c r="AR224" s="24">
        <v>5</v>
      </c>
      <c r="AS224" s="27"/>
      <c r="AT224" s="24"/>
      <c r="AU224">
        <f>E224 +F224</f>
        <v>14</v>
      </c>
    </row>
    <row r="225" spans="1:47" x14ac:dyDescent="0.25">
      <c r="A225" t="str">
        <f>B225 &amp; " - " &amp;D225</f>
        <v>TFC - Ben Yedder</v>
      </c>
      <c r="B225" t="s">
        <v>868</v>
      </c>
      <c r="C225" s="29" t="s">
        <v>665</v>
      </c>
      <c r="D225" t="s">
        <v>128</v>
      </c>
      <c r="E225" s="31">
        <v>34</v>
      </c>
      <c r="F225" s="99">
        <v>1</v>
      </c>
      <c r="G225" s="73">
        <v>18</v>
      </c>
      <c r="H225" s="34">
        <f>AVERAGE(AT225,AA225,Y225,X225,J225,K225,I225,M225,O225,P225,R225,S225,T225,V225,W225,Z225,AB225,AC225,AD225,AE225,AF225,AG225,AH225,AI225,AJ225,AK225,AL225,AM225,AN225,AO225,AP225,AQ225,AR225,AS225)</f>
        <v>5.2647058823529411</v>
      </c>
      <c r="I225" s="77">
        <v>5</v>
      </c>
      <c r="J225" s="77">
        <v>4</v>
      </c>
      <c r="K225" s="74">
        <v>4</v>
      </c>
      <c r="L225" s="37"/>
      <c r="M225" s="37">
        <v>5</v>
      </c>
      <c r="N225" s="22"/>
      <c r="O225" s="23">
        <v>4</v>
      </c>
      <c r="P225" s="23">
        <v>4</v>
      </c>
      <c r="Q225" s="76" t="s">
        <v>644</v>
      </c>
      <c r="R225" s="24">
        <v>6</v>
      </c>
      <c r="S225" s="24">
        <v>4</v>
      </c>
      <c r="T225" s="37">
        <v>5</v>
      </c>
      <c r="U225" s="22"/>
      <c r="V225" s="24">
        <v>5</v>
      </c>
      <c r="W225" s="22">
        <v>6</v>
      </c>
      <c r="X225" s="24">
        <v>5</v>
      </c>
      <c r="Y225" s="25">
        <v>7</v>
      </c>
      <c r="Z225" s="24">
        <v>5</v>
      </c>
      <c r="AA225" s="22">
        <v>6</v>
      </c>
      <c r="AB225" s="25">
        <v>8</v>
      </c>
      <c r="AC225" s="24">
        <v>5</v>
      </c>
      <c r="AD225" s="82">
        <v>2</v>
      </c>
      <c r="AE225" s="22">
        <v>4</v>
      </c>
      <c r="AF225" s="24">
        <v>5</v>
      </c>
      <c r="AG225" s="24">
        <v>5</v>
      </c>
      <c r="AH225" s="142">
        <v>5</v>
      </c>
      <c r="AI225" s="24">
        <v>4</v>
      </c>
      <c r="AJ225" s="94">
        <v>6</v>
      </c>
      <c r="AK225" s="22">
        <v>6</v>
      </c>
      <c r="AL225" s="25">
        <v>8</v>
      </c>
      <c r="AM225" s="142">
        <v>4</v>
      </c>
      <c r="AN225" s="24">
        <v>5</v>
      </c>
      <c r="AO225" s="247">
        <v>9</v>
      </c>
      <c r="AP225" s="28">
        <v>6</v>
      </c>
      <c r="AQ225" s="28">
        <v>6</v>
      </c>
      <c r="AR225" s="161">
        <v>3</v>
      </c>
      <c r="AS225" s="28">
        <v>6</v>
      </c>
      <c r="AT225" s="25">
        <v>7</v>
      </c>
      <c r="AU225">
        <f>E225 +F225</f>
        <v>35</v>
      </c>
    </row>
    <row r="226" spans="1:47" x14ac:dyDescent="0.25">
      <c r="A226" t="str">
        <f>B226 &amp; " - " &amp;D226</f>
        <v>FCGB - Hassani</v>
      </c>
      <c r="B226" t="s">
        <v>796</v>
      </c>
      <c r="C226" s="29" t="s">
        <v>641</v>
      </c>
      <c r="D226" s="154" t="s">
        <v>781</v>
      </c>
      <c r="E226" s="31"/>
      <c r="F226" s="99">
        <v>1</v>
      </c>
      <c r="G226" s="73"/>
      <c r="H226" s="34"/>
      <c r="I226" s="38"/>
      <c r="J226" s="24"/>
      <c r="K226" s="37"/>
      <c r="L226" s="22"/>
      <c r="M226" s="24"/>
      <c r="N226" s="24"/>
      <c r="O226" s="24"/>
      <c r="P226" s="37"/>
      <c r="Q226" s="24"/>
      <c r="R226" s="24"/>
      <c r="S226" s="24"/>
      <c r="T226" s="24"/>
      <c r="U226" s="24"/>
      <c r="V226" s="24"/>
      <c r="W226" s="24"/>
      <c r="X226" s="37" t="s">
        <v>644</v>
      </c>
      <c r="Y226" s="24"/>
      <c r="Z226" s="24"/>
      <c r="AA226" s="24"/>
      <c r="AB226" s="37"/>
      <c r="AC226" s="24"/>
      <c r="AD226" s="24"/>
      <c r="AE226" s="24"/>
      <c r="AF226" s="24"/>
      <c r="AG226" s="24"/>
      <c r="AH226" s="27"/>
      <c r="AI226" s="24"/>
      <c r="AJ226" s="24"/>
      <c r="AK226" s="24"/>
      <c r="AL226" s="24"/>
      <c r="AM226" s="37"/>
      <c r="AN226" s="24"/>
      <c r="AO226" s="24"/>
      <c r="AP226" s="24"/>
      <c r="AQ226" s="27"/>
      <c r="AR226" s="24"/>
      <c r="AS226" s="27"/>
      <c r="AT226" s="24"/>
      <c r="AU226">
        <f>E226 +F226</f>
        <v>1</v>
      </c>
    </row>
    <row r="227" spans="1:47" x14ac:dyDescent="0.25">
      <c r="A227" t="str">
        <f>B227 &amp; " - " &amp;D227</f>
        <v>FCGB - Debuchy</v>
      </c>
      <c r="B227" t="s">
        <v>796</v>
      </c>
      <c r="C227" s="29" t="s">
        <v>641</v>
      </c>
      <c r="D227" s="154" t="s">
        <v>1092</v>
      </c>
      <c r="E227" s="31">
        <v>9</v>
      </c>
      <c r="F227" s="99"/>
      <c r="G227" s="73"/>
      <c r="H227" s="34">
        <f>AVERAGE(AF227,AG227,AH227,AI227,AO227,AP227,AR227,AS227,AQ227)</f>
        <v>5.1111111111111107</v>
      </c>
      <c r="I227" s="38"/>
      <c r="J227" s="24"/>
      <c r="K227" s="37"/>
      <c r="L227" s="22"/>
      <c r="M227" s="24"/>
      <c r="N227" s="24"/>
      <c r="O227" s="24"/>
      <c r="P227" s="37"/>
      <c r="Q227" s="24"/>
      <c r="R227" s="24"/>
      <c r="S227" s="24"/>
      <c r="T227" s="24"/>
      <c r="U227" s="24"/>
      <c r="V227" s="24"/>
      <c r="W227" s="24"/>
      <c r="X227" s="37"/>
      <c r="Y227" s="24"/>
      <c r="Z227" s="37"/>
      <c r="AA227" s="24"/>
      <c r="AB227" s="37"/>
      <c r="AC227" s="24"/>
      <c r="AD227" s="24"/>
      <c r="AE227" s="24"/>
      <c r="AF227" s="24">
        <v>5</v>
      </c>
      <c r="AG227" s="82">
        <v>3</v>
      </c>
      <c r="AH227" s="27">
        <v>5</v>
      </c>
      <c r="AI227" s="24">
        <v>5</v>
      </c>
      <c r="AJ227" s="24"/>
      <c r="AK227" s="24"/>
      <c r="AL227" s="24"/>
      <c r="AM227" s="37"/>
      <c r="AN227" s="24"/>
      <c r="AO227" s="66">
        <v>7</v>
      </c>
      <c r="AP227" s="24">
        <v>4</v>
      </c>
      <c r="AQ227" s="27">
        <v>5</v>
      </c>
      <c r="AR227" s="24">
        <v>6</v>
      </c>
      <c r="AS227" s="27">
        <v>6</v>
      </c>
      <c r="AT227" s="24"/>
      <c r="AU227">
        <f>E227 +F227</f>
        <v>9</v>
      </c>
    </row>
    <row r="228" spans="1:47" x14ac:dyDescent="0.25">
      <c r="A228" t="str">
        <f>B228 &amp; " - " &amp;D228</f>
        <v>FCGB - Pablo</v>
      </c>
      <c r="B228" t="s">
        <v>796</v>
      </c>
      <c r="C228" s="29" t="s">
        <v>641</v>
      </c>
      <c r="D228" s="65" t="s">
        <v>507</v>
      </c>
      <c r="E228" s="31">
        <v>16</v>
      </c>
      <c r="F228" s="99"/>
      <c r="G228" s="73">
        <v>1</v>
      </c>
      <c r="H228" s="34">
        <f>AVERAGE(M228,N228,O228,P228,Q228,R228,S228,Y228,AK228,AL228,AM228,AN228,AO228,AP228,AQ228)</f>
        <v>4.8</v>
      </c>
      <c r="I228" s="38"/>
      <c r="J228" s="24"/>
      <c r="K228" s="37"/>
      <c r="L228" s="22"/>
      <c r="M228" s="24">
        <v>4</v>
      </c>
      <c r="N228" s="24">
        <v>5</v>
      </c>
      <c r="O228" s="24">
        <v>4</v>
      </c>
      <c r="P228" s="22">
        <v>6</v>
      </c>
      <c r="Q228" s="24">
        <v>5</v>
      </c>
      <c r="R228" s="24">
        <v>6</v>
      </c>
      <c r="S228" s="24">
        <v>5</v>
      </c>
      <c r="T228" s="24"/>
      <c r="U228" s="24"/>
      <c r="V228" s="24"/>
      <c r="W228" s="24"/>
      <c r="X228" s="24"/>
      <c r="Y228" s="24">
        <v>4</v>
      </c>
      <c r="Z228" s="24"/>
      <c r="AA228" s="24"/>
      <c r="AB228" s="37"/>
      <c r="AC228" s="24"/>
      <c r="AD228" s="24"/>
      <c r="AE228" s="24"/>
      <c r="AF228" s="24"/>
      <c r="AG228" s="24"/>
      <c r="AH228" s="27"/>
      <c r="AI228" s="24"/>
      <c r="AJ228" s="24"/>
      <c r="AK228" s="24">
        <v>6</v>
      </c>
      <c r="AL228" s="82">
        <v>3</v>
      </c>
      <c r="AM228" s="37">
        <v>5</v>
      </c>
      <c r="AN228" s="24">
        <v>5</v>
      </c>
      <c r="AO228" s="24">
        <v>5</v>
      </c>
      <c r="AP228" s="82">
        <v>3</v>
      </c>
      <c r="AQ228" s="27">
        <v>6</v>
      </c>
      <c r="AR228" s="24"/>
      <c r="AS228" s="27"/>
      <c r="AT228" s="24" t="s">
        <v>673</v>
      </c>
      <c r="AU228">
        <f>E228 +F228</f>
        <v>16</v>
      </c>
    </row>
    <row r="229" spans="1:47" x14ac:dyDescent="0.25">
      <c r="A229" t="str">
        <f>B229 &amp; " - " &amp;D229</f>
        <v>FCGB - Pellenard</v>
      </c>
      <c r="B229" t="s">
        <v>796</v>
      </c>
      <c r="C229" s="39" t="s">
        <v>641</v>
      </c>
      <c r="D229" s="225" t="s">
        <v>783</v>
      </c>
      <c r="E229" s="41"/>
      <c r="F229" s="226"/>
      <c r="G229" s="40"/>
      <c r="H229" s="72"/>
      <c r="I229" s="149"/>
      <c r="J229" s="63"/>
      <c r="K229" s="61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63"/>
      <c r="AE229" s="53"/>
      <c r="AF229" s="63"/>
      <c r="AG229" s="53"/>
      <c r="AH229" s="63"/>
      <c r="AI229" s="63"/>
      <c r="AJ229" s="53"/>
      <c r="AK229" s="53"/>
      <c r="AL229" s="53"/>
      <c r="AM229" s="53"/>
      <c r="AN229" s="63"/>
      <c r="AO229" s="53"/>
      <c r="AP229" s="53"/>
      <c r="AQ229" s="63"/>
      <c r="AR229" s="63"/>
      <c r="AS229" s="63"/>
      <c r="AT229" s="53"/>
      <c r="AU229">
        <f>E229 +F229</f>
        <v>0</v>
      </c>
    </row>
    <row r="230" spans="1:47" x14ac:dyDescent="0.25">
      <c r="A230" t="str">
        <f>B230 &amp; " - " &amp;D230</f>
        <v>FCGB - Sertic</v>
      </c>
      <c r="B230" t="s">
        <v>796</v>
      </c>
      <c r="C230" s="29" t="s">
        <v>654</v>
      </c>
      <c r="D230" s="30" t="s">
        <v>784</v>
      </c>
      <c r="E230" s="31">
        <v>1</v>
      </c>
      <c r="F230" s="99"/>
      <c r="G230" s="73"/>
      <c r="H230" s="34"/>
      <c r="I230" s="24" t="s">
        <v>673</v>
      </c>
      <c r="J230" s="24"/>
      <c r="K230" s="77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37"/>
      <c r="X230" s="24"/>
      <c r="Y230" s="37"/>
      <c r="Z230" s="24"/>
      <c r="AA230" s="24"/>
      <c r="AB230" s="24"/>
      <c r="AC230" s="24"/>
      <c r="AD230" s="24"/>
      <c r="AE230" s="24"/>
      <c r="AF230" s="24"/>
      <c r="AG230" s="24"/>
      <c r="AH230" s="26"/>
      <c r="AI230" s="37"/>
      <c r="AJ230" s="27"/>
      <c r="AK230" s="24"/>
      <c r="AL230" s="24"/>
      <c r="AM230" s="27"/>
      <c r="AN230" s="24"/>
      <c r="AO230" s="27"/>
      <c r="AP230" s="27"/>
      <c r="AQ230" s="27"/>
      <c r="AR230" s="24"/>
      <c r="AS230" s="27"/>
      <c r="AT230" s="24"/>
      <c r="AU230">
        <f>E230 +F230</f>
        <v>1</v>
      </c>
    </row>
    <row r="231" spans="1:47" x14ac:dyDescent="0.25">
      <c r="A231" t="str">
        <f>B231 &amp; " - " &amp;D231</f>
        <v>ASM - Bernardo Silva</v>
      </c>
      <c r="B231" t="s">
        <v>974</v>
      </c>
      <c r="C231" s="29" t="s">
        <v>654</v>
      </c>
      <c r="D231" s="154" t="s">
        <v>383</v>
      </c>
      <c r="E231" s="31">
        <v>22</v>
      </c>
      <c r="F231" s="99">
        <v>10</v>
      </c>
      <c r="G231" s="73">
        <v>7</v>
      </c>
      <c r="H231" s="34">
        <f>AVERAGE(J231,L231,I231,M231,N231,O231,P231,Q231,R231,S231,U231,V231,X231,Y231,AC231,AD231,AE231,AF231,AG231,AK231,AL231,AN231,AO231,AP231,AQ231,AR231,AS231)</f>
        <v>5.2592592592592595</v>
      </c>
      <c r="I231" s="25">
        <v>7</v>
      </c>
      <c r="J231" s="37">
        <v>5</v>
      </c>
      <c r="K231" s="37" t="s">
        <v>644</v>
      </c>
      <c r="L231" s="24">
        <v>4</v>
      </c>
      <c r="M231" s="24">
        <v>5</v>
      </c>
      <c r="N231" s="24">
        <v>4</v>
      </c>
      <c r="O231" s="24">
        <v>5</v>
      </c>
      <c r="P231" s="75">
        <v>7</v>
      </c>
      <c r="Q231" s="37">
        <v>4</v>
      </c>
      <c r="R231" s="37">
        <v>6</v>
      </c>
      <c r="S231" s="75">
        <v>7</v>
      </c>
      <c r="T231" s="24"/>
      <c r="U231" s="37">
        <v>4</v>
      </c>
      <c r="V231" s="24">
        <v>5</v>
      </c>
      <c r="W231" s="37" t="s">
        <v>644</v>
      </c>
      <c r="X231" s="37">
        <v>5</v>
      </c>
      <c r="Y231" s="37">
        <v>5</v>
      </c>
      <c r="Z231" s="76" t="s">
        <v>644</v>
      </c>
      <c r="AA231" s="37" t="s">
        <v>644</v>
      </c>
      <c r="AB231" s="37" t="s">
        <v>644</v>
      </c>
      <c r="AC231" s="76">
        <v>5</v>
      </c>
      <c r="AD231" s="25">
        <v>8</v>
      </c>
      <c r="AE231" s="166">
        <v>3</v>
      </c>
      <c r="AF231" s="75">
        <v>7</v>
      </c>
      <c r="AG231" s="37">
        <v>5</v>
      </c>
      <c r="AH231" s="94"/>
      <c r="AI231" s="24"/>
      <c r="AJ231" s="26"/>
      <c r="AK231" s="24">
        <v>6</v>
      </c>
      <c r="AL231" s="37">
        <v>5</v>
      </c>
      <c r="AM231" s="26"/>
      <c r="AN231" s="23">
        <v>6</v>
      </c>
      <c r="AO231" s="246">
        <v>3</v>
      </c>
      <c r="AP231" s="28">
        <v>6</v>
      </c>
      <c r="AQ231" s="139">
        <v>5</v>
      </c>
      <c r="AR231" s="75">
        <v>7</v>
      </c>
      <c r="AS231" s="273">
        <v>3</v>
      </c>
      <c r="AT231" s="37"/>
      <c r="AU231">
        <f>E231 +F231</f>
        <v>32</v>
      </c>
    </row>
    <row r="232" spans="1:47" x14ac:dyDescent="0.25">
      <c r="A232" t="str">
        <f>B232 &amp; " - " &amp;D232</f>
        <v>FCGB - Khazri</v>
      </c>
      <c r="B232" t="s">
        <v>796</v>
      </c>
      <c r="C232" s="50" t="s">
        <v>654</v>
      </c>
      <c r="D232" s="64" t="s">
        <v>152</v>
      </c>
      <c r="E232" s="52">
        <v>20</v>
      </c>
      <c r="F232" s="63"/>
      <c r="G232" s="145">
        <v>5</v>
      </c>
      <c r="H232" s="80">
        <f>AVERAGE(W232,V232,J232,L232,I232,M232,N232,O232,P232,Q232,R232,S232,T232,U232,Y232,Z232,AA232,AB232,AC232,AD232)</f>
        <v>5.8</v>
      </c>
      <c r="I232" s="53">
        <v>7</v>
      </c>
      <c r="J232" s="59">
        <v>5</v>
      </c>
      <c r="K232" s="61"/>
      <c r="L232" s="53">
        <v>7</v>
      </c>
      <c r="M232" s="59">
        <v>8</v>
      </c>
      <c r="N232" s="53">
        <v>7</v>
      </c>
      <c r="O232" s="53">
        <v>4</v>
      </c>
      <c r="P232" s="53">
        <v>8</v>
      </c>
      <c r="Q232" s="53">
        <v>7</v>
      </c>
      <c r="R232" s="53">
        <v>5</v>
      </c>
      <c r="S232" s="53">
        <v>5</v>
      </c>
      <c r="T232" s="53">
        <v>4</v>
      </c>
      <c r="U232" s="53">
        <v>5</v>
      </c>
      <c r="V232" s="53">
        <v>5</v>
      </c>
      <c r="W232" s="61">
        <v>4</v>
      </c>
      <c r="X232" s="53"/>
      <c r="Y232" s="53">
        <v>7</v>
      </c>
      <c r="Z232" s="61">
        <v>5</v>
      </c>
      <c r="AA232" s="53">
        <v>7</v>
      </c>
      <c r="AB232" s="53">
        <v>5</v>
      </c>
      <c r="AC232" s="53">
        <v>7</v>
      </c>
      <c r="AD232" s="53">
        <v>4</v>
      </c>
      <c r="AE232" s="53"/>
      <c r="AF232" s="53"/>
      <c r="AG232" s="61"/>
      <c r="AH232" s="63"/>
      <c r="AI232" s="53"/>
      <c r="AJ232" s="63"/>
      <c r="AK232" s="53"/>
      <c r="AL232" s="61"/>
      <c r="AM232" s="63"/>
      <c r="AN232" s="61"/>
      <c r="AO232" s="63"/>
      <c r="AP232" s="63"/>
      <c r="AQ232" s="63"/>
      <c r="AR232" s="53"/>
      <c r="AS232" s="63"/>
      <c r="AT232" s="53"/>
      <c r="AU232">
        <f>E232 +F232</f>
        <v>20</v>
      </c>
    </row>
    <row r="233" spans="1:47" x14ac:dyDescent="0.25">
      <c r="A233" t="str">
        <f>B233 &amp; " - " &amp;D233</f>
        <v>MHSC - Rémy</v>
      </c>
      <c r="B233" t="s">
        <v>838</v>
      </c>
      <c r="C233" s="29" t="s">
        <v>641</v>
      </c>
      <c r="D233" s="176" t="s">
        <v>90</v>
      </c>
      <c r="E233" s="31">
        <v>27</v>
      </c>
      <c r="F233" s="99">
        <v>1</v>
      </c>
      <c r="G233" s="73"/>
      <c r="H233" s="34">
        <f>AVERAGE(L233,O233,P233,Q233,R233,S233,V233,W233,X233,Y233,AA233,AB233,AC233,AE233,AF233,AG233,AH233,AI233,AJ233,AK233,AL233,AN233,AO233,AP233,AQ233,AR233,AT233)</f>
        <v>5.2592592592592595</v>
      </c>
      <c r="I233" s="37"/>
      <c r="J233" s="37"/>
      <c r="K233" s="37"/>
      <c r="L233" s="37">
        <v>6</v>
      </c>
      <c r="M233" s="24"/>
      <c r="N233" s="37" t="s">
        <v>644</v>
      </c>
      <c r="O233" s="24">
        <v>6</v>
      </c>
      <c r="P233" s="24">
        <v>5</v>
      </c>
      <c r="Q233" s="24">
        <v>5</v>
      </c>
      <c r="R233" s="24">
        <v>5</v>
      </c>
      <c r="S233" s="66">
        <v>7</v>
      </c>
      <c r="T233" s="24"/>
      <c r="U233" s="24"/>
      <c r="V233" s="24">
        <v>5</v>
      </c>
      <c r="W233" s="66">
        <v>7</v>
      </c>
      <c r="X233" s="24">
        <v>5</v>
      </c>
      <c r="Y233" s="24">
        <v>5</v>
      </c>
      <c r="Z233" s="24"/>
      <c r="AA233" s="24">
        <v>5</v>
      </c>
      <c r="AB233" s="24">
        <v>4</v>
      </c>
      <c r="AC233" s="24">
        <v>6</v>
      </c>
      <c r="AD233" s="24"/>
      <c r="AE233" s="24">
        <v>6</v>
      </c>
      <c r="AF233" s="23">
        <v>5</v>
      </c>
      <c r="AG233" s="24">
        <v>6</v>
      </c>
      <c r="AH233" s="27">
        <v>6</v>
      </c>
      <c r="AI233" s="23">
        <v>5</v>
      </c>
      <c r="AJ233" s="27">
        <v>5</v>
      </c>
      <c r="AK233" s="24">
        <v>5</v>
      </c>
      <c r="AL233" s="24">
        <v>4</v>
      </c>
      <c r="AM233" s="27"/>
      <c r="AN233" s="24">
        <v>5</v>
      </c>
      <c r="AO233" s="237">
        <v>3</v>
      </c>
      <c r="AP233" s="27">
        <v>6</v>
      </c>
      <c r="AQ233" s="27">
        <v>5</v>
      </c>
      <c r="AR233" s="24">
        <v>5</v>
      </c>
      <c r="AS233" s="27"/>
      <c r="AT233" s="37">
        <v>5</v>
      </c>
      <c r="AU233">
        <f>E233 +F233</f>
        <v>28</v>
      </c>
    </row>
    <row r="234" spans="1:47" x14ac:dyDescent="0.25">
      <c r="A234" t="str">
        <f>B234 &amp; " - " &amp;D234</f>
        <v>FCGB - Traoré</v>
      </c>
      <c r="B234" t="s">
        <v>796</v>
      </c>
      <c r="C234" s="29" t="s">
        <v>654</v>
      </c>
      <c r="D234" s="30" t="s">
        <v>788</v>
      </c>
      <c r="E234" s="31">
        <v>4</v>
      </c>
      <c r="F234" s="99">
        <v>6</v>
      </c>
      <c r="G234" s="73"/>
      <c r="H234" s="34">
        <f>AVERAGE(M234,Z234,AA234,AK234)</f>
        <v>4.75</v>
      </c>
      <c r="I234" s="24"/>
      <c r="J234" s="24"/>
      <c r="K234" s="37"/>
      <c r="L234" s="24"/>
      <c r="M234" s="37">
        <v>4</v>
      </c>
      <c r="N234" s="24"/>
      <c r="O234" s="24"/>
      <c r="P234" s="24"/>
      <c r="Q234" s="24"/>
      <c r="R234" s="24"/>
      <c r="S234" s="24"/>
      <c r="T234" s="24"/>
      <c r="U234" s="37"/>
      <c r="V234" s="37"/>
      <c r="W234" s="24"/>
      <c r="X234" s="24"/>
      <c r="Y234" s="37" t="s">
        <v>644</v>
      </c>
      <c r="Z234" s="24">
        <v>4</v>
      </c>
      <c r="AA234" s="24">
        <v>5</v>
      </c>
      <c r="AB234" s="37" t="s">
        <v>644</v>
      </c>
      <c r="AC234" s="37" t="s">
        <v>644</v>
      </c>
      <c r="AD234" s="24"/>
      <c r="AE234" s="37" t="s">
        <v>644</v>
      </c>
      <c r="AF234" s="37"/>
      <c r="AG234" s="37"/>
      <c r="AH234" s="27"/>
      <c r="AI234" s="37" t="s">
        <v>644</v>
      </c>
      <c r="AJ234" s="27"/>
      <c r="AK234" s="37">
        <v>6</v>
      </c>
      <c r="AL234" s="37"/>
      <c r="AM234" s="26" t="s">
        <v>644</v>
      </c>
      <c r="AN234" s="24"/>
      <c r="AO234" s="27"/>
      <c r="AP234" s="27"/>
      <c r="AQ234" s="27"/>
      <c r="AR234" s="24"/>
      <c r="AS234" s="27"/>
      <c r="AT234" s="37"/>
      <c r="AU234">
        <f>E234 +F234</f>
        <v>10</v>
      </c>
    </row>
    <row r="235" spans="1:47" x14ac:dyDescent="0.25">
      <c r="A235" t="str">
        <f>B235 &amp; " - " &amp;D235</f>
        <v>FCGB - Maulun</v>
      </c>
      <c r="B235" t="s">
        <v>796</v>
      </c>
      <c r="C235" s="29" t="s">
        <v>654</v>
      </c>
      <c r="D235" s="65" t="s">
        <v>789</v>
      </c>
      <c r="E235" s="31"/>
      <c r="F235" s="99">
        <v>1</v>
      </c>
      <c r="G235" s="73"/>
      <c r="H235" s="34">
        <f>AVERAGE(AT235)</f>
        <v>5</v>
      </c>
      <c r="I235" s="24"/>
      <c r="J235" s="24"/>
      <c r="K235" s="37"/>
      <c r="L235" s="24"/>
      <c r="M235" s="37"/>
      <c r="N235" s="24"/>
      <c r="O235" s="24"/>
      <c r="P235" s="24"/>
      <c r="Q235" s="24"/>
      <c r="R235" s="24"/>
      <c r="S235" s="24"/>
      <c r="T235" s="24"/>
      <c r="U235" s="37"/>
      <c r="V235" s="37"/>
      <c r="W235" s="24"/>
      <c r="X235" s="24"/>
      <c r="Y235" s="37"/>
      <c r="Z235" s="24"/>
      <c r="AA235" s="24"/>
      <c r="AB235" s="24"/>
      <c r="AC235" s="24"/>
      <c r="AD235" s="24"/>
      <c r="AE235" s="24"/>
      <c r="AF235" s="37"/>
      <c r="AG235" s="37"/>
      <c r="AH235" s="27"/>
      <c r="AI235" s="24"/>
      <c r="AJ235" s="27"/>
      <c r="AK235" s="37"/>
      <c r="AL235" s="37"/>
      <c r="AM235" s="27"/>
      <c r="AN235" s="24"/>
      <c r="AO235" s="27"/>
      <c r="AP235" s="27"/>
      <c r="AQ235" s="27"/>
      <c r="AR235" s="24"/>
      <c r="AS235" s="27"/>
      <c r="AT235" s="37">
        <v>5</v>
      </c>
      <c r="AU235">
        <f>E235 +F235</f>
        <v>1</v>
      </c>
    </row>
    <row r="236" spans="1:47" x14ac:dyDescent="0.25">
      <c r="A236" t="str">
        <f>B236 &amp; " - " &amp;D236</f>
        <v>FCGB - Chantôme</v>
      </c>
      <c r="B236" t="s">
        <v>796</v>
      </c>
      <c r="C236" s="29" t="s">
        <v>654</v>
      </c>
      <c r="D236" s="38" t="s">
        <v>790</v>
      </c>
      <c r="E236" s="31">
        <v>25</v>
      </c>
      <c r="F236" s="99">
        <v>1</v>
      </c>
      <c r="G236" s="73">
        <v>1</v>
      </c>
      <c r="H236" s="34">
        <f>AVERAGE(J236,K236,L236,I236,N236,O236,P236,S236,T236,V236,W236,X236,AB236,AC236,AD236,AE236,AF236,AG236,AH236,AI236,AJ236,AK236,AL236,AS236,AQ236)</f>
        <v>5.25</v>
      </c>
      <c r="I236" s="24">
        <v>6</v>
      </c>
      <c r="J236" s="24">
        <v>5</v>
      </c>
      <c r="K236" s="37">
        <v>6</v>
      </c>
      <c r="L236" s="24">
        <v>6</v>
      </c>
      <c r="M236" s="37"/>
      <c r="N236" s="24">
        <v>5</v>
      </c>
      <c r="O236" s="24">
        <v>4</v>
      </c>
      <c r="P236" s="24">
        <v>6</v>
      </c>
      <c r="Q236" s="24"/>
      <c r="R236" s="24"/>
      <c r="S236" s="24">
        <v>6</v>
      </c>
      <c r="T236" s="24">
        <v>5</v>
      </c>
      <c r="U236" s="37"/>
      <c r="V236" s="37">
        <v>4</v>
      </c>
      <c r="W236" s="24">
        <v>5</v>
      </c>
      <c r="X236" s="24">
        <v>5</v>
      </c>
      <c r="Y236" s="37"/>
      <c r="Z236" s="24"/>
      <c r="AA236" s="24"/>
      <c r="AB236" s="24">
        <v>6</v>
      </c>
      <c r="AC236" s="24">
        <v>6</v>
      </c>
      <c r="AD236" s="24">
        <v>6</v>
      </c>
      <c r="AE236" s="66">
        <v>7</v>
      </c>
      <c r="AF236" s="24">
        <v>4</v>
      </c>
      <c r="AG236" s="82">
        <v>3</v>
      </c>
      <c r="AH236" s="247">
        <v>8</v>
      </c>
      <c r="AI236" s="24">
        <v>6</v>
      </c>
      <c r="AJ236" s="237">
        <v>3</v>
      </c>
      <c r="AK236" s="24">
        <v>5</v>
      </c>
      <c r="AL236" s="82">
        <v>3</v>
      </c>
      <c r="AM236" s="27"/>
      <c r="AN236" s="24"/>
      <c r="AO236" s="27"/>
      <c r="AP236" s="27"/>
      <c r="AQ236" s="27" t="s">
        <v>673</v>
      </c>
      <c r="AR236" s="37" t="s">
        <v>644</v>
      </c>
      <c r="AS236" s="27">
        <v>6</v>
      </c>
      <c r="AT236" s="24"/>
      <c r="AU236">
        <f>E236 +F236</f>
        <v>26</v>
      </c>
    </row>
    <row r="237" spans="1:47" x14ac:dyDescent="0.25">
      <c r="A237" t="str">
        <f>B237 &amp; " - " &amp;D237</f>
        <v>FCGB - Ounas</v>
      </c>
      <c r="B237" t="s">
        <v>796</v>
      </c>
      <c r="C237" s="29" t="s">
        <v>654</v>
      </c>
      <c r="D237" s="65" t="s">
        <v>580</v>
      </c>
      <c r="E237" s="31">
        <v>15</v>
      </c>
      <c r="F237" s="99">
        <v>8</v>
      </c>
      <c r="G237" s="73">
        <v>5</v>
      </c>
      <c r="H237" s="34">
        <f>AVERAGE(R237,Y237,AA237,AD237,AE237,AF237,AH237,AI237,AJ237,AL237,AM237,AN237,AO237,AR237,AS237,AQ237)</f>
        <v>5.125</v>
      </c>
      <c r="I237" s="38"/>
      <c r="J237" s="24"/>
      <c r="K237" s="37"/>
      <c r="L237" s="24"/>
      <c r="M237" s="37"/>
      <c r="N237" s="24"/>
      <c r="O237" s="24"/>
      <c r="P237" s="24"/>
      <c r="Q237" s="77" t="s">
        <v>644</v>
      </c>
      <c r="R237" s="24">
        <v>4</v>
      </c>
      <c r="S237" s="77" t="s">
        <v>644</v>
      </c>
      <c r="T237" s="24"/>
      <c r="U237" s="37" t="s">
        <v>644</v>
      </c>
      <c r="V237" s="37" t="s">
        <v>644</v>
      </c>
      <c r="W237" s="24"/>
      <c r="X237" s="37" t="s">
        <v>644</v>
      </c>
      <c r="Y237" s="37">
        <v>6</v>
      </c>
      <c r="Z237" s="24"/>
      <c r="AA237" s="24">
        <v>5</v>
      </c>
      <c r="AB237" s="24"/>
      <c r="AC237" s="37" t="s">
        <v>644</v>
      </c>
      <c r="AD237" s="24">
        <v>4</v>
      </c>
      <c r="AE237" s="66">
        <v>7</v>
      </c>
      <c r="AF237" s="24">
        <v>4</v>
      </c>
      <c r="AG237" s="24"/>
      <c r="AH237" s="247">
        <v>7</v>
      </c>
      <c r="AI237" s="24">
        <v>4</v>
      </c>
      <c r="AJ237" s="22">
        <v>4</v>
      </c>
      <c r="AK237" s="37" t="s">
        <v>644</v>
      </c>
      <c r="AL237" s="82">
        <v>3</v>
      </c>
      <c r="AM237" s="24">
        <v>6</v>
      </c>
      <c r="AN237" s="25">
        <v>7</v>
      </c>
      <c r="AO237" s="24">
        <v>5</v>
      </c>
      <c r="AP237" s="24"/>
      <c r="AQ237" s="27">
        <v>4</v>
      </c>
      <c r="AR237" s="24">
        <v>6</v>
      </c>
      <c r="AS237" s="139">
        <v>6</v>
      </c>
      <c r="AT237" s="24"/>
      <c r="AU237">
        <f>E237 +F237</f>
        <v>23</v>
      </c>
    </row>
    <row r="238" spans="1:47" x14ac:dyDescent="0.25">
      <c r="A238" t="str">
        <f>B238 &amp; " - " &amp;D238</f>
        <v>FCGB - Vada</v>
      </c>
      <c r="B238" t="s">
        <v>796</v>
      </c>
      <c r="C238" s="29" t="s">
        <v>654</v>
      </c>
      <c r="D238" s="65" t="s">
        <v>791</v>
      </c>
      <c r="E238" s="31">
        <v>10</v>
      </c>
      <c r="F238" s="99">
        <v>6</v>
      </c>
      <c r="G238" s="73"/>
      <c r="H238" s="34">
        <f>AVERAGE(AD238,AE238,AF238,AG238,AI238,AJ238,AK238,AM238,AR238,AS238,AT238)</f>
        <v>5.5454545454545459</v>
      </c>
      <c r="I238" s="38"/>
      <c r="J238" s="24"/>
      <c r="K238" s="37"/>
      <c r="L238" s="24"/>
      <c r="M238" s="37"/>
      <c r="N238" s="24"/>
      <c r="O238" s="24"/>
      <c r="P238" s="24"/>
      <c r="Q238" s="77"/>
      <c r="R238" s="24"/>
      <c r="S238" s="77"/>
      <c r="T238" s="24"/>
      <c r="U238" s="37"/>
      <c r="V238" s="37"/>
      <c r="W238" s="24"/>
      <c r="X238" s="37"/>
      <c r="Y238" s="37"/>
      <c r="Z238" s="37" t="s">
        <v>644</v>
      </c>
      <c r="AA238" s="37" t="s">
        <v>644</v>
      </c>
      <c r="AB238" s="24"/>
      <c r="AC238" s="37" t="s">
        <v>644</v>
      </c>
      <c r="AD238" s="24">
        <v>6</v>
      </c>
      <c r="AE238" s="66">
        <v>7</v>
      </c>
      <c r="AF238" s="82">
        <v>3</v>
      </c>
      <c r="AG238" s="37">
        <v>4</v>
      </c>
      <c r="AH238" s="26" t="s">
        <v>644</v>
      </c>
      <c r="AI238" s="66">
        <v>7</v>
      </c>
      <c r="AJ238" s="24">
        <v>5</v>
      </c>
      <c r="AK238" s="24">
        <v>6</v>
      </c>
      <c r="AL238" s="24"/>
      <c r="AM238" s="24">
        <v>5</v>
      </c>
      <c r="AN238" s="24"/>
      <c r="AO238" s="24"/>
      <c r="AP238" s="37" t="s">
        <v>644</v>
      </c>
      <c r="AQ238" s="27"/>
      <c r="AR238" s="66">
        <v>7</v>
      </c>
      <c r="AS238" s="27">
        <v>6</v>
      </c>
      <c r="AT238" s="24">
        <v>5</v>
      </c>
      <c r="AU238">
        <f>E238 +F238</f>
        <v>16</v>
      </c>
    </row>
    <row r="239" spans="1:47" x14ac:dyDescent="0.25">
      <c r="A239" t="str">
        <f>B239 &amp; " - " &amp;D239</f>
        <v>FCGB - Saivet</v>
      </c>
      <c r="B239" t="s">
        <v>796</v>
      </c>
      <c r="C239" s="50" t="s">
        <v>654</v>
      </c>
      <c r="D239" s="64" t="s">
        <v>154</v>
      </c>
      <c r="E239" s="52">
        <v>18</v>
      </c>
      <c r="F239" s="63"/>
      <c r="G239" s="145">
        <v>2</v>
      </c>
      <c r="H239" s="80">
        <f>AVERAGE(X239,W239,V239,J239,K239,L239,I239,M239,O239,P239,Q239,R239,S239,T239,U239,Y239,AA239,AB239)</f>
        <v>5.4444444444444446</v>
      </c>
      <c r="I239" s="53">
        <v>5</v>
      </c>
      <c r="J239" s="59">
        <v>7</v>
      </c>
      <c r="K239" s="61">
        <v>5</v>
      </c>
      <c r="L239" s="53">
        <v>6</v>
      </c>
      <c r="M239" s="59">
        <v>6</v>
      </c>
      <c r="N239" s="53"/>
      <c r="O239" s="53">
        <v>5</v>
      </c>
      <c r="P239" s="53">
        <v>5</v>
      </c>
      <c r="Q239" s="53">
        <v>5</v>
      </c>
      <c r="R239" s="53">
        <v>6</v>
      </c>
      <c r="S239" s="53">
        <v>6</v>
      </c>
      <c r="T239" s="53">
        <v>4</v>
      </c>
      <c r="U239" s="53">
        <v>5</v>
      </c>
      <c r="V239" s="53">
        <v>6</v>
      </c>
      <c r="W239" s="61">
        <v>5</v>
      </c>
      <c r="X239" s="53">
        <v>5</v>
      </c>
      <c r="Y239" s="53">
        <v>6</v>
      </c>
      <c r="Z239" s="61"/>
      <c r="AA239" s="53">
        <v>5</v>
      </c>
      <c r="AB239" s="53">
        <v>6</v>
      </c>
      <c r="AC239" s="53"/>
      <c r="AD239" s="53"/>
      <c r="AE239" s="53"/>
      <c r="AF239" s="53"/>
      <c r="AG239" s="61"/>
      <c r="AH239" s="63"/>
      <c r="AI239" s="53"/>
      <c r="AJ239" s="63"/>
      <c r="AK239" s="53"/>
      <c r="AL239" s="61"/>
      <c r="AM239" s="63"/>
      <c r="AN239" s="61"/>
      <c r="AO239" s="63"/>
      <c r="AP239" s="63"/>
      <c r="AQ239" s="63"/>
      <c r="AR239" s="53"/>
      <c r="AS239" s="63"/>
      <c r="AT239" s="53"/>
      <c r="AU239">
        <f>E239 +F239</f>
        <v>18</v>
      </c>
    </row>
    <row r="240" spans="1:47" x14ac:dyDescent="0.25">
      <c r="A240" t="str">
        <f>B240 &amp; " - " &amp;D240</f>
        <v>FCGB - Soni</v>
      </c>
      <c r="B240" t="s">
        <v>796</v>
      </c>
      <c r="C240" s="29" t="s">
        <v>654</v>
      </c>
      <c r="D240" s="65" t="s">
        <v>792</v>
      </c>
      <c r="E240" s="31">
        <v>1</v>
      </c>
      <c r="F240" s="99">
        <v>1</v>
      </c>
      <c r="G240" s="73"/>
      <c r="H240" s="34">
        <f>AVERAGE(K240)</f>
        <v>4</v>
      </c>
      <c r="I240" s="38"/>
      <c r="J240" s="24"/>
      <c r="K240" s="37">
        <v>4</v>
      </c>
      <c r="L240" s="24"/>
      <c r="M240" s="37"/>
      <c r="N240" s="24"/>
      <c r="O240" s="24"/>
      <c r="P240" s="24"/>
      <c r="Q240" s="24"/>
      <c r="R240" s="24"/>
      <c r="S240" s="24"/>
      <c r="T240" s="24"/>
      <c r="U240" s="37"/>
      <c r="V240" s="37"/>
      <c r="W240" s="24"/>
      <c r="X240" s="37" t="s">
        <v>644</v>
      </c>
      <c r="Y240" s="37"/>
      <c r="Z240" s="24"/>
      <c r="AA240" s="24"/>
      <c r="AB240" s="24"/>
      <c r="AC240" s="24"/>
      <c r="AD240" s="24"/>
      <c r="AE240" s="24"/>
      <c r="AF240" s="24"/>
      <c r="AG240" s="24"/>
      <c r="AH240" s="27"/>
      <c r="AI240" s="24"/>
      <c r="AJ240" s="24"/>
      <c r="AK240" s="24"/>
      <c r="AL240" s="24"/>
      <c r="AM240" s="24"/>
      <c r="AN240" s="24"/>
      <c r="AO240" s="24"/>
      <c r="AP240" s="24"/>
      <c r="AQ240" s="27"/>
      <c r="AR240" s="24"/>
      <c r="AS240" s="27"/>
      <c r="AT240" s="24"/>
      <c r="AU240">
        <f>E240 +F240</f>
        <v>2</v>
      </c>
    </row>
    <row r="241" spans="1:47" x14ac:dyDescent="0.25">
      <c r="A241" t="str">
        <f>B241 &amp; " - " &amp;D241</f>
        <v>FCGB - Arambarri</v>
      </c>
      <c r="B241" t="s">
        <v>796</v>
      </c>
      <c r="C241" s="29" t="s">
        <v>654</v>
      </c>
      <c r="D241" s="65" t="s">
        <v>1093</v>
      </c>
      <c r="E241" s="31">
        <v>2</v>
      </c>
      <c r="F241" s="99">
        <v>3</v>
      </c>
      <c r="G241" s="73"/>
      <c r="H241" s="34">
        <f>AVERAGE(AG241,AL241)</f>
        <v>4</v>
      </c>
      <c r="I241" s="38"/>
      <c r="J241" s="24"/>
      <c r="K241" s="37"/>
      <c r="L241" s="24"/>
      <c r="M241" s="37"/>
      <c r="N241" s="24"/>
      <c r="O241" s="24"/>
      <c r="P241" s="24"/>
      <c r="Q241" s="24"/>
      <c r="R241" s="24"/>
      <c r="S241" s="24"/>
      <c r="T241" s="24"/>
      <c r="U241" s="37"/>
      <c r="V241" s="37"/>
      <c r="W241" s="24"/>
      <c r="X241" s="37"/>
      <c r="Y241" s="37"/>
      <c r="Z241" s="24"/>
      <c r="AA241" s="24"/>
      <c r="AB241" s="24"/>
      <c r="AC241" s="24"/>
      <c r="AD241" s="24"/>
      <c r="AE241" s="24"/>
      <c r="AF241" s="37" t="s">
        <v>644</v>
      </c>
      <c r="AG241" s="24">
        <v>4</v>
      </c>
      <c r="AH241" s="27"/>
      <c r="AI241" s="24"/>
      <c r="AJ241" s="37" t="s">
        <v>644</v>
      </c>
      <c r="AK241" s="37" t="s">
        <v>644</v>
      </c>
      <c r="AL241" s="24">
        <v>4</v>
      </c>
      <c r="AM241" s="24"/>
      <c r="AN241" s="24"/>
      <c r="AO241" s="24"/>
      <c r="AP241" s="24"/>
      <c r="AQ241" s="27"/>
      <c r="AR241" s="24"/>
      <c r="AS241" s="27"/>
      <c r="AT241" s="24"/>
      <c r="AU241">
        <f>E241 +F241</f>
        <v>5</v>
      </c>
    </row>
    <row r="242" spans="1:47" x14ac:dyDescent="0.25">
      <c r="A242" t="str">
        <f>B242 &amp; " - " &amp;D242</f>
        <v>OGCN - Baysse</v>
      </c>
      <c r="B242" t="s">
        <v>728</v>
      </c>
      <c r="C242" s="29" t="s">
        <v>641</v>
      </c>
      <c r="D242" s="60" t="s">
        <v>210</v>
      </c>
      <c r="E242" s="31">
        <v>29</v>
      </c>
      <c r="F242" s="99">
        <v>1</v>
      </c>
      <c r="G242" s="73"/>
      <c r="H242" s="34">
        <f>AVERAGE(J242,K242,L242,I242,M242,N242,T242,U242,V242,X242,Y242,AA242,AB242,AC242,AD242,AF242,AG242,AH242,AI242,AJ242,AL242,AM242,AN242,AO242,AP242,AQ242,AR242,AS242,AT242)</f>
        <v>5.2413793103448274</v>
      </c>
      <c r="I242" s="24">
        <v>4</v>
      </c>
      <c r="J242" s="21">
        <v>4</v>
      </c>
      <c r="K242" s="24">
        <v>4</v>
      </c>
      <c r="L242" s="24">
        <v>4</v>
      </c>
      <c r="M242" s="24">
        <v>5</v>
      </c>
      <c r="N242" s="37">
        <v>5</v>
      </c>
      <c r="O242" s="24"/>
      <c r="P242" s="37" t="s">
        <v>644</v>
      </c>
      <c r="Q242" s="24"/>
      <c r="R242" s="24"/>
      <c r="S242" s="24"/>
      <c r="T242" s="66">
        <v>7</v>
      </c>
      <c r="U242" s="24">
        <v>6</v>
      </c>
      <c r="V242" s="24">
        <v>5</v>
      </c>
      <c r="W242" s="24"/>
      <c r="X242" s="24">
        <v>6</v>
      </c>
      <c r="Y242" s="24">
        <v>5</v>
      </c>
      <c r="Z242" s="24"/>
      <c r="AA242" s="24">
        <v>6</v>
      </c>
      <c r="AB242" s="24">
        <v>6</v>
      </c>
      <c r="AC242" s="24">
        <v>5</v>
      </c>
      <c r="AD242" s="24">
        <v>6</v>
      </c>
      <c r="AE242" s="24"/>
      <c r="AF242" s="66">
        <v>7</v>
      </c>
      <c r="AG242" s="24">
        <v>5</v>
      </c>
      <c r="AH242" s="27">
        <v>5</v>
      </c>
      <c r="AI242" s="24">
        <v>6</v>
      </c>
      <c r="AJ242" s="26">
        <v>4</v>
      </c>
      <c r="AK242" s="24"/>
      <c r="AL242" s="24">
        <v>5</v>
      </c>
      <c r="AM242" s="163">
        <v>7</v>
      </c>
      <c r="AN242" s="82">
        <v>3</v>
      </c>
      <c r="AO242" s="27">
        <v>6</v>
      </c>
      <c r="AP242" s="27">
        <v>5</v>
      </c>
      <c r="AQ242" s="27">
        <v>5</v>
      </c>
      <c r="AR242" s="24">
        <v>5</v>
      </c>
      <c r="AS242" s="27">
        <v>6</v>
      </c>
      <c r="AT242" s="24">
        <v>5</v>
      </c>
      <c r="AU242">
        <f>E242 +F242</f>
        <v>30</v>
      </c>
    </row>
    <row r="243" spans="1:47" x14ac:dyDescent="0.25">
      <c r="A243" t="str">
        <f>B243 &amp; " - " &amp;D243</f>
        <v>FCGB - Gajic</v>
      </c>
      <c r="B243" t="s">
        <v>796</v>
      </c>
      <c r="C243" s="29" t="s">
        <v>654</v>
      </c>
      <c r="D243" s="65" t="s">
        <v>780</v>
      </c>
      <c r="E243" s="31">
        <v>7</v>
      </c>
      <c r="F243" s="99">
        <v>2</v>
      </c>
      <c r="G243" s="73">
        <v>1</v>
      </c>
      <c r="H243" s="34">
        <f>AVERAGE(K243,L243,M243,N243,Q243,S243,T243,AM243)</f>
        <v>4.625</v>
      </c>
      <c r="I243" s="24"/>
      <c r="J243" s="24"/>
      <c r="K243" s="37">
        <v>5</v>
      </c>
      <c r="L243" s="22">
        <v>6</v>
      </c>
      <c r="M243" s="24">
        <v>4</v>
      </c>
      <c r="N243" s="24">
        <v>4</v>
      </c>
      <c r="O243" s="24"/>
      <c r="P243" s="37" t="s">
        <v>677</v>
      </c>
      <c r="Q243" s="24">
        <v>4</v>
      </c>
      <c r="R243" s="24"/>
      <c r="S243" s="24">
        <v>5</v>
      </c>
      <c r="T243" s="24">
        <v>4</v>
      </c>
      <c r="U243" s="24"/>
      <c r="V243" s="24"/>
      <c r="W243" s="24"/>
      <c r="X243" s="24"/>
      <c r="Y243" s="24"/>
      <c r="Z243" s="24"/>
      <c r="AA243" s="24"/>
      <c r="AB243" s="37"/>
      <c r="AC243" s="24"/>
      <c r="AD243" s="24"/>
      <c r="AE243" s="24"/>
      <c r="AF243" s="24"/>
      <c r="AG243" s="24"/>
      <c r="AH243" s="27"/>
      <c r="AI243" s="24"/>
      <c r="AJ243" s="27"/>
      <c r="AK243" s="24"/>
      <c r="AL243" s="24"/>
      <c r="AM243" s="26">
        <v>5</v>
      </c>
      <c r="AN243" s="24"/>
      <c r="AO243" s="27"/>
      <c r="AP243" s="27"/>
      <c r="AQ243" s="27"/>
      <c r="AR243" s="24"/>
      <c r="AS243" s="27"/>
      <c r="AT243" s="24"/>
      <c r="AU243">
        <f>E243 +F243</f>
        <v>9</v>
      </c>
    </row>
    <row r="244" spans="1:47" x14ac:dyDescent="0.25">
      <c r="A244" t="str">
        <f>B244 &amp; " - " &amp;D244</f>
        <v>FCGB - Ambrose</v>
      </c>
      <c r="B244" t="s">
        <v>796</v>
      </c>
      <c r="C244" s="29" t="s">
        <v>654</v>
      </c>
      <c r="D244" s="65" t="s">
        <v>782</v>
      </c>
      <c r="E244" s="31"/>
      <c r="F244" s="99">
        <v>1</v>
      </c>
      <c r="G244" s="73"/>
      <c r="H244" s="34"/>
      <c r="I244" s="38"/>
      <c r="J244" s="24"/>
      <c r="K244" s="37"/>
      <c r="L244" s="22"/>
      <c r="M244" s="24"/>
      <c r="N244" s="24"/>
      <c r="O244" s="24"/>
      <c r="P244" s="37"/>
      <c r="Q244" s="24"/>
      <c r="R244" s="24"/>
      <c r="S244" s="24"/>
      <c r="T244" s="24"/>
      <c r="U244" s="24"/>
      <c r="V244" s="24"/>
      <c r="W244" s="24"/>
      <c r="X244" s="37"/>
      <c r="Y244" s="24"/>
      <c r="Z244" s="37" t="s">
        <v>644</v>
      </c>
      <c r="AA244" s="24"/>
      <c r="AB244" s="37"/>
      <c r="AC244" s="24"/>
      <c r="AD244" s="24"/>
      <c r="AE244" s="24"/>
      <c r="AF244" s="24"/>
      <c r="AG244" s="24"/>
      <c r="AH244" s="27"/>
      <c r="AI244" s="24"/>
      <c r="AJ244" s="24"/>
      <c r="AK244" s="37"/>
      <c r="AL244" s="24"/>
      <c r="AM244" s="37"/>
      <c r="AN244" s="24"/>
      <c r="AO244" s="24"/>
      <c r="AP244" s="24"/>
      <c r="AQ244" s="27"/>
      <c r="AR244" s="24"/>
      <c r="AS244" s="27"/>
      <c r="AT244" s="24"/>
      <c r="AU244">
        <f>E244 +F244</f>
        <v>1</v>
      </c>
    </row>
    <row r="245" spans="1:47" x14ac:dyDescent="0.25">
      <c r="A245" t="str">
        <f>B245 &amp; " - " &amp;D245</f>
        <v>FCGB - Malcom</v>
      </c>
      <c r="B245" t="s">
        <v>796</v>
      </c>
      <c r="C245" s="29" t="s">
        <v>654</v>
      </c>
      <c r="D245" s="65" t="s">
        <v>1094</v>
      </c>
      <c r="E245" s="31">
        <v>5</v>
      </c>
      <c r="F245" s="99">
        <v>7</v>
      </c>
      <c r="G245" s="73">
        <v>1</v>
      </c>
      <c r="H245" s="34">
        <f>AVERAGE(AG245,AL245,AR245,AS245,AT245)</f>
        <v>5</v>
      </c>
      <c r="I245" s="38"/>
      <c r="J245" s="24"/>
      <c r="K245" s="37"/>
      <c r="L245" s="24"/>
      <c r="M245" s="37"/>
      <c r="N245" s="24"/>
      <c r="O245" s="24"/>
      <c r="P245" s="24"/>
      <c r="Q245" s="24"/>
      <c r="R245" s="24"/>
      <c r="S245" s="24"/>
      <c r="T245" s="24"/>
      <c r="U245" s="37"/>
      <c r="V245" s="37"/>
      <c r="W245" s="24"/>
      <c r="X245" s="37"/>
      <c r="Y245" s="37"/>
      <c r="Z245" s="24"/>
      <c r="AA245" s="24"/>
      <c r="AB245" s="24"/>
      <c r="AC245" s="24"/>
      <c r="AD245" s="24"/>
      <c r="AE245" s="24"/>
      <c r="AF245" s="37"/>
      <c r="AG245" s="82">
        <v>3</v>
      </c>
      <c r="AH245" s="26" t="s">
        <v>644</v>
      </c>
      <c r="AI245" s="37" t="s">
        <v>644</v>
      </c>
      <c r="AJ245" s="37" t="s">
        <v>644</v>
      </c>
      <c r="AK245" s="37" t="s">
        <v>644</v>
      </c>
      <c r="AL245" s="24">
        <v>4</v>
      </c>
      <c r="AM245" s="37" t="s">
        <v>644</v>
      </c>
      <c r="AN245" s="24"/>
      <c r="AO245" s="24"/>
      <c r="AP245" s="37" t="s">
        <v>644</v>
      </c>
      <c r="AQ245" s="26" t="s">
        <v>644</v>
      </c>
      <c r="AR245" s="24">
        <v>6</v>
      </c>
      <c r="AS245" s="247">
        <v>7</v>
      </c>
      <c r="AT245" s="24">
        <v>5</v>
      </c>
      <c r="AU245">
        <f>E245 +F245</f>
        <v>12</v>
      </c>
    </row>
    <row r="246" spans="1:47" x14ac:dyDescent="0.25">
      <c r="A246" t="str">
        <f>B246 &amp; " - " &amp;D246</f>
        <v>FCGB - Kaabouni</v>
      </c>
      <c r="B246" t="s">
        <v>796</v>
      </c>
      <c r="C246" s="39" t="s">
        <v>654</v>
      </c>
      <c r="D246" s="225" t="s">
        <v>793</v>
      </c>
      <c r="E246" s="41"/>
      <c r="F246" s="226"/>
      <c r="G246" s="40"/>
      <c r="H246" s="72"/>
      <c r="I246" s="149"/>
      <c r="J246" s="63"/>
      <c r="K246" s="61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63"/>
      <c r="AE246" s="53"/>
      <c r="AF246" s="63"/>
      <c r="AG246" s="53"/>
      <c r="AH246" s="63"/>
      <c r="AI246" s="63"/>
      <c r="AJ246" s="53"/>
      <c r="AK246" s="53"/>
      <c r="AL246" s="53"/>
      <c r="AM246" s="53"/>
      <c r="AN246" s="63"/>
      <c r="AO246" s="61"/>
      <c r="AP246" s="53"/>
      <c r="AQ246" s="63"/>
      <c r="AR246" s="63"/>
      <c r="AS246" s="63"/>
      <c r="AT246" s="53"/>
      <c r="AU246">
        <f>E246 +F246</f>
        <v>0</v>
      </c>
    </row>
    <row r="247" spans="1:47" x14ac:dyDescent="0.25">
      <c r="A247" t="str">
        <f>B247 &amp; " - " &amp;D247</f>
        <v>FCGB - Jussiê</v>
      </c>
      <c r="B247" t="s">
        <v>796</v>
      </c>
      <c r="C247" s="29" t="s">
        <v>665</v>
      </c>
      <c r="D247" t="s">
        <v>794</v>
      </c>
      <c r="E247" s="31">
        <v>5</v>
      </c>
      <c r="F247" s="99">
        <v>9</v>
      </c>
      <c r="G247" s="73"/>
      <c r="H247" s="34">
        <f>AVERAGE(R247,X247,AK247,AM247,AP247)</f>
        <v>4.4000000000000004</v>
      </c>
      <c r="I247" s="24"/>
      <c r="J247" s="24"/>
      <c r="K247" s="37" t="s">
        <v>644</v>
      </c>
      <c r="L247" s="24"/>
      <c r="M247" s="37" t="s">
        <v>644</v>
      </c>
      <c r="N247" s="37" t="s">
        <v>644</v>
      </c>
      <c r="O247" s="37" t="s">
        <v>644</v>
      </c>
      <c r="P247" s="37" t="s">
        <v>644</v>
      </c>
      <c r="Q247" s="37" t="s">
        <v>644</v>
      </c>
      <c r="R247" s="24">
        <v>4</v>
      </c>
      <c r="S247" s="24"/>
      <c r="T247" s="37" t="s">
        <v>644</v>
      </c>
      <c r="U247" s="24"/>
      <c r="V247" s="24"/>
      <c r="W247" s="24"/>
      <c r="X247" s="24">
        <v>5</v>
      </c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7"/>
      <c r="AK247" s="82">
        <v>3</v>
      </c>
      <c r="AL247" s="24"/>
      <c r="AM247" s="27">
        <v>6</v>
      </c>
      <c r="AN247" s="37" t="s">
        <v>644</v>
      </c>
      <c r="AO247" s="26" t="s">
        <v>644</v>
      </c>
      <c r="AP247" s="27">
        <v>4</v>
      </c>
      <c r="AQ247" s="27"/>
      <c r="AR247" s="24"/>
      <c r="AS247" s="27"/>
      <c r="AT247" s="24"/>
      <c r="AU247">
        <f>E247 +F247</f>
        <v>14</v>
      </c>
    </row>
    <row r="248" spans="1:47" x14ac:dyDescent="0.25">
      <c r="A248" t="str">
        <f>B248 &amp; " - " &amp;D248</f>
        <v>FCGB - Diabaté</v>
      </c>
      <c r="B248" t="s">
        <v>796</v>
      </c>
      <c r="C248" s="29" t="s">
        <v>665</v>
      </c>
      <c r="D248" t="s">
        <v>92</v>
      </c>
      <c r="E248" s="31">
        <v>17</v>
      </c>
      <c r="F248" s="99">
        <v>5</v>
      </c>
      <c r="G248" s="73">
        <v>10</v>
      </c>
      <c r="H248" s="34">
        <f>AVERAGE(J248,I248,W248,Y248,AB248,AC248,AD248,AE248,AF248,AH248,AI248,AK248,AL248,AR248,AS248,AT248,AQ248)</f>
        <v>5.2352941176470589</v>
      </c>
      <c r="I248" s="23">
        <v>4</v>
      </c>
      <c r="J248" s="24">
        <v>5</v>
      </c>
      <c r="K248" s="77"/>
      <c r="L248" s="24"/>
      <c r="M248" s="22"/>
      <c r="N248" s="24"/>
      <c r="O248" s="24"/>
      <c r="P248" s="24"/>
      <c r="Q248" s="24"/>
      <c r="R248" s="76" t="s">
        <v>644</v>
      </c>
      <c r="S248" s="24"/>
      <c r="T248" s="37"/>
      <c r="U248" s="76" t="s">
        <v>644</v>
      </c>
      <c r="V248" s="24"/>
      <c r="W248" s="23">
        <v>4</v>
      </c>
      <c r="X248" s="24"/>
      <c r="Y248" s="76">
        <v>4</v>
      </c>
      <c r="Z248" s="24"/>
      <c r="AA248" s="37" t="s">
        <v>644</v>
      </c>
      <c r="AB248" s="22">
        <v>6</v>
      </c>
      <c r="AC248" s="22">
        <v>6</v>
      </c>
      <c r="AD248" s="22">
        <v>6</v>
      </c>
      <c r="AE248" s="25">
        <v>8</v>
      </c>
      <c r="AF248" s="82">
        <v>3</v>
      </c>
      <c r="AG248" s="37" t="s">
        <v>644</v>
      </c>
      <c r="AH248" s="247">
        <v>7</v>
      </c>
      <c r="AI248" s="82">
        <v>3</v>
      </c>
      <c r="AJ248" s="27"/>
      <c r="AK248" s="25">
        <v>7</v>
      </c>
      <c r="AL248" s="82">
        <v>3</v>
      </c>
      <c r="AM248" s="26" t="s">
        <v>644</v>
      </c>
      <c r="AN248" s="24"/>
      <c r="AO248" s="27"/>
      <c r="AP248" s="27"/>
      <c r="AQ248" s="27">
        <v>5</v>
      </c>
      <c r="AR248" s="25">
        <v>7</v>
      </c>
      <c r="AS248" s="247">
        <v>8</v>
      </c>
      <c r="AT248" s="82">
        <v>3</v>
      </c>
      <c r="AU248">
        <f>E248 +F248</f>
        <v>22</v>
      </c>
    </row>
    <row r="249" spans="1:47" x14ac:dyDescent="0.25">
      <c r="A249" t="str">
        <f>B249 &amp; " - " &amp;D249</f>
        <v>FCGB - Touré</v>
      </c>
      <c r="B249" t="s">
        <v>796</v>
      </c>
      <c r="C249" s="29" t="s">
        <v>665</v>
      </c>
      <c r="D249" s="30" t="s">
        <v>48</v>
      </c>
      <c r="E249" s="31">
        <v>7</v>
      </c>
      <c r="F249" s="99">
        <v>15</v>
      </c>
      <c r="G249" s="73">
        <v>2</v>
      </c>
      <c r="H249" s="34">
        <f>AVERAGE(K249,L249,I249,AI249,AJ249,AN249,AO249,AP249)</f>
        <v>4.75</v>
      </c>
      <c r="I249" s="24">
        <v>4</v>
      </c>
      <c r="J249" s="37" t="s">
        <v>644</v>
      </c>
      <c r="K249" s="37">
        <v>5</v>
      </c>
      <c r="L249" s="37">
        <v>5</v>
      </c>
      <c r="M249" s="37"/>
      <c r="N249" s="37"/>
      <c r="O249" s="24"/>
      <c r="P249" s="22"/>
      <c r="Q249" s="24"/>
      <c r="R249" s="37" t="s">
        <v>644</v>
      </c>
      <c r="S249" s="37" t="s">
        <v>644</v>
      </c>
      <c r="T249" s="37" t="s">
        <v>644</v>
      </c>
      <c r="U249" s="24"/>
      <c r="V249" s="76" t="s">
        <v>644</v>
      </c>
      <c r="W249" s="24"/>
      <c r="X249" s="24"/>
      <c r="Y249" s="24"/>
      <c r="Z249" s="24"/>
      <c r="AA249" s="24"/>
      <c r="AB249" s="37" t="s">
        <v>644</v>
      </c>
      <c r="AC249" s="24"/>
      <c r="AD249" s="37" t="s">
        <v>644</v>
      </c>
      <c r="AE249" s="77" t="s">
        <v>644</v>
      </c>
      <c r="AF249" s="37" t="s">
        <v>644</v>
      </c>
      <c r="AG249" s="37" t="s">
        <v>644</v>
      </c>
      <c r="AH249" s="26" t="s">
        <v>644</v>
      </c>
      <c r="AI249" s="37">
        <v>6</v>
      </c>
      <c r="AJ249" s="26">
        <v>4</v>
      </c>
      <c r="AK249" s="24"/>
      <c r="AL249" s="37" t="s">
        <v>644</v>
      </c>
      <c r="AM249" s="26"/>
      <c r="AN249" s="25">
        <v>8</v>
      </c>
      <c r="AO249" s="27">
        <v>4</v>
      </c>
      <c r="AP249" s="237">
        <v>2</v>
      </c>
      <c r="AQ249" s="27"/>
      <c r="AR249" s="24"/>
      <c r="AS249" s="139" t="s">
        <v>644</v>
      </c>
      <c r="AT249" s="37" t="s">
        <v>644</v>
      </c>
      <c r="AU249">
        <f>E249 +F249</f>
        <v>22</v>
      </c>
    </row>
    <row r="250" spans="1:47" x14ac:dyDescent="0.25">
      <c r="A250" t="str">
        <f>B250 &amp; " - " &amp;D250</f>
        <v>TFC - Doumbia</v>
      </c>
      <c r="B250" t="s">
        <v>868</v>
      </c>
      <c r="C250" s="29" t="s">
        <v>654</v>
      </c>
      <c r="D250" s="60" t="s">
        <v>857</v>
      </c>
      <c r="E250" s="31">
        <v>22</v>
      </c>
      <c r="F250" s="99">
        <v>3</v>
      </c>
      <c r="G250" s="73">
        <v>1</v>
      </c>
      <c r="H250" s="34">
        <f>AVERAGE(J250,K250,I250,M250,N250,O250,P250,Q250,R250,Z250,AC250,AD250,AE250,AF250,AK250,AL250,AM250,AN250,AO250,AP250,AQ250)</f>
        <v>5.2380952380952381</v>
      </c>
      <c r="I250" s="37">
        <v>5</v>
      </c>
      <c r="J250" s="37">
        <v>5</v>
      </c>
      <c r="K250" s="75">
        <v>7</v>
      </c>
      <c r="L250" s="37"/>
      <c r="M250" s="37">
        <v>5</v>
      </c>
      <c r="N250" s="24">
        <v>5</v>
      </c>
      <c r="O250" s="24">
        <v>5</v>
      </c>
      <c r="P250" s="24">
        <v>5</v>
      </c>
      <c r="Q250" s="24">
        <v>5</v>
      </c>
      <c r="R250" s="24">
        <v>6</v>
      </c>
      <c r="S250" s="24" t="s">
        <v>673</v>
      </c>
      <c r="T250" s="37"/>
      <c r="U250" s="24"/>
      <c r="V250" s="24"/>
      <c r="W250" s="22"/>
      <c r="X250" s="24"/>
      <c r="Y250" s="37" t="s">
        <v>644</v>
      </c>
      <c r="Z250" s="24">
        <v>5</v>
      </c>
      <c r="AA250" s="76" t="s">
        <v>644</v>
      </c>
      <c r="AB250" s="24"/>
      <c r="AC250" s="24">
        <v>5</v>
      </c>
      <c r="AD250" s="82">
        <v>3</v>
      </c>
      <c r="AE250" s="24">
        <v>5</v>
      </c>
      <c r="AF250" s="24">
        <v>6</v>
      </c>
      <c r="AG250" s="24"/>
      <c r="AH250" s="27"/>
      <c r="AI250" s="37" t="s">
        <v>644</v>
      </c>
      <c r="AJ250" s="27"/>
      <c r="AK250" s="24">
        <v>6</v>
      </c>
      <c r="AL250" s="24">
        <v>5</v>
      </c>
      <c r="AM250" s="142">
        <v>5</v>
      </c>
      <c r="AN250" s="24">
        <v>5</v>
      </c>
      <c r="AO250" s="27">
        <v>6</v>
      </c>
      <c r="AP250" s="163">
        <v>7</v>
      </c>
      <c r="AQ250" s="27">
        <v>4</v>
      </c>
      <c r="AR250" s="24"/>
      <c r="AS250" s="27"/>
      <c r="AT250" s="24"/>
      <c r="AU250">
        <f>E250 +F250</f>
        <v>25</v>
      </c>
    </row>
    <row r="251" spans="1:47" x14ac:dyDescent="0.25">
      <c r="A251" t="str">
        <f>B251 &amp; " - " &amp;D251</f>
        <v>FCGB - Thelin</v>
      </c>
      <c r="B251" t="s">
        <v>796</v>
      </c>
      <c r="C251" s="29" t="s">
        <v>665</v>
      </c>
      <c r="D251" s="154" t="s">
        <v>564</v>
      </c>
      <c r="E251" s="31">
        <v>3</v>
      </c>
      <c r="F251" s="99">
        <v>4</v>
      </c>
      <c r="G251" s="73"/>
      <c r="H251" s="34">
        <f>AVERAGE(N251,Q251,AP251)</f>
        <v>4</v>
      </c>
      <c r="I251" s="24"/>
      <c r="J251" s="37" t="s">
        <v>644</v>
      </c>
      <c r="K251" s="24"/>
      <c r="L251" s="37" t="s">
        <v>644</v>
      </c>
      <c r="M251" s="24"/>
      <c r="N251" s="24">
        <v>4</v>
      </c>
      <c r="O251" s="24"/>
      <c r="P251" s="37" t="s">
        <v>644</v>
      </c>
      <c r="Q251" s="24">
        <v>4</v>
      </c>
      <c r="R251" s="24"/>
      <c r="S251" s="24"/>
      <c r="T251" s="24"/>
      <c r="U251" s="24"/>
      <c r="V251" s="24"/>
      <c r="W251" s="24"/>
      <c r="X251" s="37"/>
      <c r="Y251" s="24"/>
      <c r="Z251" s="37"/>
      <c r="AA251" s="24"/>
      <c r="AB251" s="24"/>
      <c r="AC251" s="37"/>
      <c r="AD251" s="24"/>
      <c r="AE251" s="24"/>
      <c r="AF251" s="24"/>
      <c r="AG251" s="24"/>
      <c r="AH251" s="27"/>
      <c r="AI251" s="22"/>
      <c r="AJ251" s="27"/>
      <c r="AK251" s="24"/>
      <c r="AL251" s="24"/>
      <c r="AM251" s="27"/>
      <c r="AN251" s="37" t="s">
        <v>644</v>
      </c>
      <c r="AO251" s="27"/>
      <c r="AP251" s="27">
        <v>4</v>
      </c>
      <c r="AQ251" s="26"/>
      <c r="AR251" s="24"/>
      <c r="AS251" s="26"/>
      <c r="AT251" s="24"/>
      <c r="AU251">
        <f>E251 +F251</f>
        <v>7</v>
      </c>
    </row>
    <row r="252" spans="1:47" x14ac:dyDescent="0.25">
      <c r="A252" t="str">
        <f>B252 &amp; " - " &amp;D252</f>
        <v>FCGB - Laborde</v>
      </c>
      <c r="B252" t="s">
        <v>796</v>
      </c>
      <c r="C252" s="50" t="s">
        <v>665</v>
      </c>
      <c r="D252" s="51" t="s">
        <v>795</v>
      </c>
      <c r="E252" s="52"/>
      <c r="F252" s="63">
        <v>1</v>
      </c>
      <c r="G252" s="145"/>
      <c r="H252" s="34"/>
      <c r="I252" s="53"/>
      <c r="J252" s="61"/>
      <c r="K252" s="53"/>
      <c r="L252" s="61"/>
      <c r="M252" s="53"/>
      <c r="N252" s="53"/>
      <c r="O252" s="53"/>
      <c r="P252" s="61"/>
      <c r="Q252" s="53"/>
      <c r="R252" s="53"/>
      <c r="S252" s="53"/>
      <c r="T252" s="53"/>
      <c r="U252" s="53"/>
      <c r="V252" s="53"/>
      <c r="W252" s="53"/>
      <c r="X252" s="61"/>
      <c r="Y252" s="53"/>
      <c r="Z252" s="61" t="s">
        <v>644</v>
      </c>
      <c r="AA252" s="53"/>
      <c r="AB252" s="53"/>
      <c r="AC252" s="61"/>
      <c r="AD252" s="53"/>
      <c r="AE252" s="53"/>
      <c r="AF252" s="53"/>
      <c r="AG252" s="53"/>
      <c r="AH252" s="63"/>
      <c r="AI252" s="59"/>
      <c r="AJ252" s="63"/>
      <c r="AK252" s="53"/>
      <c r="AL252" s="53"/>
      <c r="AM252" s="63"/>
      <c r="AN252" s="53"/>
      <c r="AO252" s="63"/>
      <c r="AP252" s="63"/>
      <c r="AQ252" s="62"/>
      <c r="AR252" s="53"/>
      <c r="AS252" s="62"/>
      <c r="AT252" s="53"/>
      <c r="AU252">
        <f>E252 +F252</f>
        <v>1</v>
      </c>
    </row>
    <row r="253" spans="1:47" x14ac:dyDescent="0.25">
      <c r="A253" t="str">
        <f>B253 &amp; " - " &amp;D253</f>
        <v>FCGB - M. Belay</v>
      </c>
      <c r="B253" t="s">
        <v>796</v>
      </c>
      <c r="C253" s="29" t="s">
        <v>665</v>
      </c>
      <c r="D253" s="30" t="s">
        <v>787</v>
      </c>
      <c r="E253" s="31">
        <v>15</v>
      </c>
      <c r="F253" s="99">
        <v>3</v>
      </c>
      <c r="G253" s="73">
        <v>1</v>
      </c>
      <c r="H253" s="34">
        <f>AVERAGE(J253,K253,L253,M253,N253,O253,P253,R253,U253,V253,W253,X253,Y253,Z253,AB253,AC253)</f>
        <v>5.25</v>
      </c>
      <c r="I253" s="37" t="s">
        <v>644</v>
      </c>
      <c r="J253" s="24">
        <v>5</v>
      </c>
      <c r="K253" s="77">
        <v>6</v>
      </c>
      <c r="L253" s="24">
        <v>6</v>
      </c>
      <c r="M253" s="24">
        <v>5</v>
      </c>
      <c r="N253" s="24">
        <v>4</v>
      </c>
      <c r="O253" s="37">
        <v>5</v>
      </c>
      <c r="P253" s="24">
        <v>4</v>
      </c>
      <c r="Q253" s="37" t="s">
        <v>644</v>
      </c>
      <c r="R253" s="24">
        <v>5</v>
      </c>
      <c r="S253" s="24"/>
      <c r="T253" s="24"/>
      <c r="U253" s="22">
        <v>6</v>
      </c>
      <c r="V253" s="24">
        <v>5</v>
      </c>
      <c r="W253" s="24">
        <v>6</v>
      </c>
      <c r="X253" s="37">
        <v>6</v>
      </c>
      <c r="Y253" s="24">
        <v>5</v>
      </c>
      <c r="Z253" s="24">
        <v>5</v>
      </c>
      <c r="AA253" s="37"/>
      <c r="AB253" s="24">
        <v>6</v>
      </c>
      <c r="AC253" s="24">
        <v>5</v>
      </c>
      <c r="AD253" s="24"/>
      <c r="AE253" s="24"/>
      <c r="AF253" s="37"/>
      <c r="AG253" s="24"/>
      <c r="AH253" s="26"/>
      <c r="AI253" s="37"/>
      <c r="AJ253" s="27"/>
      <c r="AK253" s="37"/>
      <c r="AL253" s="37"/>
      <c r="AM253" s="94"/>
      <c r="AN253" s="37"/>
      <c r="AO253" s="26"/>
      <c r="AP253" s="26"/>
      <c r="AQ253" s="27"/>
      <c r="AR253" s="37"/>
      <c r="AS253" s="26"/>
      <c r="AT253" s="37"/>
      <c r="AU253">
        <f>E253 +F253</f>
        <v>18</v>
      </c>
    </row>
    <row r="254" spans="1:47" ht="15.75" thickBot="1" x14ac:dyDescent="0.3">
      <c r="A254" t="str">
        <f>B254 &amp; " - " &amp;D254</f>
        <v>FCN - Thomasson</v>
      </c>
      <c r="B254" t="s">
        <v>955</v>
      </c>
      <c r="C254" s="88" t="s">
        <v>654</v>
      </c>
      <c r="D254" s="165" t="s">
        <v>945</v>
      </c>
      <c r="E254" s="90">
        <v>30</v>
      </c>
      <c r="F254" s="119">
        <v>4</v>
      </c>
      <c r="G254" s="89">
        <v>2</v>
      </c>
      <c r="H254" s="120">
        <f>AVERAGE(AA254,J254,K254,L254,M254,I254,O254,R254,S254,T254,Q254,U254,Y254,Z254,AB254,AC254,AD254,AE254,AF254,AG254,AH254,AK254,AI254,AL254,AM254,AN254,AO254,AQ254,AR254,AS254,AT254)</f>
        <v>5.225806451612903</v>
      </c>
      <c r="I254" s="37">
        <v>6</v>
      </c>
      <c r="J254" s="24">
        <v>6</v>
      </c>
      <c r="K254" s="26">
        <v>4</v>
      </c>
      <c r="L254" s="24">
        <v>4</v>
      </c>
      <c r="M254" s="37">
        <v>5</v>
      </c>
      <c r="N254" s="37" t="s">
        <v>644</v>
      </c>
      <c r="O254" s="37">
        <v>5</v>
      </c>
      <c r="P254" s="37" t="s">
        <v>644</v>
      </c>
      <c r="Q254" s="37">
        <v>6</v>
      </c>
      <c r="R254" s="23">
        <v>6</v>
      </c>
      <c r="S254" s="75">
        <v>7</v>
      </c>
      <c r="T254" s="66">
        <v>7</v>
      </c>
      <c r="U254" s="24">
        <v>5</v>
      </c>
      <c r="V254" s="24"/>
      <c r="W254" s="24"/>
      <c r="X254" s="24"/>
      <c r="Y254" s="24">
        <v>5</v>
      </c>
      <c r="Z254" s="24">
        <v>5</v>
      </c>
      <c r="AA254" s="24">
        <v>5</v>
      </c>
      <c r="AB254" s="24">
        <v>5</v>
      </c>
      <c r="AC254" s="24">
        <v>4</v>
      </c>
      <c r="AD254" s="24">
        <v>5</v>
      </c>
      <c r="AE254" s="37">
        <v>5</v>
      </c>
      <c r="AF254" s="24">
        <v>5</v>
      </c>
      <c r="AG254" s="37">
        <v>5</v>
      </c>
      <c r="AH254" s="193">
        <v>7</v>
      </c>
      <c r="AI254" s="24">
        <v>5</v>
      </c>
      <c r="AJ254" s="26"/>
      <c r="AK254" s="24">
        <v>6</v>
      </c>
      <c r="AL254" s="76">
        <v>5</v>
      </c>
      <c r="AM254" s="27">
        <v>5</v>
      </c>
      <c r="AN254" s="82">
        <v>3</v>
      </c>
      <c r="AO254" s="27">
        <v>4</v>
      </c>
      <c r="AP254" s="26" t="s">
        <v>644</v>
      </c>
      <c r="AQ254" s="27">
        <v>5</v>
      </c>
      <c r="AR254" s="25">
        <v>7</v>
      </c>
      <c r="AS254" s="27">
        <v>5</v>
      </c>
      <c r="AT254" s="24">
        <v>5</v>
      </c>
      <c r="AU254">
        <f>E254 +F254</f>
        <v>34</v>
      </c>
    </row>
    <row r="255" spans="1:47" x14ac:dyDescent="0.25">
      <c r="A255" t="str">
        <f>B255 &amp; " - " &amp;D255</f>
        <v>FCL - Chaigneau</v>
      </c>
      <c r="B255" t="s">
        <v>816</v>
      </c>
      <c r="C255" s="16" t="s">
        <v>638</v>
      </c>
      <c r="D255" s="17" t="s">
        <v>797</v>
      </c>
      <c r="E255" s="18">
        <v>1</v>
      </c>
      <c r="F255" s="95">
        <v>1</v>
      </c>
      <c r="G255" s="17"/>
      <c r="H255" s="20">
        <f>AVERAGE(K255,L255)</f>
        <v>5</v>
      </c>
      <c r="I255" s="87"/>
      <c r="J255" s="37"/>
      <c r="K255" s="37">
        <v>5</v>
      </c>
      <c r="L255" s="37">
        <v>5</v>
      </c>
      <c r="M255" s="24"/>
      <c r="N255" s="24"/>
      <c r="O255" s="27"/>
      <c r="P255" s="37"/>
      <c r="Q255" s="24"/>
      <c r="R255" s="37"/>
      <c r="S255" s="24"/>
      <c r="T255" s="24"/>
      <c r="U255" s="24"/>
      <c r="V255" s="24"/>
      <c r="W255" s="24"/>
      <c r="X255" s="37"/>
      <c r="Y255" s="24"/>
      <c r="Z255" s="24"/>
      <c r="AA255" s="24"/>
      <c r="AB255" s="24"/>
      <c r="AC255" s="24"/>
      <c r="AD255" s="24"/>
      <c r="AE255" s="27"/>
      <c r="AF255" s="48"/>
      <c r="AG255" s="24"/>
      <c r="AH255" s="24"/>
      <c r="AI255" s="24"/>
      <c r="AJ255" s="24"/>
      <c r="AK255" s="37"/>
      <c r="AL255" s="27"/>
      <c r="AM255" s="24"/>
      <c r="AN255" s="27"/>
      <c r="AO255" s="24"/>
      <c r="AP255" s="27"/>
      <c r="AQ255" s="24"/>
      <c r="AR255" s="27"/>
      <c r="AS255" s="26"/>
      <c r="AT255" s="37"/>
      <c r="AU255">
        <f>E255 +F255</f>
        <v>2</v>
      </c>
    </row>
    <row r="256" spans="1:47" x14ac:dyDescent="0.25">
      <c r="A256" t="str">
        <f>B256 &amp; " - " &amp;D256</f>
        <v>SRFC - G. Fernandes</v>
      </c>
      <c r="B256" t="s">
        <v>913</v>
      </c>
      <c r="C256" s="67" t="s">
        <v>654</v>
      </c>
      <c r="D256" s="85" t="s">
        <v>904</v>
      </c>
      <c r="E256" s="69">
        <v>33</v>
      </c>
      <c r="F256" s="115"/>
      <c r="G256" s="85">
        <v>1</v>
      </c>
      <c r="H256" s="72">
        <f>AVERAGE(Y256,J256,K256,L256,I256,N256,R256,S256,T256,U256,V256,W256,X256,AA256,AB256,AD256,AE256,AF256,AG256,AH256,AI256,AJ256,AK256,AL256,AM256,AN256,AO256,AP256,AQ256,AR256,AS256,AT256)</f>
        <v>5.21875</v>
      </c>
      <c r="I256" s="188">
        <v>5</v>
      </c>
      <c r="J256" s="210">
        <v>6</v>
      </c>
      <c r="K256" s="37">
        <v>5</v>
      </c>
      <c r="L256" s="37">
        <v>5</v>
      </c>
      <c r="M256" s="24"/>
      <c r="N256" s="24">
        <v>5</v>
      </c>
      <c r="O256" s="27" t="s">
        <v>673</v>
      </c>
      <c r="P256" s="24"/>
      <c r="Q256" s="24"/>
      <c r="R256" s="24">
        <v>5</v>
      </c>
      <c r="S256" s="24">
        <v>6</v>
      </c>
      <c r="T256" s="24">
        <v>5</v>
      </c>
      <c r="U256" s="25">
        <v>7</v>
      </c>
      <c r="V256" s="24">
        <v>5</v>
      </c>
      <c r="W256" s="24">
        <v>4</v>
      </c>
      <c r="X256" s="24">
        <v>5</v>
      </c>
      <c r="Y256" s="24">
        <v>5</v>
      </c>
      <c r="Z256" s="24"/>
      <c r="AA256" s="24">
        <v>6</v>
      </c>
      <c r="AB256" s="24">
        <v>6</v>
      </c>
      <c r="AC256" s="24"/>
      <c r="AD256" s="24">
        <v>6</v>
      </c>
      <c r="AE256" s="27">
        <v>4</v>
      </c>
      <c r="AF256" s="24">
        <v>6</v>
      </c>
      <c r="AG256" s="24">
        <v>5</v>
      </c>
      <c r="AH256" s="24">
        <v>5</v>
      </c>
      <c r="AI256" s="24">
        <v>4</v>
      </c>
      <c r="AJ256" s="24">
        <v>6</v>
      </c>
      <c r="AK256" s="24">
        <v>6</v>
      </c>
      <c r="AL256" s="27">
        <v>6</v>
      </c>
      <c r="AM256" s="66">
        <v>7</v>
      </c>
      <c r="AN256" s="27">
        <v>6</v>
      </c>
      <c r="AO256" s="82">
        <v>3</v>
      </c>
      <c r="AP256" s="27">
        <v>5</v>
      </c>
      <c r="AQ256" s="24">
        <v>4</v>
      </c>
      <c r="AR256" s="27">
        <v>4</v>
      </c>
      <c r="AS256" s="27">
        <v>5</v>
      </c>
      <c r="AT256" s="24">
        <v>5</v>
      </c>
      <c r="AU256">
        <f>E256 +F256</f>
        <v>33</v>
      </c>
    </row>
    <row r="257" spans="1:47" x14ac:dyDescent="0.25">
      <c r="A257" t="str">
        <f>B257 &amp; " - " &amp;D257</f>
        <v>EAG - Salibur</v>
      </c>
      <c r="B257" t="s">
        <v>999</v>
      </c>
      <c r="C257" s="146" t="s">
        <v>654</v>
      </c>
      <c r="D257" s="154" t="s">
        <v>491</v>
      </c>
      <c r="E257" s="239">
        <v>28</v>
      </c>
      <c r="F257" s="240">
        <v>2</v>
      </c>
      <c r="G257" s="60">
        <v>7</v>
      </c>
      <c r="H257" s="34">
        <f>AVERAGE(AA257,X257,J257,K257,I257,O257,Q257,R257,S257,T257,U257,V257,W257,Z257,AB257,AC257,AD257,AE257,AF257,AG257,AH257,AI257,AJ257,AK257,AL257,AM257,AN257,AR257)</f>
        <v>5.2142857142857144</v>
      </c>
      <c r="I257" s="116">
        <v>5</v>
      </c>
      <c r="J257" s="24">
        <v>4</v>
      </c>
      <c r="K257" s="37">
        <v>4</v>
      </c>
      <c r="L257" s="37"/>
      <c r="M257" s="37"/>
      <c r="N257" s="37" t="s">
        <v>644</v>
      </c>
      <c r="O257" s="27">
        <v>4</v>
      </c>
      <c r="P257" s="37" t="s">
        <v>644</v>
      </c>
      <c r="Q257" s="24">
        <v>5</v>
      </c>
      <c r="R257" s="37">
        <v>5</v>
      </c>
      <c r="S257" s="24">
        <v>5</v>
      </c>
      <c r="T257" s="25">
        <v>7</v>
      </c>
      <c r="U257" s="24">
        <v>4</v>
      </c>
      <c r="V257" s="75">
        <v>7</v>
      </c>
      <c r="W257" s="24">
        <v>5</v>
      </c>
      <c r="X257" s="22">
        <v>6</v>
      </c>
      <c r="Y257" s="37"/>
      <c r="Z257" s="37">
        <v>6</v>
      </c>
      <c r="AA257" s="37">
        <v>5</v>
      </c>
      <c r="AB257" s="37">
        <v>4</v>
      </c>
      <c r="AC257" s="77">
        <v>6</v>
      </c>
      <c r="AD257" s="37">
        <v>6</v>
      </c>
      <c r="AE257" s="27">
        <v>6</v>
      </c>
      <c r="AF257" s="38">
        <v>6</v>
      </c>
      <c r="AG257" s="37">
        <v>5</v>
      </c>
      <c r="AH257" s="24">
        <v>4</v>
      </c>
      <c r="AI257" s="25">
        <v>8</v>
      </c>
      <c r="AJ257" s="24">
        <v>5</v>
      </c>
      <c r="AK257" s="24">
        <v>4</v>
      </c>
      <c r="AL257" s="26">
        <v>5</v>
      </c>
      <c r="AM257" s="24">
        <v>5</v>
      </c>
      <c r="AN257" s="28">
        <v>6</v>
      </c>
      <c r="AO257" s="37"/>
      <c r="AP257" s="27"/>
      <c r="AQ257" s="24"/>
      <c r="AR257" s="26">
        <v>4</v>
      </c>
      <c r="AS257" s="27"/>
      <c r="AT257" s="24"/>
      <c r="AU257">
        <f>E257 +F257</f>
        <v>30</v>
      </c>
    </row>
    <row r="258" spans="1:47" x14ac:dyDescent="0.25">
      <c r="A258" t="str">
        <f>B258 &amp; " - " &amp;D258</f>
        <v>FCL - Wachter</v>
      </c>
      <c r="B258" t="s">
        <v>816</v>
      </c>
      <c r="C258" s="50" t="s">
        <v>641</v>
      </c>
      <c r="D258" s="57" t="s">
        <v>798</v>
      </c>
      <c r="E258" s="52"/>
      <c r="F258" s="63"/>
      <c r="G258" s="57"/>
      <c r="H258" s="34"/>
      <c r="I258" s="167"/>
      <c r="J258" s="55"/>
      <c r="K258" s="55"/>
      <c r="L258" s="55"/>
      <c r="M258" s="46"/>
      <c r="N258" s="46"/>
      <c r="O258" s="47"/>
      <c r="P258" s="55"/>
      <c r="Q258" s="46"/>
      <c r="R258" s="55"/>
      <c r="S258" s="46"/>
      <c r="T258" s="46"/>
      <c r="U258" s="55"/>
      <c r="V258" s="46"/>
      <c r="W258" s="46"/>
      <c r="X258" s="55"/>
      <c r="Y258" s="55"/>
      <c r="Z258" s="55"/>
      <c r="AA258" s="46"/>
      <c r="AB258" s="46"/>
      <c r="AC258" s="46"/>
      <c r="AD258" s="46"/>
      <c r="AE258" s="47"/>
      <c r="AF258" s="45"/>
      <c r="AG258" s="46"/>
      <c r="AH258" s="46"/>
      <c r="AI258" s="46"/>
      <c r="AJ258" s="46"/>
      <c r="AK258" s="55"/>
      <c r="AL258" s="47"/>
      <c r="AM258" s="46"/>
      <c r="AN258" s="47"/>
      <c r="AO258" s="46"/>
      <c r="AP258" s="47"/>
      <c r="AQ258" s="46"/>
      <c r="AR258" s="47"/>
      <c r="AS258" s="56"/>
      <c r="AT258" s="55"/>
      <c r="AU258">
        <f>E258 +F258</f>
        <v>0</v>
      </c>
    </row>
    <row r="259" spans="1:47" x14ac:dyDescent="0.25">
      <c r="A259" t="str">
        <f>B259 &amp; " - " &amp;D259</f>
        <v>EAG - Privat</v>
      </c>
      <c r="B259" t="s">
        <v>999</v>
      </c>
      <c r="C259" s="29" t="s">
        <v>665</v>
      </c>
      <c r="D259" s="154" t="s">
        <v>174</v>
      </c>
      <c r="E259" s="31">
        <v>14</v>
      </c>
      <c r="F259" s="27">
        <v>13</v>
      </c>
      <c r="G259" s="30">
        <v>7</v>
      </c>
      <c r="H259" s="34">
        <f>AVERAGE(J259,L259,N259,P259,Q259,R259,T259,V259,X259,Z259,AJ259,AE259,AL259,AN259)</f>
        <v>5.2142857142857144</v>
      </c>
      <c r="I259" s="101" t="s">
        <v>644</v>
      </c>
      <c r="J259" s="24">
        <v>4</v>
      </c>
      <c r="K259" s="37" t="s">
        <v>644</v>
      </c>
      <c r="L259" s="77">
        <v>5</v>
      </c>
      <c r="M259" s="37"/>
      <c r="N259" s="77">
        <v>6</v>
      </c>
      <c r="O259" s="27"/>
      <c r="P259" s="75">
        <v>7</v>
      </c>
      <c r="Q259" s="24">
        <v>5</v>
      </c>
      <c r="R259" s="23">
        <v>5</v>
      </c>
      <c r="S259" s="37" t="s">
        <v>644</v>
      </c>
      <c r="T259" s="24">
        <v>4</v>
      </c>
      <c r="U259" s="37" t="s">
        <v>644</v>
      </c>
      <c r="V259" s="77">
        <v>6</v>
      </c>
      <c r="W259" s="37" t="s">
        <v>644</v>
      </c>
      <c r="X259" s="24">
        <v>4</v>
      </c>
      <c r="Y259" s="37" t="s">
        <v>644</v>
      </c>
      <c r="Z259" s="22">
        <v>6</v>
      </c>
      <c r="AA259" s="37" t="s">
        <v>644</v>
      </c>
      <c r="AB259" s="24"/>
      <c r="AC259" s="37"/>
      <c r="AD259" s="37" t="s">
        <v>644</v>
      </c>
      <c r="AE259" s="27">
        <v>4</v>
      </c>
      <c r="AF259" s="27"/>
      <c r="AG259" s="37" t="s">
        <v>644</v>
      </c>
      <c r="AH259" s="37" t="s">
        <v>644</v>
      </c>
      <c r="AI259" s="37" t="s">
        <v>644</v>
      </c>
      <c r="AJ259" s="22">
        <v>6</v>
      </c>
      <c r="AK259" s="24"/>
      <c r="AL259" s="129">
        <v>7</v>
      </c>
      <c r="AM259" s="24"/>
      <c r="AN259" s="27">
        <v>4</v>
      </c>
      <c r="AO259" s="37"/>
      <c r="AP259" s="27"/>
      <c r="AQ259" s="37" t="s">
        <v>644</v>
      </c>
      <c r="AR259" s="26" t="s">
        <v>644</v>
      </c>
      <c r="AS259" s="27"/>
      <c r="AT259" s="24"/>
      <c r="AU259">
        <f>E259 +F259</f>
        <v>27</v>
      </c>
    </row>
    <row r="260" spans="1:47" x14ac:dyDescent="0.25">
      <c r="A260" t="str">
        <f>B260 &amp; " - " &amp;D260</f>
        <v>SMC - Rodelin</v>
      </c>
      <c r="B260" t="s">
        <v>1010</v>
      </c>
      <c r="C260" s="146" t="s">
        <v>665</v>
      </c>
      <c r="D260" s="154" t="s">
        <v>466</v>
      </c>
      <c r="E260" s="148">
        <v>33</v>
      </c>
      <c r="F260" s="142">
        <v>1</v>
      </c>
      <c r="G260" s="101" t="s">
        <v>1136</v>
      </c>
      <c r="H260" s="34">
        <f>AVERAGE(AA260,M260,N260,O260,P260,Q260,R260,S260,U260,V260,W260,X260,Y260,Z260,AB260,AC260,AD260,AE260,AF260,AG260,AH260,AI260,AJ260,AK260,AL260,AM260,AN260,AO260,AP260,AQ260,AR260,AS260,AT260)</f>
        <v>5.2121212121212119</v>
      </c>
      <c r="I260" s="107"/>
      <c r="J260" s="109"/>
      <c r="K260" s="108"/>
      <c r="L260" s="108"/>
      <c r="M260" s="76">
        <v>6</v>
      </c>
      <c r="N260" s="75">
        <v>7</v>
      </c>
      <c r="O260" s="142">
        <v>4</v>
      </c>
      <c r="P260" s="75">
        <v>7</v>
      </c>
      <c r="Q260" s="76">
        <v>5</v>
      </c>
      <c r="R260" s="23">
        <v>5</v>
      </c>
      <c r="S260" s="23">
        <v>5</v>
      </c>
      <c r="T260" s="76" t="s">
        <v>644</v>
      </c>
      <c r="U260" s="23">
        <v>4</v>
      </c>
      <c r="V260" s="76">
        <v>4</v>
      </c>
      <c r="W260" s="23">
        <v>6</v>
      </c>
      <c r="X260" s="22">
        <v>6</v>
      </c>
      <c r="Y260" s="76">
        <v>5</v>
      </c>
      <c r="Z260" s="76">
        <v>5</v>
      </c>
      <c r="AA260" s="23">
        <v>5</v>
      </c>
      <c r="AB260" s="76">
        <v>5</v>
      </c>
      <c r="AC260" s="77">
        <v>6</v>
      </c>
      <c r="AD260" s="25">
        <v>7</v>
      </c>
      <c r="AE260" s="247">
        <v>7</v>
      </c>
      <c r="AF260" s="142">
        <v>4</v>
      </c>
      <c r="AG260" s="23">
        <v>4</v>
      </c>
      <c r="AH260" s="23">
        <v>5</v>
      </c>
      <c r="AI260" s="23">
        <v>5</v>
      </c>
      <c r="AJ260" s="25">
        <v>7</v>
      </c>
      <c r="AK260" s="23">
        <v>4</v>
      </c>
      <c r="AL260" s="139">
        <v>5</v>
      </c>
      <c r="AM260" s="22">
        <v>6</v>
      </c>
      <c r="AN260" s="273">
        <v>3</v>
      </c>
      <c r="AO260" s="234">
        <v>3</v>
      </c>
      <c r="AP260" s="142">
        <v>4</v>
      </c>
      <c r="AQ260" s="25">
        <v>7</v>
      </c>
      <c r="AR260" s="142">
        <v>4</v>
      </c>
      <c r="AS260" s="247">
        <v>7</v>
      </c>
      <c r="AT260" s="23">
        <v>5</v>
      </c>
      <c r="AU260">
        <f>E260 +F260</f>
        <v>34</v>
      </c>
    </row>
    <row r="261" spans="1:47" x14ac:dyDescent="0.25">
      <c r="A261" t="str">
        <f>B261 &amp; " - " &amp;D261</f>
        <v>FCL - L. Koné</v>
      </c>
      <c r="B261" t="s">
        <v>816</v>
      </c>
      <c r="C261" s="50" t="s">
        <v>641</v>
      </c>
      <c r="D261" s="57" t="s">
        <v>801</v>
      </c>
      <c r="E261" s="52">
        <v>17</v>
      </c>
      <c r="F261" s="63">
        <v>1</v>
      </c>
      <c r="G261" s="57"/>
      <c r="H261" s="80">
        <f>AVERAGE(Z261,X261,K261,L261,M261,N261,P261,Q261,R261,S261,T261,U261,V261,W261,Y261,AA261,AC261,AD261)</f>
        <v>4.833333333333333</v>
      </c>
      <c r="I261" s="268"/>
      <c r="J261" s="61"/>
      <c r="K261" s="61">
        <v>5</v>
      </c>
      <c r="L261" s="61">
        <v>6</v>
      </c>
      <c r="M261" s="53">
        <v>5</v>
      </c>
      <c r="N261" s="53">
        <v>4</v>
      </c>
      <c r="O261" s="63"/>
      <c r="P261" s="61">
        <v>4</v>
      </c>
      <c r="Q261" s="53">
        <v>4</v>
      </c>
      <c r="R261" s="61">
        <v>5</v>
      </c>
      <c r="S261" s="53">
        <v>3</v>
      </c>
      <c r="T261" s="53">
        <v>5</v>
      </c>
      <c r="U261" s="61">
        <v>5</v>
      </c>
      <c r="V261" s="53">
        <v>5</v>
      </c>
      <c r="W261" s="53">
        <v>5</v>
      </c>
      <c r="X261" s="61">
        <v>5</v>
      </c>
      <c r="Y261" s="61">
        <v>5</v>
      </c>
      <c r="Z261" s="61">
        <v>5</v>
      </c>
      <c r="AA261" s="53">
        <v>7</v>
      </c>
      <c r="AB261" s="53"/>
      <c r="AC261" s="53">
        <v>4</v>
      </c>
      <c r="AD261" s="53">
        <v>5</v>
      </c>
      <c r="AE261" s="63"/>
      <c r="AF261" s="64"/>
      <c r="AG261" s="53"/>
      <c r="AH261" s="53"/>
      <c r="AI261" s="53"/>
      <c r="AJ261" s="53"/>
      <c r="AK261" s="61"/>
      <c r="AL261" s="63"/>
      <c r="AM261" s="53"/>
      <c r="AN261" s="63"/>
      <c r="AO261" s="53"/>
      <c r="AP261" s="63"/>
      <c r="AQ261" s="53"/>
      <c r="AR261" s="63"/>
      <c r="AS261" s="62"/>
      <c r="AT261" s="61"/>
      <c r="AU261">
        <f>E261 +F261</f>
        <v>18</v>
      </c>
    </row>
    <row r="262" spans="1:47" x14ac:dyDescent="0.25">
      <c r="A262" t="str">
        <f>B262 &amp; " - " &amp;D262</f>
        <v>SCO - Saïss</v>
      </c>
      <c r="B262" t="s">
        <v>1066</v>
      </c>
      <c r="C262" s="29" t="s">
        <v>654</v>
      </c>
      <c r="D262" s="65" t="s">
        <v>1061</v>
      </c>
      <c r="E262" s="31">
        <v>35</v>
      </c>
      <c r="F262" s="99"/>
      <c r="G262" s="30">
        <v>2</v>
      </c>
      <c r="H262" s="34">
        <f>AVERAGE(AT262,Z262,J262,K262,L262,I262,N262,M262,O262,P262,Q262,S262,T262,U262,V262,W262,X262,Y262,AA262,AB262,AC262,AD262,AE262,AF262,AG262,AH262,AJ262,AK262,AL262,AM262,AN262,AO262,AP262,AQ262,AR262)</f>
        <v>5.2</v>
      </c>
      <c r="I262" s="173">
        <v>5</v>
      </c>
      <c r="J262" s="24">
        <v>5</v>
      </c>
      <c r="K262" s="37">
        <v>5</v>
      </c>
      <c r="L262" s="37">
        <v>4</v>
      </c>
      <c r="M262" s="75">
        <v>7</v>
      </c>
      <c r="N262" s="37">
        <v>5</v>
      </c>
      <c r="O262" s="27">
        <v>5</v>
      </c>
      <c r="P262" s="37">
        <v>4</v>
      </c>
      <c r="Q262" s="24">
        <v>5</v>
      </c>
      <c r="R262" s="23"/>
      <c r="S262" s="24">
        <v>6</v>
      </c>
      <c r="T262" s="24">
        <v>5</v>
      </c>
      <c r="U262" s="24">
        <v>5</v>
      </c>
      <c r="V262" s="37">
        <v>6</v>
      </c>
      <c r="W262" s="24">
        <v>6</v>
      </c>
      <c r="X262" s="24">
        <v>5</v>
      </c>
      <c r="Y262" s="37">
        <v>5</v>
      </c>
      <c r="Z262" s="24">
        <v>5</v>
      </c>
      <c r="AA262" s="24">
        <v>4</v>
      </c>
      <c r="AB262" s="24">
        <v>5</v>
      </c>
      <c r="AC262" s="84">
        <v>7</v>
      </c>
      <c r="AD262" s="82">
        <v>3</v>
      </c>
      <c r="AE262" s="27">
        <v>6</v>
      </c>
      <c r="AF262" s="24">
        <v>5</v>
      </c>
      <c r="AG262" s="82">
        <v>3</v>
      </c>
      <c r="AH262" s="24">
        <v>5</v>
      </c>
      <c r="AI262" s="24"/>
      <c r="AJ262" s="24">
        <v>5</v>
      </c>
      <c r="AK262" s="24">
        <v>6</v>
      </c>
      <c r="AL262" s="26">
        <v>5</v>
      </c>
      <c r="AM262" s="25">
        <v>8</v>
      </c>
      <c r="AN262" s="27">
        <v>6</v>
      </c>
      <c r="AO262" s="37">
        <v>5</v>
      </c>
      <c r="AP262" s="27">
        <v>6</v>
      </c>
      <c r="AQ262" s="24">
        <v>6</v>
      </c>
      <c r="AR262" s="27">
        <v>5</v>
      </c>
      <c r="AS262" s="27"/>
      <c r="AT262" s="24">
        <v>4</v>
      </c>
      <c r="AU262">
        <f>E262 +F262</f>
        <v>35</v>
      </c>
    </row>
    <row r="263" spans="1:47" x14ac:dyDescent="0.25">
      <c r="A263" t="str">
        <f>B263 &amp; " - " &amp;D263</f>
        <v>FCL - Paye</v>
      </c>
      <c r="B263" t="s">
        <v>816</v>
      </c>
      <c r="C263" s="29" t="s">
        <v>641</v>
      </c>
      <c r="D263" s="65" t="s">
        <v>803</v>
      </c>
      <c r="E263" s="31">
        <v>8</v>
      </c>
      <c r="F263" s="99">
        <v>2</v>
      </c>
      <c r="G263" s="168"/>
      <c r="H263" s="34">
        <f>AVERAGE(R263,X263,AA263,AI263,AJ263,AQ263,AR263,AS263)</f>
        <v>5.25</v>
      </c>
      <c r="I263" s="87"/>
      <c r="J263" s="37"/>
      <c r="K263" s="74"/>
      <c r="L263" s="74"/>
      <c r="M263" s="24"/>
      <c r="N263" s="24"/>
      <c r="O263" s="27"/>
      <c r="P263" s="37" t="s">
        <v>644</v>
      </c>
      <c r="Q263" s="24"/>
      <c r="R263" s="37">
        <v>5</v>
      </c>
      <c r="S263" s="24"/>
      <c r="T263" s="24"/>
      <c r="U263" s="24"/>
      <c r="V263" s="24"/>
      <c r="W263" s="24"/>
      <c r="X263" s="37">
        <v>6</v>
      </c>
      <c r="Y263" s="24"/>
      <c r="Z263" s="24"/>
      <c r="AA263" s="24">
        <v>5</v>
      </c>
      <c r="AB263" s="24"/>
      <c r="AC263" s="24"/>
      <c r="AD263" s="24"/>
      <c r="AE263" s="27"/>
      <c r="AF263" s="48"/>
      <c r="AG263" s="24"/>
      <c r="AH263" s="24"/>
      <c r="AI263" s="24">
        <v>5</v>
      </c>
      <c r="AJ263" s="24">
        <v>6</v>
      </c>
      <c r="AK263" s="37"/>
      <c r="AL263" s="27"/>
      <c r="AM263" s="24"/>
      <c r="AN263" s="27"/>
      <c r="AO263" s="37" t="s">
        <v>644</v>
      </c>
      <c r="AP263" s="27"/>
      <c r="AQ263" s="24">
        <v>4</v>
      </c>
      <c r="AR263" s="142">
        <v>6</v>
      </c>
      <c r="AS263" s="26">
        <v>5</v>
      </c>
      <c r="AT263" s="37"/>
      <c r="AU263">
        <f>E263 +F263</f>
        <v>10</v>
      </c>
    </row>
    <row r="264" spans="1:47" x14ac:dyDescent="0.25">
      <c r="A264" t="str">
        <f>B264 &amp; " - " &amp;D264</f>
        <v>FCL - Karamoko</v>
      </c>
      <c r="B264" t="s">
        <v>816</v>
      </c>
      <c r="C264" s="29" t="s">
        <v>641</v>
      </c>
      <c r="D264" s="65" t="s">
        <v>540</v>
      </c>
      <c r="E264" s="31">
        <v>3</v>
      </c>
      <c r="F264" s="99"/>
      <c r="G264" s="168"/>
      <c r="H264" s="34">
        <f>AVERAGE(AB264,AE264,AS264)</f>
        <v>5</v>
      </c>
      <c r="I264" s="87"/>
      <c r="J264" s="37"/>
      <c r="K264" s="74"/>
      <c r="L264" s="74"/>
      <c r="M264" s="24"/>
      <c r="N264" s="24"/>
      <c r="O264" s="27"/>
      <c r="P264" s="37"/>
      <c r="Q264" s="24"/>
      <c r="R264" s="37"/>
      <c r="S264" s="24"/>
      <c r="T264" s="24"/>
      <c r="U264" s="24"/>
      <c r="V264" s="24"/>
      <c r="W264" s="24"/>
      <c r="X264" s="37"/>
      <c r="Y264" s="24"/>
      <c r="Z264" s="24"/>
      <c r="AA264" s="24"/>
      <c r="AB264" s="24">
        <v>5</v>
      </c>
      <c r="AC264" s="24"/>
      <c r="AD264" s="24"/>
      <c r="AE264" s="27">
        <v>6</v>
      </c>
      <c r="AF264" s="48"/>
      <c r="AG264" s="24"/>
      <c r="AH264" s="24"/>
      <c r="AI264" s="24"/>
      <c r="AJ264" s="24"/>
      <c r="AK264" s="37"/>
      <c r="AL264" s="27"/>
      <c r="AM264" s="24"/>
      <c r="AN264" s="27"/>
      <c r="AO264" s="24"/>
      <c r="AP264" s="27"/>
      <c r="AQ264" s="24"/>
      <c r="AR264" s="28"/>
      <c r="AS264" s="26">
        <v>4</v>
      </c>
      <c r="AT264" s="37"/>
      <c r="AU264">
        <f>E264 +F264</f>
        <v>3</v>
      </c>
    </row>
    <row r="265" spans="1:47" x14ac:dyDescent="0.25">
      <c r="A265" t="str">
        <f>B265 &amp; " - " &amp;D265</f>
        <v>FCL - Rose</v>
      </c>
      <c r="B265" t="s">
        <v>816</v>
      </c>
      <c r="C265" s="29" t="s">
        <v>641</v>
      </c>
      <c r="D265" s="154" t="s">
        <v>674</v>
      </c>
      <c r="E265" s="31">
        <v>10</v>
      </c>
      <c r="F265" s="99"/>
      <c r="G265" s="168"/>
      <c r="H265" s="34">
        <f>AVERAGE(AF265,AG265,AH265,AI265,AJ265,AL265,AM265,AO265,AP265,AT265)</f>
        <v>4.8</v>
      </c>
      <c r="I265" s="87"/>
      <c r="J265" s="37"/>
      <c r="K265" s="74"/>
      <c r="L265" s="74"/>
      <c r="M265" s="24"/>
      <c r="N265" s="24"/>
      <c r="O265" s="27"/>
      <c r="P265" s="37"/>
      <c r="Q265" s="24"/>
      <c r="R265" s="37"/>
      <c r="S265" s="24"/>
      <c r="T265" s="24"/>
      <c r="U265" s="24"/>
      <c r="V265" s="24"/>
      <c r="W265" s="24"/>
      <c r="X265" s="37"/>
      <c r="Y265" s="24"/>
      <c r="Z265" s="24"/>
      <c r="AA265" s="24"/>
      <c r="AB265" s="24"/>
      <c r="AC265" s="24"/>
      <c r="AD265" s="24"/>
      <c r="AE265" s="27"/>
      <c r="AF265" s="48">
        <v>4</v>
      </c>
      <c r="AG265" s="24">
        <v>5</v>
      </c>
      <c r="AH265" s="24">
        <v>4</v>
      </c>
      <c r="AI265" s="24">
        <v>4</v>
      </c>
      <c r="AJ265" s="24">
        <v>6</v>
      </c>
      <c r="AK265" s="37"/>
      <c r="AL265" s="27">
        <v>6</v>
      </c>
      <c r="AM265" s="82">
        <v>3</v>
      </c>
      <c r="AN265" s="27"/>
      <c r="AO265" s="24">
        <v>5</v>
      </c>
      <c r="AP265" s="27">
        <v>5</v>
      </c>
      <c r="AQ265" s="24"/>
      <c r="AR265" s="28"/>
      <c r="AS265" s="26"/>
      <c r="AT265" s="37">
        <v>6</v>
      </c>
      <c r="AU265">
        <f>E265 +F265</f>
        <v>10</v>
      </c>
    </row>
    <row r="266" spans="1:47" x14ac:dyDescent="0.25">
      <c r="A266" t="str">
        <f>B266 &amp; " - " &amp;D266</f>
        <v>FCL - Musavu-King</v>
      </c>
      <c r="B266" t="s">
        <v>816</v>
      </c>
      <c r="C266" s="29" t="s">
        <v>641</v>
      </c>
      <c r="D266" s="154" t="s">
        <v>1117</v>
      </c>
      <c r="E266" s="31">
        <v>2</v>
      </c>
      <c r="F266" s="99">
        <v>1</v>
      </c>
      <c r="G266" s="168"/>
      <c r="H266" s="34">
        <f>AVERAGE(AK266,AN266)</f>
        <v>4.5</v>
      </c>
      <c r="I266" s="87"/>
      <c r="J266" s="37"/>
      <c r="K266" s="74"/>
      <c r="L266" s="74"/>
      <c r="M266" s="24"/>
      <c r="N266" s="24"/>
      <c r="O266" s="27"/>
      <c r="P266" s="37"/>
      <c r="Q266" s="24"/>
      <c r="R266" s="37"/>
      <c r="S266" s="24"/>
      <c r="T266" s="24"/>
      <c r="U266" s="24"/>
      <c r="V266" s="24"/>
      <c r="W266" s="24"/>
      <c r="X266" s="37"/>
      <c r="Y266" s="24"/>
      <c r="Z266" s="24"/>
      <c r="AA266" s="24"/>
      <c r="AB266" s="24"/>
      <c r="AC266" s="24"/>
      <c r="AD266" s="24"/>
      <c r="AE266" s="27"/>
      <c r="AF266" s="48"/>
      <c r="AG266" s="24"/>
      <c r="AH266" s="24"/>
      <c r="AI266" s="24"/>
      <c r="AJ266" s="24"/>
      <c r="AK266" s="37">
        <v>5</v>
      </c>
      <c r="AL266" s="27"/>
      <c r="AM266" s="24"/>
      <c r="AN266" s="27">
        <v>4</v>
      </c>
      <c r="AO266" s="37" t="s">
        <v>644</v>
      </c>
      <c r="AP266" s="27"/>
      <c r="AQ266" s="24"/>
      <c r="AR266" s="28"/>
      <c r="AS266" s="26"/>
      <c r="AT266" s="37"/>
      <c r="AU266">
        <f>E266 +F266</f>
        <v>3</v>
      </c>
    </row>
    <row r="267" spans="1:47" x14ac:dyDescent="0.25">
      <c r="A267" t="str">
        <f>B267 &amp; " - " &amp;D267</f>
        <v>FCL - Koffi</v>
      </c>
      <c r="B267" t="s">
        <v>816</v>
      </c>
      <c r="C267" s="29" t="s">
        <v>641</v>
      </c>
      <c r="D267" s="65" t="s">
        <v>1133</v>
      </c>
      <c r="E267" s="31">
        <v>1</v>
      </c>
      <c r="F267" s="99"/>
      <c r="G267" s="168"/>
      <c r="H267" s="34">
        <f>AVERAGE(AT267)</f>
        <v>5</v>
      </c>
      <c r="I267" s="87"/>
      <c r="J267" s="37"/>
      <c r="K267" s="74"/>
      <c r="L267" s="74"/>
      <c r="M267" s="24"/>
      <c r="N267" s="24"/>
      <c r="O267" s="27"/>
      <c r="P267" s="37"/>
      <c r="Q267" s="24"/>
      <c r="R267" s="37"/>
      <c r="S267" s="24"/>
      <c r="T267" s="24"/>
      <c r="U267" s="24"/>
      <c r="V267" s="24"/>
      <c r="W267" s="24"/>
      <c r="X267" s="37"/>
      <c r="Y267" s="24"/>
      <c r="Z267" s="24"/>
      <c r="AA267" s="24"/>
      <c r="AB267" s="24"/>
      <c r="AC267" s="24"/>
      <c r="AD267" s="24"/>
      <c r="AE267" s="27"/>
      <c r="AF267" s="48"/>
      <c r="AG267" s="24"/>
      <c r="AH267" s="24"/>
      <c r="AI267" s="24"/>
      <c r="AJ267" s="24"/>
      <c r="AK267" s="37"/>
      <c r="AL267" s="27"/>
      <c r="AM267" s="24"/>
      <c r="AN267" s="27"/>
      <c r="AO267" s="37"/>
      <c r="AP267" s="27"/>
      <c r="AQ267" s="24"/>
      <c r="AR267" s="28"/>
      <c r="AS267" s="26"/>
      <c r="AT267" s="37">
        <v>5</v>
      </c>
      <c r="AU267">
        <f>E267 +F267</f>
        <v>1</v>
      </c>
    </row>
    <row r="268" spans="1:47" x14ac:dyDescent="0.25">
      <c r="A268" t="str">
        <f>B268 &amp; " - " &amp;D268</f>
        <v>FCL - Lautoa</v>
      </c>
      <c r="B268" t="s">
        <v>816</v>
      </c>
      <c r="C268" s="67" t="s">
        <v>641</v>
      </c>
      <c r="D268" s="85" t="s">
        <v>188</v>
      </c>
      <c r="E268" s="69">
        <v>11</v>
      </c>
      <c r="F268" s="115">
        <v>2</v>
      </c>
      <c r="G268" s="85"/>
      <c r="H268" s="72">
        <f>AVERAGE(J268,K268,L268,I268,M268,O268,P268,Q268,AQ268,AR268,AS268,AT268)</f>
        <v>4.916666666666667</v>
      </c>
      <c r="I268" s="87">
        <v>5</v>
      </c>
      <c r="J268" s="84">
        <v>7</v>
      </c>
      <c r="K268" s="37">
        <v>5</v>
      </c>
      <c r="L268" s="37">
        <v>4</v>
      </c>
      <c r="M268" s="24">
        <v>6</v>
      </c>
      <c r="N268" s="24"/>
      <c r="O268" s="27">
        <v>5</v>
      </c>
      <c r="P268" s="37">
        <v>5</v>
      </c>
      <c r="Q268" s="24">
        <v>5</v>
      </c>
      <c r="R268" s="37"/>
      <c r="S268" s="37" t="s">
        <v>644</v>
      </c>
      <c r="T268" s="24"/>
      <c r="U268" s="24"/>
      <c r="V268" s="24"/>
      <c r="W268" s="24"/>
      <c r="X268" s="37"/>
      <c r="Y268" s="24"/>
      <c r="Z268" s="24"/>
      <c r="AA268" s="24"/>
      <c r="AB268" s="24"/>
      <c r="AC268" s="24"/>
      <c r="AD268" s="24"/>
      <c r="AE268" s="27"/>
      <c r="AF268" s="27"/>
      <c r="AG268" s="24"/>
      <c r="AH268" s="24"/>
      <c r="AI268" s="24"/>
      <c r="AJ268" s="24"/>
      <c r="AK268" s="37"/>
      <c r="AL268" s="27"/>
      <c r="AM268" s="24"/>
      <c r="AN268" s="27"/>
      <c r="AO268" s="24"/>
      <c r="AP268" s="27"/>
      <c r="AQ268" s="76">
        <v>4</v>
      </c>
      <c r="AR268" s="27">
        <v>4</v>
      </c>
      <c r="AS268" s="26">
        <v>4</v>
      </c>
      <c r="AT268" s="37">
        <v>5</v>
      </c>
      <c r="AU268">
        <f>E268 +F268</f>
        <v>13</v>
      </c>
    </row>
    <row r="269" spans="1:47" x14ac:dyDescent="0.25">
      <c r="A269" t="str">
        <f>B269 &amp; " - " &amp;D269</f>
        <v>OGCN - Germain</v>
      </c>
      <c r="B269" t="s">
        <v>728</v>
      </c>
      <c r="C269" s="29" t="s">
        <v>665</v>
      </c>
      <c r="D269" s="60" t="s">
        <v>195</v>
      </c>
      <c r="E269" s="31">
        <v>36</v>
      </c>
      <c r="F269" s="99">
        <v>2</v>
      </c>
      <c r="G269" s="30">
        <v>14</v>
      </c>
      <c r="H269" s="34">
        <f>AVERAGE(AT269,AS269,AA269,Z269,Y269,W269,J269,K269,L269,I269,M269,N269,O269,P269,R269,S269,T269,Q269,U269,V269,AB269,AC269,AD269,AE269,AG269,AH269,AI269,AJ269,AK269,AL269,AM269,AN269,AO269,AP269,AQ269,AR269)</f>
        <v>5.1944444444444446</v>
      </c>
      <c r="I269" s="283">
        <v>7</v>
      </c>
      <c r="J269" s="21">
        <v>6</v>
      </c>
      <c r="K269" s="37">
        <v>4</v>
      </c>
      <c r="L269" s="77">
        <v>6</v>
      </c>
      <c r="M269" s="24">
        <v>4</v>
      </c>
      <c r="N269" s="77">
        <v>6</v>
      </c>
      <c r="O269" s="28">
        <v>6</v>
      </c>
      <c r="P269" s="24">
        <v>5</v>
      </c>
      <c r="Q269" s="24">
        <v>4</v>
      </c>
      <c r="R269" s="24">
        <v>4</v>
      </c>
      <c r="S269" s="24">
        <v>4</v>
      </c>
      <c r="T269" s="24">
        <v>5</v>
      </c>
      <c r="U269" s="22">
        <v>6</v>
      </c>
      <c r="V269" s="22">
        <v>6</v>
      </c>
      <c r="W269" s="24">
        <v>4</v>
      </c>
      <c r="X269" s="37" t="s">
        <v>644</v>
      </c>
      <c r="Y269" s="24">
        <v>4</v>
      </c>
      <c r="Z269" s="22">
        <v>6</v>
      </c>
      <c r="AA269" s="24">
        <v>4</v>
      </c>
      <c r="AB269" s="24">
        <v>4</v>
      </c>
      <c r="AC269" s="24">
        <v>4</v>
      </c>
      <c r="AD269" s="37">
        <v>6</v>
      </c>
      <c r="AE269" s="26">
        <v>5</v>
      </c>
      <c r="AF269" s="101" t="s">
        <v>644</v>
      </c>
      <c r="AG269" s="24">
        <v>4</v>
      </c>
      <c r="AH269" s="22">
        <v>6</v>
      </c>
      <c r="AI269" s="24">
        <v>5</v>
      </c>
      <c r="AJ269" s="37">
        <v>4</v>
      </c>
      <c r="AK269" s="25">
        <v>7</v>
      </c>
      <c r="AL269" s="28">
        <v>6</v>
      </c>
      <c r="AM269" s="24">
        <v>6</v>
      </c>
      <c r="AN269" s="27">
        <v>4</v>
      </c>
      <c r="AO269" s="24">
        <v>6</v>
      </c>
      <c r="AP269" s="28">
        <v>6</v>
      </c>
      <c r="AQ269" s="25">
        <v>7</v>
      </c>
      <c r="AR269" s="27">
        <v>4</v>
      </c>
      <c r="AS269" s="247">
        <v>8</v>
      </c>
      <c r="AT269" s="24">
        <v>4</v>
      </c>
      <c r="AU269">
        <f>E269 +F269</f>
        <v>38</v>
      </c>
    </row>
    <row r="270" spans="1:47" x14ac:dyDescent="0.25">
      <c r="A270" t="str">
        <f>B270 &amp; " - " &amp;D270</f>
        <v>FCL - Mostefa</v>
      </c>
      <c r="B270" t="s">
        <v>816</v>
      </c>
      <c r="C270" s="50" t="s">
        <v>654</v>
      </c>
      <c r="D270" s="57" t="s">
        <v>805</v>
      </c>
      <c r="E270" s="52">
        <v>1</v>
      </c>
      <c r="F270" s="63"/>
      <c r="G270" s="57"/>
      <c r="H270" s="80">
        <f>AVERAGE(I270)</f>
        <v>5</v>
      </c>
      <c r="I270" s="149">
        <v>5</v>
      </c>
      <c r="J270" s="61"/>
      <c r="K270" s="61"/>
      <c r="L270" s="61"/>
      <c r="M270" s="53"/>
      <c r="N270" s="53"/>
      <c r="O270" s="63"/>
      <c r="P270" s="61"/>
      <c r="Q270" s="53"/>
      <c r="R270" s="61"/>
      <c r="S270" s="53"/>
      <c r="T270" s="53"/>
      <c r="U270" s="53"/>
      <c r="V270" s="61"/>
      <c r="W270" s="53"/>
      <c r="X270" s="61"/>
      <c r="Y270" s="53"/>
      <c r="Z270" s="53"/>
      <c r="AA270" s="53"/>
      <c r="AB270" s="53"/>
      <c r="AC270" s="53"/>
      <c r="AD270" s="61"/>
      <c r="AE270" s="63"/>
      <c r="AF270" s="149"/>
      <c r="AG270" s="61"/>
      <c r="AH270" s="61"/>
      <c r="AI270" s="61"/>
      <c r="AJ270" s="61"/>
      <c r="AK270" s="61"/>
      <c r="AL270" s="63"/>
      <c r="AM270" s="53"/>
      <c r="AN270" s="63"/>
      <c r="AO270" s="53"/>
      <c r="AP270" s="62"/>
      <c r="AQ270" s="61"/>
      <c r="AR270" s="62"/>
      <c r="AS270" s="62"/>
      <c r="AT270" s="61"/>
      <c r="AU270">
        <f>E270 +F270</f>
        <v>1</v>
      </c>
    </row>
    <row r="271" spans="1:47" x14ac:dyDescent="0.25">
      <c r="A271" t="str">
        <f>B271 &amp; " - " &amp;D271</f>
        <v>MHSC - Hilton</v>
      </c>
      <c r="B271" t="s">
        <v>838</v>
      </c>
      <c r="C271" s="29" t="s">
        <v>641</v>
      </c>
      <c r="D271" s="60" t="s">
        <v>197</v>
      </c>
      <c r="E271" s="31">
        <v>36</v>
      </c>
      <c r="F271" s="99"/>
      <c r="G271" s="30">
        <v>1</v>
      </c>
      <c r="H271" s="34">
        <f>AVERAGE(AT271,AS271,AA271,Y271,X271,V271,J271,K271,L271,M271,N271,O271,P271,Q271,R271,S271,T271,U271,W271,Z271,AB271,AC271,AD271,AE271,AF271,AG271,AH271,AI271,AJ271,AK271,AL271,AM271,AN271,AO271,AP271,AQ271)</f>
        <v>5.1944444444444446</v>
      </c>
      <c r="I271" s="170"/>
      <c r="J271" s="37">
        <v>5</v>
      </c>
      <c r="K271" s="37">
        <v>6</v>
      </c>
      <c r="L271" s="37">
        <v>5</v>
      </c>
      <c r="M271" s="24">
        <v>6</v>
      </c>
      <c r="N271" s="24">
        <v>5</v>
      </c>
      <c r="O271" s="27">
        <v>5</v>
      </c>
      <c r="P271" s="24">
        <v>5</v>
      </c>
      <c r="Q271" s="23">
        <v>5</v>
      </c>
      <c r="R271" s="24">
        <v>6</v>
      </c>
      <c r="S271" s="24">
        <v>6</v>
      </c>
      <c r="T271" s="24">
        <v>6</v>
      </c>
      <c r="U271" s="25">
        <v>7</v>
      </c>
      <c r="V271" s="24">
        <v>5</v>
      </c>
      <c r="W271" s="23">
        <v>4</v>
      </c>
      <c r="X271" s="24">
        <v>4</v>
      </c>
      <c r="Y271" s="24">
        <v>5</v>
      </c>
      <c r="Z271" s="24">
        <v>5</v>
      </c>
      <c r="AA271" s="24">
        <v>5</v>
      </c>
      <c r="AB271" s="24">
        <v>6</v>
      </c>
      <c r="AC271" s="24">
        <v>5</v>
      </c>
      <c r="AD271" s="24">
        <v>4</v>
      </c>
      <c r="AE271" s="163">
        <v>7</v>
      </c>
      <c r="AF271" s="24">
        <v>6</v>
      </c>
      <c r="AG271" s="24">
        <v>5</v>
      </c>
      <c r="AH271" s="24">
        <v>6</v>
      </c>
      <c r="AI271" s="24">
        <v>5</v>
      </c>
      <c r="AJ271" s="24">
        <v>6</v>
      </c>
      <c r="AK271" s="37">
        <v>5</v>
      </c>
      <c r="AL271" s="27">
        <v>4</v>
      </c>
      <c r="AM271" s="24">
        <v>4</v>
      </c>
      <c r="AN271" s="27">
        <v>5</v>
      </c>
      <c r="AO271" s="23">
        <v>4</v>
      </c>
      <c r="AP271" s="27">
        <v>6</v>
      </c>
      <c r="AQ271" s="24">
        <v>4</v>
      </c>
      <c r="AR271" s="27"/>
      <c r="AS271" s="27">
        <v>6</v>
      </c>
      <c r="AT271" s="24">
        <v>4</v>
      </c>
      <c r="AU271">
        <f>E271 +F271</f>
        <v>36</v>
      </c>
    </row>
    <row r="272" spans="1:47" x14ac:dyDescent="0.25">
      <c r="A272" t="str">
        <f>B272 &amp; " - " &amp;D272</f>
        <v>SMC - Féret</v>
      </c>
      <c r="B272" t="s">
        <v>1010</v>
      </c>
      <c r="C272" s="29" t="s">
        <v>654</v>
      </c>
      <c r="D272" s="154" t="s">
        <v>63</v>
      </c>
      <c r="E272" s="31">
        <v>37</v>
      </c>
      <c r="F272" s="99">
        <v>1</v>
      </c>
      <c r="G272" s="30">
        <v>4</v>
      </c>
      <c r="H272" s="34">
        <f>AVERAGE(AT272,AS272,AR272,AA272,X272,W272,V272,J272,K272,L272,I272,M272,N272,O272,P272,Q272,R272,S272,T272,U272,Y272,Z272,AB272,AC272,AD272,AE272,AF272,AG272,AH272,AI272,AJ272,AK272,AL272,AM272,AN272,AO272,AQ272)</f>
        <v>5.1891891891891895</v>
      </c>
      <c r="I272" s="116">
        <v>5</v>
      </c>
      <c r="J272" s="24">
        <v>6</v>
      </c>
      <c r="K272" s="37">
        <v>5</v>
      </c>
      <c r="L272" s="24">
        <v>4</v>
      </c>
      <c r="M272" s="75">
        <v>7</v>
      </c>
      <c r="N272" s="37">
        <v>4</v>
      </c>
      <c r="O272" s="27">
        <v>5</v>
      </c>
      <c r="P272" s="84">
        <v>7</v>
      </c>
      <c r="Q272" s="24">
        <v>5</v>
      </c>
      <c r="R272" s="25">
        <v>7</v>
      </c>
      <c r="S272" s="24">
        <v>5</v>
      </c>
      <c r="T272" s="24">
        <v>5</v>
      </c>
      <c r="U272" s="25">
        <v>8</v>
      </c>
      <c r="V272" s="37">
        <v>6</v>
      </c>
      <c r="W272" s="24">
        <v>5</v>
      </c>
      <c r="X272" s="24">
        <v>6</v>
      </c>
      <c r="Y272" s="37">
        <v>5</v>
      </c>
      <c r="Z272" s="24">
        <v>5</v>
      </c>
      <c r="AA272" s="76">
        <v>4</v>
      </c>
      <c r="AB272" s="24">
        <v>4</v>
      </c>
      <c r="AC272" s="37">
        <v>6</v>
      </c>
      <c r="AD272" s="23">
        <v>4</v>
      </c>
      <c r="AE272" s="284">
        <v>7</v>
      </c>
      <c r="AF272" s="293">
        <v>3</v>
      </c>
      <c r="AG272" s="24">
        <v>5</v>
      </c>
      <c r="AH272" s="161">
        <v>3</v>
      </c>
      <c r="AI272" s="24">
        <v>5</v>
      </c>
      <c r="AJ272" s="24">
        <v>6</v>
      </c>
      <c r="AK272" s="22">
        <v>6</v>
      </c>
      <c r="AL272" s="26">
        <v>5</v>
      </c>
      <c r="AM272" s="24">
        <v>6</v>
      </c>
      <c r="AN272" s="237">
        <v>3</v>
      </c>
      <c r="AO272" s="37">
        <v>4</v>
      </c>
      <c r="AP272" s="26" t="s">
        <v>644</v>
      </c>
      <c r="AQ272" s="24">
        <v>6</v>
      </c>
      <c r="AR272" s="26">
        <v>5</v>
      </c>
      <c r="AS272" s="26">
        <v>5</v>
      </c>
      <c r="AT272" s="24">
        <v>5</v>
      </c>
      <c r="AU272">
        <f>E272 +F272</f>
        <v>38</v>
      </c>
    </row>
    <row r="273" spans="1:47" x14ac:dyDescent="0.25">
      <c r="A273" t="str">
        <f>B273 &amp; " - " &amp;D273</f>
        <v>FCL - Abdullah</v>
      </c>
      <c r="B273" t="s">
        <v>816</v>
      </c>
      <c r="C273" s="29" t="s">
        <v>654</v>
      </c>
      <c r="D273" s="60" t="s">
        <v>808</v>
      </c>
      <c r="E273" s="31">
        <v>6</v>
      </c>
      <c r="F273" s="99">
        <v>6</v>
      </c>
      <c r="G273" s="30">
        <v>1</v>
      </c>
      <c r="H273" s="34">
        <f>AVERAGE(N273,P273,AE273,AF273,AK273,AP273)</f>
        <v>5.333333333333333</v>
      </c>
      <c r="I273" s="170"/>
      <c r="J273" s="37"/>
      <c r="K273" s="37"/>
      <c r="L273" s="37" t="s">
        <v>644</v>
      </c>
      <c r="M273" s="37" t="s">
        <v>644</v>
      </c>
      <c r="N273" s="24">
        <v>5</v>
      </c>
      <c r="O273" s="26" t="s">
        <v>644</v>
      </c>
      <c r="P273" s="77">
        <v>6</v>
      </c>
      <c r="Q273" s="24"/>
      <c r="R273" s="37"/>
      <c r="S273" s="37" t="s">
        <v>644</v>
      </c>
      <c r="T273" s="37" t="s">
        <v>644</v>
      </c>
      <c r="U273" s="37" t="s">
        <v>644</v>
      </c>
      <c r="V273" s="24"/>
      <c r="W273" s="24"/>
      <c r="X273" s="37"/>
      <c r="Y273" s="24"/>
      <c r="Z273" s="24"/>
      <c r="AA273" s="24"/>
      <c r="AB273" s="24"/>
      <c r="AC273" s="24"/>
      <c r="AD273" s="37"/>
      <c r="AE273" s="27">
        <v>5</v>
      </c>
      <c r="AF273" s="48">
        <v>5</v>
      </c>
      <c r="AG273" s="24"/>
      <c r="AH273" s="24"/>
      <c r="AI273" s="24"/>
      <c r="AJ273" s="24"/>
      <c r="AK273" s="37">
        <v>5</v>
      </c>
      <c r="AL273" s="27"/>
      <c r="AM273" s="37"/>
      <c r="AN273" s="27"/>
      <c r="AO273" s="24"/>
      <c r="AP273" s="26">
        <v>6</v>
      </c>
      <c r="AQ273" s="24"/>
      <c r="AR273" s="26"/>
      <c r="AS273" s="26"/>
      <c r="AT273" s="37"/>
      <c r="AU273">
        <f>E273 +F273</f>
        <v>12</v>
      </c>
    </row>
    <row r="274" spans="1:47" x14ac:dyDescent="0.25">
      <c r="A274" t="str">
        <f>B274 &amp; " - " &amp;D274</f>
        <v>OL - Morel</v>
      </c>
      <c r="B274" t="s">
        <v>704</v>
      </c>
      <c r="C274" s="29" t="s">
        <v>641</v>
      </c>
      <c r="D274" s="30" t="s">
        <v>136</v>
      </c>
      <c r="E274" s="31">
        <v>27</v>
      </c>
      <c r="F274" s="99">
        <v>4</v>
      </c>
      <c r="G274" s="30"/>
      <c r="H274" s="34">
        <f>AVERAGE(Z274,X274,J274,L274,N274,O274,P274,Q274,S274,T274,U274,V274,W274,Y274,AB274,AC274,AD274,AE274,AF274,AG274,AI274,AJ274,AK274,AL274,AM274,AN274,AQ274,AS274)</f>
        <v>5.1785714285714288</v>
      </c>
      <c r="I274" s="101" t="s">
        <v>644</v>
      </c>
      <c r="J274" s="37">
        <v>5</v>
      </c>
      <c r="K274" s="24"/>
      <c r="L274" s="37">
        <v>5</v>
      </c>
      <c r="M274" s="24"/>
      <c r="N274" s="24">
        <v>5</v>
      </c>
      <c r="O274" s="27">
        <v>6</v>
      </c>
      <c r="P274" s="24">
        <v>5</v>
      </c>
      <c r="Q274" s="24">
        <v>6</v>
      </c>
      <c r="R274" s="24"/>
      <c r="S274" s="24">
        <v>6</v>
      </c>
      <c r="T274" s="24">
        <v>5</v>
      </c>
      <c r="U274" s="66">
        <v>7</v>
      </c>
      <c r="V274" s="24">
        <v>5</v>
      </c>
      <c r="W274" s="82">
        <v>3</v>
      </c>
      <c r="X274" s="24">
        <v>6</v>
      </c>
      <c r="Y274" s="24">
        <v>4</v>
      </c>
      <c r="Z274" s="24">
        <v>5</v>
      </c>
      <c r="AA274" s="24"/>
      <c r="AB274" s="24">
        <v>5</v>
      </c>
      <c r="AC274" s="24">
        <v>6</v>
      </c>
      <c r="AD274" s="24">
        <v>4</v>
      </c>
      <c r="AE274" s="237">
        <v>3</v>
      </c>
      <c r="AF274" s="38">
        <v>6</v>
      </c>
      <c r="AG274" s="24">
        <v>6</v>
      </c>
      <c r="AH274" s="24"/>
      <c r="AI274" s="24">
        <v>6</v>
      </c>
      <c r="AJ274" s="24">
        <v>6</v>
      </c>
      <c r="AK274" s="24">
        <v>5</v>
      </c>
      <c r="AL274" s="27">
        <v>4</v>
      </c>
      <c r="AM274" s="24">
        <v>5</v>
      </c>
      <c r="AN274" s="27">
        <v>5</v>
      </c>
      <c r="AO274" s="24"/>
      <c r="AP274" s="27"/>
      <c r="AQ274" s="24">
        <v>5</v>
      </c>
      <c r="AR274" s="26" t="s">
        <v>644</v>
      </c>
      <c r="AS274" s="27">
        <v>6</v>
      </c>
      <c r="AT274" s="37" t="s">
        <v>644</v>
      </c>
      <c r="AU274">
        <f>E274 +F274</f>
        <v>31</v>
      </c>
    </row>
    <row r="275" spans="1:47" x14ac:dyDescent="0.25">
      <c r="A275" t="str">
        <f>B275 &amp; " - " &amp;D275</f>
        <v>FCGB - Contento</v>
      </c>
      <c r="B275" t="s">
        <v>796</v>
      </c>
      <c r="C275" s="29" t="s">
        <v>641</v>
      </c>
      <c r="D275" s="123" t="s">
        <v>776</v>
      </c>
      <c r="E275" s="31">
        <v>24</v>
      </c>
      <c r="F275" s="99">
        <v>1</v>
      </c>
      <c r="G275" s="30">
        <v>2</v>
      </c>
      <c r="H275" s="34">
        <f>AVERAGE(J275,U275,V275,W275,X275,Y275,Z275,AA275,AB275,AC275,AD275,AE275,AF275,AG275,AJ275,AK275,AM275,AN275,AO275,AP275,AS275,AT275,AQ275)</f>
        <v>5.1739130434782608</v>
      </c>
      <c r="I275" s="38"/>
      <c r="J275" s="24">
        <v>5</v>
      </c>
      <c r="K275" s="37"/>
      <c r="L275" s="27"/>
      <c r="M275" s="37" t="s">
        <v>644</v>
      </c>
      <c r="N275" s="37" t="s">
        <v>673</v>
      </c>
      <c r="O275" s="27"/>
      <c r="P275" s="24"/>
      <c r="Q275" s="24"/>
      <c r="R275" s="24"/>
      <c r="S275" s="37"/>
      <c r="T275" s="24"/>
      <c r="U275" s="24">
        <v>6</v>
      </c>
      <c r="V275" s="22">
        <v>6</v>
      </c>
      <c r="W275" s="24">
        <v>5</v>
      </c>
      <c r="X275" s="24">
        <v>6</v>
      </c>
      <c r="Y275" s="24">
        <v>5</v>
      </c>
      <c r="Z275" s="24">
        <v>5</v>
      </c>
      <c r="AA275" s="24">
        <v>5</v>
      </c>
      <c r="AB275" s="24">
        <v>6</v>
      </c>
      <c r="AC275" s="24">
        <v>6</v>
      </c>
      <c r="AD275" s="24">
        <v>5</v>
      </c>
      <c r="AE275" s="27">
        <v>6</v>
      </c>
      <c r="AF275" s="38">
        <v>4</v>
      </c>
      <c r="AG275" s="82">
        <v>3</v>
      </c>
      <c r="AH275" s="24"/>
      <c r="AI275" s="24"/>
      <c r="AJ275" s="82">
        <v>2</v>
      </c>
      <c r="AK275" s="66">
        <v>7</v>
      </c>
      <c r="AL275" s="27"/>
      <c r="AM275" s="25">
        <v>7</v>
      </c>
      <c r="AN275" s="27">
        <v>5</v>
      </c>
      <c r="AO275" s="37">
        <v>5</v>
      </c>
      <c r="AP275" s="27">
        <v>5</v>
      </c>
      <c r="AQ275" s="24">
        <v>5</v>
      </c>
      <c r="AR275" s="27"/>
      <c r="AS275" s="27">
        <v>5</v>
      </c>
      <c r="AT275" s="24">
        <v>5</v>
      </c>
      <c r="AU275">
        <f>E275 +F275</f>
        <v>25</v>
      </c>
    </row>
    <row r="276" spans="1:47" x14ac:dyDescent="0.25">
      <c r="A276" t="str">
        <f>B276 &amp; " - " &amp;D276</f>
        <v>SMC - Delort</v>
      </c>
      <c r="B276" t="s">
        <v>1010</v>
      </c>
      <c r="C276" s="29" t="s">
        <v>665</v>
      </c>
      <c r="D276" s="38" t="s">
        <v>269</v>
      </c>
      <c r="E276" s="31">
        <v>34</v>
      </c>
      <c r="F276" s="99">
        <v>2</v>
      </c>
      <c r="G276" s="30">
        <v>12</v>
      </c>
      <c r="H276" s="34">
        <f>AVERAGE(AT276,AS276,AA276,X276,W276,V276,J276,K276,L276,I276,M276,N276,O276,P276,Q276,R276,S276,T276,U276,Y276,Z276,AB276,AC276,AD276,AE276,AG276,AF276,AH276,AI276,AJ276,AL276,AM276,AN276,AO276,AQ276,AR276)</f>
        <v>5.166666666666667</v>
      </c>
      <c r="I276" s="116">
        <v>6</v>
      </c>
      <c r="J276" s="24">
        <v>5</v>
      </c>
      <c r="K276" s="75">
        <v>7</v>
      </c>
      <c r="L276" s="24">
        <v>5</v>
      </c>
      <c r="M276" s="37">
        <v>5</v>
      </c>
      <c r="N276" s="76">
        <v>5</v>
      </c>
      <c r="O276" s="27">
        <v>4</v>
      </c>
      <c r="P276" s="37">
        <v>6</v>
      </c>
      <c r="Q276" s="25">
        <v>7</v>
      </c>
      <c r="R276" s="23">
        <v>6</v>
      </c>
      <c r="S276" s="23">
        <v>5</v>
      </c>
      <c r="T276" s="24">
        <v>5</v>
      </c>
      <c r="U276" s="75">
        <v>7</v>
      </c>
      <c r="V276" s="37">
        <v>5</v>
      </c>
      <c r="W276" s="25">
        <v>7</v>
      </c>
      <c r="X276" s="24">
        <v>4</v>
      </c>
      <c r="Y276" s="77">
        <v>5</v>
      </c>
      <c r="Z276" s="24">
        <v>4</v>
      </c>
      <c r="AA276" s="37">
        <v>5</v>
      </c>
      <c r="AB276" s="24">
        <v>4</v>
      </c>
      <c r="AC276" s="37">
        <v>4</v>
      </c>
      <c r="AD276" s="22">
        <v>6</v>
      </c>
      <c r="AE276" s="94">
        <v>6</v>
      </c>
      <c r="AF276" s="26">
        <v>4</v>
      </c>
      <c r="AG276" s="23">
        <v>4</v>
      </c>
      <c r="AH276" s="22">
        <v>6</v>
      </c>
      <c r="AI276" s="23">
        <v>4</v>
      </c>
      <c r="AJ276" s="25">
        <v>7</v>
      </c>
      <c r="AK276" s="37"/>
      <c r="AL276" s="26">
        <v>4</v>
      </c>
      <c r="AM276" s="76">
        <v>5</v>
      </c>
      <c r="AN276" s="237">
        <v>3</v>
      </c>
      <c r="AO276" s="37">
        <v>4</v>
      </c>
      <c r="AP276" s="27"/>
      <c r="AQ276" s="37">
        <v>5</v>
      </c>
      <c r="AR276" s="27">
        <v>5</v>
      </c>
      <c r="AS276" s="28">
        <v>6</v>
      </c>
      <c r="AT276" s="77">
        <v>6</v>
      </c>
      <c r="AU276">
        <f>E276 +F276</f>
        <v>36</v>
      </c>
    </row>
    <row r="277" spans="1:47" x14ac:dyDescent="0.25">
      <c r="A277" t="str">
        <f>B277 &amp; " - " &amp;D277</f>
        <v>FCL - Mulumba</v>
      </c>
      <c r="B277" t="s">
        <v>816</v>
      </c>
      <c r="C277" s="29" t="s">
        <v>654</v>
      </c>
      <c r="D277" s="154" t="s">
        <v>810</v>
      </c>
      <c r="E277" s="99">
        <v>1</v>
      </c>
      <c r="F277" s="99">
        <v>5</v>
      </c>
      <c r="G277" s="30"/>
      <c r="H277" s="34">
        <f>AVERAGE(X277)</f>
        <v>5</v>
      </c>
      <c r="I277" s="170"/>
      <c r="J277" s="37"/>
      <c r="K277" s="37"/>
      <c r="L277" s="37"/>
      <c r="M277" s="37"/>
      <c r="N277" s="37"/>
      <c r="O277" s="26"/>
      <c r="P277" s="37"/>
      <c r="Q277" s="37"/>
      <c r="R277" s="37" t="s">
        <v>644</v>
      </c>
      <c r="S277" s="24"/>
      <c r="T277" s="24"/>
      <c r="U277" s="24"/>
      <c r="V277" s="37" t="s">
        <v>644</v>
      </c>
      <c r="W277" s="24"/>
      <c r="X277" s="37">
        <v>5</v>
      </c>
      <c r="Y277" s="37" t="s">
        <v>644</v>
      </c>
      <c r="Z277" s="24"/>
      <c r="AA277" s="24"/>
      <c r="AB277" s="24"/>
      <c r="AC277" s="24"/>
      <c r="AD277" s="37"/>
      <c r="AE277" s="26" t="s">
        <v>644</v>
      </c>
      <c r="AF277" s="48"/>
      <c r="AG277" s="24"/>
      <c r="AH277" s="24"/>
      <c r="AI277" s="24"/>
      <c r="AJ277" s="37" t="s">
        <v>644</v>
      </c>
      <c r="AK277" s="37"/>
      <c r="AL277" s="27"/>
      <c r="AM277" s="24"/>
      <c r="AN277" s="26"/>
      <c r="AO277" s="37"/>
      <c r="AP277" s="28"/>
      <c r="AQ277" s="24"/>
      <c r="AR277" s="28"/>
      <c r="AS277" s="26"/>
      <c r="AT277" s="37"/>
      <c r="AU277">
        <f>E277 +F277</f>
        <v>6</v>
      </c>
    </row>
    <row r="278" spans="1:47" x14ac:dyDescent="0.25">
      <c r="A278" t="str">
        <f>B278 &amp; " - " &amp;D278</f>
        <v>FCL - Cabot</v>
      </c>
      <c r="B278" t="s">
        <v>816</v>
      </c>
      <c r="C278" s="29" t="s">
        <v>654</v>
      </c>
      <c r="D278" s="154" t="s">
        <v>512</v>
      </c>
      <c r="E278" s="31">
        <v>8</v>
      </c>
      <c r="F278" s="99">
        <v>5</v>
      </c>
      <c r="G278" s="38">
        <v>1</v>
      </c>
      <c r="H278" s="34">
        <f>AVERAGE(AG278,AH278,AI278,AJ278,AK278,AL278,AS278,AT278)</f>
        <v>5.125</v>
      </c>
      <c r="I278" s="175"/>
      <c r="J278" s="37"/>
      <c r="K278" s="37"/>
      <c r="L278" s="76"/>
      <c r="M278" s="37"/>
      <c r="N278" s="37"/>
      <c r="O278" s="26"/>
      <c r="P278" s="37"/>
      <c r="Q278" s="24"/>
      <c r="R278" s="37"/>
      <c r="S278" s="37"/>
      <c r="T278" s="24"/>
      <c r="U278" s="24"/>
      <c r="V278" s="24"/>
      <c r="W278" s="24"/>
      <c r="X278" s="37"/>
      <c r="Y278" s="24"/>
      <c r="Z278" s="24"/>
      <c r="AA278" s="24"/>
      <c r="AB278" s="24"/>
      <c r="AC278" s="37"/>
      <c r="AD278" s="37"/>
      <c r="AE278" s="26"/>
      <c r="AF278" s="87" t="s">
        <v>644</v>
      </c>
      <c r="AG278" s="77">
        <v>6</v>
      </c>
      <c r="AH278" s="24">
        <v>4</v>
      </c>
      <c r="AI278" s="24">
        <v>5</v>
      </c>
      <c r="AJ278" s="24">
        <v>6</v>
      </c>
      <c r="AK278" s="37">
        <v>5</v>
      </c>
      <c r="AL278" s="27">
        <v>5</v>
      </c>
      <c r="AM278" s="37" t="s">
        <v>644</v>
      </c>
      <c r="AN278" s="26" t="s">
        <v>644</v>
      </c>
      <c r="AO278" s="24"/>
      <c r="AP278" s="26" t="s">
        <v>644</v>
      </c>
      <c r="AQ278" s="24"/>
      <c r="AR278" s="26" t="s">
        <v>644</v>
      </c>
      <c r="AS278" s="26">
        <v>4</v>
      </c>
      <c r="AT278" s="37">
        <v>6</v>
      </c>
      <c r="AU278">
        <f>E278 +F278</f>
        <v>13</v>
      </c>
    </row>
    <row r="279" spans="1:47" x14ac:dyDescent="0.25">
      <c r="A279" t="str">
        <f>B279 &amp; " - " &amp;D279</f>
        <v>FCL - Fofana</v>
      </c>
      <c r="B279" t="s">
        <v>816</v>
      </c>
      <c r="C279" s="29" t="s">
        <v>654</v>
      </c>
      <c r="D279" s="65" t="s">
        <v>814</v>
      </c>
      <c r="E279" s="31"/>
      <c r="F279" s="99">
        <v>6</v>
      </c>
      <c r="G279" s="30"/>
      <c r="H279" s="34"/>
      <c r="I279" s="175"/>
      <c r="J279" s="37" t="s">
        <v>644</v>
      </c>
      <c r="K279" s="37"/>
      <c r="L279" s="76" t="s">
        <v>644</v>
      </c>
      <c r="M279" s="37"/>
      <c r="N279" s="37"/>
      <c r="O279" s="26"/>
      <c r="P279" s="37" t="s">
        <v>644</v>
      </c>
      <c r="Q279" s="24"/>
      <c r="R279" s="37"/>
      <c r="S279" s="37"/>
      <c r="T279" s="24"/>
      <c r="U279" s="24"/>
      <c r="V279" s="24"/>
      <c r="W279" s="24"/>
      <c r="X279" s="37"/>
      <c r="Y279" s="24"/>
      <c r="Z279" s="24"/>
      <c r="AA279" s="24"/>
      <c r="AB279" s="24"/>
      <c r="AC279" s="37" t="s">
        <v>644</v>
      </c>
      <c r="AD279" s="37"/>
      <c r="AE279" s="26"/>
      <c r="AF279" s="48"/>
      <c r="AG279" s="37"/>
      <c r="AH279" s="37" t="s">
        <v>644</v>
      </c>
      <c r="AI279" s="24"/>
      <c r="AJ279" s="24"/>
      <c r="AK279" s="37"/>
      <c r="AL279" s="27"/>
      <c r="AM279" s="24"/>
      <c r="AN279" s="27"/>
      <c r="AO279" s="24"/>
      <c r="AP279" s="27"/>
      <c r="AQ279" s="76" t="s">
        <v>644</v>
      </c>
      <c r="AR279" s="27"/>
      <c r="AS279" s="26"/>
      <c r="AT279" s="37"/>
      <c r="AU279">
        <f>E279 +F279</f>
        <v>6</v>
      </c>
    </row>
    <row r="280" spans="1:47" x14ac:dyDescent="0.25">
      <c r="A280" t="str">
        <f>B280 &amp; " - " &amp;D280</f>
        <v>FCL - Gakpa</v>
      </c>
      <c r="B280" t="s">
        <v>816</v>
      </c>
      <c r="C280" s="29" t="s">
        <v>654</v>
      </c>
      <c r="D280" s="154" t="s">
        <v>815</v>
      </c>
      <c r="E280" s="99"/>
      <c r="F280" s="99">
        <v>3</v>
      </c>
      <c r="G280" s="30"/>
      <c r="H280" s="34"/>
      <c r="I280" s="87"/>
      <c r="J280" s="37" t="s">
        <v>644</v>
      </c>
      <c r="K280" s="37"/>
      <c r="L280" s="37"/>
      <c r="M280" s="24"/>
      <c r="N280" s="37" t="s">
        <v>644</v>
      </c>
      <c r="O280" s="27"/>
      <c r="P280" s="37"/>
      <c r="Q280" s="24"/>
      <c r="R280" s="37"/>
      <c r="S280" s="37"/>
      <c r="T280" s="24"/>
      <c r="U280" s="24"/>
      <c r="V280" s="24"/>
      <c r="W280" s="37"/>
      <c r="X280" s="37"/>
      <c r="Y280" s="24"/>
      <c r="Z280" s="37"/>
      <c r="AA280" s="24"/>
      <c r="AB280" s="37"/>
      <c r="AC280" s="37"/>
      <c r="AD280" s="24"/>
      <c r="AE280" s="27"/>
      <c r="AF280" s="48"/>
      <c r="AG280" s="24"/>
      <c r="AH280" s="24"/>
      <c r="AI280" s="24"/>
      <c r="AJ280" s="24"/>
      <c r="AK280" s="37"/>
      <c r="AL280" s="27"/>
      <c r="AM280" s="24"/>
      <c r="AN280" s="27"/>
      <c r="AO280" s="24"/>
      <c r="AP280" s="27"/>
      <c r="AQ280" s="24"/>
      <c r="AR280" s="27"/>
      <c r="AS280" s="26" t="s">
        <v>644</v>
      </c>
      <c r="AT280" s="37"/>
      <c r="AU280">
        <f>E280 +F280</f>
        <v>3</v>
      </c>
    </row>
    <row r="281" spans="1:47" x14ac:dyDescent="0.25">
      <c r="A281" t="str">
        <f>B281 &amp; " - " &amp;D281</f>
        <v>FCL - Ben Khémis</v>
      </c>
      <c r="B281" t="s">
        <v>816</v>
      </c>
      <c r="C281" s="29" t="s">
        <v>654</v>
      </c>
      <c r="D281" s="65" t="s">
        <v>1134</v>
      </c>
      <c r="E281" s="99"/>
      <c r="F281" s="99">
        <v>1</v>
      </c>
      <c r="G281" s="30"/>
      <c r="H281" s="34"/>
      <c r="I281" s="87"/>
      <c r="J281" s="37"/>
      <c r="K281" s="37"/>
      <c r="L281" s="37"/>
      <c r="M281" s="24"/>
      <c r="N281" s="37"/>
      <c r="O281" s="27"/>
      <c r="P281" s="37"/>
      <c r="Q281" s="24"/>
      <c r="R281" s="37"/>
      <c r="S281" s="37"/>
      <c r="T281" s="24"/>
      <c r="U281" s="24"/>
      <c r="V281" s="24"/>
      <c r="W281" s="37"/>
      <c r="X281" s="37"/>
      <c r="Y281" s="24"/>
      <c r="Z281" s="37"/>
      <c r="AA281" s="24"/>
      <c r="AB281" s="37"/>
      <c r="AC281" s="37"/>
      <c r="AD281" s="24"/>
      <c r="AE281" s="27"/>
      <c r="AF281" s="48"/>
      <c r="AG281" s="24"/>
      <c r="AH281" s="24"/>
      <c r="AI281" s="24"/>
      <c r="AJ281" s="24"/>
      <c r="AK281" s="37"/>
      <c r="AL281" s="27"/>
      <c r="AM281" s="24"/>
      <c r="AN281" s="27"/>
      <c r="AO281" s="24"/>
      <c r="AP281" s="27"/>
      <c r="AQ281" s="24"/>
      <c r="AR281" s="27"/>
      <c r="AS281" s="26"/>
      <c r="AT281" s="37" t="s">
        <v>644</v>
      </c>
      <c r="AU281">
        <f>E281 +F281</f>
        <v>1</v>
      </c>
    </row>
    <row r="282" spans="1:47" x14ac:dyDescent="0.25">
      <c r="A282" t="str">
        <f>B282 &amp; " - " &amp;D282</f>
        <v>FCL - Traoré</v>
      </c>
      <c r="B282" t="s">
        <v>816</v>
      </c>
      <c r="C282" s="102" t="s">
        <v>654</v>
      </c>
      <c r="D282" s="156" t="s">
        <v>788</v>
      </c>
      <c r="E282" s="172"/>
      <c r="F282" s="172">
        <v>3</v>
      </c>
      <c r="G282" s="156"/>
      <c r="H282" s="72"/>
      <c r="I282" s="173" t="s">
        <v>644</v>
      </c>
      <c r="J282" s="108"/>
      <c r="K282" s="108"/>
      <c r="L282" s="108"/>
      <c r="M282" s="109"/>
      <c r="N282" s="108"/>
      <c r="O282" s="174"/>
      <c r="P282" s="108"/>
      <c r="Q282" s="109"/>
      <c r="R282" s="108"/>
      <c r="S282" s="109"/>
      <c r="T282" s="109"/>
      <c r="U282" s="109"/>
      <c r="V282" s="109"/>
      <c r="W282" s="109"/>
      <c r="X282" s="108"/>
      <c r="Y282" s="109"/>
      <c r="Z282" s="109"/>
      <c r="AA282" s="109"/>
      <c r="AB282" s="109"/>
      <c r="AC282" s="109"/>
      <c r="AD282" s="76" t="s">
        <v>644</v>
      </c>
      <c r="AE282" s="174"/>
      <c r="AF282" s="111"/>
      <c r="AG282" s="109"/>
      <c r="AH282" s="109"/>
      <c r="AI282" s="109"/>
      <c r="AJ282" s="109"/>
      <c r="AK282" s="108"/>
      <c r="AL282" s="110"/>
      <c r="AM282" s="109"/>
      <c r="AN282" s="110"/>
      <c r="AO282" s="109"/>
      <c r="AP282" s="110"/>
      <c r="AQ282" s="76" t="s">
        <v>644</v>
      </c>
      <c r="AR282" s="110"/>
      <c r="AS282" s="174"/>
      <c r="AT282" s="108"/>
      <c r="AU282">
        <f>E282 +F282</f>
        <v>3</v>
      </c>
    </row>
    <row r="283" spans="1:47" x14ac:dyDescent="0.25">
      <c r="A283" t="str">
        <f>B283 &amp; " - " &amp;D283</f>
        <v>SCB - Squillaci</v>
      </c>
      <c r="B283" t="s">
        <v>887</v>
      </c>
      <c r="C283" s="29" t="s">
        <v>641</v>
      </c>
      <c r="D283" s="30" t="s">
        <v>170</v>
      </c>
      <c r="E283" s="31">
        <v>29</v>
      </c>
      <c r="F283" s="99">
        <v>2</v>
      </c>
      <c r="G283" s="30">
        <v>2</v>
      </c>
      <c r="H283" s="34">
        <f>AVERAGE(K283,L283,I283,M283,N283,O283,P283,Q283,R283,S283,T283,U283,V283,Z283,AA283,AB283,AC283,AD283,AE283,AF283,AG283,AJ283,AK283,AL283,AM283,AN283,AP283,AQ283,AR283,AS283)</f>
        <v>5.166666666666667</v>
      </c>
      <c r="I283" s="87">
        <v>5</v>
      </c>
      <c r="J283" s="37" t="s">
        <v>644</v>
      </c>
      <c r="K283" s="191">
        <v>7</v>
      </c>
      <c r="L283" s="37">
        <v>4</v>
      </c>
      <c r="M283" s="24">
        <v>4</v>
      </c>
      <c r="N283" s="24">
        <v>5</v>
      </c>
      <c r="O283" s="27">
        <v>5</v>
      </c>
      <c r="P283" s="25">
        <v>8</v>
      </c>
      <c r="Q283" s="24">
        <v>5</v>
      </c>
      <c r="R283" s="24">
        <v>4</v>
      </c>
      <c r="S283" s="24">
        <v>5</v>
      </c>
      <c r="T283" s="24">
        <v>5</v>
      </c>
      <c r="U283" s="24">
        <v>5</v>
      </c>
      <c r="V283" s="24">
        <v>4</v>
      </c>
      <c r="W283" s="24"/>
      <c r="X283" s="24"/>
      <c r="Y283" s="24"/>
      <c r="Z283" s="24">
        <v>5</v>
      </c>
      <c r="AA283" s="24">
        <v>6</v>
      </c>
      <c r="AB283" s="24">
        <v>4</v>
      </c>
      <c r="AC283" s="24">
        <v>6</v>
      </c>
      <c r="AD283" s="24">
        <v>6</v>
      </c>
      <c r="AE283" s="27">
        <v>6</v>
      </c>
      <c r="AF283" s="27">
        <v>4</v>
      </c>
      <c r="AG283" s="24">
        <v>5</v>
      </c>
      <c r="AH283" s="24"/>
      <c r="AI283" s="24"/>
      <c r="AJ283" s="24">
        <v>6</v>
      </c>
      <c r="AK283" s="24">
        <v>5</v>
      </c>
      <c r="AL283" s="27">
        <v>4</v>
      </c>
      <c r="AM283" s="24">
        <v>5</v>
      </c>
      <c r="AN283" s="27">
        <v>5</v>
      </c>
      <c r="AO283" s="24"/>
      <c r="AP283" s="27">
        <v>5</v>
      </c>
      <c r="AQ283" s="24">
        <v>5</v>
      </c>
      <c r="AR283" s="27">
        <v>6</v>
      </c>
      <c r="AS283" s="27">
        <v>6</v>
      </c>
      <c r="AT283" s="24"/>
      <c r="AU283">
        <f>E283 +F283</f>
        <v>31</v>
      </c>
    </row>
    <row r="284" spans="1:47" x14ac:dyDescent="0.25">
      <c r="A284" t="str">
        <f>B284 &amp; " - " &amp;D284</f>
        <v>FCL - Bouanga</v>
      </c>
      <c r="B284" t="s">
        <v>816</v>
      </c>
      <c r="C284" s="50" t="s">
        <v>665</v>
      </c>
      <c r="D284" s="57" t="s">
        <v>811</v>
      </c>
      <c r="E284" s="52">
        <v>3</v>
      </c>
      <c r="F284" s="63">
        <v>1</v>
      </c>
      <c r="G284" s="57">
        <v>1</v>
      </c>
      <c r="H284" s="80">
        <f>AVERAGE(I284,L284)</f>
        <v>5.5</v>
      </c>
      <c r="I284" s="149">
        <v>5</v>
      </c>
      <c r="J284" s="61" t="s">
        <v>644</v>
      </c>
      <c r="K284" s="61" t="s">
        <v>677</v>
      </c>
      <c r="L284" s="61">
        <v>6</v>
      </c>
      <c r="M284" s="53"/>
      <c r="N284" s="53"/>
      <c r="O284" s="63"/>
      <c r="P284" s="61"/>
      <c r="Q284" s="53"/>
      <c r="R284" s="61"/>
      <c r="S284" s="53"/>
      <c r="T284" s="53"/>
      <c r="U284" s="53"/>
      <c r="V284" s="61"/>
      <c r="W284" s="53"/>
      <c r="X284" s="61"/>
      <c r="Y284" s="53"/>
      <c r="Z284" s="53"/>
      <c r="AA284" s="53"/>
      <c r="AB284" s="53"/>
      <c r="AC284" s="53"/>
      <c r="AD284" s="61"/>
      <c r="AE284" s="63"/>
      <c r="AF284" s="149"/>
      <c r="AG284" s="61"/>
      <c r="AH284" s="61"/>
      <c r="AI284" s="61"/>
      <c r="AJ284" s="61"/>
      <c r="AK284" s="61"/>
      <c r="AL284" s="63"/>
      <c r="AM284" s="53"/>
      <c r="AN284" s="63"/>
      <c r="AO284" s="53"/>
      <c r="AP284" s="62"/>
      <c r="AQ284" s="61"/>
      <c r="AR284" s="62"/>
      <c r="AS284" s="62"/>
      <c r="AT284" s="61"/>
      <c r="AU284">
        <f>E284 +F284</f>
        <v>4</v>
      </c>
    </row>
    <row r="285" spans="1:47" x14ac:dyDescent="0.25">
      <c r="A285" t="str">
        <f>B285 &amp; " - " &amp;D285</f>
        <v>FCL - Lavigne</v>
      </c>
      <c r="B285" t="s">
        <v>816</v>
      </c>
      <c r="C285" s="50" t="s">
        <v>665</v>
      </c>
      <c r="D285" s="57" t="s">
        <v>812</v>
      </c>
      <c r="E285" s="52">
        <v>1</v>
      </c>
      <c r="F285" s="63">
        <v>5</v>
      </c>
      <c r="G285" s="57"/>
      <c r="H285" s="80">
        <f>AVERAGE(Z285)</f>
        <v>4</v>
      </c>
      <c r="I285" s="149"/>
      <c r="J285" s="61"/>
      <c r="K285" s="61"/>
      <c r="L285" s="61"/>
      <c r="M285" s="53"/>
      <c r="N285" s="53"/>
      <c r="O285" s="63"/>
      <c r="P285" s="61"/>
      <c r="Q285" s="53"/>
      <c r="R285" s="61"/>
      <c r="S285" s="53"/>
      <c r="T285" s="53"/>
      <c r="U285" s="53"/>
      <c r="V285" s="61"/>
      <c r="W285" s="53" t="s">
        <v>644</v>
      </c>
      <c r="X285" s="61" t="s">
        <v>644</v>
      </c>
      <c r="Y285" s="53" t="s">
        <v>644</v>
      </c>
      <c r="Z285" s="53">
        <v>4</v>
      </c>
      <c r="AA285" s="53"/>
      <c r="AB285" s="53" t="s">
        <v>644</v>
      </c>
      <c r="AC285" s="53" t="s">
        <v>644</v>
      </c>
      <c r="AD285" s="61"/>
      <c r="AE285" s="63"/>
      <c r="AF285" s="149"/>
      <c r="AG285" s="61"/>
      <c r="AH285" s="61"/>
      <c r="AI285" s="61"/>
      <c r="AJ285" s="61"/>
      <c r="AK285" s="61"/>
      <c r="AL285" s="63"/>
      <c r="AM285" s="53"/>
      <c r="AN285" s="63"/>
      <c r="AO285" s="53"/>
      <c r="AP285" s="62"/>
      <c r="AQ285" s="61"/>
      <c r="AR285" s="62"/>
      <c r="AS285" s="62"/>
      <c r="AT285" s="61"/>
      <c r="AU285">
        <f>E285 +F285</f>
        <v>6</v>
      </c>
    </row>
    <row r="286" spans="1:47" x14ac:dyDescent="0.25">
      <c r="A286" t="str">
        <f>B286 &amp; " - " &amp;D286</f>
        <v>ASSE - Eysseric</v>
      </c>
      <c r="B286" t="s">
        <v>746</v>
      </c>
      <c r="C286" s="29" t="s">
        <v>654</v>
      </c>
      <c r="D286" s="154" t="s">
        <v>203</v>
      </c>
      <c r="E286" s="31">
        <v>19</v>
      </c>
      <c r="F286" s="99">
        <v>10</v>
      </c>
      <c r="G286" s="30">
        <v>6</v>
      </c>
      <c r="H286" s="34">
        <f>AVERAGE(K286,L286,M286,N286,P286,Q286,R286,S286,T286,U286,W286,X286,AA286,AB286,AK286,AL286,AM286,AR286,AS286)</f>
        <v>5.1578947368421053</v>
      </c>
      <c r="I286" s="38"/>
      <c r="J286" s="36"/>
      <c r="K286" s="37">
        <v>4</v>
      </c>
      <c r="L286" s="22">
        <v>6</v>
      </c>
      <c r="M286" s="24">
        <v>5</v>
      </c>
      <c r="N286" s="23">
        <v>4</v>
      </c>
      <c r="O286" s="26" t="s">
        <v>644</v>
      </c>
      <c r="P286" s="24">
        <v>5</v>
      </c>
      <c r="Q286" s="24">
        <v>5</v>
      </c>
      <c r="R286" s="83">
        <v>7</v>
      </c>
      <c r="S286" s="37">
        <v>4</v>
      </c>
      <c r="T286" s="25">
        <v>7</v>
      </c>
      <c r="U286" s="24">
        <v>4</v>
      </c>
      <c r="V286" s="24" t="s">
        <v>673</v>
      </c>
      <c r="W286" s="25">
        <v>7</v>
      </c>
      <c r="X286" s="37">
        <v>5</v>
      </c>
      <c r="Y286" s="77" t="s">
        <v>644</v>
      </c>
      <c r="Z286" s="24"/>
      <c r="AA286" s="24">
        <v>5</v>
      </c>
      <c r="AB286" s="24">
        <v>4</v>
      </c>
      <c r="AC286" s="37" t="s">
        <v>644</v>
      </c>
      <c r="AD286" s="24"/>
      <c r="AE286" s="27"/>
      <c r="AF286" s="38"/>
      <c r="AG286" s="24"/>
      <c r="AH286" s="37" t="s">
        <v>644</v>
      </c>
      <c r="AI286" s="24"/>
      <c r="AJ286" s="77" t="s">
        <v>644</v>
      </c>
      <c r="AK286" s="24">
        <v>5</v>
      </c>
      <c r="AL286" s="27">
        <v>6</v>
      </c>
      <c r="AM286" s="25">
        <v>7</v>
      </c>
      <c r="AN286" s="26" t="s">
        <v>644</v>
      </c>
      <c r="AO286" s="37" t="s">
        <v>644</v>
      </c>
      <c r="AP286" s="26" t="s">
        <v>644</v>
      </c>
      <c r="AQ286" s="37" t="s">
        <v>644</v>
      </c>
      <c r="AR286" s="27">
        <v>5</v>
      </c>
      <c r="AS286" s="237">
        <v>3</v>
      </c>
      <c r="AT286" s="24"/>
      <c r="AU286">
        <f>E286 +F286</f>
        <v>29</v>
      </c>
    </row>
    <row r="287" spans="1:47" ht="15.75" thickBot="1" x14ac:dyDescent="0.3">
      <c r="A287" t="str">
        <f>B287 &amp; " - " &amp;D287</f>
        <v>FCL - Waris</v>
      </c>
      <c r="B287" t="s">
        <v>816</v>
      </c>
      <c r="C287" s="88" t="s">
        <v>665</v>
      </c>
      <c r="D287" s="165" t="s">
        <v>813</v>
      </c>
      <c r="E287" s="90">
        <v>20</v>
      </c>
      <c r="F287" s="119">
        <v>1</v>
      </c>
      <c r="G287" s="140">
        <v>10</v>
      </c>
      <c r="H287" s="120">
        <f>AVERAGE(J287,M287,N287,O287,P287,Q287,S287,AA287,AB287,AE287,AF287,AG287,AI287,AJ287,AK287,AL287,AM287,AN287,AO287)</f>
        <v>5.4210526315789478</v>
      </c>
      <c r="I287" s="175"/>
      <c r="J287" s="37">
        <v>4</v>
      </c>
      <c r="K287" s="37"/>
      <c r="L287" s="77"/>
      <c r="M287" s="75">
        <v>7</v>
      </c>
      <c r="N287" s="37">
        <v>4</v>
      </c>
      <c r="O287" s="94">
        <v>6</v>
      </c>
      <c r="P287" s="37">
        <v>4</v>
      </c>
      <c r="Q287" s="22">
        <v>6</v>
      </c>
      <c r="R287" s="37"/>
      <c r="S287" s="37">
        <v>6</v>
      </c>
      <c r="T287" s="24" t="s">
        <v>655</v>
      </c>
      <c r="U287" s="24"/>
      <c r="V287" s="24"/>
      <c r="W287" s="24"/>
      <c r="X287" s="37"/>
      <c r="Y287" s="24"/>
      <c r="Z287" s="24"/>
      <c r="AA287" s="24">
        <v>4</v>
      </c>
      <c r="AB287" s="22">
        <v>6</v>
      </c>
      <c r="AC287" s="24"/>
      <c r="AD287" s="37"/>
      <c r="AE287" s="26">
        <v>4</v>
      </c>
      <c r="AF287" s="48">
        <v>6</v>
      </c>
      <c r="AG287" s="37">
        <v>4</v>
      </c>
      <c r="AH287" s="24"/>
      <c r="AI287" s="25">
        <v>8</v>
      </c>
      <c r="AJ287" s="25">
        <v>7</v>
      </c>
      <c r="AK287" s="37">
        <v>4</v>
      </c>
      <c r="AL287" s="28">
        <v>6</v>
      </c>
      <c r="AM287" s="22">
        <v>4</v>
      </c>
      <c r="AN287" s="28">
        <v>6</v>
      </c>
      <c r="AO287" s="25">
        <v>7</v>
      </c>
      <c r="AP287" s="26" t="s">
        <v>644</v>
      </c>
      <c r="AQ287" s="24"/>
      <c r="AR287" s="27"/>
      <c r="AS287" s="26"/>
      <c r="AT287" s="37"/>
      <c r="AU287">
        <f>E287 +F287</f>
        <v>21</v>
      </c>
    </row>
    <row r="288" spans="1:47" x14ac:dyDescent="0.25">
      <c r="A288" t="str">
        <f>B288 &amp; " - " &amp;D288</f>
        <v>MHSC - Jourdren</v>
      </c>
      <c r="B288" t="s">
        <v>838</v>
      </c>
      <c r="C288" s="16" t="s">
        <v>638</v>
      </c>
      <c r="D288" s="17" t="s">
        <v>817</v>
      </c>
      <c r="E288" s="18">
        <v>7</v>
      </c>
      <c r="F288" s="95"/>
      <c r="G288" s="158"/>
      <c r="H288" s="20">
        <f>AVERAGE(J288,I288,AO288,AP288,AQ288,AR288,AS288)</f>
        <v>5.4285714285714288</v>
      </c>
      <c r="I288" s="87">
        <v>6</v>
      </c>
      <c r="J288" s="139">
        <v>5</v>
      </c>
      <c r="K288" s="94"/>
      <c r="L288" s="24"/>
      <c r="M288" s="22"/>
      <c r="N288" s="22"/>
      <c r="O288" s="24"/>
      <c r="P288" s="24"/>
      <c r="Q288" s="24"/>
      <c r="R288" s="24"/>
      <c r="S288" s="24"/>
      <c r="T288" s="22"/>
      <c r="U288" s="24"/>
      <c r="V288" s="22"/>
      <c r="W288" s="24"/>
      <c r="X288" s="24"/>
      <c r="Y288" s="24"/>
      <c r="Z288" s="24"/>
      <c r="AA288" s="24"/>
      <c r="AB288" s="24"/>
      <c r="AC288" s="24"/>
      <c r="AD288" s="22"/>
      <c r="AE288" s="22"/>
      <c r="AF288" s="24"/>
      <c r="AG288" s="22"/>
      <c r="AH288" s="28"/>
      <c r="AI288" s="24"/>
      <c r="AJ288" s="24"/>
      <c r="AK288" s="24"/>
      <c r="AL288" s="27"/>
      <c r="AM288" s="27"/>
      <c r="AN288" s="24"/>
      <c r="AO288" s="142">
        <v>5</v>
      </c>
      <c r="AP288" s="22">
        <v>5</v>
      </c>
      <c r="AQ288" s="23">
        <v>6</v>
      </c>
      <c r="AR288" s="27">
        <v>5</v>
      </c>
      <c r="AS288" s="22">
        <v>6</v>
      </c>
      <c r="AT288" s="27"/>
      <c r="AU288">
        <f>E288 +F288</f>
        <v>7</v>
      </c>
    </row>
    <row r="289" spans="1:47" x14ac:dyDescent="0.25">
      <c r="A289" t="str">
        <f>B289 &amp; " - " &amp;D289</f>
        <v>MHSC - Ligali</v>
      </c>
      <c r="B289" t="s">
        <v>838</v>
      </c>
      <c r="C289" s="29" t="s">
        <v>638</v>
      </c>
      <c r="D289" s="30" t="s">
        <v>818</v>
      </c>
      <c r="E289" s="31">
        <v>6</v>
      </c>
      <c r="F289" s="99"/>
      <c r="G289" s="73"/>
      <c r="H289" s="34">
        <f>AVERAGE(K289,L289,M289,N289,O289,AI289)</f>
        <v>5.333333333333333</v>
      </c>
      <c r="I289" s="87"/>
      <c r="J289" s="24"/>
      <c r="K289" s="24">
        <v>6</v>
      </c>
      <c r="L289" s="22">
        <v>6</v>
      </c>
      <c r="M289" s="24">
        <v>5</v>
      </c>
      <c r="N289" s="24">
        <v>6</v>
      </c>
      <c r="O289" s="24">
        <v>4</v>
      </c>
      <c r="P289" s="24"/>
      <c r="Q289" s="24"/>
      <c r="R289" s="24"/>
      <c r="S289" s="24"/>
      <c r="T289" s="24"/>
      <c r="U289" s="24"/>
      <c r="V289" s="24"/>
      <c r="W289" s="24"/>
      <c r="X289" s="24"/>
      <c r="Y289" s="22"/>
      <c r="Z289" s="24"/>
      <c r="AA289" s="22"/>
      <c r="AB289" s="24"/>
      <c r="AC289" s="24"/>
      <c r="AD289" s="24"/>
      <c r="AE289" s="24"/>
      <c r="AF289" s="24"/>
      <c r="AG289" s="24"/>
      <c r="AH289" s="27"/>
      <c r="AI289" s="24">
        <v>5</v>
      </c>
      <c r="AJ289" s="24"/>
      <c r="AK289" s="24"/>
      <c r="AL289" s="27"/>
      <c r="AM289" s="27"/>
      <c r="AN289" s="24"/>
      <c r="AO289" s="27"/>
      <c r="AP289" s="24"/>
      <c r="AQ289" s="24"/>
      <c r="AR289" s="28"/>
      <c r="AS289" s="24"/>
      <c r="AT289" s="27"/>
      <c r="AU289">
        <f>E289 +F289</f>
        <v>6</v>
      </c>
    </row>
    <row r="290" spans="1:47" x14ac:dyDescent="0.25">
      <c r="A290" t="str">
        <f>B290 &amp; " - " &amp;D290</f>
        <v>Losc - Civelli</v>
      </c>
      <c r="B290" t="s">
        <v>771</v>
      </c>
      <c r="C290" s="67" t="s">
        <v>641</v>
      </c>
      <c r="D290" s="162" t="s">
        <v>282</v>
      </c>
      <c r="E290" s="69">
        <v>32</v>
      </c>
      <c r="F290" s="115"/>
      <c r="G290" s="68"/>
      <c r="H290" s="72">
        <f>AVERAGE(J290,K290,L290,I290,M290,N290,P290,O290,Q290,R290,S290,T290,V290,W290,Y290,Z290,AA290,AB290,AC290,AD290,AE290,AF290,AG290,AH290,AI290,AJ290,AL290,AM290,AN290,AO290,AS290,AT290)</f>
        <v>5.15625</v>
      </c>
      <c r="I290" s="48">
        <v>5</v>
      </c>
      <c r="J290" s="24">
        <v>6</v>
      </c>
      <c r="K290" s="24">
        <v>5</v>
      </c>
      <c r="L290" s="24">
        <v>5</v>
      </c>
      <c r="M290" s="24">
        <v>6</v>
      </c>
      <c r="N290" s="24">
        <v>5</v>
      </c>
      <c r="O290" s="24">
        <v>5</v>
      </c>
      <c r="P290" s="37">
        <v>4</v>
      </c>
      <c r="Q290" s="24">
        <v>5</v>
      </c>
      <c r="R290" s="24">
        <v>5</v>
      </c>
      <c r="S290" s="24">
        <v>4</v>
      </c>
      <c r="T290" s="24">
        <v>5</v>
      </c>
      <c r="U290" s="24"/>
      <c r="V290" s="37">
        <v>5</v>
      </c>
      <c r="W290" s="82">
        <v>3</v>
      </c>
      <c r="X290" s="24"/>
      <c r="Y290" s="24">
        <v>5</v>
      </c>
      <c r="Z290" s="24">
        <v>6</v>
      </c>
      <c r="AA290" s="24">
        <v>5</v>
      </c>
      <c r="AB290" s="24">
        <v>4</v>
      </c>
      <c r="AC290" s="24">
        <v>5</v>
      </c>
      <c r="AD290" s="24">
        <v>4</v>
      </c>
      <c r="AE290" s="24">
        <v>5</v>
      </c>
      <c r="AF290" s="66">
        <v>7</v>
      </c>
      <c r="AG290" s="24">
        <v>6</v>
      </c>
      <c r="AH290" s="27">
        <v>5</v>
      </c>
      <c r="AI290" s="24">
        <v>6</v>
      </c>
      <c r="AJ290" s="24">
        <v>5</v>
      </c>
      <c r="AK290" s="24"/>
      <c r="AL290" s="27">
        <v>6</v>
      </c>
      <c r="AM290" s="27">
        <v>5</v>
      </c>
      <c r="AN290" s="24">
        <v>6</v>
      </c>
      <c r="AO290" s="26">
        <v>4</v>
      </c>
      <c r="AP290" s="37"/>
      <c r="AQ290" s="24"/>
      <c r="AR290" s="27"/>
      <c r="AS290" s="37">
        <v>6</v>
      </c>
      <c r="AT290" s="163">
        <v>7</v>
      </c>
      <c r="AU290">
        <f>E290 +F290</f>
        <v>32</v>
      </c>
    </row>
    <row r="291" spans="1:47" x14ac:dyDescent="0.25">
      <c r="A291" t="str">
        <f>B291 &amp; " - " &amp;D291</f>
        <v>FCL - Jouffre</v>
      </c>
      <c r="B291" t="s">
        <v>816</v>
      </c>
      <c r="C291" s="29" t="s">
        <v>654</v>
      </c>
      <c r="D291" s="60" t="s">
        <v>807</v>
      </c>
      <c r="E291" s="31">
        <v>21</v>
      </c>
      <c r="F291" s="99">
        <v>6</v>
      </c>
      <c r="G291" s="73">
        <v>2</v>
      </c>
      <c r="H291" s="34">
        <f>AVERAGE(M291,N291,O291,Q291,R291,S291,T291,U291,W291,X291,Z291,AA291,AB291,AC291,AD291,AE291,AG291,AN291,AQ291,AR291,AT291)</f>
        <v>5.1428571428571432</v>
      </c>
      <c r="I291" s="87"/>
      <c r="J291" s="79"/>
      <c r="K291" s="37"/>
      <c r="L291" s="37"/>
      <c r="M291" s="25">
        <v>7</v>
      </c>
      <c r="N291" s="24">
        <v>6</v>
      </c>
      <c r="O291" s="24">
        <v>5</v>
      </c>
      <c r="P291" s="37" t="s">
        <v>644</v>
      </c>
      <c r="Q291" s="24">
        <v>5</v>
      </c>
      <c r="R291" s="37">
        <v>4</v>
      </c>
      <c r="S291" s="24">
        <v>5</v>
      </c>
      <c r="T291" s="24">
        <v>4</v>
      </c>
      <c r="U291" s="66">
        <v>7</v>
      </c>
      <c r="V291" s="37" t="s">
        <v>644</v>
      </c>
      <c r="W291" s="24">
        <v>4</v>
      </c>
      <c r="X291" s="37">
        <v>6</v>
      </c>
      <c r="Y291" s="24"/>
      <c r="Z291" s="24">
        <v>4</v>
      </c>
      <c r="AA291" s="24">
        <v>6</v>
      </c>
      <c r="AB291" s="24">
        <v>4</v>
      </c>
      <c r="AC291" s="24">
        <v>4</v>
      </c>
      <c r="AD291" s="22">
        <v>6</v>
      </c>
      <c r="AE291" s="66">
        <v>7</v>
      </c>
      <c r="AF291" s="37" t="s">
        <v>644</v>
      </c>
      <c r="AG291" s="24">
        <v>5</v>
      </c>
      <c r="AH291" s="27"/>
      <c r="AI291" s="24"/>
      <c r="AJ291" s="24"/>
      <c r="AK291" s="37"/>
      <c r="AL291" s="26" t="s">
        <v>644</v>
      </c>
      <c r="AM291" s="26" t="s">
        <v>644</v>
      </c>
      <c r="AN291" s="37">
        <v>4</v>
      </c>
      <c r="AO291" s="27"/>
      <c r="AP291" s="37" t="s">
        <v>644</v>
      </c>
      <c r="AQ291" s="24">
        <v>5</v>
      </c>
      <c r="AR291" s="26">
        <v>5</v>
      </c>
      <c r="AS291" s="37"/>
      <c r="AT291" s="26">
        <v>5</v>
      </c>
      <c r="AU291">
        <f>E291 +F291</f>
        <v>27</v>
      </c>
    </row>
    <row r="292" spans="1:47" x14ac:dyDescent="0.25">
      <c r="A292" t="str">
        <f>B292 &amp; " - " &amp;D292</f>
        <v>SCB - Cahuzac</v>
      </c>
      <c r="B292" t="s">
        <v>887</v>
      </c>
      <c r="C292" s="29" t="s">
        <v>654</v>
      </c>
      <c r="D292" s="60" t="s">
        <v>875</v>
      </c>
      <c r="E292" s="31">
        <v>29</v>
      </c>
      <c r="F292" s="99">
        <v>2</v>
      </c>
      <c r="G292" s="73">
        <v>2</v>
      </c>
      <c r="H292" s="34">
        <f>AVERAGE(Y292,W292,J292,K292,L292,I292,M292,N292,O292,P292,R292,S292,T292,U292,V292,AA292,AB292,AC292,AD292,AG292,AH292,AJ292,AK292,AL292,AN292,AO292,AQ292,AR292,AS292)</f>
        <v>5.1379310344827589</v>
      </c>
      <c r="I292" s="101">
        <v>5</v>
      </c>
      <c r="J292" s="37">
        <v>5</v>
      </c>
      <c r="K292" s="37">
        <v>5</v>
      </c>
      <c r="L292" s="37">
        <v>5</v>
      </c>
      <c r="M292" s="24">
        <v>5</v>
      </c>
      <c r="N292" s="24">
        <v>5</v>
      </c>
      <c r="O292" s="24">
        <v>4</v>
      </c>
      <c r="P292" s="24">
        <v>5</v>
      </c>
      <c r="Q292" s="24" t="s">
        <v>673</v>
      </c>
      <c r="R292" s="24">
        <v>5</v>
      </c>
      <c r="S292" s="24">
        <v>5</v>
      </c>
      <c r="T292" s="24">
        <v>6</v>
      </c>
      <c r="U292" s="24">
        <v>5</v>
      </c>
      <c r="V292" s="24">
        <v>5</v>
      </c>
      <c r="W292" s="24">
        <v>5</v>
      </c>
      <c r="X292" s="24"/>
      <c r="Y292" s="24">
        <v>4</v>
      </c>
      <c r="Z292" s="22"/>
      <c r="AA292" s="24">
        <v>6</v>
      </c>
      <c r="AB292" s="24">
        <v>4</v>
      </c>
      <c r="AC292" s="24">
        <v>6</v>
      </c>
      <c r="AD292" s="24">
        <v>5</v>
      </c>
      <c r="AE292" s="24"/>
      <c r="AF292" s="24"/>
      <c r="AG292" s="24">
        <v>6</v>
      </c>
      <c r="AH292" s="27">
        <v>6</v>
      </c>
      <c r="AI292" s="24"/>
      <c r="AJ292" s="24">
        <v>6</v>
      </c>
      <c r="AK292" s="24">
        <v>6</v>
      </c>
      <c r="AL292" s="27">
        <v>4</v>
      </c>
      <c r="AM292" s="27"/>
      <c r="AN292" s="24">
        <v>5</v>
      </c>
      <c r="AO292" s="237">
        <v>3</v>
      </c>
      <c r="AP292" s="24"/>
      <c r="AQ292" s="22">
        <v>5</v>
      </c>
      <c r="AR292" s="163">
        <v>7</v>
      </c>
      <c r="AS292" s="22">
        <v>6</v>
      </c>
      <c r="AT292" s="26" t="s">
        <v>644</v>
      </c>
      <c r="AU292">
        <f>E292 +F292</f>
        <v>31</v>
      </c>
    </row>
    <row r="293" spans="1:47" x14ac:dyDescent="0.25">
      <c r="A293" t="str">
        <f>B293 &amp; " - " &amp;D293</f>
        <v>MHSC - Gissi</v>
      </c>
      <c r="B293" t="s">
        <v>838</v>
      </c>
      <c r="C293" s="29" t="s">
        <v>641</v>
      </c>
      <c r="D293" s="60" t="s">
        <v>821</v>
      </c>
      <c r="E293" s="31"/>
      <c r="F293" s="99"/>
      <c r="G293" s="114"/>
      <c r="H293" s="34"/>
      <c r="I293" s="87"/>
      <c r="J293" s="37"/>
      <c r="K293" s="37"/>
      <c r="L293" s="37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7"/>
      <c r="AI293" s="24"/>
      <c r="AJ293" s="24"/>
      <c r="AK293" s="24"/>
      <c r="AL293" s="27"/>
      <c r="AM293" s="27"/>
      <c r="AN293" s="24"/>
      <c r="AO293" s="27"/>
      <c r="AP293" s="24"/>
      <c r="AQ293" s="24"/>
      <c r="AR293" s="27"/>
      <c r="AS293" s="24"/>
      <c r="AT293" s="27"/>
      <c r="AU293">
        <f>E293 +F293</f>
        <v>0</v>
      </c>
    </row>
    <row r="294" spans="1:47" x14ac:dyDescent="0.25">
      <c r="A294" t="str">
        <f>B294 &amp; " - " &amp;D294</f>
        <v>EAG - M. Diallo</v>
      </c>
      <c r="B294" t="s">
        <v>999</v>
      </c>
      <c r="C294" s="29" t="s">
        <v>654</v>
      </c>
      <c r="D294" s="30" t="s">
        <v>985</v>
      </c>
      <c r="E294" s="31">
        <v>21</v>
      </c>
      <c r="F294" s="99">
        <v>9</v>
      </c>
      <c r="G294" s="73">
        <v>1</v>
      </c>
      <c r="H294" s="34">
        <f>AVERAGE(AA294,X294,I294,J294,K294,L294,O294,R294,S294,T294,U294,V294,W294,AD294,AH294,AL294,AM294,AN294,AO294,AP294,AQ294,AS294,AT294)</f>
        <v>5.1304347826086953</v>
      </c>
      <c r="I294" s="173">
        <v>5</v>
      </c>
      <c r="J294" s="27">
        <v>5</v>
      </c>
      <c r="K294" s="74">
        <v>6</v>
      </c>
      <c r="L294" s="37">
        <v>4</v>
      </c>
      <c r="M294" s="76" t="s">
        <v>644</v>
      </c>
      <c r="N294" s="37" t="s">
        <v>644</v>
      </c>
      <c r="O294" s="37">
        <v>4</v>
      </c>
      <c r="P294" s="37" t="s">
        <v>644</v>
      </c>
      <c r="Q294" s="37" t="s">
        <v>644</v>
      </c>
      <c r="R294" s="23">
        <v>4</v>
      </c>
      <c r="S294" s="24">
        <v>5</v>
      </c>
      <c r="T294" s="24">
        <v>5</v>
      </c>
      <c r="U294" s="24">
        <v>4</v>
      </c>
      <c r="V294" s="37">
        <v>5</v>
      </c>
      <c r="W294" s="37">
        <v>5</v>
      </c>
      <c r="X294" s="24">
        <v>5</v>
      </c>
      <c r="Y294" s="37"/>
      <c r="Z294" s="37"/>
      <c r="AA294" s="24">
        <v>5</v>
      </c>
      <c r="AB294" s="37" t="s">
        <v>644</v>
      </c>
      <c r="AC294" s="37" t="s">
        <v>644</v>
      </c>
      <c r="AD294" s="24">
        <v>5</v>
      </c>
      <c r="AE294" s="24"/>
      <c r="AF294" s="24"/>
      <c r="AG294" s="24"/>
      <c r="AH294" s="27">
        <v>6</v>
      </c>
      <c r="AI294" s="24"/>
      <c r="AJ294" s="24"/>
      <c r="AK294" s="37" t="s">
        <v>644</v>
      </c>
      <c r="AL294" s="26">
        <v>6</v>
      </c>
      <c r="AM294" s="26">
        <v>6</v>
      </c>
      <c r="AN294" s="24">
        <v>5</v>
      </c>
      <c r="AO294" s="26">
        <v>5</v>
      </c>
      <c r="AP294" s="75">
        <v>8</v>
      </c>
      <c r="AQ294" s="24">
        <v>5</v>
      </c>
      <c r="AR294" s="26"/>
      <c r="AS294" s="24">
        <v>5</v>
      </c>
      <c r="AT294" s="27">
        <v>5</v>
      </c>
      <c r="AU294">
        <f>E294 +F294</f>
        <v>30</v>
      </c>
    </row>
    <row r="295" spans="1:47" x14ac:dyDescent="0.25">
      <c r="A295" t="str">
        <f>B295 &amp; " - " &amp;D295</f>
        <v>MHSC - N'Diaye</v>
      </c>
      <c r="B295" t="s">
        <v>838</v>
      </c>
      <c r="C295" s="29" t="s">
        <v>641</v>
      </c>
      <c r="D295" s="60" t="s">
        <v>823</v>
      </c>
      <c r="E295" s="31">
        <v>1</v>
      </c>
      <c r="F295" s="99">
        <v>7</v>
      </c>
      <c r="G295" s="73"/>
      <c r="H295" s="34">
        <f>AVERAGE(U295)</f>
        <v>5</v>
      </c>
      <c r="I295" s="87" t="s">
        <v>644</v>
      </c>
      <c r="J295" s="37"/>
      <c r="K295" s="37"/>
      <c r="L295" s="37"/>
      <c r="M295" s="24"/>
      <c r="N295" s="24"/>
      <c r="O295" s="24"/>
      <c r="P295" s="24"/>
      <c r="Q295" s="24"/>
      <c r="R295" s="37" t="s">
        <v>644</v>
      </c>
      <c r="S295" s="24"/>
      <c r="T295" s="37" t="s">
        <v>644</v>
      </c>
      <c r="U295" s="24">
        <v>5</v>
      </c>
      <c r="V295" s="24"/>
      <c r="W295" s="24"/>
      <c r="X295" s="24"/>
      <c r="Y295" s="76" t="s">
        <v>644</v>
      </c>
      <c r="Z295" s="24"/>
      <c r="AA295" s="24"/>
      <c r="AB295" s="24"/>
      <c r="AC295" s="37" t="s">
        <v>644</v>
      </c>
      <c r="AD295" s="24"/>
      <c r="AE295" s="24"/>
      <c r="AF295" s="76" t="s">
        <v>644</v>
      </c>
      <c r="AG295" s="24"/>
      <c r="AH295" s="27"/>
      <c r="AI295" s="22"/>
      <c r="AJ295" s="24"/>
      <c r="AK295" s="24"/>
      <c r="AL295" s="27"/>
      <c r="AM295" s="27"/>
      <c r="AN295" s="24"/>
      <c r="AO295" s="27"/>
      <c r="AP295" s="24"/>
      <c r="AQ295" s="37" t="s">
        <v>644</v>
      </c>
      <c r="AR295" s="27"/>
      <c r="AS295" s="24"/>
      <c r="AT295" s="27"/>
      <c r="AU295">
        <f>E295 +F295</f>
        <v>8</v>
      </c>
    </row>
    <row r="296" spans="1:47" x14ac:dyDescent="0.25">
      <c r="A296" t="str">
        <f>B296 &amp; " - " &amp;D296</f>
        <v>Losc - Mavuba</v>
      </c>
      <c r="B296" t="s">
        <v>771</v>
      </c>
      <c r="C296" s="29" t="s">
        <v>654</v>
      </c>
      <c r="D296" s="60" t="s">
        <v>762</v>
      </c>
      <c r="E296" s="31">
        <v>31</v>
      </c>
      <c r="F296" s="99">
        <v>4</v>
      </c>
      <c r="G296" s="73"/>
      <c r="H296" s="34">
        <f>AVERAGE(X296,J296,K296,L296,I296,M296,N296,P296,O296,Q296,S296,T296,U296,V296,W296,Y296,Z296,AA296,AB296,AC296,AD296,AG296,AE296,AH296,AI296,AJ296,AK296,AN296,AP296,AR296,AT296)</f>
        <v>5.129032258064516</v>
      </c>
      <c r="I296" s="48">
        <v>5</v>
      </c>
      <c r="J296" s="24">
        <v>5</v>
      </c>
      <c r="K296" s="24">
        <v>5</v>
      </c>
      <c r="L296" s="24">
        <v>5</v>
      </c>
      <c r="M296" s="24">
        <v>5</v>
      </c>
      <c r="N296" s="24">
        <v>5</v>
      </c>
      <c r="O296" s="24">
        <v>5</v>
      </c>
      <c r="P296" s="24">
        <v>5</v>
      </c>
      <c r="Q296" s="24">
        <v>5</v>
      </c>
      <c r="R296" s="22"/>
      <c r="S296" s="24">
        <v>5</v>
      </c>
      <c r="T296" s="24">
        <v>5</v>
      </c>
      <c r="U296" s="24">
        <v>5</v>
      </c>
      <c r="V296" s="24">
        <v>5</v>
      </c>
      <c r="W296" s="24">
        <v>6</v>
      </c>
      <c r="X296" s="24">
        <v>5</v>
      </c>
      <c r="Y296" s="24">
        <v>5</v>
      </c>
      <c r="Z296" s="24">
        <v>5</v>
      </c>
      <c r="AA296" s="24">
        <v>5</v>
      </c>
      <c r="AB296" s="24">
        <v>5</v>
      </c>
      <c r="AC296" s="24">
        <v>5</v>
      </c>
      <c r="AD296" s="24">
        <v>4</v>
      </c>
      <c r="AE296" s="24">
        <v>5</v>
      </c>
      <c r="AF296" s="37" t="s">
        <v>644</v>
      </c>
      <c r="AG296" s="24">
        <v>5</v>
      </c>
      <c r="AH296" s="27">
        <v>6</v>
      </c>
      <c r="AI296" s="24">
        <v>6</v>
      </c>
      <c r="AJ296" s="24">
        <v>4</v>
      </c>
      <c r="AK296" s="24">
        <v>6</v>
      </c>
      <c r="AL296" s="26" t="s">
        <v>644</v>
      </c>
      <c r="AM296" s="26" t="s">
        <v>644</v>
      </c>
      <c r="AN296" s="24">
        <v>6</v>
      </c>
      <c r="AO296" s="26" t="s">
        <v>644</v>
      </c>
      <c r="AP296" s="24">
        <v>5</v>
      </c>
      <c r="AQ296" s="24"/>
      <c r="AR296" s="27">
        <v>5</v>
      </c>
      <c r="AS296" s="24"/>
      <c r="AT296" s="27">
        <v>6</v>
      </c>
      <c r="AU296">
        <f>E296 +F296</f>
        <v>35</v>
      </c>
    </row>
    <row r="297" spans="1:47" x14ac:dyDescent="0.25">
      <c r="A297" t="str">
        <f>B297 &amp; " - " &amp;D297</f>
        <v>FCL - Mesloub</v>
      </c>
      <c r="B297" t="s">
        <v>816</v>
      </c>
      <c r="C297" s="29" t="s">
        <v>654</v>
      </c>
      <c r="D297" s="60" t="s">
        <v>806</v>
      </c>
      <c r="E297" s="31">
        <v>23</v>
      </c>
      <c r="F297" s="99">
        <v>6</v>
      </c>
      <c r="G297" s="73">
        <v>1</v>
      </c>
      <c r="H297" s="34">
        <f>AVERAGE(J297,K297,L297,I297,M297,R297,T297,W297,Y297,AA297,AB297,AC297,AD297,AF297,AG297,AH297,AI297,AJ297,AL297,AM297,AN297,AO297,AQ297,AR297)</f>
        <v>5.125</v>
      </c>
      <c r="I297" s="87">
        <v>6</v>
      </c>
      <c r="J297" s="37">
        <v>5</v>
      </c>
      <c r="K297" s="37">
        <v>5</v>
      </c>
      <c r="L297" s="37">
        <v>5</v>
      </c>
      <c r="M297" s="24">
        <v>5</v>
      </c>
      <c r="N297" s="24"/>
      <c r="O297" s="24"/>
      <c r="P297" s="37"/>
      <c r="Q297" s="37" t="s">
        <v>644</v>
      </c>
      <c r="R297" s="37">
        <v>5</v>
      </c>
      <c r="S297" s="37"/>
      <c r="T297" s="24">
        <v>5</v>
      </c>
      <c r="U297" s="37" t="s">
        <v>644</v>
      </c>
      <c r="V297" s="24"/>
      <c r="W297" s="24">
        <v>5</v>
      </c>
      <c r="X297" s="37"/>
      <c r="Y297" s="25">
        <v>7</v>
      </c>
      <c r="Z297" s="37" t="s">
        <v>644</v>
      </c>
      <c r="AA297" s="66">
        <v>7</v>
      </c>
      <c r="AB297" s="24">
        <v>4</v>
      </c>
      <c r="AC297" s="24">
        <v>4</v>
      </c>
      <c r="AD297" s="24">
        <v>5</v>
      </c>
      <c r="AE297" s="37" t="s">
        <v>644</v>
      </c>
      <c r="AF297" s="24">
        <v>6</v>
      </c>
      <c r="AG297" s="24">
        <v>5</v>
      </c>
      <c r="AH297" s="27">
        <v>5</v>
      </c>
      <c r="AI297" s="24">
        <v>5</v>
      </c>
      <c r="AJ297" s="24">
        <v>6</v>
      </c>
      <c r="AK297" s="37" t="s">
        <v>644</v>
      </c>
      <c r="AL297" s="163">
        <v>7</v>
      </c>
      <c r="AM297" s="237">
        <v>3</v>
      </c>
      <c r="AN297" s="24">
        <v>4</v>
      </c>
      <c r="AO297" s="27">
        <v>5</v>
      </c>
      <c r="AP297" s="24"/>
      <c r="AQ297" s="24">
        <v>4</v>
      </c>
      <c r="AR297" s="27">
        <v>5</v>
      </c>
      <c r="AS297" s="37"/>
      <c r="AT297" s="26"/>
      <c r="AU297">
        <f>E297 +F297</f>
        <v>29</v>
      </c>
    </row>
    <row r="298" spans="1:47" x14ac:dyDescent="0.25">
      <c r="A298" t="str">
        <f>B298 &amp; " - " &amp;D298</f>
        <v>MHSC - Bensebaini</v>
      </c>
      <c r="B298" t="s">
        <v>838</v>
      </c>
      <c r="C298" s="67" t="s">
        <v>641</v>
      </c>
      <c r="D298" s="153" t="s">
        <v>824</v>
      </c>
      <c r="E298" s="69">
        <v>15</v>
      </c>
      <c r="F298" s="115">
        <v>7</v>
      </c>
      <c r="G298" s="68">
        <v>2</v>
      </c>
      <c r="H298" s="72">
        <f>AVERAGE(J298,K298,I298,M298,P298,Q298,T298,U298,V298,W298,Y298,AA298,AC298,AD298,AF298)</f>
        <v>5</v>
      </c>
      <c r="I298" s="87">
        <v>4</v>
      </c>
      <c r="J298" s="37">
        <v>5</v>
      </c>
      <c r="K298" s="37">
        <v>5</v>
      </c>
      <c r="L298" s="37"/>
      <c r="M298" s="24">
        <v>5</v>
      </c>
      <c r="N298" s="24"/>
      <c r="O298" s="37" t="s">
        <v>644</v>
      </c>
      <c r="P298" s="22">
        <v>6</v>
      </c>
      <c r="Q298" s="24">
        <v>5</v>
      </c>
      <c r="R298" s="24"/>
      <c r="S298" s="37" t="s">
        <v>644</v>
      </c>
      <c r="T298" s="24">
        <v>5</v>
      </c>
      <c r="U298" s="24">
        <v>5</v>
      </c>
      <c r="V298" s="24">
        <v>4</v>
      </c>
      <c r="W298" s="24">
        <v>5</v>
      </c>
      <c r="X298" s="24"/>
      <c r="Y298" s="24">
        <v>5</v>
      </c>
      <c r="Z298" s="37" t="s">
        <v>644</v>
      </c>
      <c r="AA298" s="24">
        <v>5</v>
      </c>
      <c r="AB298" s="24"/>
      <c r="AC298" s="24">
        <v>5</v>
      </c>
      <c r="AD298" s="22">
        <v>6</v>
      </c>
      <c r="AE298" s="37" t="s">
        <v>644</v>
      </c>
      <c r="AF298" s="23">
        <v>5</v>
      </c>
      <c r="AG298" s="24"/>
      <c r="AH298" s="139" t="s">
        <v>644</v>
      </c>
      <c r="AI298" s="22"/>
      <c r="AJ298" s="24"/>
      <c r="AK298" s="37" t="s">
        <v>644</v>
      </c>
      <c r="AL298" s="27"/>
      <c r="AM298" s="26" t="s">
        <v>644</v>
      </c>
      <c r="AN298" s="24"/>
      <c r="AO298" s="27"/>
      <c r="AP298" s="24"/>
      <c r="AQ298" s="24"/>
      <c r="AR298" s="27"/>
      <c r="AS298" s="24"/>
      <c r="AT298" s="27"/>
      <c r="AU298">
        <f>E298 +F298</f>
        <v>22</v>
      </c>
    </row>
    <row r="299" spans="1:47" x14ac:dyDescent="0.25">
      <c r="A299" t="str">
        <f>B299 &amp; " - " &amp;D299</f>
        <v>MHSC - Ribelin</v>
      </c>
      <c r="B299" t="s">
        <v>838</v>
      </c>
      <c r="C299" s="29" t="s">
        <v>654</v>
      </c>
      <c r="D299" s="60" t="s">
        <v>825</v>
      </c>
      <c r="E299" s="31">
        <v>1</v>
      </c>
      <c r="F299" s="99"/>
      <c r="G299" s="73"/>
      <c r="H299" s="100">
        <f>AVERAGE(AD299)</f>
        <v>4</v>
      </c>
      <c r="I299" s="87"/>
      <c r="J299" s="37"/>
      <c r="K299" s="37"/>
      <c r="L299" s="37"/>
      <c r="M299" s="24"/>
      <c r="N299" s="24"/>
      <c r="O299" s="24"/>
      <c r="P299" s="24"/>
      <c r="Q299" s="24"/>
      <c r="R299" s="24"/>
      <c r="S299" s="24"/>
      <c r="T299" s="24"/>
      <c r="U299" s="24"/>
      <c r="V299" s="37"/>
      <c r="W299" s="37"/>
      <c r="X299" s="24"/>
      <c r="Y299" s="37"/>
      <c r="Z299" s="24"/>
      <c r="AA299" s="24"/>
      <c r="AB299" s="24"/>
      <c r="AC299" s="24"/>
      <c r="AD299" s="24">
        <v>4</v>
      </c>
      <c r="AE299" s="24"/>
      <c r="AF299" s="24"/>
      <c r="AG299" s="24"/>
      <c r="AH299" s="27"/>
      <c r="AI299" s="24"/>
      <c r="AJ299" s="24"/>
      <c r="AK299" s="24"/>
      <c r="AL299" s="27"/>
      <c r="AM299" s="27"/>
      <c r="AN299" s="24"/>
      <c r="AO299" s="27"/>
      <c r="AP299" s="24"/>
      <c r="AQ299" s="24"/>
      <c r="AR299" s="26"/>
      <c r="AS299" s="24"/>
      <c r="AT299" s="27"/>
      <c r="AU299">
        <f>E299 +F299</f>
        <v>1</v>
      </c>
    </row>
    <row r="300" spans="1:47" x14ac:dyDescent="0.25">
      <c r="A300" t="str">
        <f>B300 &amp; " - " &amp;D300</f>
        <v>MHSC - Lasne</v>
      </c>
      <c r="B300" t="s">
        <v>838</v>
      </c>
      <c r="C300" s="29" t="s">
        <v>654</v>
      </c>
      <c r="D300" s="30" t="s">
        <v>826</v>
      </c>
      <c r="E300" s="31">
        <v>6</v>
      </c>
      <c r="F300" s="99">
        <v>3</v>
      </c>
      <c r="G300" s="73"/>
      <c r="H300" s="34">
        <f>AVERAGE(J300,K300,L300,I300,M300,N300,R300)</f>
        <v>4.5714285714285712</v>
      </c>
      <c r="I300" s="87">
        <v>4</v>
      </c>
      <c r="J300" s="37">
        <v>5</v>
      </c>
      <c r="K300" s="37">
        <v>4</v>
      </c>
      <c r="L300" s="37">
        <v>5</v>
      </c>
      <c r="M300" s="37">
        <v>5</v>
      </c>
      <c r="N300" s="24">
        <v>4</v>
      </c>
      <c r="O300" s="24"/>
      <c r="P300" s="37" t="s">
        <v>644</v>
      </c>
      <c r="Q300" s="76" t="s">
        <v>644</v>
      </c>
      <c r="R300" s="24">
        <v>5</v>
      </c>
      <c r="S300" s="24"/>
      <c r="T300" s="24"/>
      <c r="U300" s="24"/>
      <c r="V300" s="37"/>
      <c r="W300" s="37"/>
      <c r="X300" s="24"/>
      <c r="Y300" s="24"/>
      <c r="Z300" s="37"/>
      <c r="AA300" s="24"/>
      <c r="AB300" s="22"/>
      <c r="AC300" s="24"/>
      <c r="AD300" s="22"/>
      <c r="AE300" s="24"/>
      <c r="AF300" s="24"/>
      <c r="AG300" s="24"/>
      <c r="AH300" s="26"/>
      <c r="AI300" s="37"/>
      <c r="AJ300" s="24"/>
      <c r="AK300" s="24"/>
      <c r="AL300" s="27"/>
      <c r="AM300" s="27"/>
      <c r="AN300" s="24"/>
      <c r="AO300" s="26"/>
      <c r="AP300" s="24"/>
      <c r="AQ300" s="24"/>
      <c r="AR300" s="27"/>
      <c r="AS300" s="24"/>
      <c r="AT300" s="27"/>
      <c r="AU300">
        <f>E300 +F300</f>
        <v>9</v>
      </c>
    </row>
    <row r="301" spans="1:47" x14ac:dyDescent="0.25">
      <c r="A301" t="str">
        <f>B301 &amp; " - " &amp;D301</f>
        <v>TFC - Lafont</v>
      </c>
      <c r="B301" t="s">
        <v>868</v>
      </c>
      <c r="C301" s="29" t="s">
        <v>638</v>
      </c>
      <c r="D301" s="126" t="s">
        <v>839</v>
      </c>
      <c r="E301" s="31">
        <v>24</v>
      </c>
      <c r="F301" s="99"/>
      <c r="G301" s="73"/>
      <c r="H301" s="34">
        <f>AVERAGE(W301,X301,Y301,Z301,AA301,AB301,AC301,AD301,AE301,AF301,AG301,AH301,AI301,AJ301,AK301,AL301,AM301,AN301,AO301,AP301,AQ301,AR301,AS301,AT301)</f>
        <v>5.125</v>
      </c>
      <c r="I301" s="87"/>
      <c r="J301" s="24"/>
      <c r="K301" s="27"/>
      <c r="L301" s="24"/>
      <c r="M301" s="37"/>
      <c r="N301" s="24"/>
      <c r="O301" s="24"/>
      <c r="P301" s="24"/>
      <c r="Q301" s="24"/>
      <c r="R301" s="24"/>
      <c r="S301" s="24"/>
      <c r="T301" s="37"/>
      <c r="U301" s="24"/>
      <c r="V301" s="24"/>
      <c r="W301" s="22">
        <v>6</v>
      </c>
      <c r="X301" s="25">
        <v>7</v>
      </c>
      <c r="Y301" s="24">
        <v>4</v>
      </c>
      <c r="Z301" s="24">
        <v>5</v>
      </c>
      <c r="AA301" s="24">
        <v>6</v>
      </c>
      <c r="AB301" s="24">
        <v>6</v>
      </c>
      <c r="AC301" s="24">
        <v>5</v>
      </c>
      <c r="AD301" s="82">
        <v>3</v>
      </c>
      <c r="AE301" s="24">
        <v>4</v>
      </c>
      <c r="AF301" s="24">
        <v>5</v>
      </c>
      <c r="AG301" s="25">
        <v>7</v>
      </c>
      <c r="AH301" s="27">
        <v>4</v>
      </c>
      <c r="AI301" s="24">
        <v>5</v>
      </c>
      <c r="AJ301" s="24">
        <v>5</v>
      </c>
      <c r="AK301" s="24">
        <v>6</v>
      </c>
      <c r="AL301" s="28">
        <v>6</v>
      </c>
      <c r="AM301" s="27">
        <v>4</v>
      </c>
      <c r="AN301" s="22">
        <v>6</v>
      </c>
      <c r="AO301" s="28">
        <v>6</v>
      </c>
      <c r="AP301" s="24">
        <v>5</v>
      </c>
      <c r="AQ301" s="82">
        <v>2</v>
      </c>
      <c r="AR301" s="28">
        <v>5</v>
      </c>
      <c r="AS301" s="22">
        <v>6</v>
      </c>
      <c r="AT301" s="27">
        <v>5</v>
      </c>
      <c r="AU301">
        <f>E301 +F301</f>
        <v>24</v>
      </c>
    </row>
    <row r="302" spans="1:47" x14ac:dyDescent="0.25">
      <c r="A302" t="str">
        <f>B302 &amp; " - " &amp;D302</f>
        <v>MHSC - Marveaux</v>
      </c>
      <c r="B302" t="s">
        <v>838</v>
      </c>
      <c r="C302" s="29" t="s">
        <v>654</v>
      </c>
      <c r="D302" s="30" t="s">
        <v>828</v>
      </c>
      <c r="E302" s="31">
        <v>5</v>
      </c>
      <c r="F302" s="99">
        <v>4</v>
      </c>
      <c r="G302" s="73">
        <v>1</v>
      </c>
      <c r="H302" s="34">
        <f>AVERAGE(L302,I302,M302,N302)</f>
        <v>5.5</v>
      </c>
      <c r="I302" s="87">
        <v>5</v>
      </c>
      <c r="J302" s="37"/>
      <c r="K302" s="37" t="s">
        <v>644</v>
      </c>
      <c r="L302" s="37">
        <v>5</v>
      </c>
      <c r="M302" s="25">
        <v>7</v>
      </c>
      <c r="N302" s="37">
        <v>5</v>
      </c>
      <c r="O302" s="37"/>
      <c r="P302" s="37" t="s">
        <v>644</v>
      </c>
      <c r="Q302" s="37"/>
      <c r="R302" s="24" t="s">
        <v>673</v>
      </c>
      <c r="S302" s="24"/>
      <c r="T302" s="37"/>
      <c r="U302" s="24"/>
      <c r="V302" s="24"/>
      <c r="W302" s="24"/>
      <c r="X302" s="24"/>
      <c r="Y302" s="24"/>
      <c r="Z302" s="24"/>
      <c r="AA302" s="24"/>
      <c r="AB302" s="24"/>
      <c r="AC302" s="24"/>
      <c r="AD302" s="37"/>
      <c r="AE302" s="24"/>
      <c r="AF302" s="24"/>
      <c r="AG302" s="37" t="s">
        <v>644</v>
      </c>
      <c r="AH302" s="27"/>
      <c r="AI302" s="24"/>
      <c r="AJ302" s="24"/>
      <c r="AK302" s="37"/>
      <c r="AL302" s="27"/>
      <c r="AM302" s="27"/>
      <c r="AN302" s="24"/>
      <c r="AO302" s="26"/>
      <c r="AP302" s="24"/>
      <c r="AQ302" s="37"/>
      <c r="AR302" s="27"/>
      <c r="AS302" s="24"/>
      <c r="AT302" s="26" t="s">
        <v>644</v>
      </c>
      <c r="AU302">
        <f>E302 +F302</f>
        <v>9</v>
      </c>
    </row>
    <row r="303" spans="1:47" x14ac:dyDescent="0.25">
      <c r="A303" t="str">
        <f>B303 &amp; " - " &amp;D303</f>
        <v>MHSC - Saihi</v>
      </c>
      <c r="B303" t="s">
        <v>838</v>
      </c>
      <c r="C303" s="29" t="s">
        <v>654</v>
      </c>
      <c r="D303" s="30" t="s">
        <v>829</v>
      </c>
      <c r="E303" s="31">
        <v>8</v>
      </c>
      <c r="F303" s="99">
        <v>5</v>
      </c>
      <c r="G303" s="73"/>
      <c r="H303" s="34">
        <f>AVERAGE(AA303,AD303,AG303,AH303,AI303,AJ303,AL303,AO303)</f>
        <v>5</v>
      </c>
      <c r="I303" s="87"/>
      <c r="J303" s="37"/>
      <c r="K303" s="37"/>
      <c r="L303" s="37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37" t="s">
        <v>644</v>
      </c>
      <c r="AA303" s="24">
        <v>4</v>
      </c>
      <c r="AB303" s="76" t="s">
        <v>644</v>
      </c>
      <c r="AC303" s="24"/>
      <c r="AD303" s="24">
        <v>5</v>
      </c>
      <c r="AE303" s="24"/>
      <c r="AF303" s="37" t="s">
        <v>644</v>
      </c>
      <c r="AG303" s="24">
        <v>5</v>
      </c>
      <c r="AH303" s="27">
        <v>6</v>
      </c>
      <c r="AI303" s="24">
        <v>6</v>
      </c>
      <c r="AJ303" s="24">
        <v>4</v>
      </c>
      <c r="AK303" s="37" t="s">
        <v>644</v>
      </c>
      <c r="AL303" s="27">
        <v>5</v>
      </c>
      <c r="AM303" s="27"/>
      <c r="AN303" s="37" t="s">
        <v>644</v>
      </c>
      <c r="AO303" s="27">
        <v>5</v>
      </c>
      <c r="AP303" s="24"/>
      <c r="AQ303" s="24"/>
      <c r="AR303" s="27"/>
      <c r="AS303" s="24"/>
      <c r="AT303" s="27"/>
      <c r="AU303">
        <f>E303 +F303</f>
        <v>13</v>
      </c>
    </row>
    <row r="304" spans="1:47" x14ac:dyDescent="0.25">
      <c r="A304" t="str">
        <f>B304 &amp; " - " &amp;D304</f>
        <v>MHSC - Skhiri</v>
      </c>
      <c r="B304" t="s">
        <v>838</v>
      </c>
      <c r="C304" s="29" t="s">
        <v>654</v>
      </c>
      <c r="D304" s="60" t="s">
        <v>830</v>
      </c>
      <c r="E304" s="31">
        <v>9</v>
      </c>
      <c r="F304" s="99">
        <v>3</v>
      </c>
      <c r="G304" s="73">
        <v>2</v>
      </c>
      <c r="H304" s="34">
        <f>AVERAGE(Q304,AK304,AM304,AN304,AP304,AQ304,AR304,AS304,AT304)</f>
        <v>5.4444444444444446</v>
      </c>
      <c r="I304" s="87"/>
      <c r="J304" s="37"/>
      <c r="K304" s="37"/>
      <c r="L304" s="37"/>
      <c r="M304" s="24"/>
      <c r="N304" s="24"/>
      <c r="O304" s="24"/>
      <c r="P304" s="24"/>
      <c r="Q304" s="24">
        <v>5</v>
      </c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37" t="s">
        <v>644</v>
      </c>
      <c r="AE304" s="24"/>
      <c r="AF304" s="24"/>
      <c r="AG304" s="24"/>
      <c r="AH304" s="27"/>
      <c r="AI304" s="37" t="s">
        <v>644</v>
      </c>
      <c r="AJ304" s="77" t="s">
        <v>644</v>
      </c>
      <c r="AK304" s="24">
        <v>6</v>
      </c>
      <c r="AL304" s="26"/>
      <c r="AM304" s="27">
        <v>4</v>
      </c>
      <c r="AN304" s="24">
        <v>5</v>
      </c>
      <c r="AO304" s="27"/>
      <c r="AP304" s="25">
        <v>7</v>
      </c>
      <c r="AQ304" s="24">
        <v>6</v>
      </c>
      <c r="AR304" s="27">
        <v>5</v>
      </c>
      <c r="AS304" s="24">
        <v>6</v>
      </c>
      <c r="AT304" s="27">
        <v>5</v>
      </c>
      <c r="AU304">
        <f>E304 +F304</f>
        <v>12</v>
      </c>
    </row>
    <row r="305" spans="1:47" x14ac:dyDescent="0.25">
      <c r="A305" t="str">
        <f>B305 &amp; " - " &amp;D305</f>
        <v>MHSC - Wüthrich</v>
      </c>
      <c r="B305" t="s">
        <v>838</v>
      </c>
      <c r="C305" s="29" t="s">
        <v>654</v>
      </c>
      <c r="D305" s="60" t="s">
        <v>831</v>
      </c>
      <c r="E305" s="31"/>
      <c r="F305" s="99">
        <v>1</v>
      </c>
      <c r="G305" s="73"/>
      <c r="H305" s="34"/>
      <c r="I305" s="87"/>
      <c r="J305" s="37"/>
      <c r="K305" s="37"/>
      <c r="L305" s="37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7"/>
      <c r="AI305" s="24"/>
      <c r="AJ305" s="24"/>
      <c r="AK305" s="24"/>
      <c r="AL305" s="26"/>
      <c r="AM305" s="27"/>
      <c r="AN305" s="24"/>
      <c r="AO305" s="27"/>
      <c r="AP305" s="24"/>
      <c r="AQ305" s="24"/>
      <c r="AR305" s="37" t="s">
        <v>644</v>
      </c>
      <c r="AS305" s="24"/>
      <c r="AT305" s="27"/>
      <c r="AU305">
        <f>E305 +F305</f>
        <v>1</v>
      </c>
    </row>
    <row r="306" spans="1:47" x14ac:dyDescent="0.25">
      <c r="A306" t="str">
        <f>B306 &amp; " - " &amp;D306</f>
        <v>ASSE - Sall</v>
      </c>
      <c r="B306" t="s">
        <v>746</v>
      </c>
      <c r="C306" s="29" t="s">
        <v>641</v>
      </c>
      <c r="D306" s="30" t="s">
        <v>146</v>
      </c>
      <c r="E306" s="31">
        <v>27</v>
      </c>
      <c r="F306" s="99">
        <v>1</v>
      </c>
      <c r="G306" s="73">
        <v>3</v>
      </c>
      <c r="H306" s="34">
        <f>AVERAGE(J306,K306,M306,O306,Q306,R306,S306,W306,Y306,Z306,AA306,AB306,AC306,AD306,AE306,AF306,AG306,AH306,AI306,AJ306,AK306,AL306,AM306,AO306,AP306,AQ306)</f>
        <v>5.115384615384615</v>
      </c>
      <c r="I306" s="38"/>
      <c r="J306" s="24">
        <v>5</v>
      </c>
      <c r="K306" s="24">
        <v>5</v>
      </c>
      <c r="L306" s="24"/>
      <c r="M306" s="22">
        <v>5</v>
      </c>
      <c r="N306" s="24"/>
      <c r="O306" s="24">
        <v>6</v>
      </c>
      <c r="P306" s="37" t="s">
        <v>644</v>
      </c>
      <c r="Q306" s="24">
        <v>5</v>
      </c>
      <c r="R306" s="24">
        <v>5</v>
      </c>
      <c r="S306" s="24">
        <v>4</v>
      </c>
      <c r="T306" s="24"/>
      <c r="U306" s="24"/>
      <c r="V306" s="24"/>
      <c r="W306" s="23">
        <v>5</v>
      </c>
      <c r="X306" s="24"/>
      <c r="Y306" s="24">
        <v>5</v>
      </c>
      <c r="Z306" s="24">
        <v>5</v>
      </c>
      <c r="AA306" s="24">
        <v>5</v>
      </c>
      <c r="AB306" s="24">
        <v>4</v>
      </c>
      <c r="AC306" s="24">
        <v>5</v>
      </c>
      <c r="AD306" s="24">
        <v>5</v>
      </c>
      <c r="AE306" s="24">
        <v>5</v>
      </c>
      <c r="AF306" s="25">
        <v>7</v>
      </c>
      <c r="AG306" s="24">
        <v>6</v>
      </c>
      <c r="AH306" s="247">
        <v>7</v>
      </c>
      <c r="AI306" s="24">
        <v>5</v>
      </c>
      <c r="AJ306" s="82">
        <v>3</v>
      </c>
      <c r="AK306" s="24">
        <v>5</v>
      </c>
      <c r="AL306" s="27">
        <v>4</v>
      </c>
      <c r="AM306" s="27">
        <v>6</v>
      </c>
      <c r="AN306" s="24"/>
      <c r="AO306" s="27">
        <v>5</v>
      </c>
      <c r="AP306" s="24">
        <v>5</v>
      </c>
      <c r="AQ306" s="24">
        <v>6</v>
      </c>
      <c r="AR306" s="24" t="s">
        <v>673</v>
      </c>
      <c r="AS306" s="24"/>
      <c r="AT306" s="27"/>
      <c r="AU306">
        <f>E306 +F306</f>
        <v>28</v>
      </c>
    </row>
    <row r="307" spans="1:47" x14ac:dyDescent="0.25">
      <c r="A307" t="str">
        <f>B307 &amp; " - " &amp;D307</f>
        <v>MHSC - Cornette</v>
      </c>
      <c r="B307" t="s">
        <v>838</v>
      </c>
      <c r="C307" s="29" t="s">
        <v>654</v>
      </c>
      <c r="D307" s="65" t="s">
        <v>832</v>
      </c>
      <c r="E307" s="31">
        <v>1</v>
      </c>
      <c r="F307" s="99">
        <v>4</v>
      </c>
      <c r="G307" s="73"/>
      <c r="H307" s="34">
        <f>AVERAGE(M307)</f>
        <v>5</v>
      </c>
      <c r="I307" s="87"/>
      <c r="J307" s="37"/>
      <c r="K307" s="37"/>
      <c r="L307" s="37" t="s">
        <v>644</v>
      </c>
      <c r="M307" s="24">
        <v>5</v>
      </c>
      <c r="N307" s="37" t="s">
        <v>644</v>
      </c>
      <c r="O307" s="24"/>
      <c r="P307" s="24"/>
      <c r="Q307" s="76" t="s">
        <v>644</v>
      </c>
      <c r="R307" s="37" t="s">
        <v>644</v>
      </c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7"/>
      <c r="AI307" s="24"/>
      <c r="AJ307" s="24"/>
      <c r="AK307" s="24"/>
      <c r="AL307" s="26"/>
      <c r="AM307" s="27"/>
      <c r="AN307" s="24"/>
      <c r="AO307" s="27"/>
      <c r="AP307" s="24"/>
      <c r="AQ307" s="24"/>
      <c r="AR307" s="24"/>
      <c r="AS307" s="24"/>
      <c r="AT307" s="27"/>
      <c r="AU307">
        <f>E307 +F307</f>
        <v>5</v>
      </c>
    </row>
    <row r="308" spans="1:47" x14ac:dyDescent="0.25">
      <c r="A308" t="str">
        <f>B308 &amp; " - " &amp;D308</f>
        <v>MHSC - Deza</v>
      </c>
      <c r="B308" t="s">
        <v>838</v>
      </c>
      <c r="C308" s="29" t="s">
        <v>654</v>
      </c>
      <c r="D308" s="60" t="s">
        <v>837</v>
      </c>
      <c r="E308" s="31">
        <v>2</v>
      </c>
      <c r="F308" s="99">
        <v>5</v>
      </c>
      <c r="G308" s="73"/>
      <c r="H308" s="34">
        <f>AVERAGE(R308,S308)</f>
        <v>4</v>
      </c>
      <c r="I308" s="180"/>
      <c r="J308" s="109"/>
      <c r="K308" s="109"/>
      <c r="L308" s="109"/>
      <c r="M308" s="109"/>
      <c r="N308" s="109"/>
      <c r="O308" s="76" t="s">
        <v>644</v>
      </c>
      <c r="P308" s="109"/>
      <c r="Q308" s="76" t="s">
        <v>644</v>
      </c>
      <c r="R308" s="76">
        <v>4</v>
      </c>
      <c r="S308" s="76">
        <v>4</v>
      </c>
      <c r="T308" s="76" t="s">
        <v>644</v>
      </c>
      <c r="U308" s="76" t="s">
        <v>644</v>
      </c>
      <c r="V308" s="109"/>
      <c r="W308" s="109"/>
      <c r="X308" s="76" t="s">
        <v>644</v>
      </c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10"/>
      <c r="AI308" s="109"/>
      <c r="AJ308" s="109"/>
      <c r="AK308" s="109"/>
      <c r="AL308" s="110"/>
      <c r="AM308" s="110"/>
      <c r="AN308" s="109"/>
      <c r="AO308" s="110"/>
      <c r="AP308" s="109"/>
      <c r="AQ308" s="109"/>
      <c r="AR308" s="110"/>
      <c r="AS308" s="109"/>
      <c r="AT308" s="110"/>
      <c r="AU308">
        <f>E308 +F308</f>
        <v>7</v>
      </c>
    </row>
    <row r="309" spans="1:47" x14ac:dyDescent="0.25">
      <c r="A309" t="str">
        <f>B309 &amp; " - " &amp;D309</f>
        <v>FCN - Sabaly</v>
      </c>
      <c r="B309" t="s">
        <v>955</v>
      </c>
      <c r="C309" s="29" t="s">
        <v>641</v>
      </c>
      <c r="D309" s="154" t="s">
        <v>473</v>
      </c>
      <c r="E309" s="31">
        <v>28</v>
      </c>
      <c r="F309" s="99"/>
      <c r="G309" s="73">
        <v>2</v>
      </c>
      <c r="H309" s="34">
        <f>AVERAGE(M309,R309,S309,T309,Q309,U309,V309,W309,X309,Y309,Z309,AB309,AC309,AE309,AF309,AG309,AH309,AJ309,AK309,AI309,AL309,AM309,AN309,AO309,AQ309,AR309,AS309,AT309)</f>
        <v>5.1071428571428568</v>
      </c>
      <c r="I309" s="170"/>
      <c r="J309" s="36"/>
      <c r="K309" s="24"/>
      <c r="L309" s="24"/>
      <c r="M309" s="24">
        <v>5</v>
      </c>
      <c r="N309" s="24"/>
      <c r="O309" s="24"/>
      <c r="P309" s="24"/>
      <c r="Q309" s="24">
        <v>6</v>
      </c>
      <c r="R309" s="25">
        <v>7</v>
      </c>
      <c r="S309" s="24">
        <v>6</v>
      </c>
      <c r="T309" s="24">
        <v>5</v>
      </c>
      <c r="U309" s="24">
        <v>5</v>
      </c>
      <c r="V309" s="24">
        <v>5</v>
      </c>
      <c r="W309" s="24">
        <v>5</v>
      </c>
      <c r="X309" s="24">
        <v>6</v>
      </c>
      <c r="Y309" s="24">
        <v>5</v>
      </c>
      <c r="Z309" s="24">
        <v>5</v>
      </c>
      <c r="AA309" s="24"/>
      <c r="AB309" s="66">
        <v>7</v>
      </c>
      <c r="AC309" s="22">
        <v>6</v>
      </c>
      <c r="AD309" s="24"/>
      <c r="AE309" s="24">
        <v>6</v>
      </c>
      <c r="AF309" s="24">
        <v>6</v>
      </c>
      <c r="AG309" s="24">
        <v>4</v>
      </c>
      <c r="AH309" s="27">
        <v>5</v>
      </c>
      <c r="AI309" s="24">
        <v>6</v>
      </c>
      <c r="AJ309" s="24">
        <v>5</v>
      </c>
      <c r="AK309" s="82">
        <v>3</v>
      </c>
      <c r="AL309" s="27">
        <v>6</v>
      </c>
      <c r="AM309" s="27">
        <v>4</v>
      </c>
      <c r="AN309" s="82">
        <v>3</v>
      </c>
      <c r="AO309" s="27">
        <v>4</v>
      </c>
      <c r="AP309" s="24"/>
      <c r="AQ309" s="24">
        <v>5</v>
      </c>
      <c r="AR309" s="26">
        <v>5</v>
      </c>
      <c r="AS309" s="24">
        <v>5</v>
      </c>
      <c r="AT309" s="237">
        <v>3</v>
      </c>
      <c r="AU309">
        <f>E309 +F309</f>
        <v>28</v>
      </c>
    </row>
    <row r="310" spans="1:47" x14ac:dyDescent="0.25">
      <c r="A310" t="str">
        <f>B310 &amp; " - " &amp;D310</f>
        <v>MHSC - Sanson</v>
      </c>
      <c r="B310" t="s">
        <v>838</v>
      </c>
      <c r="C310" s="67" t="s">
        <v>654</v>
      </c>
      <c r="D310" s="85" t="s">
        <v>833</v>
      </c>
      <c r="E310" s="69">
        <v>6</v>
      </c>
      <c r="F310" s="115">
        <v>8</v>
      </c>
      <c r="G310" s="68">
        <v>3</v>
      </c>
      <c r="H310" s="72">
        <f>AVERAGE(X310,Z310,AA310,AN310,AO310,AT310)</f>
        <v>4.5</v>
      </c>
      <c r="I310" s="170"/>
      <c r="J310" s="77"/>
      <c r="K310" s="37"/>
      <c r="L310" s="37"/>
      <c r="M310" s="24"/>
      <c r="N310" s="24"/>
      <c r="O310" s="24"/>
      <c r="P310" s="24"/>
      <c r="Q310" s="24"/>
      <c r="R310" s="24"/>
      <c r="S310" s="24"/>
      <c r="T310" s="24"/>
      <c r="U310" s="24"/>
      <c r="V310" s="37" t="s">
        <v>644</v>
      </c>
      <c r="W310" s="37" t="s">
        <v>644</v>
      </c>
      <c r="X310" s="24">
        <v>5</v>
      </c>
      <c r="Y310" s="76" t="s">
        <v>644</v>
      </c>
      <c r="Z310" s="23">
        <v>4</v>
      </c>
      <c r="AA310" s="24">
        <v>4</v>
      </c>
      <c r="AB310" s="24"/>
      <c r="AC310" s="24"/>
      <c r="AD310" s="24"/>
      <c r="AE310" s="24"/>
      <c r="AF310" s="24"/>
      <c r="AG310" s="24"/>
      <c r="AH310" s="28"/>
      <c r="AI310" s="24"/>
      <c r="AJ310" s="24"/>
      <c r="AK310" s="22"/>
      <c r="AL310" s="26" t="s">
        <v>644</v>
      </c>
      <c r="AM310" s="139" t="s">
        <v>644</v>
      </c>
      <c r="AN310" s="25">
        <v>7</v>
      </c>
      <c r="AO310" s="237">
        <v>3</v>
      </c>
      <c r="AP310" s="24"/>
      <c r="AQ310" s="37" t="s">
        <v>644</v>
      </c>
      <c r="AR310" s="94" t="s">
        <v>644</v>
      </c>
      <c r="AS310" s="37" t="s">
        <v>644</v>
      </c>
      <c r="AT310" s="27">
        <v>4</v>
      </c>
      <c r="AU310">
        <f>E310 +F310</f>
        <v>14</v>
      </c>
    </row>
    <row r="311" spans="1:47" x14ac:dyDescent="0.25">
      <c r="A311" t="str">
        <f>B311 &amp; " - " &amp;D311</f>
        <v>MHSC - Bakar</v>
      </c>
      <c r="B311" t="s">
        <v>838</v>
      </c>
      <c r="C311" s="29" t="s">
        <v>665</v>
      </c>
      <c r="D311" s="30" t="s">
        <v>557</v>
      </c>
      <c r="E311" s="31">
        <v>2</v>
      </c>
      <c r="F311" s="99">
        <v>4</v>
      </c>
      <c r="G311" s="73"/>
      <c r="H311" s="34">
        <f>AVERAGE(K311,M311)</f>
        <v>3.5</v>
      </c>
      <c r="I311" s="87"/>
      <c r="J311" s="37" t="s">
        <v>644</v>
      </c>
      <c r="K311" s="37">
        <v>4</v>
      </c>
      <c r="L311" s="37" t="s">
        <v>644</v>
      </c>
      <c r="M311" s="82">
        <v>3</v>
      </c>
      <c r="N311" s="24"/>
      <c r="O311" s="24"/>
      <c r="P311" s="24"/>
      <c r="Q311" s="24"/>
      <c r="R311" s="24"/>
      <c r="S311" s="24"/>
      <c r="T311" s="37"/>
      <c r="U311" s="24"/>
      <c r="V311" s="37"/>
      <c r="W311" s="37"/>
      <c r="X311" s="37"/>
      <c r="Y311" s="24"/>
      <c r="Z311" s="37"/>
      <c r="AA311" s="24"/>
      <c r="AB311" s="37"/>
      <c r="AC311" s="24"/>
      <c r="AD311" s="24"/>
      <c r="AE311" s="37"/>
      <c r="AF311" s="37" t="s">
        <v>644</v>
      </c>
      <c r="AG311" s="24"/>
      <c r="AH311" s="26"/>
      <c r="AI311" s="37"/>
      <c r="AJ311" s="37"/>
      <c r="AK311" s="24"/>
      <c r="AL311" s="26"/>
      <c r="AM311" s="27"/>
      <c r="AN311" s="24"/>
      <c r="AO311" s="27"/>
      <c r="AP311" s="24"/>
      <c r="AQ311" s="24"/>
      <c r="AR311" s="27"/>
      <c r="AS311" s="24"/>
      <c r="AT311" s="139" t="s">
        <v>644</v>
      </c>
      <c r="AU311">
        <f>E311 +F311</f>
        <v>6</v>
      </c>
    </row>
    <row r="312" spans="1:47" x14ac:dyDescent="0.25">
      <c r="A312" t="str">
        <f>B312 &amp; " - " &amp;D312</f>
        <v>MHSC - Berigaud</v>
      </c>
      <c r="B312" t="s">
        <v>838</v>
      </c>
      <c r="C312" s="29" t="s">
        <v>665</v>
      </c>
      <c r="D312" s="30" t="s">
        <v>834</v>
      </c>
      <c r="E312" s="31">
        <v>10</v>
      </c>
      <c r="F312" s="99">
        <v>9</v>
      </c>
      <c r="G312" s="73">
        <v>3</v>
      </c>
      <c r="H312" s="34">
        <f>AVERAGE(J312,L312,I312,M312,O312,AG312,AI312,AJ312,AK312,AL312,AM312)</f>
        <v>5.2727272727272725</v>
      </c>
      <c r="I312" s="87">
        <v>5</v>
      </c>
      <c r="J312" s="37">
        <v>4</v>
      </c>
      <c r="K312" s="37"/>
      <c r="L312" s="37">
        <v>6</v>
      </c>
      <c r="M312" s="24">
        <v>5</v>
      </c>
      <c r="N312" s="37" t="s">
        <v>644</v>
      </c>
      <c r="O312" s="24">
        <v>4</v>
      </c>
      <c r="P312" s="24" t="s">
        <v>673</v>
      </c>
      <c r="Q312" s="24"/>
      <c r="R312" s="24"/>
      <c r="S312" s="24"/>
      <c r="T312" s="22"/>
      <c r="U312" s="24"/>
      <c r="V312" s="24"/>
      <c r="W312" s="24"/>
      <c r="X312" s="24"/>
      <c r="Y312" s="24"/>
      <c r="Z312" s="24"/>
      <c r="AA312" s="37"/>
      <c r="AB312" s="76" t="s">
        <v>644</v>
      </c>
      <c r="AC312" s="37" t="s">
        <v>644</v>
      </c>
      <c r="AD312" s="22"/>
      <c r="AE312" s="37" t="s">
        <v>644</v>
      </c>
      <c r="AF312" s="24"/>
      <c r="AG312" s="77">
        <v>6</v>
      </c>
      <c r="AH312" s="139" t="s">
        <v>644</v>
      </c>
      <c r="AI312" s="25">
        <v>7</v>
      </c>
      <c r="AJ312" s="25">
        <v>8</v>
      </c>
      <c r="AK312" s="24">
        <v>5</v>
      </c>
      <c r="AL312" s="27">
        <v>4</v>
      </c>
      <c r="AM312" s="27">
        <v>4</v>
      </c>
      <c r="AN312" s="24"/>
      <c r="AO312" s="27"/>
      <c r="AP312" s="37"/>
      <c r="AQ312" s="24"/>
      <c r="AR312" s="26"/>
      <c r="AS312" s="37" t="s">
        <v>644</v>
      </c>
      <c r="AT312" s="26" t="s">
        <v>644</v>
      </c>
      <c r="AU312">
        <f>E312 +F312</f>
        <v>19</v>
      </c>
    </row>
    <row r="313" spans="1:47" x14ac:dyDescent="0.25">
      <c r="A313" t="str">
        <f>B313 &amp; " - " &amp;D313</f>
        <v>SMC - Da Silva</v>
      </c>
      <c r="B313" t="s">
        <v>1010</v>
      </c>
      <c r="C313" s="29" t="s">
        <v>641</v>
      </c>
      <c r="D313" s="154" t="s">
        <v>54</v>
      </c>
      <c r="E313" s="31">
        <v>28</v>
      </c>
      <c r="F313" s="99"/>
      <c r="G313" s="73">
        <v>2</v>
      </c>
      <c r="H313" s="34">
        <f>AVERAGE(AA313,X313,W313,J313,K313,L313,I313,O313,P313,Q313,R313,S313,T313,U313,V313,Y313,Z313,AB313,AG313,AH313,AI313,AK313,AL313,AM313,AN313,AO313,AS313,AT313)</f>
        <v>5.1071428571428568</v>
      </c>
      <c r="I313" s="173">
        <v>6</v>
      </c>
      <c r="J313" s="75">
        <v>7</v>
      </c>
      <c r="K313" s="76">
        <v>5</v>
      </c>
      <c r="L313" s="24">
        <v>5</v>
      </c>
      <c r="M313" s="37"/>
      <c r="N313" s="37"/>
      <c r="O313" s="24">
        <v>5</v>
      </c>
      <c r="P313" s="37">
        <v>5</v>
      </c>
      <c r="Q313" s="24">
        <v>5</v>
      </c>
      <c r="R313" s="23">
        <v>5</v>
      </c>
      <c r="S313" s="24">
        <v>5</v>
      </c>
      <c r="T313" s="24">
        <v>4</v>
      </c>
      <c r="U313" s="24">
        <v>5</v>
      </c>
      <c r="V313" s="37">
        <v>6</v>
      </c>
      <c r="W313" s="25">
        <v>7</v>
      </c>
      <c r="X313" s="24">
        <v>5</v>
      </c>
      <c r="Y313" s="37">
        <v>4</v>
      </c>
      <c r="Z313" s="24">
        <v>6</v>
      </c>
      <c r="AA313" s="24">
        <v>4</v>
      </c>
      <c r="AB313" s="24">
        <v>4</v>
      </c>
      <c r="AC313" s="37"/>
      <c r="AD313" s="22"/>
      <c r="AE313" s="24"/>
      <c r="AF313" s="24"/>
      <c r="AG313" s="24">
        <v>5</v>
      </c>
      <c r="AH313" s="237">
        <v>3</v>
      </c>
      <c r="AI313" s="24">
        <v>6</v>
      </c>
      <c r="AJ313" s="24"/>
      <c r="AK313" s="24">
        <v>5</v>
      </c>
      <c r="AL313" s="26">
        <v>5</v>
      </c>
      <c r="AM313" s="27">
        <v>5</v>
      </c>
      <c r="AN313" s="24">
        <v>4</v>
      </c>
      <c r="AO313" s="26">
        <v>5</v>
      </c>
      <c r="AP313" s="24"/>
      <c r="AQ313" s="24"/>
      <c r="AR313" s="27"/>
      <c r="AS313" s="24">
        <v>6</v>
      </c>
      <c r="AT313" s="27">
        <v>6</v>
      </c>
      <c r="AU313">
        <f>E313 +F313</f>
        <v>28</v>
      </c>
    </row>
    <row r="314" spans="1:47" x14ac:dyDescent="0.25">
      <c r="A314" t="str">
        <f>B314 &amp; " - " &amp;D314</f>
        <v>MHSC - Mounié</v>
      </c>
      <c r="B314" t="s">
        <v>838</v>
      </c>
      <c r="C314" s="130" t="s">
        <v>665</v>
      </c>
      <c r="D314" s="131" t="s">
        <v>835</v>
      </c>
      <c r="E314" s="132"/>
      <c r="F314" s="133">
        <v>2</v>
      </c>
      <c r="G314" s="134"/>
      <c r="H314" s="34"/>
      <c r="I314" s="177" t="s">
        <v>644</v>
      </c>
      <c r="J314" s="137" t="s">
        <v>644</v>
      </c>
      <c r="K314" s="178"/>
      <c r="L314" s="137"/>
      <c r="M314" s="137"/>
      <c r="N314" s="137"/>
      <c r="O314" s="137"/>
      <c r="P314" s="179"/>
      <c r="Q314" s="138"/>
      <c r="R314" s="138"/>
      <c r="S314" s="137"/>
      <c r="T314" s="137"/>
      <c r="U314" s="137"/>
      <c r="V314" s="179"/>
      <c r="W314" s="138"/>
      <c r="X314" s="138"/>
      <c r="Y314" s="137"/>
      <c r="Z314" s="138"/>
      <c r="AA314" s="137"/>
      <c r="AB314" s="137"/>
      <c r="AC314" s="137"/>
      <c r="AD314" s="137"/>
      <c r="AE314" s="138"/>
      <c r="AF314" s="137"/>
      <c r="AG314" s="137"/>
      <c r="AH314" s="133"/>
      <c r="AI314" s="137"/>
      <c r="AJ314" s="137"/>
      <c r="AK314" s="137"/>
      <c r="AL314" s="136"/>
      <c r="AM314" s="133"/>
      <c r="AN314" s="137"/>
      <c r="AO314" s="136"/>
      <c r="AP314" s="137"/>
      <c r="AQ314" s="137"/>
      <c r="AR314" s="136"/>
      <c r="AS314" s="137"/>
      <c r="AT314" s="136"/>
      <c r="AU314">
        <f>E314 +F314</f>
        <v>2</v>
      </c>
    </row>
    <row r="315" spans="1:47" x14ac:dyDescent="0.25">
      <c r="A315" t="str">
        <f>B315 &amp; " - " &amp;D315</f>
        <v>SCO - N'Doye</v>
      </c>
      <c r="B315" t="s">
        <v>1066</v>
      </c>
      <c r="C315" s="29" t="s">
        <v>654</v>
      </c>
      <c r="D315" s="65" t="s">
        <v>1060</v>
      </c>
      <c r="E315" s="31">
        <v>32</v>
      </c>
      <c r="F315" s="99"/>
      <c r="G315" s="73">
        <v>9</v>
      </c>
      <c r="H315" s="34">
        <f>AVERAGE(Z315,J315,K315,L315,I315,Q315,R315,S315,T315,U315,V315,W315,X315,Y315,AA315,AB315,AC315,AD315,AE315,AF315,AG315,AH315,AL315,AM315,AO315,AP315,AQ315,AR315,AS315,AT315)</f>
        <v>5.0999999999999996</v>
      </c>
      <c r="I315" s="116">
        <v>6</v>
      </c>
      <c r="J315" s="24">
        <v>6</v>
      </c>
      <c r="K315" s="75">
        <v>8</v>
      </c>
      <c r="L315" s="166">
        <v>3</v>
      </c>
      <c r="M315" s="37"/>
      <c r="N315" s="37" t="s">
        <v>655</v>
      </c>
      <c r="O315" s="24"/>
      <c r="P315" s="37"/>
      <c r="Q315" s="24">
        <v>5</v>
      </c>
      <c r="R315" s="22">
        <v>6</v>
      </c>
      <c r="S315" s="24">
        <v>5</v>
      </c>
      <c r="T315" s="24">
        <v>4</v>
      </c>
      <c r="U315" s="24">
        <v>4</v>
      </c>
      <c r="V315" s="37">
        <v>6</v>
      </c>
      <c r="W315" s="66">
        <v>7</v>
      </c>
      <c r="X315" s="24">
        <v>5</v>
      </c>
      <c r="Y315" s="75">
        <v>7</v>
      </c>
      <c r="Z315" s="24">
        <v>5</v>
      </c>
      <c r="AA315" s="82">
        <v>3</v>
      </c>
      <c r="AB315" s="24">
        <v>5</v>
      </c>
      <c r="AC315" s="37">
        <v>5</v>
      </c>
      <c r="AD315" s="82">
        <v>3</v>
      </c>
      <c r="AE315" s="25">
        <v>8</v>
      </c>
      <c r="AF315" s="24">
        <v>4</v>
      </c>
      <c r="AG315" s="24">
        <v>4</v>
      </c>
      <c r="AH315" s="27">
        <v>4</v>
      </c>
      <c r="AI315" s="24"/>
      <c r="AJ315" s="24" t="s">
        <v>655</v>
      </c>
      <c r="AK315" s="24"/>
      <c r="AL315" s="252">
        <v>3</v>
      </c>
      <c r="AM315" s="247">
        <v>7</v>
      </c>
      <c r="AN315" s="24"/>
      <c r="AO315" s="26">
        <v>5</v>
      </c>
      <c r="AP315" s="25">
        <v>8</v>
      </c>
      <c r="AQ315" s="24">
        <v>5</v>
      </c>
      <c r="AR315" s="27">
        <v>4</v>
      </c>
      <c r="AS315" s="24">
        <v>5</v>
      </c>
      <c r="AT315" s="237">
        <v>3</v>
      </c>
      <c r="AU315">
        <f>E315 +F315</f>
        <v>32</v>
      </c>
    </row>
    <row r="316" spans="1:47" x14ac:dyDescent="0.25">
      <c r="A316" t="str">
        <f>B316 &amp; " - " &amp;D316</f>
        <v>MHSC - Sotoca</v>
      </c>
      <c r="B316" t="s">
        <v>838</v>
      </c>
      <c r="C316" s="146" t="s">
        <v>665</v>
      </c>
      <c r="D316" s="65" t="s">
        <v>1118</v>
      </c>
      <c r="E316" s="148"/>
      <c r="F316" s="142">
        <v>1</v>
      </c>
      <c r="G316" s="49"/>
      <c r="H316" s="34"/>
      <c r="I316" s="170"/>
      <c r="J316" s="37"/>
      <c r="K316" s="77"/>
      <c r="L316" s="37"/>
      <c r="M316" s="37"/>
      <c r="N316" s="37"/>
      <c r="O316" s="37"/>
      <c r="P316" s="23"/>
      <c r="Q316" s="24"/>
      <c r="R316" s="24"/>
      <c r="S316" s="37"/>
      <c r="T316" s="37"/>
      <c r="U316" s="37"/>
      <c r="V316" s="22"/>
      <c r="W316" s="37"/>
      <c r="X316" s="24"/>
      <c r="Y316" s="37"/>
      <c r="Z316" s="24"/>
      <c r="AA316" s="37"/>
      <c r="AB316" s="37"/>
      <c r="AC316" s="37"/>
      <c r="AD316" s="37"/>
      <c r="AE316" s="22"/>
      <c r="AF316" s="24"/>
      <c r="AG316" s="37"/>
      <c r="AH316" s="24"/>
      <c r="AI316" s="37"/>
      <c r="AJ316" s="37" t="s">
        <v>644</v>
      </c>
      <c r="AK316" s="37"/>
      <c r="AL316" s="26"/>
      <c r="AM316" s="27"/>
      <c r="AN316" s="37"/>
      <c r="AO316" s="26"/>
      <c r="AP316" s="37"/>
      <c r="AQ316" s="37"/>
      <c r="AR316" s="26"/>
      <c r="AS316" s="37"/>
      <c r="AT316" s="26"/>
      <c r="AU316">
        <f>E316 +F316</f>
        <v>1</v>
      </c>
    </row>
    <row r="317" spans="1:47" ht="15.75" thickBot="1" x14ac:dyDescent="0.3">
      <c r="A317" t="str">
        <f>B317 &amp; " - " &amp;D317</f>
        <v>SCB - Marange</v>
      </c>
      <c r="B317" t="s">
        <v>887</v>
      </c>
      <c r="C317" s="88" t="s">
        <v>641</v>
      </c>
      <c r="D317" s="140" t="s">
        <v>870</v>
      </c>
      <c r="E317" s="90">
        <v>19</v>
      </c>
      <c r="F317" s="119">
        <v>5</v>
      </c>
      <c r="G317" s="89"/>
      <c r="H317" s="120">
        <f>AVERAGE(J317,K317,O317,P317,Q317,S317,T317,V317,W317,X317,Y317,AB317,AC317,AD317,AH317,AJ317,AI317,AM317,AR317,AT317)</f>
        <v>5.0999999999999996</v>
      </c>
      <c r="I317" s="87"/>
      <c r="J317" s="37">
        <v>5</v>
      </c>
      <c r="K317" s="37">
        <v>6</v>
      </c>
      <c r="L317" s="37"/>
      <c r="M317" s="24"/>
      <c r="N317" s="37" t="s">
        <v>644</v>
      </c>
      <c r="O317" s="24">
        <v>5</v>
      </c>
      <c r="P317" s="24">
        <v>5</v>
      </c>
      <c r="Q317" s="24">
        <v>5</v>
      </c>
      <c r="R317" s="24"/>
      <c r="S317" s="24">
        <v>5</v>
      </c>
      <c r="T317" s="24">
        <v>4</v>
      </c>
      <c r="U317" s="37"/>
      <c r="V317" s="37">
        <v>4</v>
      </c>
      <c r="W317" s="37">
        <v>5</v>
      </c>
      <c r="X317" s="24">
        <v>6</v>
      </c>
      <c r="Y317" s="24">
        <v>5</v>
      </c>
      <c r="Z317" s="24"/>
      <c r="AA317" s="24"/>
      <c r="AB317" s="24">
        <v>4</v>
      </c>
      <c r="AC317" s="66">
        <v>7</v>
      </c>
      <c r="AD317" s="24">
        <v>5</v>
      </c>
      <c r="AE317" s="24"/>
      <c r="AF317" s="24"/>
      <c r="AG317" s="24"/>
      <c r="AH317" s="27">
        <v>6</v>
      </c>
      <c r="AI317" s="24">
        <v>5</v>
      </c>
      <c r="AJ317" s="24">
        <v>5</v>
      </c>
      <c r="AK317" s="24"/>
      <c r="AL317" s="27"/>
      <c r="AM317" s="27">
        <v>6</v>
      </c>
      <c r="AN317" s="37" t="s">
        <v>644</v>
      </c>
      <c r="AO317" s="26" t="s">
        <v>644</v>
      </c>
      <c r="AP317" s="24"/>
      <c r="AQ317" s="24"/>
      <c r="AR317" s="27">
        <v>5</v>
      </c>
      <c r="AS317" s="37" t="s">
        <v>644</v>
      </c>
      <c r="AT317" s="27">
        <v>4</v>
      </c>
      <c r="AU317">
        <f>E317 +F317</f>
        <v>24</v>
      </c>
    </row>
    <row r="318" spans="1:47" x14ac:dyDescent="0.25">
      <c r="A318" t="str">
        <f>B318 &amp; " - " &amp;D318</f>
        <v>OM - Manquillo</v>
      </c>
      <c r="B318" t="s">
        <v>703</v>
      </c>
      <c r="C318" s="30" t="s">
        <v>641</v>
      </c>
      <c r="D318" s="65" t="s">
        <v>651</v>
      </c>
      <c r="E318" s="31">
        <v>31</v>
      </c>
      <c r="F318" s="99"/>
      <c r="G318" s="73"/>
      <c r="H318" s="34">
        <f>AVERAGE(AA318,K318,L318,M318,N318,P318,Q318,R318,S318,T318,U318,V318,Y318,AB318,AC318,AD318,AE318,AF318,AG318,AH318,AI318,AK318,AJ318,AL318,AM318,AN318,AO318,AP318,AQ318,AR318,AT318)</f>
        <v>5.096774193548387</v>
      </c>
      <c r="I318" s="38"/>
      <c r="J318" s="37"/>
      <c r="K318" s="37">
        <v>5</v>
      </c>
      <c r="L318" s="37">
        <v>5</v>
      </c>
      <c r="M318" s="24">
        <v>5</v>
      </c>
      <c r="N318" s="24">
        <v>5</v>
      </c>
      <c r="O318" s="24"/>
      <c r="P318" s="24">
        <v>5</v>
      </c>
      <c r="Q318" s="24">
        <v>5</v>
      </c>
      <c r="R318" s="24">
        <v>5</v>
      </c>
      <c r="S318" s="24">
        <v>5</v>
      </c>
      <c r="T318" s="37">
        <v>5</v>
      </c>
      <c r="U318" s="24">
        <v>5</v>
      </c>
      <c r="V318" s="24">
        <v>6</v>
      </c>
      <c r="W318" s="24"/>
      <c r="X318" s="24"/>
      <c r="Y318" s="24">
        <v>4</v>
      </c>
      <c r="Z318" s="24"/>
      <c r="AA318" s="24">
        <v>5</v>
      </c>
      <c r="AB318" s="37">
        <v>6</v>
      </c>
      <c r="AC318" s="24">
        <v>5</v>
      </c>
      <c r="AD318" s="27">
        <v>5</v>
      </c>
      <c r="AE318" s="181">
        <v>5</v>
      </c>
      <c r="AF318" s="188">
        <v>6</v>
      </c>
      <c r="AG318" s="37">
        <v>4</v>
      </c>
      <c r="AH318" s="24">
        <v>5</v>
      </c>
      <c r="AI318" s="24">
        <v>5</v>
      </c>
      <c r="AJ318" s="24">
        <v>5</v>
      </c>
      <c r="AK318" s="24">
        <v>5</v>
      </c>
      <c r="AL318" s="27">
        <v>5</v>
      </c>
      <c r="AM318" s="27">
        <v>4</v>
      </c>
      <c r="AN318" s="27">
        <v>5</v>
      </c>
      <c r="AO318" s="27">
        <v>6</v>
      </c>
      <c r="AP318" s="24">
        <v>4</v>
      </c>
      <c r="AQ318" s="27">
        <v>6</v>
      </c>
      <c r="AR318" s="27">
        <v>6</v>
      </c>
      <c r="AS318" s="27"/>
      <c r="AT318" s="24">
        <v>6</v>
      </c>
      <c r="AU318">
        <f>E318 +F318</f>
        <v>31</v>
      </c>
    </row>
    <row r="319" spans="1:47" x14ac:dyDescent="0.25">
      <c r="A319" t="str">
        <f>B319 &amp; " - " &amp;D319</f>
        <v>TFC - Goicoechea</v>
      </c>
      <c r="B319" t="s">
        <v>868</v>
      </c>
      <c r="C319" s="123" t="s">
        <v>638</v>
      </c>
      <c r="D319" s="126" t="s">
        <v>840</v>
      </c>
      <c r="E319" s="31">
        <v>8</v>
      </c>
      <c r="F319" s="99">
        <v>1</v>
      </c>
      <c r="G319" s="73"/>
      <c r="H319" s="34">
        <f>AVERAGE(J319,K319,L319,I319,M319,N319,O319,P319)</f>
        <v>4.625</v>
      </c>
      <c r="I319" s="87">
        <v>5</v>
      </c>
      <c r="J319" s="24">
        <v>5</v>
      </c>
      <c r="K319" s="24">
        <v>5</v>
      </c>
      <c r="L319" s="82">
        <v>3</v>
      </c>
      <c r="M319" s="37">
        <v>5</v>
      </c>
      <c r="N319" s="24">
        <v>5</v>
      </c>
      <c r="O319" s="24">
        <v>5</v>
      </c>
      <c r="P319" s="24">
        <v>4</v>
      </c>
      <c r="Q319" s="24"/>
      <c r="R319" s="24"/>
      <c r="S319" s="24"/>
      <c r="T319" s="37"/>
      <c r="U319" s="24"/>
      <c r="V319" s="24"/>
      <c r="W319" s="24"/>
      <c r="X319" s="24"/>
      <c r="Y319" s="24"/>
      <c r="Z319" s="24"/>
      <c r="AA319" s="24"/>
      <c r="AB319" s="24"/>
      <c r="AC319" s="24"/>
      <c r="AD319" s="27"/>
      <c r="AE319" s="181"/>
      <c r="AF319" s="48"/>
      <c r="AG319" s="77" t="s">
        <v>644</v>
      </c>
      <c r="AH319" s="24"/>
      <c r="AI319" s="24"/>
      <c r="AJ319" s="24"/>
      <c r="AK319" s="24"/>
      <c r="AL319" s="27"/>
      <c r="AM319" s="27"/>
      <c r="AN319" s="94"/>
      <c r="AO319" s="27"/>
      <c r="AP319" s="24"/>
      <c r="AQ319" s="27"/>
      <c r="AR319" s="27"/>
      <c r="AS319" s="27"/>
      <c r="AT319" s="24"/>
      <c r="AU319">
        <f>E319 +F319</f>
        <v>9</v>
      </c>
    </row>
    <row r="320" spans="1:47" x14ac:dyDescent="0.25">
      <c r="A320" t="str">
        <f>B320 &amp; " - " &amp;D320</f>
        <v>TFC - Ahamada</v>
      </c>
      <c r="B320" t="s">
        <v>868</v>
      </c>
      <c r="C320" s="225" t="s">
        <v>638</v>
      </c>
      <c r="D320" s="225" t="s">
        <v>841</v>
      </c>
      <c r="E320" s="41">
        <v>6</v>
      </c>
      <c r="F320" s="226"/>
      <c r="G320" s="261"/>
      <c r="H320" s="263">
        <f>AVERAGE(Q320,R320,S320,T320,U320,V320)</f>
        <v>4.5</v>
      </c>
      <c r="I320" s="149"/>
      <c r="J320" s="53"/>
      <c r="K320" s="53"/>
      <c r="L320" s="61"/>
      <c r="M320" s="61"/>
      <c r="N320" s="53"/>
      <c r="O320" s="53"/>
      <c r="P320" s="53"/>
      <c r="Q320" s="53">
        <v>5</v>
      </c>
      <c r="R320" s="53">
        <v>4</v>
      </c>
      <c r="S320" s="53">
        <v>5</v>
      </c>
      <c r="T320" s="61">
        <v>5</v>
      </c>
      <c r="U320" s="53">
        <v>4</v>
      </c>
      <c r="V320" s="53">
        <v>4</v>
      </c>
      <c r="W320" s="53"/>
      <c r="X320" s="53"/>
      <c r="Y320" s="53"/>
      <c r="Z320" s="53"/>
      <c r="AA320" s="53"/>
      <c r="AB320" s="53"/>
      <c r="AC320" s="53"/>
      <c r="AD320" s="63"/>
      <c r="AE320" s="269"/>
      <c r="AF320" s="63"/>
      <c r="AG320" s="53"/>
      <c r="AH320" s="53"/>
      <c r="AI320" s="53"/>
      <c r="AJ320" s="53"/>
      <c r="AK320" s="53"/>
      <c r="AL320" s="63"/>
      <c r="AM320" s="63"/>
      <c r="AN320" s="164"/>
      <c r="AO320" s="164"/>
      <c r="AP320" s="53"/>
      <c r="AQ320" s="63"/>
      <c r="AR320" s="63"/>
      <c r="AS320" s="63"/>
      <c r="AT320" s="53"/>
      <c r="AU320">
        <f>E320 +F320</f>
        <v>6</v>
      </c>
    </row>
    <row r="321" spans="1:47" x14ac:dyDescent="0.25">
      <c r="A321" t="str">
        <f>B321 &amp; " - " &amp;D321</f>
        <v>SRFC - Costil</v>
      </c>
      <c r="B321" t="s">
        <v>913</v>
      </c>
      <c r="C321" s="30" t="s">
        <v>638</v>
      </c>
      <c r="D321" s="30" t="s">
        <v>888</v>
      </c>
      <c r="E321" s="31">
        <v>31</v>
      </c>
      <c r="F321" s="99"/>
      <c r="G321" s="73"/>
      <c r="H321" s="34">
        <f>AVERAGE(J321,K321,L321,I321,T321,U321,V321,W321,X321,Y321,Z321,AA321,AB321,AC321,AD321,AE321,AF321,AG321,AH321,AI321,AJ321,AK321,AL321,AM321,AN321,AO321,AP321,AQ321,AR321,AS321,AT321)</f>
        <v>5.096774193548387</v>
      </c>
      <c r="I321" s="87">
        <v>4</v>
      </c>
      <c r="J321" s="28">
        <v>5</v>
      </c>
      <c r="K321" s="23">
        <v>6</v>
      </c>
      <c r="L321" s="23">
        <v>6</v>
      </c>
      <c r="M321" s="24"/>
      <c r="N321" s="24"/>
      <c r="O321" s="24"/>
      <c r="P321" s="24"/>
      <c r="Q321" s="22"/>
      <c r="R321" s="22"/>
      <c r="S321" s="22"/>
      <c r="T321" s="24">
        <v>6</v>
      </c>
      <c r="U321" s="22">
        <v>6</v>
      </c>
      <c r="V321" s="23">
        <v>5</v>
      </c>
      <c r="W321" s="23">
        <v>5</v>
      </c>
      <c r="X321" s="24">
        <v>5</v>
      </c>
      <c r="Y321" s="24">
        <v>6</v>
      </c>
      <c r="Z321" s="24">
        <v>5</v>
      </c>
      <c r="AA321" s="25">
        <v>7</v>
      </c>
      <c r="AB321" s="82">
        <v>3</v>
      </c>
      <c r="AC321" s="23">
        <v>5</v>
      </c>
      <c r="AD321" s="28">
        <v>6</v>
      </c>
      <c r="AE321" s="311">
        <v>3</v>
      </c>
      <c r="AF321" s="38">
        <v>6</v>
      </c>
      <c r="AG321" s="24">
        <v>6</v>
      </c>
      <c r="AH321" s="22">
        <v>6</v>
      </c>
      <c r="AI321" s="23">
        <v>5</v>
      </c>
      <c r="AJ321" s="23">
        <v>4</v>
      </c>
      <c r="AK321" s="24">
        <v>6</v>
      </c>
      <c r="AL321" s="142">
        <v>4</v>
      </c>
      <c r="AM321" s="142">
        <v>4</v>
      </c>
      <c r="AN321" s="142">
        <v>4</v>
      </c>
      <c r="AO321" s="27">
        <v>5</v>
      </c>
      <c r="AP321" s="24">
        <v>4</v>
      </c>
      <c r="AQ321" s="142">
        <v>6</v>
      </c>
      <c r="AR321" s="27">
        <v>5</v>
      </c>
      <c r="AS321" s="27">
        <v>5</v>
      </c>
      <c r="AT321" s="24">
        <v>5</v>
      </c>
      <c r="AU321">
        <f>E321 +F321</f>
        <v>31</v>
      </c>
    </row>
    <row r="322" spans="1:47" x14ac:dyDescent="0.25">
      <c r="A322" t="str">
        <f>B322 &amp; " - " &amp;D322</f>
        <v>TFC - Spajic</v>
      </c>
      <c r="B322" t="s">
        <v>868</v>
      </c>
      <c r="C322" t="s">
        <v>641</v>
      </c>
      <c r="D322" t="s">
        <v>843</v>
      </c>
      <c r="E322" s="31">
        <v>11</v>
      </c>
      <c r="F322" s="99">
        <v>3</v>
      </c>
      <c r="G322" s="73"/>
      <c r="H322" s="34">
        <f>AVERAGE(J322,I322,N322,P322,Z322,AC322,AD322,AF322,AG322,AH322,AI322,AJ322)</f>
        <v>4.333333333333333</v>
      </c>
      <c r="I322" s="87">
        <v>5</v>
      </c>
      <c r="J322" s="21">
        <v>4</v>
      </c>
      <c r="K322" s="36"/>
      <c r="L322" s="24"/>
      <c r="M322" s="79"/>
      <c r="N322" s="24">
        <v>4</v>
      </c>
      <c r="O322" s="37" t="s">
        <v>644</v>
      </c>
      <c r="P322" s="24">
        <v>4</v>
      </c>
      <c r="Q322" s="24"/>
      <c r="R322" s="24"/>
      <c r="S322" s="24"/>
      <c r="T322" s="37"/>
      <c r="U322" s="24"/>
      <c r="V322" s="24"/>
      <c r="W322" s="24"/>
      <c r="X322" s="37" t="s">
        <v>644</v>
      </c>
      <c r="Y322" s="24"/>
      <c r="Z322" s="24">
        <v>5</v>
      </c>
      <c r="AA322" s="24"/>
      <c r="AB322" s="24"/>
      <c r="AC322" s="24">
        <v>5</v>
      </c>
      <c r="AD322" s="237">
        <v>3</v>
      </c>
      <c r="AE322" s="181"/>
      <c r="AF322" s="48">
        <v>5</v>
      </c>
      <c r="AG322" s="24">
        <v>5</v>
      </c>
      <c r="AH322" s="24">
        <v>4</v>
      </c>
      <c r="AI322" s="24">
        <v>5</v>
      </c>
      <c r="AJ322" s="82">
        <v>3</v>
      </c>
      <c r="AK322" s="24"/>
      <c r="AL322" s="27"/>
      <c r="AM322" s="27"/>
      <c r="AN322" s="27"/>
      <c r="AO322" s="27"/>
      <c r="AP322" s="24"/>
      <c r="AQ322" s="27"/>
      <c r="AR322" s="27"/>
      <c r="AS322" s="27"/>
      <c r="AT322" s="24"/>
      <c r="AU322">
        <f>E322 +F322</f>
        <v>14</v>
      </c>
    </row>
    <row r="323" spans="1:47" x14ac:dyDescent="0.25">
      <c r="A323" t="str">
        <f>B323 &amp; " - " &amp;D323</f>
        <v>TFC - Yago</v>
      </c>
      <c r="B323" t="s">
        <v>868</v>
      </c>
      <c r="C323" t="s">
        <v>641</v>
      </c>
      <c r="D323" t="s">
        <v>844</v>
      </c>
      <c r="E323" s="31">
        <v>16</v>
      </c>
      <c r="F323" s="99">
        <v>3</v>
      </c>
      <c r="G323" s="114" t="s">
        <v>679</v>
      </c>
      <c r="H323" s="34">
        <f>AVERAGE(K323,L323,M323,N323,O323,Q323,R323,S323,AM323,AN323,AO323,AP323,AQ323,AR323,AS323,AT323)</f>
        <v>4.6875</v>
      </c>
      <c r="I323" s="87"/>
      <c r="J323" s="24"/>
      <c r="K323" s="24">
        <v>5</v>
      </c>
      <c r="L323" s="24">
        <v>4</v>
      </c>
      <c r="M323" s="74">
        <v>4</v>
      </c>
      <c r="N323" s="24">
        <v>5</v>
      </c>
      <c r="O323" s="24">
        <v>5</v>
      </c>
      <c r="P323" s="24"/>
      <c r="Q323" s="24">
        <v>5</v>
      </c>
      <c r="R323" s="24">
        <v>5</v>
      </c>
      <c r="S323" s="24">
        <v>4</v>
      </c>
      <c r="T323" s="37"/>
      <c r="U323" s="24"/>
      <c r="V323" s="37" t="s">
        <v>644</v>
      </c>
      <c r="W323" s="24"/>
      <c r="X323" s="37"/>
      <c r="Y323" s="24"/>
      <c r="Z323" s="37" t="s">
        <v>644</v>
      </c>
      <c r="AA323" s="76" t="s">
        <v>644</v>
      </c>
      <c r="AB323" s="24"/>
      <c r="AC323" s="24"/>
      <c r="AD323" s="27"/>
      <c r="AE323" s="181"/>
      <c r="AF323" s="48"/>
      <c r="AG323" s="24"/>
      <c r="AH323" s="24"/>
      <c r="AI323" s="24"/>
      <c r="AJ323" s="24"/>
      <c r="AK323" s="24"/>
      <c r="AL323" s="27"/>
      <c r="AM323" s="27">
        <v>5</v>
      </c>
      <c r="AN323" s="27">
        <v>6</v>
      </c>
      <c r="AO323" s="27">
        <v>6</v>
      </c>
      <c r="AP323" s="24">
        <v>5</v>
      </c>
      <c r="AQ323" s="27">
        <v>4</v>
      </c>
      <c r="AR323" s="27">
        <v>4</v>
      </c>
      <c r="AS323" s="27">
        <v>5</v>
      </c>
      <c r="AT323" s="82">
        <v>3</v>
      </c>
      <c r="AU323">
        <f>E323 +F323</f>
        <v>19</v>
      </c>
    </row>
    <row r="324" spans="1:47" x14ac:dyDescent="0.25">
      <c r="A324" t="str">
        <f>B324 &amp; " - " &amp;D324</f>
        <v>TFC - Spano</v>
      </c>
      <c r="B324" t="s">
        <v>868</v>
      </c>
      <c r="C324" t="s">
        <v>641</v>
      </c>
      <c r="D324" s="123" t="s">
        <v>845</v>
      </c>
      <c r="E324" s="31"/>
      <c r="F324" s="99"/>
      <c r="G324" s="73"/>
      <c r="H324" s="34"/>
      <c r="I324" s="87"/>
      <c r="J324" s="24"/>
      <c r="K324" s="24"/>
      <c r="L324" s="24"/>
      <c r="M324" s="79"/>
      <c r="N324" s="24"/>
      <c r="O324" s="24"/>
      <c r="P324" s="24"/>
      <c r="Q324" s="24"/>
      <c r="R324" s="24"/>
      <c r="S324" s="24"/>
      <c r="T324" s="37"/>
      <c r="U324" s="24"/>
      <c r="V324" s="24"/>
      <c r="W324" s="24"/>
      <c r="X324" s="24"/>
      <c r="Y324" s="24"/>
      <c r="Z324" s="24"/>
      <c r="AA324" s="24"/>
      <c r="AB324" s="24"/>
      <c r="AC324" s="24"/>
      <c r="AD324" s="27"/>
      <c r="AE324" s="181"/>
      <c r="AF324" s="48"/>
      <c r="AG324" s="24"/>
      <c r="AH324" s="24"/>
      <c r="AI324" s="24"/>
      <c r="AJ324" s="24"/>
      <c r="AK324" s="24"/>
      <c r="AL324" s="27"/>
      <c r="AM324" s="27"/>
      <c r="AN324" s="27"/>
      <c r="AO324" s="27"/>
      <c r="AP324" s="24"/>
      <c r="AQ324" s="27"/>
      <c r="AR324" s="27"/>
      <c r="AS324" s="27"/>
      <c r="AT324" s="24"/>
      <c r="AU324">
        <f>E324 +F324</f>
        <v>0</v>
      </c>
    </row>
    <row r="325" spans="1:47" x14ac:dyDescent="0.25">
      <c r="A325" t="str">
        <f>B325 &amp; " - " &amp;D325</f>
        <v>TFC - Grigore</v>
      </c>
      <c r="B325" t="s">
        <v>868</v>
      </c>
      <c r="C325" s="64" t="s">
        <v>641</v>
      </c>
      <c r="D325" s="64" t="s">
        <v>846</v>
      </c>
      <c r="E325" s="52"/>
      <c r="F325" s="63"/>
      <c r="G325" s="145"/>
      <c r="H325" s="34"/>
      <c r="I325" s="167"/>
      <c r="J325" s="46"/>
      <c r="K325" s="182"/>
      <c r="L325" s="46"/>
      <c r="M325" s="183"/>
      <c r="N325" s="46"/>
      <c r="O325" s="46"/>
      <c r="P325" s="46"/>
      <c r="Q325" s="46"/>
      <c r="R325" s="46"/>
      <c r="S325" s="46"/>
      <c r="T325" s="55"/>
      <c r="U325" s="46"/>
      <c r="V325" s="46"/>
      <c r="W325" s="46"/>
      <c r="X325" s="46"/>
      <c r="Y325" s="46"/>
      <c r="Z325" s="46"/>
      <c r="AA325" s="46"/>
      <c r="AB325" s="46"/>
      <c r="AC325" s="46"/>
      <c r="AD325" s="47"/>
      <c r="AE325" s="184"/>
      <c r="AF325" s="45"/>
      <c r="AG325" s="46"/>
      <c r="AH325" s="46"/>
      <c r="AI325" s="46"/>
      <c r="AJ325" s="46"/>
      <c r="AK325" s="46"/>
      <c r="AL325" s="47"/>
      <c r="AM325" s="47"/>
      <c r="AN325" s="47"/>
      <c r="AO325" s="47"/>
      <c r="AP325" s="55"/>
      <c r="AQ325" s="56"/>
      <c r="AR325" s="47"/>
      <c r="AS325" s="47"/>
      <c r="AT325" s="46"/>
      <c r="AU325">
        <f>E325 +F325</f>
        <v>0</v>
      </c>
    </row>
    <row r="326" spans="1:47" x14ac:dyDescent="0.25">
      <c r="A326" t="str">
        <f>B326 &amp; " - " &amp;D326</f>
        <v>TFC - Ninkov</v>
      </c>
      <c r="B326" t="s">
        <v>868</v>
      </c>
      <c r="C326" t="s">
        <v>641</v>
      </c>
      <c r="D326" s="123" t="s">
        <v>847</v>
      </c>
      <c r="E326" s="31">
        <v>5</v>
      </c>
      <c r="F326" s="99">
        <v>5</v>
      </c>
      <c r="G326" s="73"/>
      <c r="H326" s="34">
        <f>AVERAGE(J326,K326,L326,U326,AL326,AR326)</f>
        <v>5</v>
      </c>
      <c r="I326" s="87"/>
      <c r="J326" s="24">
        <v>6</v>
      </c>
      <c r="K326" s="37">
        <v>5</v>
      </c>
      <c r="L326" s="21">
        <v>4</v>
      </c>
      <c r="M326" s="79"/>
      <c r="N326" s="22"/>
      <c r="O326" s="37"/>
      <c r="P326" s="24"/>
      <c r="Q326" s="24"/>
      <c r="R326" s="24"/>
      <c r="S326" s="24"/>
      <c r="T326" s="37"/>
      <c r="U326" s="37">
        <v>4</v>
      </c>
      <c r="V326" s="24"/>
      <c r="W326" s="37"/>
      <c r="X326" s="37"/>
      <c r="Y326" s="24"/>
      <c r="Z326" s="24"/>
      <c r="AA326" s="24"/>
      <c r="AB326" s="24"/>
      <c r="AC326" s="24"/>
      <c r="AD326" s="27"/>
      <c r="AE326" s="181"/>
      <c r="AF326" s="48"/>
      <c r="AG326" s="24"/>
      <c r="AH326" s="24"/>
      <c r="AI326" s="24"/>
      <c r="AJ326" s="24"/>
      <c r="AK326" s="24"/>
      <c r="AL326" s="26">
        <v>5</v>
      </c>
      <c r="AM326" s="27"/>
      <c r="AN326" s="139" t="s">
        <v>644</v>
      </c>
      <c r="AO326" s="27"/>
      <c r="AP326" s="37" t="s">
        <v>644</v>
      </c>
      <c r="AQ326" s="27"/>
      <c r="AR326" s="27">
        <v>6</v>
      </c>
      <c r="AS326" s="26" t="s">
        <v>644</v>
      </c>
      <c r="AT326" s="37" t="s">
        <v>644</v>
      </c>
      <c r="AU326">
        <f>E326 +F326</f>
        <v>10</v>
      </c>
    </row>
    <row r="327" spans="1:47" x14ac:dyDescent="0.25">
      <c r="A327" t="str">
        <f>B327 &amp; " - " &amp;D327</f>
        <v>TFC - Matheus</v>
      </c>
      <c r="B327" t="s">
        <v>868</v>
      </c>
      <c r="C327" t="s">
        <v>641</v>
      </c>
      <c r="D327" s="123" t="s">
        <v>848</v>
      </c>
      <c r="E327" s="31">
        <v>14</v>
      </c>
      <c r="F327" s="99"/>
      <c r="G327" s="73"/>
      <c r="H327" s="34">
        <f>AVERAGE(K327,I327,T327,U327,V327,W327,X327,Y327,Z327,AA327,AB327,AC327,AF327,AE327)</f>
        <v>4.8571428571428568</v>
      </c>
      <c r="I327" s="24">
        <v>5</v>
      </c>
      <c r="J327" s="36"/>
      <c r="K327" s="24">
        <v>5</v>
      </c>
      <c r="L327" s="24"/>
      <c r="M327" s="79"/>
      <c r="N327" s="24"/>
      <c r="O327" s="24"/>
      <c r="P327" s="24"/>
      <c r="Q327" s="24"/>
      <c r="R327" s="24"/>
      <c r="S327" s="24"/>
      <c r="T327" s="37">
        <v>5</v>
      </c>
      <c r="U327" s="24">
        <v>4</v>
      </c>
      <c r="V327" s="24">
        <v>5</v>
      </c>
      <c r="W327" s="24">
        <v>5</v>
      </c>
      <c r="X327" s="37">
        <v>6</v>
      </c>
      <c r="Y327" s="24">
        <v>5</v>
      </c>
      <c r="Z327" s="24">
        <v>4</v>
      </c>
      <c r="AA327" s="24">
        <v>6</v>
      </c>
      <c r="AB327" s="24">
        <v>5</v>
      </c>
      <c r="AC327" s="24">
        <v>5</v>
      </c>
      <c r="AD327" s="27"/>
      <c r="AE327" s="181">
        <v>4</v>
      </c>
      <c r="AF327" s="181">
        <v>4</v>
      </c>
      <c r="AG327" s="24"/>
      <c r="AH327" s="37"/>
      <c r="AI327" s="37"/>
      <c r="AJ327" s="23"/>
      <c r="AK327" s="37"/>
      <c r="AL327" s="27"/>
      <c r="AM327" s="27"/>
      <c r="AN327" s="27"/>
      <c r="AO327" s="27"/>
      <c r="AP327" s="24"/>
      <c r="AQ327" s="27"/>
      <c r="AR327" s="27"/>
      <c r="AS327" s="27"/>
      <c r="AT327" s="24"/>
      <c r="AU327">
        <f>E327 +F327</f>
        <v>14</v>
      </c>
    </row>
    <row r="328" spans="1:47" x14ac:dyDescent="0.25">
      <c r="A328" t="str">
        <f>B328 &amp; " - " &amp;D328</f>
        <v>TFC - Maury</v>
      </c>
      <c r="B328" t="s">
        <v>868</v>
      </c>
      <c r="C328" t="s">
        <v>641</v>
      </c>
      <c r="D328" t="s">
        <v>211</v>
      </c>
      <c r="E328" s="31"/>
      <c r="F328" s="99"/>
      <c r="G328" s="73"/>
      <c r="H328" s="34"/>
      <c r="I328" s="87"/>
      <c r="J328" s="24"/>
      <c r="K328" s="24"/>
      <c r="L328" s="24"/>
      <c r="M328" s="79"/>
      <c r="N328" s="24"/>
      <c r="O328" s="24"/>
      <c r="P328" s="24"/>
      <c r="Q328" s="24"/>
      <c r="R328" s="24"/>
      <c r="S328" s="24"/>
      <c r="T328" s="37"/>
      <c r="U328" s="24"/>
      <c r="V328" s="24"/>
      <c r="W328" s="24"/>
      <c r="X328" s="24"/>
      <c r="Y328" s="24"/>
      <c r="Z328" s="24"/>
      <c r="AA328" s="24"/>
      <c r="AB328" s="24"/>
      <c r="AC328" s="24"/>
      <c r="AD328" s="27"/>
      <c r="AE328" s="181"/>
      <c r="AF328" s="48"/>
      <c r="AG328" s="24"/>
      <c r="AH328" s="24"/>
      <c r="AI328" s="24"/>
      <c r="AJ328" s="24"/>
      <c r="AK328" s="24"/>
      <c r="AL328" s="27"/>
      <c r="AM328" s="27"/>
      <c r="AN328" s="27"/>
      <c r="AO328" s="27"/>
      <c r="AP328" s="24"/>
      <c r="AQ328" s="27"/>
      <c r="AR328" s="27"/>
      <c r="AS328" s="27"/>
      <c r="AT328" s="24"/>
      <c r="AU328">
        <f>E328 +F328</f>
        <v>0</v>
      </c>
    </row>
    <row r="329" spans="1:47" x14ac:dyDescent="0.25">
      <c r="A329" t="str">
        <f>B329 &amp; " - " &amp;D329</f>
        <v>TFC - Veskovac</v>
      </c>
      <c r="B329" t="s">
        <v>868</v>
      </c>
      <c r="C329" s="64" t="s">
        <v>641</v>
      </c>
      <c r="D329" s="64" t="s">
        <v>849</v>
      </c>
      <c r="E329" s="52"/>
      <c r="F329" s="63"/>
      <c r="G329" s="145"/>
      <c r="H329" s="34"/>
      <c r="I329" s="58"/>
      <c r="J329" s="182"/>
      <c r="K329" s="46"/>
      <c r="L329" s="46"/>
      <c r="M329" s="185"/>
      <c r="N329" s="46"/>
      <c r="O329" s="46"/>
      <c r="P329" s="46"/>
      <c r="Q329" s="46"/>
      <c r="R329" s="46"/>
      <c r="S329" s="46"/>
      <c r="T329" s="55"/>
      <c r="U329" s="46"/>
      <c r="V329" s="46"/>
      <c r="W329" s="46"/>
      <c r="X329" s="46"/>
      <c r="Y329" s="46"/>
      <c r="Z329" s="46"/>
      <c r="AA329" s="46"/>
      <c r="AB329" s="46"/>
      <c r="AC329" s="46"/>
      <c r="AD329" s="47"/>
      <c r="AE329" s="184"/>
      <c r="AF329" s="45"/>
      <c r="AG329" s="46"/>
      <c r="AH329" s="46"/>
      <c r="AI329" s="46"/>
      <c r="AJ329" s="46"/>
      <c r="AK329" s="46"/>
      <c r="AL329" s="47"/>
      <c r="AM329" s="47"/>
      <c r="AN329" s="47"/>
      <c r="AO329" s="47"/>
      <c r="AP329" s="46"/>
      <c r="AQ329" s="47"/>
      <c r="AR329" s="47"/>
      <c r="AS329" s="47"/>
      <c r="AT329" s="46"/>
      <c r="AU329">
        <f>E329 +F329</f>
        <v>0</v>
      </c>
    </row>
    <row r="330" spans="1:47" x14ac:dyDescent="0.25">
      <c r="A330" t="str">
        <f>B330 &amp; " - " &amp;D330</f>
        <v>TFC - Kana-Biyik</v>
      </c>
      <c r="B330" t="s">
        <v>868</v>
      </c>
      <c r="C330" t="s">
        <v>641</v>
      </c>
      <c r="D330" t="s">
        <v>850</v>
      </c>
      <c r="E330" s="31">
        <v>17</v>
      </c>
      <c r="F330" s="99"/>
      <c r="G330" s="73">
        <v>2</v>
      </c>
      <c r="H330" s="34">
        <f>AVERAGE(Y330,V330,J330,K330,L330,I330,M330,O330,P330,Q330,R330,S330,T330,U330,AP330,AT330)</f>
        <v>4.875</v>
      </c>
      <c r="I330" s="87">
        <v>5</v>
      </c>
      <c r="J330" s="24">
        <v>5</v>
      </c>
      <c r="K330" s="24">
        <v>5</v>
      </c>
      <c r="L330" s="24">
        <v>4</v>
      </c>
      <c r="M330" s="186">
        <v>6</v>
      </c>
      <c r="N330" s="24" t="s">
        <v>673</v>
      </c>
      <c r="O330" s="24">
        <v>4</v>
      </c>
      <c r="P330" s="24">
        <v>5</v>
      </c>
      <c r="Q330" s="24">
        <v>5</v>
      </c>
      <c r="R330" s="24">
        <v>5</v>
      </c>
      <c r="S330" s="24">
        <v>5</v>
      </c>
      <c r="T330" s="37">
        <v>5</v>
      </c>
      <c r="U330" s="24">
        <v>4</v>
      </c>
      <c r="V330" s="24">
        <v>4</v>
      </c>
      <c r="W330" s="24"/>
      <c r="X330" s="24"/>
      <c r="Y330" s="22">
        <v>5</v>
      </c>
      <c r="Z330" s="24"/>
      <c r="AA330" s="24"/>
      <c r="AB330" s="24"/>
      <c r="AC330" s="24"/>
      <c r="AD330" s="27"/>
      <c r="AE330" s="181"/>
      <c r="AF330" s="48"/>
      <c r="AG330" s="24"/>
      <c r="AH330" s="24"/>
      <c r="AI330" s="24"/>
      <c r="AJ330" s="24"/>
      <c r="AK330" s="24"/>
      <c r="AL330" s="28"/>
      <c r="AM330" s="27"/>
      <c r="AN330" s="26"/>
      <c r="AO330" s="27"/>
      <c r="AP330" s="24">
        <v>6</v>
      </c>
      <c r="AQ330" s="27"/>
      <c r="AR330" s="27"/>
      <c r="AS330" s="27"/>
      <c r="AT330" s="24">
        <v>5</v>
      </c>
      <c r="AU330">
        <f>E330 +F330</f>
        <v>17</v>
      </c>
    </row>
    <row r="331" spans="1:47" x14ac:dyDescent="0.25">
      <c r="A331" t="str">
        <f>B331 &amp; " - " &amp;D331</f>
        <v>TFC - Diop</v>
      </c>
      <c r="B331" t="s">
        <v>868</v>
      </c>
      <c r="C331" t="s">
        <v>641</v>
      </c>
      <c r="D331" s="126" t="s">
        <v>851</v>
      </c>
      <c r="E331" s="31">
        <v>21</v>
      </c>
      <c r="F331" s="99"/>
      <c r="G331" s="73">
        <v>1</v>
      </c>
      <c r="H331" s="34">
        <f>AVERAGE(W331,X331,Y331,Z331,AA331,AB331,AC331,AD331,AE331,AG331,AH331,AJ331,AK331,AL331,AM331,AN331,AO331,AQ331,AR331,AS331,AT331)</f>
        <v>4.7142857142857144</v>
      </c>
      <c r="I331" s="87"/>
      <c r="J331" s="24"/>
      <c r="K331" s="24"/>
      <c r="L331" s="24"/>
      <c r="M331" s="79"/>
      <c r="N331" s="24"/>
      <c r="O331" s="24"/>
      <c r="P331" s="24"/>
      <c r="Q331" s="24"/>
      <c r="R331" s="24"/>
      <c r="S331" s="24"/>
      <c r="T331" s="37"/>
      <c r="U331" s="24"/>
      <c r="V331" s="24"/>
      <c r="W331" s="24">
        <v>5</v>
      </c>
      <c r="X331" s="25">
        <v>7</v>
      </c>
      <c r="Y331" s="82">
        <v>3</v>
      </c>
      <c r="Z331" s="24">
        <v>4</v>
      </c>
      <c r="AA331" s="24">
        <v>5</v>
      </c>
      <c r="AB331" s="24">
        <v>5</v>
      </c>
      <c r="AC331" s="37">
        <v>6</v>
      </c>
      <c r="AD331" s="237">
        <v>3</v>
      </c>
      <c r="AE331" s="181">
        <v>4</v>
      </c>
      <c r="AF331" s="48"/>
      <c r="AG331" s="24">
        <v>5</v>
      </c>
      <c r="AH331" s="24">
        <v>5</v>
      </c>
      <c r="AI331" s="24"/>
      <c r="AJ331" s="24">
        <v>4</v>
      </c>
      <c r="AK331" s="24">
        <v>5</v>
      </c>
      <c r="AL331" s="27">
        <v>6</v>
      </c>
      <c r="AM331" s="27">
        <v>4</v>
      </c>
      <c r="AN331" s="27">
        <v>5</v>
      </c>
      <c r="AO331" s="27">
        <v>5</v>
      </c>
      <c r="AP331" s="24"/>
      <c r="AQ331" s="237">
        <v>3</v>
      </c>
      <c r="AR331" s="27">
        <v>5</v>
      </c>
      <c r="AS331" s="27">
        <v>5</v>
      </c>
      <c r="AT331" s="24">
        <v>5</v>
      </c>
      <c r="AU331">
        <f>E331 +F331</f>
        <v>21</v>
      </c>
    </row>
    <row r="332" spans="1:47" x14ac:dyDescent="0.25">
      <c r="A332" t="str">
        <f>B332 &amp; " - " &amp;D332</f>
        <v>SRFC - André</v>
      </c>
      <c r="B332" t="s">
        <v>913</v>
      </c>
      <c r="C332" s="30" t="s">
        <v>654</v>
      </c>
      <c r="D332" s="30" t="s">
        <v>901</v>
      </c>
      <c r="E332" s="31">
        <v>30</v>
      </c>
      <c r="F332" s="99">
        <v>2</v>
      </c>
      <c r="G332" s="73"/>
      <c r="H332" s="34">
        <f>AVERAGE(J332,K332,M332,O332,P332,Q332,S332,U332,V332,W332,X332,Y332,Z332,AA332,AB332,AC332,AD332,AE332,AF332,AG332,AH332,AI332,AJ332,AK332,AL332,AM332,AN332,AO332,AP332,AQ332,AT332)</f>
        <v>5.096774193548387</v>
      </c>
      <c r="I332" s="170"/>
      <c r="J332" s="37">
        <v>4</v>
      </c>
      <c r="K332" s="37">
        <v>4</v>
      </c>
      <c r="L332" s="37" t="s">
        <v>644</v>
      </c>
      <c r="M332" s="24">
        <v>6</v>
      </c>
      <c r="N332" s="24"/>
      <c r="O332" s="24">
        <v>5</v>
      </c>
      <c r="P332" s="24">
        <v>5</v>
      </c>
      <c r="Q332" s="24">
        <v>5</v>
      </c>
      <c r="R332" s="37"/>
      <c r="S332" s="37">
        <v>5</v>
      </c>
      <c r="T332" s="24"/>
      <c r="U332" s="24">
        <v>6</v>
      </c>
      <c r="V332" s="24">
        <v>4</v>
      </c>
      <c r="W332" s="24">
        <v>6</v>
      </c>
      <c r="X332" s="37">
        <v>5</v>
      </c>
      <c r="Y332" s="37">
        <v>5</v>
      </c>
      <c r="Z332" s="24">
        <v>5</v>
      </c>
      <c r="AA332" s="24">
        <v>5</v>
      </c>
      <c r="AB332" s="24">
        <v>5</v>
      </c>
      <c r="AC332" s="66">
        <v>7</v>
      </c>
      <c r="AD332" s="142">
        <v>6</v>
      </c>
      <c r="AE332" s="311">
        <v>3</v>
      </c>
      <c r="AF332" s="188">
        <v>5</v>
      </c>
      <c r="AG332" s="37">
        <v>4</v>
      </c>
      <c r="AH332" s="24">
        <v>5</v>
      </c>
      <c r="AI332" s="24">
        <v>6</v>
      </c>
      <c r="AJ332" s="24">
        <v>6</v>
      </c>
      <c r="AK332" s="24">
        <v>6</v>
      </c>
      <c r="AL332" s="27">
        <v>6</v>
      </c>
      <c r="AM332" s="27">
        <v>5</v>
      </c>
      <c r="AN332" s="27">
        <v>5</v>
      </c>
      <c r="AO332" s="237">
        <v>3</v>
      </c>
      <c r="AP332" s="82">
        <v>3</v>
      </c>
      <c r="AQ332" s="27">
        <v>6</v>
      </c>
      <c r="AR332" s="27"/>
      <c r="AS332" s="27"/>
      <c r="AT332" s="66">
        <v>7</v>
      </c>
      <c r="AU332">
        <f>E332 +F332</f>
        <v>32</v>
      </c>
    </row>
    <row r="333" spans="1:47" x14ac:dyDescent="0.25">
      <c r="A333" t="str">
        <f>B333 &amp; " - " &amp;D333</f>
        <v>TFC - Moubandjé</v>
      </c>
      <c r="B333" t="s">
        <v>868</v>
      </c>
      <c r="C333" s="85" t="s">
        <v>641</v>
      </c>
      <c r="D333" s="85" t="s">
        <v>853</v>
      </c>
      <c r="E333" s="69">
        <v>20</v>
      </c>
      <c r="F333" s="115">
        <v>3</v>
      </c>
      <c r="G333" s="68"/>
      <c r="H333" s="72">
        <f>AVERAGE(J333,L333,N333,O333,Q333,R333,S333,AD333,AG333,AH333,AI333,AJ333,AK333,AL333,AM333,AN333,AO333,AP333,AQ333,AS333,AT333)</f>
        <v>4.5714285714285712</v>
      </c>
      <c r="I333" s="87"/>
      <c r="J333" s="37">
        <v>4</v>
      </c>
      <c r="K333" s="79"/>
      <c r="L333" s="37">
        <v>5</v>
      </c>
      <c r="M333" s="79"/>
      <c r="N333" s="24">
        <v>5</v>
      </c>
      <c r="O333" s="24">
        <v>5</v>
      </c>
      <c r="P333" s="24"/>
      <c r="Q333" s="24">
        <v>5</v>
      </c>
      <c r="R333" s="24">
        <v>5</v>
      </c>
      <c r="S333" s="24">
        <v>4</v>
      </c>
      <c r="T333" s="37"/>
      <c r="U333" s="24"/>
      <c r="V333" s="24"/>
      <c r="W333" s="24"/>
      <c r="X333" s="24"/>
      <c r="Y333" s="24"/>
      <c r="Z333" s="24"/>
      <c r="AA333" s="24"/>
      <c r="AB333" s="24"/>
      <c r="AC333" s="37" t="s">
        <v>644</v>
      </c>
      <c r="AD333" s="237">
        <v>3</v>
      </c>
      <c r="AE333" s="270" t="s">
        <v>644</v>
      </c>
      <c r="AF333" s="48"/>
      <c r="AG333" s="24">
        <v>5</v>
      </c>
      <c r="AH333" s="24">
        <v>4</v>
      </c>
      <c r="AI333" s="24">
        <v>5</v>
      </c>
      <c r="AJ333" s="82">
        <v>3</v>
      </c>
      <c r="AK333" s="24">
        <v>5</v>
      </c>
      <c r="AL333" s="27">
        <v>6</v>
      </c>
      <c r="AM333" s="27">
        <v>4</v>
      </c>
      <c r="AN333" s="27">
        <v>5</v>
      </c>
      <c r="AO333" s="27">
        <v>6</v>
      </c>
      <c r="AP333" s="24">
        <v>4</v>
      </c>
      <c r="AQ333" s="27">
        <v>4</v>
      </c>
      <c r="AR333" s="27"/>
      <c r="AS333" s="27">
        <v>5</v>
      </c>
      <c r="AT333" s="24">
        <v>4</v>
      </c>
      <c r="AU333">
        <f>E333 +F333</f>
        <v>23</v>
      </c>
    </row>
    <row r="334" spans="1:47" x14ac:dyDescent="0.25">
      <c r="A334" t="str">
        <f>B334 &amp; " - " &amp;D334</f>
        <v>TFC - Didot</v>
      </c>
      <c r="B334" t="s">
        <v>868</v>
      </c>
      <c r="C334" t="s">
        <v>654</v>
      </c>
      <c r="D334" t="s">
        <v>634</v>
      </c>
      <c r="E334" s="31">
        <v>21</v>
      </c>
      <c r="F334" s="99">
        <v>2</v>
      </c>
      <c r="G334" s="73"/>
      <c r="H334" s="34">
        <f>AVERAGE(J334,K334,L334,I334,M334,O334,Q334,R334,T334,U334,AH334,AK334,AL334,AM334,AN334,AO334,AP334,AQ334,AR334,AS334,AT334)</f>
        <v>4.7142857142857144</v>
      </c>
      <c r="I334" s="87">
        <v>5</v>
      </c>
      <c r="J334" s="37">
        <v>5</v>
      </c>
      <c r="K334" s="37">
        <v>5</v>
      </c>
      <c r="L334" s="37">
        <v>4</v>
      </c>
      <c r="M334" s="37">
        <v>5</v>
      </c>
      <c r="N334" s="24"/>
      <c r="O334" s="24">
        <v>4</v>
      </c>
      <c r="P334" s="24"/>
      <c r="Q334" s="24">
        <v>5</v>
      </c>
      <c r="R334" s="24">
        <v>5</v>
      </c>
      <c r="S334" s="24"/>
      <c r="T334" s="37">
        <v>4</v>
      </c>
      <c r="U334" s="82">
        <v>3</v>
      </c>
      <c r="V334" s="37" t="s">
        <v>644</v>
      </c>
      <c r="W334" s="24"/>
      <c r="X334" s="24"/>
      <c r="Y334" s="37"/>
      <c r="Z334" s="24"/>
      <c r="AA334" s="24"/>
      <c r="AB334" s="24"/>
      <c r="AC334" s="24"/>
      <c r="AD334" s="26"/>
      <c r="AE334" s="181"/>
      <c r="AF334" s="87" t="s">
        <v>644</v>
      </c>
      <c r="AG334" s="24"/>
      <c r="AH334" s="24">
        <v>4</v>
      </c>
      <c r="AI334" s="24"/>
      <c r="AJ334" s="24"/>
      <c r="AK334" s="24">
        <v>5</v>
      </c>
      <c r="AL334" s="163">
        <v>7</v>
      </c>
      <c r="AM334" s="27">
        <v>4</v>
      </c>
      <c r="AN334" s="27">
        <v>4</v>
      </c>
      <c r="AO334" s="27">
        <v>5</v>
      </c>
      <c r="AP334" s="24">
        <v>5</v>
      </c>
      <c r="AQ334" s="27">
        <v>4</v>
      </c>
      <c r="AR334" s="27">
        <v>5</v>
      </c>
      <c r="AS334" s="27">
        <v>6</v>
      </c>
      <c r="AT334" s="24">
        <v>5</v>
      </c>
      <c r="AU334">
        <f>E334 +F334</f>
        <v>23</v>
      </c>
    </row>
    <row r="335" spans="1:47" x14ac:dyDescent="0.25">
      <c r="A335" t="str">
        <f>B335 &amp; " - " &amp;D335</f>
        <v>TFC - Furman</v>
      </c>
      <c r="B335" t="s">
        <v>868</v>
      </c>
      <c r="C335" s="64" t="s">
        <v>654</v>
      </c>
      <c r="D335" s="64" t="s">
        <v>854</v>
      </c>
      <c r="E335" s="52"/>
      <c r="F335" s="63"/>
      <c r="G335" s="145"/>
      <c r="H335" s="34"/>
      <c r="I335" s="58"/>
      <c r="J335" s="55"/>
      <c r="K335" s="55"/>
      <c r="L335" s="55"/>
      <c r="M335" s="55"/>
      <c r="N335" s="46"/>
      <c r="O335" s="46"/>
      <c r="P335" s="46"/>
      <c r="Q335" s="46"/>
      <c r="R335" s="46"/>
      <c r="S335" s="46"/>
      <c r="T335" s="55"/>
      <c r="U335" s="46"/>
      <c r="V335" s="46"/>
      <c r="W335" s="46"/>
      <c r="X335" s="46"/>
      <c r="Y335" s="46"/>
      <c r="Z335" s="46"/>
      <c r="AA335" s="46"/>
      <c r="AB335" s="46"/>
      <c r="AC335" s="46"/>
      <c r="AD335" s="47"/>
      <c r="AE335" s="184"/>
      <c r="AF335" s="45"/>
      <c r="AG335" s="46"/>
      <c r="AH335" s="46"/>
      <c r="AI335" s="46"/>
      <c r="AJ335" s="46"/>
      <c r="AK335" s="46"/>
      <c r="AL335" s="47"/>
      <c r="AM335" s="47"/>
      <c r="AN335" s="47"/>
      <c r="AO335" s="47"/>
      <c r="AP335" s="46"/>
      <c r="AQ335" s="47"/>
      <c r="AR335" s="47"/>
      <c r="AS335" s="47"/>
      <c r="AT335" s="46"/>
      <c r="AU335">
        <f>E335 +F335</f>
        <v>0</v>
      </c>
    </row>
    <row r="336" spans="1:47" x14ac:dyDescent="0.25">
      <c r="A336" t="str">
        <f>B336 &amp; " - " &amp;D336</f>
        <v>TFC - Sirieix</v>
      </c>
      <c r="B336" t="s">
        <v>868</v>
      </c>
      <c r="C336" t="s">
        <v>654</v>
      </c>
      <c r="D336" t="s">
        <v>855</v>
      </c>
      <c r="E336" s="31"/>
      <c r="F336" s="99">
        <v>5</v>
      </c>
      <c r="G336" s="73"/>
      <c r="H336" s="34"/>
      <c r="I336" s="87"/>
      <c r="J336" s="37"/>
      <c r="K336" s="37"/>
      <c r="L336" s="37"/>
      <c r="M336" s="37"/>
      <c r="N336" s="24"/>
      <c r="O336" s="24"/>
      <c r="P336" s="24"/>
      <c r="Q336" s="37"/>
      <c r="R336" s="24"/>
      <c r="S336" s="24"/>
      <c r="T336" s="37"/>
      <c r="U336" s="22"/>
      <c r="V336" s="24"/>
      <c r="W336" s="24"/>
      <c r="X336" s="37"/>
      <c r="Y336" s="24"/>
      <c r="Z336" s="37"/>
      <c r="AA336" s="24"/>
      <c r="AB336" s="24"/>
      <c r="AC336" s="24"/>
      <c r="AD336" s="27"/>
      <c r="AE336" s="181"/>
      <c r="AF336" s="87"/>
      <c r="AG336" s="24"/>
      <c r="AH336" s="37"/>
      <c r="AI336" s="24"/>
      <c r="AJ336" s="24"/>
      <c r="AK336" s="37" t="s">
        <v>644</v>
      </c>
      <c r="AL336" s="26"/>
      <c r="AM336" s="26" t="s">
        <v>644</v>
      </c>
      <c r="AN336" s="139" t="s">
        <v>644</v>
      </c>
      <c r="AO336" s="26" t="s">
        <v>644</v>
      </c>
      <c r="AP336" s="24"/>
      <c r="AQ336" s="26" t="s">
        <v>644</v>
      </c>
      <c r="AR336" s="27"/>
      <c r="AS336" s="27"/>
      <c r="AT336" s="24"/>
      <c r="AU336">
        <f>E336 +F336</f>
        <v>5</v>
      </c>
    </row>
    <row r="337" spans="1:47" x14ac:dyDescent="0.25">
      <c r="A337" t="str">
        <f>B337 &amp; " - " &amp;D337</f>
        <v>TFC - Bodiger</v>
      </c>
      <c r="B337" t="s">
        <v>868</v>
      </c>
      <c r="C337" t="s">
        <v>654</v>
      </c>
      <c r="D337" s="123" t="s">
        <v>856</v>
      </c>
      <c r="E337" s="31">
        <v>12</v>
      </c>
      <c r="F337" s="99">
        <v>10</v>
      </c>
      <c r="G337" s="73">
        <v>1</v>
      </c>
      <c r="H337" s="34">
        <f>AVERAGE(N337,P337,R337,S337,V337,W337,X337,Y337,Z337,AA337,AJ337,AM337)</f>
        <v>4.916666666666667</v>
      </c>
      <c r="I337" s="87"/>
      <c r="J337" s="37" t="s">
        <v>644</v>
      </c>
      <c r="K337" s="37" t="s">
        <v>644</v>
      </c>
      <c r="L337" s="37" t="s">
        <v>644</v>
      </c>
      <c r="M337" s="37"/>
      <c r="N337" s="24">
        <v>5</v>
      </c>
      <c r="O337" s="37" t="s">
        <v>644</v>
      </c>
      <c r="P337" s="24">
        <v>5</v>
      </c>
      <c r="Q337" s="37" t="s">
        <v>644</v>
      </c>
      <c r="R337" s="37">
        <v>5</v>
      </c>
      <c r="S337" s="24">
        <v>5</v>
      </c>
      <c r="T337" s="37" t="s">
        <v>644</v>
      </c>
      <c r="U337" s="24"/>
      <c r="V337" s="24">
        <v>5</v>
      </c>
      <c r="W337" s="24">
        <v>5</v>
      </c>
      <c r="X337" s="24">
        <v>6</v>
      </c>
      <c r="Y337" s="24">
        <v>5</v>
      </c>
      <c r="Z337" s="24">
        <v>4</v>
      </c>
      <c r="AA337" s="24">
        <v>5</v>
      </c>
      <c r="AB337" s="37" t="s">
        <v>644</v>
      </c>
      <c r="AC337" s="24"/>
      <c r="AD337" s="27"/>
      <c r="AE337" s="181"/>
      <c r="AF337" s="48"/>
      <c r="AG337" s="24"/>
      <c r="AH337" s="24"/>
      <c r="AI337" s="24"/>
      <c r="AJ337" s="24">
        <v>4</v>
      </c>
      <c r="AK337" s="37" t="s">
        <v>644</v>
      </c>
      <c r="AL337" s="27"/>
      <c r="AM337" s="27">
        <v>5</v>
      </c>
      <c r="AN337" s="27"/>
      <c r="AO337" s="27"/>
      <c r="AP337" s="37" t="s">
        <v>644</v>
      </c>
      <c r="AQ337" s="27"/>
      <c r="AR337" s="27"/>
      <c r="AS337" s="27"/>
      <c r="AT337" s="77" t="s">
        <v>644</v>
      </c>
      <c r="AU337">
        <f>E337 +F337</f>
        <v>22</v>
      </c>
    </row>
    <row r="338" spans="1:47" x14ac:dyDescent="0.25">
      <c r="A338" t="str">
        <f>B338 &amp; " - " &amp;D338</f>
        <v>TFC - Braithwaite</v>
      </c>
      <c r="B338" t="s">
        <v>868</v>
      </c>
      <c r="C338" s="30" t="s">
        <v>665</v>
      </c>
      <c r="D338" t="s">
        <v>141</v>
      </c>
      <c r="E338" s="31">
        <v>33</v>
      </c>
      <c r="F338" s="99">
        <v>3</v>
      </c>
      <c r="G338" s="73">
        <v>11</v>
      </c>
      <c r="H338" s="34">
        <f>AVERAGE(AA338,X338,W338,V338,J338,K338,L338,I338,M338,N338,O338,P338,Q338,R338,S338,T338,U338,AB338,AC338,AD338,AE338,AF338,AI338,AK338,AL338,AM338,AN338,AO338,AP338,AQ338,AR338,AS338,AT338)</f>
        <v>5.0909090909090908</v>
      </c>
      <c r="I338" s="227">
        <v>7</v>
      </c>
      <c r="J338" s="76">
        <v>5</v>
      </c>
      <c r="K338" s="37">
        <v>4</v>
      </c>
      <c r="L338" s="186">
        <v>6</v>
      </c>
      <c r="M338" s="75">
        <v>7</v>
      </c>
      <c r="N338" s="24">
        <v>5</v>
      </c>
      <c r="O338" s="22">
        <v>6</v>
      </c>
      <c r="P338" s="37">
        <v>4</v>
      </c>
      <c r="Q338" s="77">
        <v>6</v>
      </c>
      <c r="R338" s="24">
        <v>5</v>
      </c>
      <c r="S338" s="37">
        <v>4</v>
      </c>
      <c r="T338" s="37">
        <v>4</v>
      </c>
      <c r="U338" s="166">
        <v>3</v>
      </c>
      <c r="V338" s="24">
        <v>4</v>
      </c>
      <c r="W338" s="75">
        <v>7</v>
      </c>
      <c r="X338" s="23">
        <v>4</v>
      </c>
      <c r="Y338" s="37" t="s">
        <v>644</v>
      </c>
      <c r="Z338" s="37"/>
      <c r="AA338" s="24">
        <v>5</v>
      </c>
      <c r="AB338" s="24">
        <v>4</v>
      </c>
      <c r="AC338" s="76">
        <v>4</v>
      </c>
      <c r="AD338" s="237">
        <v>3</v>
      </c>
      <c r="AE338" s="181">
        <v>4</v>
      </c>
      <c r="AF338" s="181">
        <v>4</v>
      </c>
      <c r="AG338" s="24"/>
      <c r="AH338" s="37" t="s">
        <v>644</v>
      </c>
      <c r="AI338" s="25">
        <v>7</v>
      </c>
      <c r="AJ338" s="37" t="s">
        <v>644</v>
      </c>
      <c r="AK338" s="37">
        <v>5</v>
      </c>
      <c r="AL338" s="129">
        <v>7</v>
      </c>
      <c r="AM338" s="26">
        <v>4</v>
      </c>
      <c r="AN338" s="28">
        <v>6</v>
      </c>
      <c r="AO338" s="247">
        <v>7</v>
      </c>
      <c r="AP338" s="24">
        <v>5</v>
      </c>
      <c r="AQ338" s="142">
        <v>5</v>
      </c>
      <c r="AR338" s="142">
        <v>6</v>
      </c>
      <c r="AS338" s="27">
        <v>6</v>
      </c>
      <c r="AT338" s="22">
        <v>5</v>
      </c>
      <c r="AU338">
        <f>E338 +F338</f>
        <v>36</v>
      </c>
    </row>
    <row r="339" spans="1:47" x14ac:dyDescent="0.25">
      <c r="A339" t="str">
        <f>B339 &amp; " - " &amp;D339</f>
        <v>TFC - Aguilar</v>
      </c>
      <c r="B339" t="s">
        <v>868</v>
      </c>
      <c r="C339" s="64" t="s">
        <v>654</v>
      </c>
      <c r="D339" s="64" t="s">
        <v>858</v>
      </c>
      <c r="E339" s="52"/>
      <c r="F339" s="63"/>
      <c r="G339" s="145"/>
      <c r="H339" s="34"/>
      <c r="I339" s="58"/>
      <c r="J339" s="55"/>
      <c r="K339" s="55"/>
      <c r="L339" s="55"/>
      <c r="M339" s="55"/>
      <c r="N339" s="46"/>
      <c r="O339" s="46"/>
      <c r="P339" s="46"/>
      <c r="Q339" s="46"/>
      <c r="R339" s="46"/>
      <c r="S339" s="46"/>
      <c r="T339" s="55"/>
      <c r="U339" s="46"/>
      <c r="V339" s="46"/>
      <c r="W339" s="46"/>
      <c r="X339" s="46"/>
      <c r="Y339" s="46"/>
      <c r="Z339" s="46"/>
      <c r="AA339" s="46"/>
      <c r="AB339" s="46"/>
      <c r="AC339" s="46"/>
      <c r="AD339" s="47"/>
      <c r="AE339" s="184"/>
      <c r="AF339" s="45"/>
      <c r="AG339" s="46"/>
      <c r="AH339" s="46"/>
      <c r="AI339" s="46"/>
      <c r="AJ339" s="46"/>
      <c r="AK339" s="46"/>
      <c r="AL339" s="47"/>
      <c r="AM339" s="47"/>
      <c r="AN339" s="47"/>
      <c r="AO339" s="47"/>
      <c r="AP339" s="46"/>
      <c r="AQ339" s="47"/>
      <c r="AR339" s="47"/>
      <c r="AS339" s="47"/>
      <c r="AT339" s="46"/>
      <c r="AU339">
        <f>E339 +F339</f>
        <v>0</v>
      </c>
    </row>
    <row r="340" spans="1:47" x14ac:dyDescent="0.25">
      <c r="A340" t="str">
        <f>B340 &amp; " - " &amp;D340</f>
        <v>EAG - Sorbon</v>
      </c>
      <c r="B340" t="s">
        <v>999</v>
      </c>
      <c r="C340" s="30" t="s">
        <v>641</v>
      </c>
      <c r="D340" s="30" t="s">
        <v>981</v>
      </c>
      <c r="E340" s="31">
        <v>34</v>
      </c>
      <c r="F340" s="99"/>
      <c r="G340" s="114" t="s">
        <v>1096</v>
      </c>
      <c r="H340" s="34">
        <f>AVERAGE(AA340,X340,W340,V340,K340,L340,I340,M340,N340,O340,P340,Q340,R340,S340,T340,U340,Y340,Z340,AB340,AC340,AD340,AE340,AF340,AG340,AH340,AL340,AM340,AN340,AO340,AP340,AQ340,AR340,AS340,AT340)</f>
        <v>5.0882352941176467</v>
      </c>
      <c r="I340" s="310">
        <v>3</v>
      </c>
      <c r="J340" s="36"/>
      <c r="K340" s="74">
        <v>4</v>
      </c>
      <c r="L340" s="24">
        <v>6</v>
      </c>
      <c r="M340" s="37">
        <v>5</v>
      </c>
      <c r="N340" s="37">
        <v>5</v>
      </c>
      <c r="O340" s="24">
        <v>5</v>
      </c>
      <c r="P340" s="37">
        <v>5</v>
      </c>
      <c r="Q340" s="24">
        <v>5</v>
      </c>
      <c r="R340" s="23">
        <v>5</v>
      </c>
      <c r="S340" s="24">
        <v>6</v>
      </c>
      <c r="T340" s="24">
        <v>5</v>
      </c>
      <c r="U340" s="24">
        <v>5</v>
      </c>
      <c r="V340" s="37">
        <v>5</v>
      </c>
      <c r="W340" s="24">
        <v>4</v>
      </c>
      <c r="X340" s="24">
        <v>4</v>
      </c>
      <c r="Y340" s="37">
        <v>5</v>
      </c>
      <c r="Z340" s="24">
        <v>5</v>
      </c>
      <c r="AA340" s="24">
        <v>4</v>
      </c>
      <c r="AB340" s="24">
        <v>6</v>
      </c>
      <c r="AC340" s="37">
        <v>5</v>
      </c>
      <c r="AD340" s="27">
        <v>6</v>
      </c>
      <c r="AE340" s="181">
        <v>5</v>
      </c>
      <c r="AF340" s="312">
        <v>7</v>
      </c>
      <c r="AG340" s="24">
        <v>6</v>
      </c>
      <c r="AH340" s="24">
        <v>4</v>
      </c>
      <c r="AI340" s="24"/>
      <c r="AJ340" s="24"/>
      <c r="AK340" s="24"/>
      <c r="AL340" s="26">
        <v>6</v>
      </c>
      <c r="AM340" s="27">
        <v>6</v>
      </c>
      <c r="AN340" s="28">
        <v>6</v>
      </c>
      <c r="AO340" s="252">
        <v>3</v>
      </c>
      <c r="AP340" s="37">
        <v>6</v>
      </c>
      <c r="AQ340" s="247">
        <v>7</v>
      </c>
      <c r="AR340" s="27">
        <v>4</v>
      </c>
      <c r="AS340" s="27">
        <v>6</v>
      </c>
      <c r="AT340" s="24">
        <v>4</v>
      </c>
      <c r="AU340">
        <f>E340 +F340</f>
        <v>34</v>
      </c>
    </row>
    <row r="341" spans="1:47" x14ac:dyDescent="0.25">
      <c r="A341" t="str">
        <f>B341 &amp; " - " &amp;D341</f>
        <v>FCGB - Yambére</v>
      </c>
      <c r="B341" t="s">
        <v>796</v>
      </c>
      <c r="C341" s="30" t="s">
        <v>641</v>
      </c>
      <c r="D341" s="60" t="s">
        <v>778</v>
      </c>
      <c r="E341" s="31">
        <v>24</v>
      </c>
      <c r="F341" s="99">
        <v>3</v>
      </c>
      <c r="G341" s="73">
        <v>3</v>
      </c>
      <c r="H341" s="34">
        <f>AVERAGE(J341,K341,L341,I341,N341,U341,V341,W341,X341,Y341,Z341,AA341,AB341,AC341,AD341,AE341,AF341,AG341,AH341,AI341,AJ341,AM341,AN341,AO341,AP341)</f>
        <v>5.08</v>
      </c>
      <c r="I341" s="38">
        <v>4</v>
      </c>
      <c r="J341" s="24">
        <v>5</v>
      </c>
      <c r="K341" s="37">
        <v>5</v>
      </c>
      <c r="L341" s="24">
        <v>5</v>
      </c>
      <c r="M341" s="24"/>
      <c r="N341" s="24">
        <v>5</v>
      </c>
      <c r="O341" s="24"/>
      <c r="P341" s="24"/>
      <c r="Q341" s="24"/>
      <c r="R341" s="24"/>
      <c r="S341" s="24"/>
      <c r="T341" s="24"/>
      <c r="U341" s="22">
        <v>6</v>
      </c>
      <c r="V341" s="24">
        <v>5</v>
      </c>
      <c r="W341" s="24">
        <v>5</v>
      </c>
      <c r="X341" s="24">
        <v>5</v>
      </c>
      <c r="Y341" s="25">
        <v>7</v>
      </c>
      <c r="Z341" s="24">
        <v>4</v>
      </c>
      <c r="AA341" s="24">
        <v>5</v>
      </c>
      <c r="AB341" s="84">
        <v>7</v>
      </c>
      <c r="AC341" s="66">
        <v>7</v>
      </c>
      <c r="AD341" s="27">
        <v>5</v>
      </c>
      <c r="AE341" s="304">
        <v>7</v>
      </c>
      <c r="AF341" s="311">
        <v>3</v>
      </c>
      <c r="AG341" s="267">
        <v>3</v>
      </c>
      <c r="AH341" s="24">
        <v>5</v>
      </c>
      <c r="AI341" s="24">
        <v>6</v>
      </c>
      <c r="AJ341" s="82">
        <v>3</v>
      </c>
      <c r="AK341" s="24"/>
      <c r="AL341" s="26" t="s">
        <v>644</v>
      </c>
      <c r="AM341" s="27">
        <v>5</v>
      </c>
      <c r="AN341" s="142">
        <v>4</v>
      </c>
      <c r="AO341" s="27">
        <v>6</v>
      </c>
      <c r="AP341" s="24">
        <v>5</v>
      </c>
      <c r="AQ341" s="27"/>
      <c r="AR341" s="26" t="s">
        <v>644</v>
      </c>
      <c r="AS341" s="27"/>
      <c r="AT341" s="24"/>
      <c r="AU341">
        <f>E341 +F341</f>
        <v>27</v>
      </c>
    </row>
    <row r="342" spans="1:47" x14ac:dyDescent="0.25">
      <c r="A342" t="str">
        <f>B342 &amp; " - " &amp;D342</f>
        <v>SCB - Fofana</v>
      </c>
      <c r="B342" t="s">
        <v>887</v>
      </c>
      <c r="C342" s="30" t="s">
        <v>654</v>
      </c>
      <c r="D342" s="65" t="s">
        <v>814</v>
      </c>
      <c r="E342" s="31">
        <v>25</v>
      </c>
      <c r="F342" s="99">
        <v>7</v>
      </c>
      <c r="G342" s="114">
        <v>1</v>
      </c>
      <c r="H342" s="34">
        <f>AVERAGE(X342,V342,J342,K342,L342,I342,M342,N342,O342,P342,Q342,R342,S342,T342,U342,Z342,AA342,AB342,AC342,AG342,AI342,AL342,AM342,AO342,AS342,AT342)</f>
        <v>5.0769230769230766</v>
      </c>
      <c r="I342" s="87">
        <v>5</v>
      </c>
      <c r="J342" s="37">
        <v>5</v>
      </c>
      <c r="K342" s="37">
        <v>6</v>
      </c>
      <c r="L342" s="37">
        <v>5</v>
      </c>
      <c r="M342" s="24">
        <v>4</v>
      </c>
      <c r="N342" s="24">
        <v>5</v>
      </c>
      <c r="O342" s="24">
        <v>6</v>
      </c>
      <c r="P342" s="24">
        <v>5</v>
      </c>
      <c r="Q342" s="24">
        <v>5</v>
      </c>
      <c r="R342" s="37">
        <v>6</v>
      </c>
      <c r="S342" s="37">
        <v>5</v>
      </c>
      <c r="T342" s="24">
        <v>5</v>
      </c>
      <c r="U342" s="24">
        <v>6</v>
      </c>
      <c r="V342" s="37">
        <v>4</v>
      </c>
      <c r="W342" s="37" t="s">
        <v>644</v>
      </c>
      <c r="X342" s="24">
        <v>6</v>
      </c>
      <c r="Y342" s="37" t="s">
        <v>644</v>
      </c>
      <c r="Z342" s="77">
        <v>6</v>
      </c>
      <c r="AA342" s="24">
        <v>5</v>
      </c>
      <c r="AB342" s="24">
        <v>5</v>
      </c>
      <c r="AC342" s="166">
        <v>3</v>
      </c>
      <c r="AD342" s="27"/>
      <c r="AE342" s="188"/>
      <c r="AF342" s="38"/>
      <c r="AG342" s="37">
        <v>5</v>
      </c>
      <c r="AH342" s="24"/>
      <c r="AI342" s="24">
        <v>6</v>
      </c>
      <c r="AJ342" s="37" t="s">
        <v>644</v>
      </c>
      <c r="AK342" s="24"/>
      <c r="AL342" s="26">
        <v>4</v>
      </c>
      <c r="AM342" s="27">
        <v>5</v>
      </c>
      <c r="AN342" s="26" t="s">
        <v>644</v>
      </c>
      <c r="AO342" s="27">
        <v>5</v>
      </c>
      <c r="AP342" s="37" t="s">
        <v>644</v>
      </c>
      <c r="AQ342" s="26"/>
      <c r="AR342" s="26" t="s">
        <v>644</v>
      </c>
      <c r="AS342" s="27">
        <v>5</v>
      </c>
      <c r="AT342" s="24">
        <v>5</v>
      </c>
      <c r="AU342">
        <f>E342 +F342</f>
        <v>32</v>
      </c>
    </row>
    <row r="343" spans="1:47" x14ac:dyDescent="0.25">
      <c r="A343" t="str">
        <f>B343 &amp; " - " &amp;D343</f>
        <v>TFC - Machach</v>
      </c>
      <c r="B343" t="s">
        <v>868</v>
      </c>
      <c r="C343" s="297" t="s">
        <v>654</v>
      </c>
      <c r="D343" s="123" t="s">
        <v>862</v>
      </c>
      <c r="E343" s="31">
        <v>10</v>
      </c>
      <c r="F343" s="99">
        <v>6</v>
      </c>
      <c r="G343" s="73">
        <v>1</v>
      </c>
      <c r="H343" s="34">
        <f>AVERAGE(T343,U343,V343,W343,X343,Y343,AA343,AB343,AE343,AI343)</f>
        <v>4.4000000000000004</v>
      </c>
      <c r="I343" s="87"/>
      <c r="J343" s="37"/>
      <c r="K343" s="79"/>
      <c r="L343" s="79"/>
      <c r="M343" s="37"/>
      <c r="N343" s="37"/>
      <c r="O343" s="37"/>
      <c r="P343" s="37"/>
      <c r="Q343" s="24"/>
      <c r="R343" s="37" t="s">
        <v>644</v>
      </c>
      <c r="S343" s="24"/>
      <c r="T343" s="75">
        <v>7</v>
      </c>
      <c r="U343" s="37">
        <v>4</v>
      </c>
      <c r="V343" s="24">
        <v>5</v>
      </c>
      <c r="W343" s="24">
        <v>5</v>
      </c>
      <c r="X343" s="24">
        <v>5</v>
      </c>
      <c r="Y343" s="82">
        <v>3</v>
      </c>
      <c r="Z343" s="24"/>
      <c r="AA343" s="24">
        <v>4</v>
      </c>
      <c r="AB343" s="82">
        <v>3</v>
      </c>
      <c r="AC343" s="24"/>
      <c r="AD343" s="26" t="s">
        <v>644</v>
      </c>
      <c r="AE343" s="181">
        <v>4</v>
      </c>
      <c r="AF343" s="87" t="s">
        <v>644</v>
      </c>
      <c r="AG343" s="37" t="s">
        <v>644</v>
      </c>
      <c r="AH343" s="37" t="s">
        <v>644</v>
      </c>
      <c r="AI343" s="24">
        <v>4</v>
      </c>
      <c r="AJ343" s="37" t="s">
        <v>644</v>
      </c>
      <c r="AK343" s="24"/>
      <c r="AL343" s="27"/>
      <c r="AM343" s="27"/>
      <c r="AN343" s="27"/>
      <c r="AO343" s="27"/>
      <c r="AP343" s="37"/>
      <c r="AQ343" s="27"/>
      <c r="AR343" s="27"/>
      <c r="AS343" s="27"/>
      <c r="AT343" s="37"/>
      <c r="AU343">
        <f>E343 +F343</f>
        <v>16</v>
      </c>
    </row>
    <row r="344" spans="1:47" x14ac:dyDescent="0.25">
      <c r="A344" t="str">
        <f>B344 &amp; " - " &amp;D344</f>
        <v>SR - Kankava</v>
      </c>
      <c r="B344" t="s">
        <v>933</v>
      </c>
      <c r="C344" s="30" t="s">
        <v>654</v>
      </c>
      <c r="D344" s="176" t="s">
        <v>924</v>
      </c>
      <c r="E344" s="31">
        <v>27</v>
      </c>
      <c r="F344" s="99"/>
      <c r="G344" s="73"/>
      <c r="H344" s="34">
        <f>AVERAGE(K344,N344,O344,P344,Q344,U344,V344,W344,Y344,Z344,AA344,AB344,AC344,AD344,AE344,AF344,AG344,AI344,AJ344,AK344,AL344,AM344,AO344,AP344,AR344,AS344,AT344)</f>
        <v>5.0740740740740744</v>
      </c>
      <c r="I344" s="48"/>
      <c r="J344" s="37"/>
      <c r="K344" s="74">
        <v>4</v>
      </c>
      <c r="L344" s="37"/>
      <c r="M344" s="24"/>
      <c r="N344" s="24">
        <v>4</v>
      </c>
      <c r="O344" s="24">
        <v>4</v>
      </c>
      <c r="P344" s="24">
        <v>6</v>
      </c>
      <c r="Q344" s="24">
        <v>4</v>
      </c>
      <c r="R344" s="24"/>
      <c r="S344" s="24"/>
      <c r="T344" s="24"/>
      <c r="U344" s="37">
        <v>5</v>
      </c>
      <c r="V344" s="24">
        <v>5</v>
      </c>
      <c r="W344" s="24">
        <v>5</v>
      </c>
      <c r="X344" s="37"/>
      <c r="Y344" s="24">
        <v>5</v>
      </c>
      <c r="Z344" s="24">
        <v>5</v>
      </c>
      <c r="AA344" s="24">
        <v>5</v>
      </c>
      <c r="AB344" s="24">
        <v>5</v>
      </c>
      <c r="AC344" s="37">
        <v>6</v>
      </c>
      <c r="AD344" s="163">
        <v>7</v>
      </c>
      <c r="AE344" s="181">
        <v>4</v>
      </c>
      <c r="AF344" s="181">
        <v>6</v>
      </c>
      <c r="AG344" s="66">
        <v>7</v>
      </c>
      <c r="AH344" s="37"/>
      <c r="AI344" s="82">
        <v>3</v>
      </c>
      <c r="AJ344" s="23">
        <v>5</v>
      </c>
      <c r="AK344" s="37">
        <v>5</v>
      </c>
      <c r="AL344" s="27">
        <v>5</v>
      </c>
      <c r="AM344" s="27">
        <v>6</v>
      </c>
      <c r="AN344" s="27"/>
      <c r="AO344" s="27">
        <v>6</v>
      </c>
      <c r="AP344" s="24">
        <v>5</v>
      </c>
      <c r="AQ344" s="27"/>
      <c r="AR344" s="27">
        <v>5</v>
      </c>
      <c r="AS344" s="27">
        <v>5</v>
      </c>
      <c r="AT344" s="24">
        <v>5</v>
      </c>
      <c r="AU344">
        <f>E344 +F344</f>
        <v>27</v>
      </c>
    </row>
    <row r="345" spans="1:47" x14ac:dyDescent="0.25">
      <c r="A345" t="str">
        <f>B345 &amp; " - " &amp;D345</f>
        <v>TFC - Pesic</v>
      </c>
      <c r="B345" t="s">
        <v>868</v>
      </c>
      <c r="C345" s="297" t="s">
        <v>654</v>
      </c>
      <c r="D345" s="123" t="s">
        <v>865</v>
      </c>
      <c r="E345" s="31">
        <v>5</v>
      </c>
      <c r="F345" s="99">
        <v>18</v>
      </c>
      <c r="G345" s="73">
        <v>2</v>
      </c>
      <c r="H345" s="34">
        <f>AVERAGE(Q345,Y345,Z345,AG345,AJ345)</f>
        <v>4.4000000000000004</v>
      </c>
      <c r="I345" s="87" t="s">
        <v>644</v>
      </c>
      <c r="J345" s="37"/>
      <c r="K345" s="37"/>
      <c r="L345" s="37" t="s">
        <v>644</v>
      </c>
      <c r="M345" s="37" t="s">
        <v>644</v>
      </c>
      <c r="N345" s="37" t="s">
        <v>644</v>
      </c>
      <c r="O345" s="22"/>
      <c r="P345" s="37" t="s">
        <v>644</v>
      </c>
      <c r="Q345" s="24">
        <v>5</v>
      </c>
      <c r="R345" s="37" t="s">
        <v>644</v>
      </c>
      <c r="S345" s="37" t="s">
        <v>644</v>
      </c>
      <c r="T345" s="76" t="s">
        <v>644</v>
      </c>
      <c r="U345" s="76" t="s">
        <v>644</v>
      </c>
      <c r="V345" s="37" t="s">
        <v>644</v>
      </c>
      <c r="W345" s="76" t="s">
        <v>644</v>
      </c>
      <c r="X345" s="77" t="s">
        <v>644</v>
      </c>
      <c r="Y345" s="24">
        <v>4</v>
      </c>
      <c r="Z345" s="22">
        <v>5</v>
      </c>
      <c r="AA345" s="37"/>
      <c r="AB345" s="37" t="s">
        <v>644</v>
      </c>
      <c r="AC345" s="37" t="s">
        <v>644</v>
      </c>
      <c r="AD345" s="26" t="s">
        <v>644</v>
      </c>
      <c r="AE345" s="270" t="s">
        <v>644</v>
      </c>
      <c r="AF345" s="48"/>
      <c r="AG345" s="23">
        <v>4</v>
      </c>
      <c r="AH345" s="24"/>
      <c r="AI345" s="37" t="s">
        <v>644</v>
      </c>
      <c r="AJ345" s="24">
        <v>4</v>
      </c>
      <c r="AK345" s="24"/>
      <c r="AL345" s="27"/>
      <c r="AM345" s="26" t="s">
        <v>644</v>
      </c>
      <c r="AN345" s="27"/>
      <c r="AO345" s="27"/>
      <c r="AP345" s="24"/>
      <c r="AQ345" s="26"/>
      <c r="AR345" s="26"/>
      <c r="AS345" s="26"/>
      <c r="AT345" s="24"/>
      <c r="AU345">
        <f>E345 +F345</f>
        <v>23</v>
      </c>
    </row>
    <row r="346" spans="1:47" x14ac:dyDescent="0.25">
      <c r="A346" t="str">
        <f>B346 &amp; " - " &amp;D346</f>
        <v>TFC - Roman</v>
      </c>
      <c r="B346" t="s">
        <v>868</v>
      </c>
      <c r="C346" s="85" t="s">
        <v>654</v>
      </c>
      <c r="D346" s="85" t="s">
        <v>864</v>
      </c>
      <c r="E346" s="69"/>
      <c r="F346" s="115"/>
      <c r="G346" s="68"/>
      <c r="H346" s="44"/>
      <c r="I346" s="87"/>
      <c r="J346" s="37"/>
      <c r="K346" s="37"/>
      <c r="L346" s="37"/>
      <c r="M346" s="37"/>
      <c r="N346" s="24"/>
      <c r="O346" s="24"/>
      <c r="P346" s="37"/>
      <c r="Q346" s="24"/>
      <c r="R346" s="24"/>
      <c r="S346" s="24"/>
      <c r="T346" s="37"/>
      <c r="U346" s="24"/>
      <c r="V346" s="24"/>
      <c r="W346" s="24"/>
      <c r="X346" s="24"/>
      <c r="Y346" s="24"/>
      <c r="Z346" s="24"/>
      <c r="AA346" s="24"/>
      <c r="AB346" s="24"/>
      <c r="AC346" s="24"/>
      <c r="AD346" s="27"/>
      <c r="AE346" s="181"/>
      <c r="AF346" s="48"/>
      <c r="AG346" s="24"/>
      <c r="AH346" s="24"/>
      <c r="AI346" s="24"/>
      <c r="AJ346" s="24"/>
      <c r="AK346" s="24"/>
      <c r="AL346" s="27"/>
      <c r="AM346" s="27"/>
      <c r="AN346" s="26"/>
      <c r="AO346" s="27"/>
      <c r="AP346" s="24"/>
      <c r="AQ346" s="27"/>
      <c r="AR346" s="27"/>
      <c r="AS346" s="27"/>
      <c r="AT346" s="24"/>
      <c r="AU346">
        <f>E346 +F346</f>
        <v>0</v>
      </c>
    </row>
    <row r="347" spans="1:47" x14ac:dyDescent="0.25">
      <c r="A347" t="str">
        <f>B347 &amp; " - " &amp;D347</f>
        <v>FCL - Guerreiro</v>
      </c>
      <c r="B347" t="s">
        <v>816</v>
      </c>
      <c r="C347" s="30" t="s">
        <v>654</v>
      </c>
      <c r="D347" s="30" t="s">
        <v>809</v>
      </c>
      <c r="E347" s="31">
        <v>27</v>
      </c>
      <c r="F347" s="99">
        <v>7</v>
      </c>
      <c r="G347" s="277">
        <v>3</v>
      </c>
      <c r="H347" s="34">
        <f>AVERAGE(Z347,J347,K347,L347,I347,M347,N347,S347,U347,V347,W347,X347,AA347,AB347,AC347,AD347,AE347,AF347,AH347,AI347,AJ347,AL347,AN347,AO347,AP347,AQ347,AS347,AT347)</f>
        <v>5.0714285714285712</v>
      </c>
      <c r="I347" s="171">
        <v>5</v>
      </c>
      <c r="J347" s="37">
        <v>5</v>
      </c>
      <c r="K347" s="37">
        <v>4</v>
      </c>
      <c r="L347" s="74">
        <v>5</v>
      </c>
      <c r="M347" s="37">
        <v>5</v>
      </c>
      <c r="N347" s="24">
        <v>5</v>
      </c>
      <c r="O347" s="37" t="s">
        <v>644</v>
      </c>
      <c r="P347" s="37"/>
      <c r="Q347" s="24"/>
      <c r="R347" s="37" t="s">
        <v>644</v>
      </c>
      <c r="S347" s="22">
        <v>6</v>
      </c>
      <c r="T347" s="37" t="s">
        <v>644</v>
      </c>
      <c r="U347" s="66">
        <v>7</v>
      </c>
      <c r="V347" s="24">
        <v>5</v>
      </c>
      <c r="W347" s="24">
        <v>5</v>
      </c>
      <c r="X347" s="37">
        <v>4</v>
      </c>
      <c r="Y347" s="24"/>
      <c r="Z347" s="24">
        <v>5</v>
      </c>
      <c r="AA347" s="24">
        <v>6</v>
      </c>
      <c r="AB347" s="24">
        <v>5</v>
      </c>
      <c r="AC347" s="24">
        <v>5</v>
      </c>
      <c r="AD347" s="26">
        <v>4</v>
      </c>
      <c r="AE347" s="181">
        <v>5</v>
      </c>
      <c r="AF347" s="313">
        <v>5</v>
      </c>
      <c r="AG347" s="37" t="s">
        <v>644</v>
      </c>
      <c r="AH347" s="37">
        <v>4</v>
      </c>
      <c r="AI347" s="75">
        <v>7</v>
      </c>
      <c r="AJ347" s="66">
        <v>7</v>
      </c>
      <c r="AK347" s="37" t="s">
        <v>644</v>
      </c>
      <c r="AL347" s="27">
        <v>6</v>
      </c>
      <c r="AM347" s="27"/>
      <c r="AN347" s="237">
        <v>3</v>
      </c>
      <c r="AO347" s="27">
        <v>5</v>
      </c>
      <c r="AP347" s="24">
        <v>5</v>
      </c>
      <c r="AQ347" s="237">
        <v>3</v>
      </c>
      <c r="AR347" s="26" t="s">
        <v>644</v>
      </c>
      <c r="AS347" s="26">
        <v>5</v>
      </c>
      <c r="AT347" s="37">
        <v>6</v>
      </c>
      <c r="AU347">
        <f>E347 +F347</f>
        <v>34</v>
      </c>
    </row>
    <row r="348" spans="1:47" x14ac:dyDescent="0.25">
      <c r="A348" t="str">
        <f>B348 &amp; " - " &amp;D348</f>
        <v>OM - Nkoulou</v>
      </c>
      <c r="B348" t="s">
        <v>703</v>
      </c>
      <c r="C348" s="30" t="s">
        <v>641</v>
      </c>
      <c r="D348" s="30" t="s">
        <v>642</v>
      </c>
      <c r="E348" s="31">
        <v>33</v>
      </c>
      <c r="F348" s="99"/>
      <c r="G348" s="114" t="s">
        <v>679</v>
      </c>
      <c r="H348" s="34">
        <f>AVERAGE(AA348,W348,J348,K348,L348,M348,N348,O348,P348,Q348,R348,S348,T348,V348,X348,Y348,Z348,AB348,AC348,AD348,AE348,AF348,AG348,AH348,AI348,AJ348,AL348,AM348,AO348,AP348,AQ348,AR348,AS348)</f>
        <v>5.0606060606060606</v>
      </c>
      <c r="I348" s="36"/>
      <c r="J348" s="21">
        <v>5</v>
      </c>
      <c r="K348" s="24">
        <v>6</v>
      </c>
      <c r="L348" s="24">
        <v>5</v>
      </c>
      <c r="M348" s="24">
        <v>5</v>
      </c>
      <c r="N348" s="24">
        <v>5</v>
      </c>
      <c r="O348" s="24">
        <v>5</v>
      </c>
      <c r="P348" s="24">
        <v>5</v>
      </c>
      <c r="Q348" s="24">
        <v>5</v>
      </c>
      <c r="R348" s="23">
        <v>5</v>
      </c>
      <c r="S348" s="24">
        <v>4</v>
      </c>
      <c r="T348" s="23">
        <v>6</v>
      </c>
      <c r="U348" s="24"/>
      <c r="V348" s="24">
        <v>6</v>
      </c>
      <c r="W348" s="24">
        <v>4</v>
      </c>
      <c r="X348" s="24">
        <v>5</v>
      </c>
      <c r="Y348" s="24">
        <v>5</v>
      </c>
      <c r="Z348" s="24">
        <v>5</v>
      </c>
      <c r="AA348" s="24">
        <v>5</v>
      </c>
      <c r="AB348" s="37">
        <v>6</v>
      </c>
      <c r="AC348" s="24">
        <v>5</v>
      </c>
      <c r="AD348" s="27">
        <v>6</v>
      </c>
      <c r="AE348" s="181">
        <v>5</v>
      </c>
      <c r="AF348" s="181">
        <v>6</v>
      </c>
      <c r="AG348" s="24">
        <v>4</v>
      </c>
      <c r="AH348" s="24">
        <v>5</v>
      </c>
      <c r="AI348" s="24">
        <v>5</v>
      </c>
      <c r="AJ348" s="24">
        <v>5</v>
      </c>
      <c r="AK348" s="24"/>
      <c r="AL348" s="27">
        <v>5</v>
      </c>
      <c r="AM348" s="237">
        <v>3</v>
      </c>
      <c r="AN348" s="26"/>
      <c r="AO348" s="27">
        <v>6</v>
      </c>
      <c r="AP348" s="24">
        <v>5</v>
      </c>
      <c r="AQ348" s="237">
        <v>3</v>
      </c>
      <c r="AR348" s="27">
        <v>6</v>
      </c>
      <c r="AS348" s="27">
        <v>6</v>
      </c>
      <c r="AT348" s="24"/>
      <c r="AU348">
        <f>E348 +F348</f>
        <v>33</v>
      </c>
    </row>
    <row r="349" spans="1:47" x14ac:dyDescent="0.25">
      <c r="A349" t="str">
        <f>B349 &amp; " - " &amp;D349</f>
        <v>TFC - Zaniou</v>
      </c>
      <c r="B349" t="s">
        <v>868</v>
      </c>
      <c r="C349" t="s">
        <v>665</v>
      </c>
      <c r="D349" t="s">
        <v>866</v>
      </c>
      <c r="E349" s="31"/>
      <c r="F349" s="99"/>
      <c r="G349" s="73"/>
      <c r="H349" s="100"/>
      <c r="I349" s="87"/>
      <c r="J349" s="37"/>
      <c r="K349" s="37"/>
      <c r="L349" s="37"/>
      <c r="M349" s="37"/>
      <c r="N349" s="24"/>
      <c r="O349" s="24"/>
      <c r="P349" s="24"/>
      <c r="Q349" s="24"/>
      <c r="R349" s="24"/>
      <c r="S349" s="24"/>
      <c r="T349" s="37"/>
      <c r="U349" s="24"/>
      <c r="V349" s="24"/>
      <c r="W349" s="24"/>
      <c r="X349" s="24"/>
      <c r="Y349" s="24"/>
      <c r="Z349" s="24"/>
      <c r="AA349" s="24"/>
      <c r="AB349" s="24"/>
      <c r="AC349" s="24"/>
      <c r="AD349" s="27"/>
      <c r="AE349" s="181"/>
      <c r="AF349" s="48"/>
      <c r="AG349" s="24"/>
      <c r="AH349" s="24"/>
      <c r="AI349" s="24"/>
      <c r="AJ349" s="24"/>
      <c r="AK349" s="24"/>
      <c r="AL349" s="27"/>
      <c r="AM349" s="27"/>
      <c r="AN349" s="27"/>
      <c r="AO349" s="27"/>
      <c r="AP349" s="24"/>
      <c r="AQ349" s="27"/>
      <c r="AR349" s="27"/>
      <c r="AS349" s="27"/>
      <c r="AT349" s="24"/>
      <c r="AU349">
        <f>E349 +F349</f>
        <v>0</v>
      </c>
    </row>
    <row r="350" spans="1:47" ht="15.75" thickBot="1" x14ac:dyDescent="0.3">
      <c r="A350" t="str">
        <f>B350 &amp; " - " &amp;D350</f>
        <v>TFC - Ben Ali</v>
      </c>
      <c r="B350" t="s">
        <v>868</v>
      </c>
      <c r="C350" s="140" t="s">
        <v>665</v>
      </c>
      <c r="D350" s="157" t="s">
        <v>867</v>
      </c>
      <c r="E350" s="90"/>
      <c r="F350" s="119">
        <v>1</v>
      </c>
      <c r="G350" s="89"/>
      <c r="H350" s="93"/>
      <c r="I350" s="87"/>
      <c r="J350" s="24"/>
      <c r="K350" s="24"/>
      <c r="L350" s="24"/>
      <c r="M350" s="37"/>
      <c r="N350" s="24"/>
      <c r="O350" s="24"/>
      <c r="P350" s="37" t="s">
        <v>644</v>
      </c>
      <c r="Q350" s="24"/>
      <c r="R350" s="24"/>
      <c r="S350" s="24"/>
      <c r="T350" s="37"/>
      <c r="U350" s="24"/>
      <c r="V350" s="37"/>
      <c r="W350" s="24"/>
      <c r="X350" s="24"/>
      <c r="Y350" s="24"/>
      <c r="Z350" s="24"/>
      <c r="AA350" s="24"/>
      <c r="AB350" s="37"/>
      <c r="AC350" s="24"/>
      <c r="AD350" s="26"/>
      <c r="AE350" s="181"/>
      <c r="AF350" s="48"/>
      <c r="AG350" s="24"/>
      <c r="AH350" s="24"/>
      <c r="AI350" s="24"/>
      <c r="AJ350" s="24"/>
      <c r="AK350" s="24"/>
      <c r="AL350" s="27"/>
      <c r="AM350" s="27"/>
      <c r="AN350" s="27"/>
      <c r="AO350" s="27"/>
      <c r="AP350" s="24"/>
      <c r="AQ350" s="27"/>
      <c r="AR350" s="27"/>
      <c r="AS350" s="27"/>
      <c r="AT350" s="24"/>
      <c r="AU350">
        <f>E350 +F350</f>
        <v>1</v>
      </c>
    </row>
    <row r="351" spans="1:47" x14ac:dyDescent="0.25">
      <c r="A351" t="str">
        <f>B351 &amp; " - " &amp;D351</f>
        <v>SR - Devaux</v>
      </c>
      <c r="B351" t="s">
        <v>933</v>
      </c>
      <c r="C351" s="29" t="s">
        <v>654</v>
      </c>
      <c r="D351" s="30" t="s">
        <v>919</v>
      </c>
      <c r="E351" s="31">
        <v>33</v>
      </c>
      <c r="F351" s="99"/>
      <c r="G351" s="73">
        <v>1</v>
      </c>
      <c r="H351" s="34">
        <f>AVERAGE(Y351,Z351,X351,W351,V351,J351,K351,L351,I351,M351,N351,P351,Q351,R351,S351,T351,U351,AA351,AB351,AE351,AF351,AG351,AH351,AI351,AJ351,AK351,AM351,AN351,AO351,AP351,AQ351,AS351,AT351)</f>
        <v>5.0606060606060606</v>
      </c>
      <c r="I351" s="38">
        <v>6</v>
      </c>
      <c r="J351" s="37">
        <v>6</v>
      </c>
      <c r="K351" s="37">
        <v>5</v>
      </c>
      <c r="L351" s="37">
        <v>5</v>
      </c>
      <c r="M351" s="24">
        <v>5</v>
      </c>
      <c r="N351" s="37">
        <v>5</v>
      </c>
      <c r="O351" s="24"/>
      <c r="P351" s="24">
        <v>4</v>
      </c>
      <c r="Q351" s="24">
        <v>5</v>
      </c>
      <c r="R351" s="24">
        <v>5</v>
      </c>
      <c r="S351" s="24">
        <v>4</v>
      </c>
      <c r="T351" s="24">
        <v>5</v>
      </c>
      <c r="U351" s="24">
        <v>5</v>
      </c>
      <c r="V351" s="24">
        <v>4</v>
      </c>
      <c r="W351" s="24">
        <v>5</v>
      </c>
      <c r="X351" s="24">
        <v>5</v>
      </c>
      <c r="Y351" s="24">
        <v>5</v>
      </c>
      <c r="Z351" s="24">
        <v>4</v>
      </c>
      <c r="AA351" s="24">
        <v>5</v>
      </c>
      <c r="AB351" s="22">
        <v>5</v>
      </c>
      <c r="AC351" s="24"/>
      <c r="AD351" s="27"/>
      <c r="AE351" s="24">
        <v>4</v>
      </c>
      <c r="AF351" s="163">
        <v>7</v>
      </c>
      <c r="AG351" s="24">
        <v>6</v>
      </c>
      <c r="AH351" s="27">
        <v>5</v>
      </c>
      <c r="AI351" s="27">
        <v>5</v>
      </c>
      <c r="AJ351" s="24">
        <v>6</v>
      </c>
      <c r="AK351" s="37">
        <v>5</v>
      </c>
      <c r="AL351" s="24"/>
      <c r="AM351" s="24">
        <v>5</v>
      </c>
      <c r="AN351" s="27">
        <v>5</v>
      </c>
      <c r="AO351" s="24">
        <v>6</v>
      </c>
      <c r="AP351" s="24">
        <v>6</v>
      </c>
      <c r="AQ351" s="27">
        <v>4</v>
      </c>
      <c r="AR351" s="27"/>
      <c r="AS351" s="27">
        <v>5</v>
      </c>
      <c r="AT351" s="24">
        <v>5</v>
      </c>
      <c r="AU351">
        <f>E351 +F351</f>
        <v>33</v>
      </c>
    </row>
    <row r="352" spans="1:47" x14ac:dyDescent="0.25">
      <c r="A352" t="str">
        <f>B352 &amp; " - " &amp;D352</f>
        <v>SCB - Hansen</v>
      </c>
      <c r="B352" t="s">
        <v>887</v>
      </c>
      <c r="C352" s="29" t="s">
        <v>638</v>
      </c>
      <c r="D352" s="30" t="s">
        <v>181</v>
      </c>
      <c r="E352" s="31">
        <v>3</v>
      </c>
      <c r="F352" s="99">
        <v>1</v>
      </c>
      <c r="G352" s="73"/>
      <c r="H352" s="34">
        <f>AVERAGE(K352,L352,M352)</f>
        <v>5.666666666666667</v>
      </c>
      <c r="I352" s="87"/>
      <c r="J352" s="24"/>
      <c r="K352" s="25">
        <v>7</v>
      </c>
      <c r="L352" s="24">
        <v>6</v>
      </c>
      <c r="M352" s="24">
        <v>4</v>
      </c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8"/>
      <c r="AE352" s="24"/>
      <c r="AF352" s="27"/>
      <c r="AG352" s="77" t="s">
        <v>644</v>
      </c>
      <c r="AH352" s="27"/>
      <c r="AI352" s="27"/>
      <c r="AJ352" s="24"/>
      <c r="AK352" s="24"/>
      <c r="AL352" s="24"/>
      <c r="AM352" s="24"/>
      <c r="AN352" s="27"/>
      <c r="AO352" s="24"/>
      <c r="AP352" s="24"/>
      <c r="AQ352" s="27"/>
      <c r="AR352" s="27"/>
      <c r="AS352" s="27"/>
      <c r="AT352" s="24"/>
      <c r="AU352">
        <f>E352 +F352</f>
        <v>4</v>
      </c>
    </row>
    <row r="353" spans="1:47" x14ac:dyDescent="0.25">
      <c r="A353" t="str">
        <f>B353 &amp; " - " &amp;D353</f>
        <v>SCB - Vincensini</v>
      </c>
      <c r="B353" t="s">
        <v>887</v>
      </c>
      <c r="C353" s="67" t="s">
        <v>638</v>
      </c>
      <c r="D353" s="85" t="s">
        <v>869</v>
      </c>
      <c r="E353" s="69">
        <v>1</v>
      </c>
      <c r="F353" s="115">
        <v>1</v>
      </c>
      <c r="G353" s="68"/>
      <c r="H353" s="44">
        <f>AVERAGE(AH353)</f>
        <v>7</v>
      </c>
      <c r="I353" s="87"/>
      <c r="J353" s="37" t="s">
        <v>644</v>
      </c>
      <c r="K353" s="37"/>
      <c r="L353" s="37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7"/>
      <c r="AE353" s="24"/>
      <c r="AF353" s="27"/>
      <c r="AG353" s="24"/>
      <c r="AH353" s="247">
        <v>7</v>
      </c>
      <c r="AI353" s="27"/>
      <c r="AJ353" s="24"/>
      <c r="AK353" s="24"/>
      <c r="AL353" s="24"/>
      <c r="AM353" s="24"/>
      <c r="AN353" s="27"/>
      <c r="AO353" s="24"/>
      <c r="AP353" s="24"/>
      <c r="AQ353" s="27"/>
      <c r="AR353" s="27"/>
      <c r="AS353" s="27"/>
      <c r="AT353" s="24"/>
      <c r="AU353">
        <f>E353 +F353</f>
        <v>2</v>
      </c>
    </row>
    <row r="354" spans="1:47" x14ac:dyDescent="0.25">
      <c r="A354" t="str">
        <f>B354 &amp; " - " &amp;D354</f>
        <v>SCB - Cioni</v>
      </c>
      <c r="B354" t="s">
        <v>887</v>
      </c>
      <c r="C354" s="29" t="s">
        <v>641</v>
      </c>
      <c r="D354" s="30" t="s">
        <v>588</v>
      </c>
      <c r="E354" s="31">
        <v>17</v>
      </c>
      <c r="F354" s="99">
        <v>3</v>
      </c>
      <c r="G354" s="73"/>
      <c r="H354" s="34">
        <f>AVERAGE(N354,O354,Q354,R354,S354,T354,U354,V354,W354,Y354,Z354,AA354,AB354,AD354,AE354,AG354,AH354,AQ354)</f>
        <v>4.7222222222222223</v>
      </c>
      <c r="I354" s="87"/>
      <c r="J354" s="37"/>
      <c r="K354" s="37"/>
      <c r="L354" s="37"/>
      <c r="M354" s="24"/>
      <c r="N354" s="24">
        <v>4</v>
      </c>
      <c r="O354" s="24">
        <v>4</v>
      </c>
      <c r="P354" s="37" t="s">
        <v>644</v>
      </c>
      <c r="Q354" s="24">
        <v>5</v>
      </c>
      <c r="R354" s="24">
        <v>5</v>
      </c>
      <c r="S354" s="24">
        <v>5</v>
      </c>
      <c r="T354" s="24">
        <v>5</v>
      </c>
      <c r="U354" s="24">
        <v>5</v>
      </c>
      <c r="V354" s="24">
        <v>5</v>
      </c>
      <c r="W354" s="24">
        <v>5</v>
      </c>
      <c r="X354" s="37" t="s">
        <v>644</v>
      </c>
      <c r="Y354" s="24">
        <v>4</v>
      </c>
      <c r="Z354" s="24">
        <v>5</v>
      </c>
      <c r="AA354" s="24">
        <v>5</v>
      </c>
      <c r="AB354" s="82">
        <v>3</v>
      </c>
      <c r="AC354" s="24"/>
      <c r="AD354" s="26">
        <v>5</v>
      </c>
      <c r="AE354" s="24">
        <v>5</v>
      </c>
      <c r="AF354" s="27"/>
      <c r="AG354" s="24">
        <v>6</v>
      </c>
      <c r="AH354" s="26">
        <v>5</v>
      </c>
      <c r="AI354" s="27"/>
      <c r="AJ354" s="24"/>
      <c r="AK354" s="24"/>
      <c r="AL354" s="24"/>
      <c r="AM354" s="24"/>
      <c r="AN354" s="26"/>
      <c r="AO354" s="24"/>
      <c r="AP354" s="37"/>
      <c r="AQ354" s="27">
        <v>4</v>
      </c>
      <c r="AR354" s="27"/>
      <c r="AS354" s="27"/>
      <c r="AT354" s="24"/>
      <c r="AU354">
        <f>E354 +F354</f>
        <v>20</v>
      </c>
    </row>
    <row r="355" spans="1:47" x14ac:dyDescent="0.25">
      <c r="A355" t="str">
        <f>B355 &amp; " - " &amp;D355</f>
        <v>FCN - Adryan</v>
      </c>
      <c r="B355" t="s">
        <v>955</v>
      </c>
      <c r="C355" s="29" t="s">
        <v>654</v>
      </c>
      <c r="D355" s="65" t="s">
        <v>947</v>
      </c>
      <c r="E355" s="31">
        <v>19</v>
      </c>
      <c r="F355" s="99">
        <v>7</v>
      </c>
      <c r="G355" s="73">
        <v>3</v>
      </c>
      <c r="H355" s="34">
        <f>AVERAGE(J355,K355,M355,I355,X355,Z355,AB355,AC355,AD355,AE355,AF355,AG355,AH355,AJ355,AK355,AL355,AN355,AP355,AR355,AS355)</f>
        <v>5.05</v>
      </c>
      <c r="I355" s="87">
        <v>5</v>
      </c>
      <c r="J355" s="24">
        <v>5</v>
      </c>
      <c r="K355" s="37">
        <v>5</v>
      </c>
      <c r="L355" s="24"/>
      <c r="M355" s="24">
        <v>4</v>
      </c>
      <c r="N355" s="24"/>
      <c r="O355" s="24"/>
      <c r="P355" s="24"/>
      <c r="Q355" s="24"/>
      <c r="R355" s="76" t="s">
        <v>644</v>
      </c>
      <c r="S355" s="24"/>
      <c r="T355" s="24"/>
      <c r="U355" s="37" t="s">
        <v>644</v>
      </c>
      <c r="V355" s="24"/>
      <c r="W355" s="37" t="s">
        <v>644</v>
      </c>
      <c r="X355" s="24">
        <v>4</v>
      </c>
      <c r="Y355" s="24"/>
      <c r="Z355" s="37">
        <v>5</v>
      </c>
      <c r="AA355" s="37" t="s">
        <v>644</v>
      </c>
      <c r="AB355" s="24">
        <v>6</v>
      </c>
      <c r="AC355" s="24">
        <v>5</v>
      </c>
      <c r="AD355" s="27">
        <v>5</v>
      </c>
      <c r="AE355" s="84">
        <v>7</v>
      </c>
      <c r="AF355" s="129">
        <v>7</v>
      </c>
      <c r="AG355" s="37">
        <v>6</v>
      </c>
      <c r="AH355" s="94">
        <v>5</v>
      </c>
      <c r="AI355" s="26"/>
      <c r="AJ355" s="37">
        <v>4</v>
      </c>
      <c r="AK355" s="22">
        <v>5</v>
      </c>
      <c r="AL355" s="24">
        <v>5</v>
      </c>
      <c r="AM355" s="24"/>
      <c r="AN355" s="27">
        <v>4</v>
      </c>
      <c r="AO355" s="37" t="s">
        <v>644</v>
      </c>
      <c r="AP355" s="24">
        <v>4</v>
      </c>
      <c r="AQ355" s="26" t="s">
        <v>644</v>
      </c>
      <c r="AR355" s="26">
        <v>6</v>
      </c>
      <c r="AS355" s="27">
        <v>4</v>
      </c>
      <c r="AT355" s="24"/>
      <c r="AU355">
        <f>E355 +F355</f>
        <v>26</v>
      </c>
    </row>
    <row r="356" spans="1:47" x14ac:dyDescent="0.25">
      <c r="A356" t="str">
        <f>B356 &amp; " - " &amp;D356</f>
        <v>SCB - Djiku</v>
      </c>
      <c r="B356" t="s">
        <v>887</v>
      </c>
      <c r="C356" s="29" t="s">
        <v>641</v>
      </c>
      <c r="D356" s="30" t="s">
        <v>871</v>
      </c>
      <c r="E356" s="31">
        <v>19</v>
      </c>
      <c r="F356" s="99">
        <v>1</v>
      </c>
      <c r="G356" s="114"/>
      <c r="H356" s="34">
        <f>AVERAGE(J356,K356,I356,O356,AC356,AJ356,AK356,AI356,AL356,AM356,AN356,AO356,AP356,AQ356,AR356,AS356,AT356)</f>
        <v>4.882352941176471</v>
      </c>
      <c r="I356" s="87">
        <v>5</v>
      </c>
      <c r="J356" s="26">
        <v>6</v>
      </c>
      <c r="K356" s="37">
        <v>5</v>
      </c>
      <c r="L356" s="37" t="s">
        <v>655</v>
      </c>
      <c r="M356" s="24"/>
      <c r="N356" s="24"/>
      <c r="O356" s="24">
        <v>4</v>
      </c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37" t="s">
        <v>644</v>
      </c>
      <c r="AC356" s="24">
        <v>4</v>
      </c>
      <c r="AD356" s="27" t="s">
        <v>673</v>
      </c>
      <c r="AE356" s="24"/>
      <c r="AF356" s="27"/>
      <c r="AG356" s="24"/>
      <c r="AH356" s="27"/>
      <c r="AI356" s="27">
        <v>5</v>
      </c>
      <c r="AJ356" s="24">
        <v>4</v>
      </c>
      <c r="AK356" s="24">
        <v>6</v>
      </c>
      <c r="AL356" s="24">
        <v>4</v>
      </c>
      <c r="AM356" s="24">
        <v>4</v>
      </c>
      <c r="AN356" s="27">
        <v>6</v>
      </c>
      <c r="AO356" s="82">
        <v>3</v>
      </c>
      <c r="AP356" s="24">
        <v>5</v>
      </c>
      <c r="AQ356" s="27">
        <v>5</v>
      </c>
      <c r="AR356" s="27">
        <v>5</v>
      </c>
      <c r="AS356" s="27">
        <v>6</v>
      </c>
      <c r="AT356" s="24">
        <v>6</v>
      </c>
      <c r="AU356">
        <f>E356 +F356</f>
        <v>20</v>
      </c>
    </row>
    <row r="357" spans="1:47" x14ac:dyDescent="0.25">
      <c r="A357" t="str">
        <f>B357 &amp; " - " &amp;D357</f>
        <v>ASSE - Pajot</v>
      </c>
      <c r="B357" t="s">
        <v>746</v>
      </c>
      <c r="C357" s="29" t="s">
        <v>654</v>
      </c>
      <c r="D357" s="154" t="s">
        <v>743</v>
      </c>
      <c r="E357" s="31">
        <v>19</v>
      </c>
      <c r="F357" s="99">
        <v>9</v>
      </c>
      <c r="G357" s="73">
        <v>1</v>
      </c>
      <c r="H357" s="34">
        <f>AVERAGE(M357,N357,O357,P357,R357,T357,U357,V357,X357,Y357,Z357,AB357,AC357,AD357,AG357,AH357,AI357,AJ357,AL357,AS357)</f>
        <v>5.05</v>
      </c>
      <c r="I357" s="38"/>
      <c r="J357" s="155" t="s">
        <v>644</v>
      </c>
      <c r="K357" s="37"/>
      <c r="L357" s="24"/>
      <c r="M357" s="24">
        <v>5</v>
      </c>
      <c r="N357" s="23">
        <v>6</v>
      </c>
      <c r="O357" s="24">
        <v>5</v>
      </c>
      <c r="P357" s="24">
        <v>4</v>
      </c>
      <c r="Q357" s="37" t="s">
        <v>644</v>
      </c>
      <c r="R357" s="23">
        <v>5</v>
      </c>
      <c r="S357" s="37"/>
      <c r="T357" s="24">
        <v>4</v>
      </c>
      <c r="U357" s="24">
        <v>5</v>
      </c>
      <c r="V357" s="24">
        <v>6</v>
      </c>
      <c r="W357" s="24"/>
      <c r="X357" s="37">
        <v>4</v>
      </c>
      <c r="Y357" s="24">
        <v>5</v>
      </c>
      <c r="Z357" s="24">
        <v>5</v>
      </c>
      <c r="AA357" s="24"/>
      <c r="AB357" s="24">
        <v>5</v>
      </c>
      <c r="AC357" s="24">
        <v>4</v>
      </c>
      <c r="AD357" s="27">
        <v>6</v>
      </c>
      <c r="AE357" s="24"/>
      <c r="AF357" s="26" t="s">
        <v>644</v>
      </c>
      <c r="AG357" s="25">
        <v>7</v>
      </c>
      <c r="AH357" s="27">
        <v>5</v>
      </c>
      <c r="AI357" s="27">
        <v>5</v>
      </c>
      <c r="AJ357" s="24">
        <v>5</v>
      </c>
      <c r="AK357" s="37" t="s">
        <v>644</v>
      </c>
      <c r="AL357" s="24">
        <v>5</v>
      </c>
      <c r="AM357" s="37" t="s">
        <v>644</v>
      </c>
      <c r="AN357" s="26" t="s">
        <v>644</v>
      </c>
      <c r="AO357" s="24"/>
      <c r="AP357" s="37" t="s">
        <v>644</v>
      </c>
      <c r="AQ357" s="27"/>
      <c r="AR357" s="27"/>
      <c r="AS357" s="27">
        <v>5</v>
      </c>
      <c r="AT357" s="24"/>
      <c r="AU357">
        <f>E357 +F357</f>
        <v>28</v>
      </c>
    </row>
    <row r="358" spans="1:47" x14ac:dyDescent="0.25">
      <c r="A358" t="str">
        <f>B358 &amp; " - " &amp;D358</f>
        <v>ASSE - F. Pogba</v>
      </c>
      <c r="B358" t="s">
        <v>746</v>
      </c>
      <c r="C358" s="29" t="s">
        <v>641</v>
      </c>
      <c r="D358" s="60" t="s">
        <v>736</v>
      </c>
      <c r="E358" s="31">
        <v>21</v>
      </c>
      <c r="F358" s="99">
        <v>3</v>
      </c>
      <c r="G358" s="73"/>
      <c r="H358" s="34">
        <f>AVERAGE(J358,K358,L358,I358,N358,O358,P358,T358,U358,X358,AB358,AC358,AD358,AE358,AF358,AG358,AI358,AJ358,AM358,AR358,AS358,AT358)</f>
        <v>5.0454545454545459</v>
      </c>
      <c r="I358" s="38">
        <v>5</v>
      </c>
      <c r="J358" s="27">
        <v>5</v>
      </c>
      <c r="K358" s="37">
        <v>6</v>
      </c>
      <c r="L358" s="24">
        <v>5</v>
      </c>
      <c r="M358" s="24"/>
      <c r="N358" s="24">
        <v>6</v>
      </c>
      <c r="O358" s="24">
        <v>5</v>
      </c>
      <c r="P358" s="24">
        <v>4</v>
      </c>
      <c r="Q358" s="24"/>
      <c r="R358" s="24"/>
      <c r="S358" s="37" t="s">
        <v>644</v>
      </c>
      <c r="T358" s="37">
        <v>5</v>
      </c>
      <c r="U358" s="24">
        <v>4</v>
      </c>
      <c r="V358" s="24"/>
      <c r="W358" s="24"/>
      <c r="X358" s="23">
        <v>5</v>
      </c>
      <c r="Y358" s="37"/>
      <c r="Z358" s="24"/>
      <c r="AA358" s="24"/>
      <c r="AB358" s="24">
        <v>4</v>
      </c>
      <c r="AC358" s="24">
        <v>6</v>
      </c>
      <c r="AD358" s="27">
        <v>5</v>
      </c>
      <c r="AE358" s="82">
        <v>3</v>
      </c>
      <c r="AF358" s="27">
        <v>6</v>
      </c>
      <c r="AG358" s="24">
        <v>6</v>
      </c>
      <c r="AH358" s="26" t="s">
        <v>644</v>
      </c>
      <c r="AI358" s="27">
        <v>5</v>
      </c>
      <c r="AJ358" s="24">
        <v>5</v>
      </c>
      <c r="AK358" s="24"/>
      <c r="AL358" s="24"/>
      <c r="AM358" s="24">
        <v>6</v>
      </c>
      <c r="AN358" s="27"/>
      <c r="AO358" s="24"/>
      <c r="AP358" s="24"/>
      <c r="AQ358" s="27"/>
      <c r="AR358" s="26">
        <v>5</v>
      </c>
      <c r="AS358" s="26">
        <v>4</v>
      </c>
      <c r="AT358" s="24">
        <v>6</v>
      </c>
      <c r="AU358">
        <f>E358 +F358</f>
        <v>24</v>
      </c>
    </row>
    <row r="359" spans="1:47" x14ac:dyDescent="0.25">
      <c r="A359" t="str">
        <f>B359 &amp; " - " &amp;D359</f>
        <v>GFCA - Coeff</v>
      </c>
      <c r="B359" t="s">
        <v>1047</v>
      </c>
      <c r="C359" s="29" t="s">
        <v>641</v>
      </c>
      <c r="D359" s="154" t="s">
        <v>472</v>
      </c>
      <c r="E359" s="31">
        <v>22</v>
      </c>
      <c r="F359" s="99">
        <v>2</v>
      </c>
      <c r="G359" s="99"/>
      <c r="H359" s="34">
        <f>AVERAGE(AB359,Z359,Y359,K359,J359,I359,N359,O359,P359,Q359,S359,T359,V359,W359,X359,AA359,AC359,AD359,AF359,AI359,AK359,AS359)</f>
        <v>5.0454545454545459</v>
      </c>
      <c r="I359" s="173">
        <v>5</v>
      </c>
      <c r="J359" s="27">
        <v>4</v>
      </c>
      <c r="K359" s="37">
        <v>5</v>
      </c>
      <c r="L359" s="24"/>
      <c r="M359" s="37" t="s">
        <v>644</v>
      </c>
      <c r="N359" s="37">
        <v>4</v>
      </c>
      <c r="O359" s="24">
        <v>5</v>
      </c>
      <c r="P359" s="37">
        <v>5</v>
      </c>
      <c r="Q359" s="24">
        <v>5</v>
      </c>
      <c r="R359" s="23"/>
      <c r="S359" s="24">
        <v>5</v>
      </c>
      <c r="T359" s="24">
        <v>6</v>
      </c>
      <c r="U359" s="24"/>
      <c r="V359" s="37">
        <v>5</v>
      </c>
      <c r="W359" s="24">
        <v>6</v>
      </c>
      <c r="X359" s="23">
        <v>6</v>
      </c>
      <c r="Y359" s="37">
        <v>6</v>
      </c>
      <c r="Z359" s="24">
        <v>4</v>
      </c>
      <c r="AA359" s="24">
        <v>6</v>
      </c>
      <c r="AB359" s="24">
        <v>5</v>
      </c>
      <c r="AC359" s="76">
        <v>6</v>
      </c>
      <c r="AD359" s="27">
        <v>5</v>
      </c>
      <c r="AE359" s="24"/>
      <c r="AF359" s="237">
        <v>3</v>
      </c>
      <c r="AG359" s="24"/>
      <c r="AH359" s="27"/>
      <c r="AI359" s="27">
        <v>5</v>
      </c>
      <c r="AJ359" s="32"/>
      <c r="AK359" s="84">
        <v>7</v>
      </c>
      <c r="AL359" s="37"/>
      <c r="AM359" s="24"/>
      <c r="AN359" s="26"/>
      <c r="AO359" s="37"/>
      <c r="AP359" s="24"/>
      <c r="AQ359" s="27"/>
      <c r="AR359" s="26" t="s">
        <v>644</v>
      </c>
      <c r="AS359" s="237">
        <v>3</v>
      </c>
      <c r="AT359" s="24"/>
      <c r="AU359">
        <f>E359 +F359</f>
        <v>24</v>
      </c>
    </row>
    <row r="360" spans="1:47" x14ac:dyDescent="0.25">
      <c r="A360" t="str">
        <f>B360 &amp; " - " &amp;D360</f>
        <v>SCB - Jebbour</v>
      </c>
      <c r="B360" t="s">
        <v>887</v>
      </c>
      <c r="C360" s="29" t="s">
        <v>641</v>
      </c>
      <c r="D360" s="38" t="s">
        <v>874</v>
      </c>
      <c r="E360" s="31">
        <v>2</v>
      </c>
      <c r="F360" s="30">
        <v>2</v>
      </c>
      <c r="G360" s="190"/>
      <c r="H360" s="34">
        <f>AVERAGE(M360,X360)</f>
        <v>4</v>
      </c>
      <c r="I360" s="87"/>
      <c r="J360" s="155" t="s">
        <v>644</v>
      </c>
      <c r="K360" s="79" t="s">
        <v>644</v>
      </c>
      <c r="L360" s="37"/>
      <c r="M360" s="82">
        <v>3</v>
      </c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>
        <v>5</v>
      </c>
      <c r="Y360" s="24"/>
      <c r="Z360" s="24"/>
      <c r="AA360" s="24"/>
      <c r="AB360" s="22"/>
      <c r="AC360" s="24"/>
      <c r="AD360" s="27"/>
      <c r="AE360" s="24"/>
      <c r="AF360" s="27"/>
      <c r="AG360" s="24"/>
      <c r="AH360" s="27"/>
      <c r="AI360" s="27"/>
      <c r="AJ360" s="24"/>
      <c r="AK360" s="24"/>
      <c r="AL360" s="24"/>
      <c r="AM360" s="24"/>
      <c r="AN360" s="27"/>
      <c r="AO360" s="24"/>
      <c r="AP360" s="24"/>
      <c r="AQ360" s="27"/>
      <c r="AR360" s="27"/>
      <c r="AS360" s="26"/>
      <c r="AT360" s="24"/>
      <c r="AU360">
        <f>E360 +F360</f>
        <v>4</v>
      </c>
    </row>
    <row r="361" spans="1:47" x14ac:dyDescent="0.25">
      <c r="A361" t="str">
        <f>B361 &amp; " - " &amp;D361</f>
        <v>OM - Rekik</v>
      </c>
      <c r="B361" t="s">
        <v>703</v>
      </c>
      <c r="C361" s="67" t="s">
        <v>641</v>
      </c>
      <c r="D361" s="309" t="s">
        <v>650</v>
      </c>
      <c r="E361" s="69">
        <v>23</v>
      </c>
      <c r="F361" s="115">
        <v>1</v>
      </c>
      <c r="G361" s="122" t="s">
        <v>1129</v>
      </c>
      <c r="H361" s="72">
        <f>AVERAGE(J361,K361,L361,I361,M361,N361,O361,T361,U361,V361,W361,X361,Y361,AK361,AJ361,AL361,AN361,AO361,AP361,AQ361,AR361,AS361,AT361)</f>
        <v>5.0434782608695654</v>
      </c>
      <c r="I361" s="38">
        <v>5</v>
      </c>
      <c r="J361" s="26">
        <v>5</v>
      </c>
      <c r="K361" s="37">
        <v>5</v>
      </c>
      <c r="L361" s="37">
        <v>5</v>
      </c>
      <c r="M361" s="24">
        <v>5</v>
      </c>
      <c r="N361" s="22">
        <v>6</v>
      </c>
      <c r="O361" s="24">
        <v>4</v>
      </c>
      <c r="P361" s="24"/>
      <c r="Q361" s="24"/>
      <c r="R361" s="24"/>
      <c r="S361" s="24"/>
      <c r="T361" s="37">
        <v>6</v>
      </c>
      <c r="U361" s="24">
        <v>4</v>
      </c>
      <c r="V361" s="24">
        <v>5</v>
      </c>
      <c r="W361" s="24">
        <v>5</v>
      </c>
      <c r="X361" s="24">
        <v>6</v>
      </c>
      <c r="Y361" s="24">
        <v>4</v>
      </c>
      <c r="Z361" s="24"/>
      <c r="AA361" s="24"/>
      <c r="AB361" s="37"/>
      <c r="AC361" s="24"/>
      <c r="AD361" s="27"/>
      <c r="AE361" s="24"/>
      <c r="AF361" s="26"/>
      <c r="AG361" s="37"/>
      <c r="AH361" s="27"/>
      <c r="AI361" s="26" t="s">
        <v>644</v>
      </c>
      <c r="AJ361" s="24">
        <v>5</v>
      </c>
      <c r="AK361" s="24">
        <v>5</v>
      </c>
      <c r="AL361" s="24">
        <v>5</v>
      </c>
      <c r="AM361" s="24"/>
      <c r="AN361" s="27">
        <v>5</v>
      </c>
      <c r="AO361" s="24">
        <v>5</v>
      </c>
      <c r="AP361" s="24">
        <v>4</v>
      </c>
      <c r="AQ361" s="27">
        <v>5</v>
      </c>
      <c r="AR361" s="27">
        <v>6</v>
      </c>
      <c r="AS361" s="27">
        <v>6</v>
      </c>
      <c r="AT361" s="24">
        <v>5</v>
      </c>
      <c r="AU361">
        <f>E361 +F361</f>
        <v>24</v>
      </c>
    </row>
    <row r="362" spans="1:47" x14ac:dyDescent="0.25">
      <c r="A362" t="str">
        <f>B362 &amp; " - " &amp;D362</f>
        <v>MHSC - Camara</v>
      </c>
      <c r="B362" t="s">
        <v>838</v>
      </c>
      <c r="C362" s="146" t="s">
        <v>665</v>
      </c>
      <c r="D362" s="154" t="s">
        <v>130</v>
      </c>
      <c r="E362" s="148">
        <v>22</v>
      </c>
      <c r="F362" s="142">
        <v>11</v>
      </c>
      <c r="G362" s="49">
        <v>7</v>
      </c>
      <c r="H362" s="34">
        <f>AVERAGE(J362,L362,I362,P362,Q362,S362,T362,U362,Z362,AB362,AC362,AE362,AF362,AH362,AI362,AL362,AM362,AN362,AP362,AQ362,AR362,AS362,AT362)</f>
        <v>5.0434782608695654</v>
      </c>
      <c r="I362" s="171">
        <v>4</v>
      </c>
      <c r="J362" s="26">
        <v>5</v>
      </c>
      <c r="K362" s="76" t="s">
        <v>644</v>
      </c>
      <c r="L362" s="37">
        <v>4</v>
      </c>
      <c r="M362" s="37"/>
      <c r="N362" s="37"/>
      <c r="O362" s="37" t="s">
        <v>644</v>
      </c>
      <c r="P362" s="23">
        <v>5</v>
      </c>
      <c r="Q362" s="24">
        <v>4</v>
      </c>
      <c r="R362" s="24"/>
      <c r="S362" s="37">
        <v>5</v>
      </c>
      <c r="T362" s="37">
        <v>4</v>
      </c>
      <c r="U362" s="37">
        <v>5</v>
      </c>
      <c r="V362" s="77" t="s">
        <v>644</v>
      </c>
      <c r="W362" s="77" t="s">
        <v>644</v>
      </c>
      <c r="X362" s="76" t="s">
        <v>644</v>
      </c>
      <c r="Y362" s="76" t="s">
        <v>644</v>
      </c>
      <c r="Z362" s="75">
        <v>7</v>
      </c>
      <c r="AA362" s="37" t="s">
        <v>644</v>
      </c>
      <c r="AB362" s="37">
        <v>4</v>
      </c>
      <c r="AC362" s="37">
        <v>4</v>
      </c>
      <c r="AD362" s="26" t="s">
        <v>644</v>
      </c>
      <c r="AE362" s="24">
        <v>6</v>
      </c>
      <c r="AF362" s="26">
        <v>5</v>
      </c>
      <c r="AG362" s="37" t="s">
        <v>644</v>
      </c>
      <c r="AH362" s="247">
        <v>7</v>
      </c>
      <c r="AI362" s="94">
        <v>6</v>
      </c>
      <c r="AJ362" s="37"/>
      <c r="AK362" s="37"/>
      <c r="AL362" s="37">
        <v>4</v>
      </c>
      <c r="AM362" s="82">
        <v>3</v>
      </c>
      <c r="AN362" s="26">
        <v>5</v>
      </c>
      <c r="AO362" s="37" t="s">
        <v>644</v>
      </c>
      <c r="AP362" s="37">
        <v>6</v>
      </c>
      <c r="AQ362" s="129">
        <v>7</v>
      </c>
      <c r="AR362" s="94">
        <v>6</v>
      </c>
      <c r="AS362" s="26">
        <v>6</v>
      </c>
      <c r="AT362" s="37">
        <v>4</v>
      </c>
      <c r="AU362">
        <f>E362 +F362</f>
        <v>33</v>
      </c>
    </row>
    <row r="363" spans="1:47" x14ac:dyDescent="0.25">
      <c r="A363" t="str">
        <f>B363 &amp; " - " &amp;D363</f>
        <v>SCB - Kikabidze</v>
      </c>
      <c r="B363" t="s">
        <v>887</v>
      </c>
      <c r="C363" s="130" t="s">
        <v>654</v>
      </c>
      <c r="D363" s="192" t="s">
        <v>876</v>
      </c>
      <c r="E363" s="132"/>
      <c r="F363" s="133"/>
      <c r="G363" s="134"/>
      <c r="H363" s="34"/>
      <c r="I363" s="135"/>
      <c r="J363" s="136"/>
      <c r="K363" s="137"/>
      <c r="L363" s="137"/>
      <c r="M363" s="138"/>
      <c r="N363" s="138"/>
      <c r="O363" s="138"/>
      <c r="P363" s="138"/>
      <c r="Q363" s="138"/>
      <c r="R363" s="138"/>
      <c r="S363" s="138"/>
      <c r="T363" s="138"/>
      <c r="U363" s="138"/>
      <c r="V363" s="138"/>
      <c r="W363" s="138"/>
      <c r="X363" s="138"/>
      <c r="Y363" s="138"/>
      <c r="Z363" s="138"/>
      <c r="AA363" s="138"/>
      <c r="AB363" s="138"/>
      <c r="AC363" s="138"/>
      <c r="AD363" s="133"/>
      <c r="AE363" s="138"/>
      <c r="AF363" s="133"/>
      <c r="AG363" s="138"/>
      <c r="AH363" s="133"/>
      <c r="AI363" s="133"/>
      <c r="AJ363" s="138"/>
      <c r="AK363" s="138"/>
      <c r="AL363" s="138"/>
      <c r="AM363" s="138"/>
      <c r="AN363" s="133"/>
      <c r="AO363" s="138"/>
      <c r="AP363" s="138"/>
      <c r="AQ363" s="133"/>
      <c r="AR363" s="133"/>
      <c r="AS363" s="133"/>
      <c r="AT363" s="138"/>
      <c r="AU363">
        <f>E363 +F363</f>
        <v>0</v>
      </c>
    </row>
    <row r="364" spans="1:47" x14ac:dyDescent="0.25">
      <c r="A364" t="str">
        <f>B364 &amp; " - " &amp;D364</f>
        <v>SCB - Abd. Keita</v>
      </c>
      <c r="B364" t="s">
        <v>887</v>
      </c>
      <c r="C364" s="29" t="s">
        <v>654</v>
      </c>
      <c r="D364" s="30" t="s">
        <v>877</v>
      </c>
      <c r="E364" s="31"/>
      <c r="F364" s="99">
        <v>4</v>
      </c>
      <c r="G364" s="73"/>
      <c r="H364" s="100"/>
      <c r="I364" s="87"/>
      <c r="J364" s="26"/>
      <c r="K364" s="37"/>
      <c r="L364" s="37"/>
      <c r="M364" s="24"/>
      <c r="N364" s="24"/>
      <c r="O364" s="37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37"/>
      <c r="AB364" s="37"/>
      <c r="AC364" s="24"/>
      <c r="AD364" s="27"/>
      <c r="AE364" s="37" t="s">
        <v>644</v>
      </c>
      <c r="AF364" s="26" t="s">
        <v>644</v>
      </c>
      <c r="AG364" s="24"/>
      <c r="AH364" s="26" t="s">
        <v>644</v>
      </c>
      <c r="AI364" s="27"/>
      <c r="AJ364" s="37" t="s">
        <v>644</v>
      </c>
      <c r="AK364" s="37"/>
      <c r="AL364" s="24"/>
      <c r="AM364" s="24"/>
      <c r="AN364" s="27"/>
      <c r="AO364" s="24"/>
      <c r="AP364" s="24"/>
      <c r="AQ364" s="27"/>
      <c r="AR364" s="27"/>
      <c r="AS364" s="27"/>
      <c r="AT364" s="24"/>
      <c r="AU364">
        <f>E364 +F364</f>
        <v>4</v>
      </c>
    </row>
    <row r="365" spans="1:47" x14ac:dyDescent="0.25">
      <c r="A365" t="str">
        <f>B365 &amp; " - " &amp;D365</f>
        <v>SCB - Romain</v>
      </c>
      <c r="B365" t="s">
        <v>887</v>
      </c>
      <c r="C365" s="29" t="s">
        <v>654</v>
      </c>
      <c r="D365" s="60" t="s">
        <v>112</v>
      </c>
      <c r="E365" s="31">
        <v>1</v>
      </c>
      <c r="F365" s="99">
        <v>4</v>
      </c>
      <c r="G365" s="73">
        <v>2</v>
      </c>
      <c r="H365" s="100">
        <f>AVERAGE(AA365,AF365)</f>
        <v>4</v>
      </c>
      <c r="I365" s="87"/>
      <c r="J365" s="26"/>
      <c r="K365" s="37"/>
      <c r="L365" s="37"/>
      <c r="M365" s="24"/>
      <c r="N365" s="24"/>
      <c r="O365" s="37"/>
      <c r="P365" s="24"/>
      <c r="Q365" s="24"/>
      <c r="R365" s="24"/>
      <c r="S365" s="24"/>
      <c r="T365" s="24"/>
      <c r="U365" s="24"/>
      <c r="V365" s="24"/>
      <c r="W365" s="24"/>
      <c r="X365" s="37"/>
      <c r="Y365" s="77" t="s">
        <v>644</v>
      </c>
      <c r="Z365" s="37" t="s">
        <v>644</v>
      </c>
      <c r="AA365" s="77">
        <v>5</v>
      </c>
      <c r="AB365" s="24"/>
      <c r="AC365" s="24"/>
      <c r="AD365" s="27"/>
      <c r="AE365" s="24"/>
      <c r="AF365" s="237">
        <v>3</v>
      </c>
      <c r="AG365" s="24"/>
      <c r="AH365" s="27"/>
      <c r="AI365" s="27"/>
      <c r="AJ365" s="24"/>
      <c r="AK365" s="24"/>
      <c r="AL365" s="24"/>
      <c r="AM365" s="24"/>
      <c r="AN365" s="27"/>
      <c r="AO365" s="24"/>
      <c r="AP365" s="24"/>
      <c r="AQ365" s="27"/>
      <c r="AR365" s="26" t="s">
        <v>644</v>
      </c>
      <c r="AS365" s="27"/>
      <c r="AT365" s="24"/>
      <c r="AU365">
        <f>E365 +F365</f>
        <v>5</v>
      </c>
    </row>
    <row r="366" spans="1:47" x14ac:dyDescent="0.25">
      <c r="A366" t="str">
        <f>B366 &amp; " - " &amp;D366</f>
        <v>SCB - Peybernes</v>
      </c>
      <c r="B366" t="s">
        <v>887</v>
      </c>
      <c r="C366" s="29" t="s">
        <v>641</v>
      </c>
      <c r="D366" s="30" t="s">
        <v>872</v>
      </c>
      <c r="E366" s="31">
        <v>23</v>
      </c>
      <c r="F366" s="99">
        <v>2</v>
      </c>
      <c r="G366" s="114"/>
      <c r="H366" s="34">
        <f>AVERAGE(J366,L366,P366,Q366,R366,S366,W366,X366,Y366,AD366,AE366,AF366,AG366,AH366,AJ366,AK366,AI366,AM366,AN366,AO366,AP366,AQ366,AT366)</f>
        <v>5.0434782608695654</v>
      </c>
      <c r="I366" s="87"/>
      <c r="J366" s="169">
        <v>5</v>
      </c>
      <c r="K366" s="37"/>
      <c r="L366" s="37">
        <v>5</v>
      </c>
      <c r="M366" s="24"/>
      <c r="N366" s="24"/>
      <c r="O366" s="24"/>
      <c r="P366" s="24">
        <v>5</v>
      </c>
      <c r="Q366" s="24">
        <v>4</v>
      </c>
      <c r="R366" s="24">
        <v>5</v>
      </c>
      <c r="S366" s="24">
        <v>5</v>
      </c>
      <c r="T366" s="24"/>
      <c r="U366" s="37" t="s">
        <v>644</v>
      </c>
      <c r="V366" s="24"/>
      <c r="W366" s="24">
        <v>5</v>
      </c>
      <c r="X366" s="24">
        <v>6</v>
      </c>
      <c r="Y366" s="24">
        <v>4</v>
      </c>
      <c r="Z366" s="37" t="s">
        <v>644</v>
      </c>
      <c r="AA366" s="24"/>
      <c r="AB366" s="37"/>
      <c r="AC366" s="24"/>
      <c r="AD366" s="26">
        <v>5</v>
      </c>
      <c r="AE366" s="24">
        <v>6</v>
      </c>
      <c r="AF366" s="27">
        <v>5</v>
      </c>
      <c r="AG366" s="24">
        <v>6</v>
      </c>
      <c r="AH366" s="27">
        <v>6</v>
      </c>
      <c r="AI366" s="27">
        <v>5</v>
      </c>
      <c r="AJ366" s="24">
        <v>5</v>
      </c>
      <c r="AK366" s="24">
        <v>6</v>
      </c>
      <c r="AL366" s="24"/>
      <c r="AM366" s="24">
        <v>5</v>
      </c>
      <c r="AN366" s="27">
        <v>5</v>
      </c>
      <c r="AO366" s="24">
        <v>4</v>
      </c>
      <c r="AP366" s="24">
        <v>5</v>
      </c>
      <c r="AQ366" s="27">
        <v>4</v>
      </c>
      <c r="AR366" s="27"/>
      <c r="AS366" s="27"/>
      <c r="AT366" s="24">
        <v>5</v>
      </c>
      <c r="AU366">
        <f>E366 +F366</f>
        <v>25</v>
      </c>
    </row>
    <row r="367" spans="1:47" x14ac:dyDescent="0.25">
      <c r="A367" t="str">
        <f>B367 &amp; " - " &amp;D367</f>
        <v>SCB - Diallo</v>
      </c>
      <c r="B367" t="s">
        <v>887</v>
      </c>
      <c r="C367" s="29" t="s">
        <v>654</v>
      </c>
      <c r="D367" s="38" t="s">
        <v>879</v>
      </c>
      <c r="E367" s="31">
        <v>9</v>
      </c>
      <c r="F367" s="99">
        <v>6</v>
      </c>
      <c r="G367" s="114">
        <v>2</v>
      </c>
      <c r="H367" s="34">
        <f>AVERAGE(I367,M367,N367,P367,R367,T367,U367,AF367,AH367,AJ367)</f>
        <v>5.6</v>
      </c>
      <c r="I367" s="87">
        <v>6</v>
      </c>
      <c r="J367" s="26"/>
      <c r="K367" s="37"/>
      <c r="L367" s="37" t="s">
        <v>644</v>
      </c>
      <c r="M367" s="24">
        <v>4</v>
      </c>
      <c r="N367" s="24">
        <v>4</v>
      </c>
      <c r="O367" s="24"/>
      <c r="P367" s="24">
        <v>6</v>
      </c>
      <c r="Q367" s="37" t="s">
        <v>644</v>
      </c>
      <c r="R367" s="37">
        <v>6</v>
      </c>
      <c r="S367" s="37" t="s">
        <v>644</v>
      </c>
      <c r="T367" s="25">
        <v>8</v>
      </c>
      <c r="U367" s="24">
        <v>5</v>
      </c>
      <c r="V367" s="37"/>
      <c r="W367" s="24"/>
      <c r="X367" s="24"/>
      <c r="Y367" s="24"/>
      <c r="Z367" s="37"/>
      <c r="AA367" s="24"/>
      <c r="AB367" s="24"/>
      <c r="AC367" s="37"/>
      <c r="AD367" s="27"/>
      <c r="AE367" s="37" t="s">
        <v>644</v>
      </c>
      <c r="AF367" s="26">
        <v>5</v>
      </c>
      <c r="AG367" s="37"/>
      <c r="AH367" s="27">
        <v>5</v>
      </c>
      <c r="AI367" s="27"/>
      <c r="AJ367" s="25">
        <v>7</v>
      </c>
      <c r="AK367" s="37" t="s">
        <v>644</v>
      </c>
      <c r="AL367" s="37"/>
      <c r="AM367" s="24"/>
      <c r="AN367" s="27"/>
      <c r="AO367" s="24"/>
      <c r="AP367" s="37"/>
      <c r="AQ367" s="26"/>
      <c r="AR367" s="27"/>
      <c r="AS367" s="27"/>
      <c r="AT367" s="24"/>
      <c r="AU367">
        <f>E367 +F367</f>
        <v>15</v>
      </c>
    </row>
    <row r="368" spans="1:47" x14ac:dyDescent="0.25">
      <c r="A368" t="str">
        <f>B368 &amp; " - " &amp;D368</f>
        <v>ASSE - Clément</v>
      </c>
      <c r="B368" t="s">
        <v>746</v>
      </c>
      <c r="C368" s="29" t="s">
        <v>654</v>
      </c>
      <c r="D368" s="60" t="s">
        <v>138</v>
      </c>
      <c r="E368" s="31">
        <v>25</v>
      </c>
      <c r="F368" s="99">
        <v>2</v>
      </c>
      <c r="G368" s="73"/>
      <c r="H368" s="34">
        <f>AVERAGE(J368,K368,L368,I368,M368,N368,P368,T368,U368,W368,X368,AA368,AB368,AF368,AG368,AH368,AJ368,AK368,AM368,AN368,AO368,AP368,AQ368,AR368,AS368,AT368)</f>
        <v>5.0384615384615383</v>
      </c>
      <c r="I368" s="38">
        <v>4</v>
      </c>
      <c r="J368" s="223">
        <v>4</v>
      </c>
      <c r="K368" s="24">
        <v>5</v>
      </c>
      <c r="L368" s="24">
        <v>6</v>
      </c>
      <c r="M368" s="24">
        <v>5</v>
      </c>
      <c r="N368" s="37">
        <v>4</v>
      </c>
      <c r="O368" s="24"/>
      <c r="P368" s="24">
        <v>4</v>
      </c>
      <c r="Q368" s="24"/>
      <c r="R368" s="24"/>
      <c r="S368" s="24"/>
      <c r="T368" s="24">
        <v>5</v>
      </c>
      <c r="U368" s="24">
        <v>4</v>
      </c>
      <c r="V368" s="24"/>
      <c r="W368" s="24">
        <v>5</v>
      </c>
      <c r="X368" s="24">
        <v>5</v>
      </c>
      <c r="Y368" s="24"/>
      <c r="Z368" s="24"/>
      <c r="AA368" s="24">
        <v>5</v>
      </c>
      <c r="AB368" s="37">
        <v>5</v>
      </c>
      <c r="AC368" s="24"/>
      <c r="AD368" s="27"/>
      <c r="AE368" s="37" t="s">
        <v>644</v>
      </c>
      <c r="AF368" s="27">
        <v>6</v>
      </c>
      <c r="AG368" s="24">
        <v>5</v>
      </c>
      <c r="AH368" s="27">
        <v>5</v>
      </c>
      <c r="AI368" s="27"/>
      <c r="AJ368" s="24">
        <v>5</v>
      </c>
      <c r="AK368" s="24">
        <v>6</v>
      </c>
      <c r="AL368" s="24"/>
      <c r="AM368" s="24">
        <v>6</v>
      </c>
      <c r="AN368" s="27">
        <v>6</v>
      </c>
      <c r="AO368" s="24">
        <v>6</v>
      </c>
      <c r="AP368" s="24">
        <v>5</v>
      </c>
      <c r="AQ368" s="27">
        <v>5</v>
      </c>
      <c r="AR368" s="142">
        <v>4</v>
      </c>
      <c r="AS368" s="27">
        <v>5</v>
      </c>
      <c r="AT368" s="24">
        <v>6</v>
      </c>
      <c r="AU368">
        <f>E368 +F368</f>
        <v>27</v>
      </c>
    </row>
    <row r="369" spans="1:47" x14ac:dyDescent="0.25">
      <c r="A369" t="str">
        <f>B369 &amp; " - " &amp;D369</f>
        <v>SCB - Ngando</v>
      </c>
      <c r="B369" t="s">
        <v>887</v>
      </c>
      <c r="C369" s="29" t="s">
        <v>654</v>
      </c>
      <c r="D369" s="38" t="s">
        <v>880</v>
      </c>
      <c r="E369" s="31">
        <v>15</v>
      </c>
      <c r="F369" s="99">
        <v>7</v>
      </c>
      <c r="G369" s="114">
        <v>2</v>
      </c>
      <c r="H369" s="34">
        <f>AVERAGE(R369,S369,V369,Y369,AA369,AB369,AC369,AD369,AE369,AF369,AG369,AI369,AL369,AQ369,AR369)</f>
        <v>4.666666666666667</v>
      </c>
      <c r="I369" s="87"/>
      <c r="J369" s="37"/>
      <c r="K369" s="37"/>
      <c r="L369" s="77"/>
      <c r="M369" s="37" t="s">
        <v>644</v>
      </c>
      <c r="N369" s="24"/>
      <c r="O369" s="24"/>
      <c r="P369" s="24"/>
      <c r="Q369" s="24"/>
      <c r="R369" s="37">
        <v>4</v>
      </c>
      <c r="S369" s="37">
        <v>4</v>
      </c>
      <c r="T369" s="24"/>
      <c r="U369" s="24"/>
      <c r="V369" s="37">
        <v>4</v>
      </c>
      <c r="W369" s="24"/>
      <c r="X369" s="37" t="s">
        <v>644</v>
      </c>
      <c r="Y369" s="24">
        <v>4</v>
      </c>
      <c r="Z369" s="37" t="s">
        <v>644</v>
      </c>
      <c r="AA369" s="24">
        <v>5</v>
      </c>
      <c r="AB369" s="24">
        <v>4</v>
      </c>
      <c r="AC369" s="37">
        <v>5</v>
      </c>
      <c r="AD369" s="27">
        <v>5</v>
      </c>
      <c r="AE369" s="84">
        <v>7</v>
      </c>
      <c r="AF369" s="24">
        <v>4</v>
      </c>
      <c r="AG369" s="24">
        <v>5</v>
      </c>
      <c r="AH369" s="24"/>
      <c r="AI369" s="24">
        <v>5</v>
      </c>
      <c r="AJ369" s="24"/>
      <c r="AK369" s="24"/>
      <c r="AL369" s="24">
        <v>4</v>
      </c>
      <c r="AM369" s="77" t="s">
        <v>644</v>
      </c>
      <c r="AN369" s="27"/>
      <c r="AO369" s="37" t="s">
        <v>644</v>
      </c>
      <c r="AP369" s="37" t="s">
        <v>644</v>
      </c>
      <c r="AQ369" s="28">
        <v>6</v>
      </c>
      <c r="AR369" s="142">
        <v>4</v>
      </c>
      <c r="AS369" s="26" t="s">
        <v>644</v>
      </c>
      <c r="AT369" s="24"/>
      <c r="AU369">
        <f>E369 +F369</f>
        <v>22</v>
      </c>
    </row>
    <row r="370" spans="1:47" x14ac:dyDescent="0.25">
      <c r="A370" t="str">
        <f>B370 &amp; " - " &amp;D370</f>
        <v>SCO - Ketkeophomphone</v>
      </c>
      <c r="B370" t="s">
        <v>1066</v>
      </c>
      <c r="C370" s="29" t="s">
        <v>665</v>
      </c>
      <c r="D370" s="65" t="s">
        <v>549</v>
      </c>
      <c r="E370" s="31">
        <v>31</v>
      </c>
      <c r="F370" s="99">
        <v>4</v>
      </c>
      <c r="G370" s="73">
        <v>5</v>
      </c>
      <c r="H370" s="34">
        <f>AVERAGE(Z370,J370,L370,I370,M370,O370,P370,Q370,T370,U370,V370,W370,X370,AA370,AB370,AC370,AD370,AE370,AG370,AH370,AI370,AJ370,AK370,AL370,AM370,AN370,AO370,AP370,AQ370,AR370,AS370,AT370)</f>
        <v>5.03125</v>
      </c>
      <c r="I370" s="173">
        <v>5</v>
      </c>
      <c r="J370" s="24">
        <v>4</v>
      </c>
      <c r="K370" s="37" t="s">
        <v>644</v>
      </c>
      <c r="L370" s="37">
        <v>5</v>
      </c>
      <c r="M370" s="37">
        <v>6</v>
      </c>
      <c r="N370" s="37" t="s">
        <v>644</v>
      </c>
      <c r="O370" s="24">
        <v>5</v>
      </c>
      <c r="P370" s="37">
        <v>4</v>
      </c>
      <c r="Q370" s="25">
        <v>7</v>
      </c>
      <c r="R370" s="23"/>
      <c r="S370" s="24"/>
      <c r="T370" s="24">
        <v>5</v>
      </c>
      <c r="U370" s="24">
        <v>4</v>
      </c>
      <c r="V370" s="37">
        <v>4</v>
      </c>
      <c r="W370" s="24">
        <v>5</v>
      </c>
      <c r="X370" s="24">
        <v>4</v>
      </c>
      <c r="Y370" s="37" t="s">
        <v>644</v>
      </c>
      <c r="Z370" s="24">
        <v>6</v>
      </c>
      <c r="AA370" s="24">
        <v>5</v>
      </c>
      <c r="AB370" s="22">
        <v>6</v>
      </c>
      <c r="AC370" s="37">
        <v>4</v>
      </c>
      <c r="AD370" s="237">
        <v>2</v>
      </c>
      <c r="AE370" s="24">
        <v>6</v>
      </c>
      <c r="AF370" s="37"/>
      <c r="AG370" s="24">
        <v>5</v>
      </c>
      <c r="AH370" s="24">
        <v>4</v>
      </c>
      <c r="AI370" s="24">
        <v>6</v>
      </c>
      <c r="AJ370" s="22">
        <v>6</v>
      </c>
      <c r="AK370" s="24">
        <v>5</v>
      </c>
      <c r="AL370" s="37">
        <v>4</v>
      </c>
      <c r="AM370" s="25">
        <v>8</v>
      </c>
      <c r="AN370" s="27">
        <v>6</v>
      </c>
      <c r="AO370" s="37">
        <v>5</v>
      </c>
      <c r="AP370" s="66">
        <v>7</v>
      </c>
      <c r="AQ370" s="27">
        <v>4</v>
      </c>
      <c r="AR370" s="27">
        <v>4</v>
      </c>
      <c r="AS370" s="27">
        <v>4</v>
      </c>
      <c r="AT370" s="22">
        <v>6</v>
      </c>
      <c r="AU370">
        <f>E370 +F370</f>
        <v>35</v>
      </c>
    </row>
    <row r="371" spans="1:47" x14ac:dyDescent="0.25">
      <c r="A371" t="str">
        <f>B371 &amp; " - " &amp;D371</f>
        <v>SCB - Houri</v>
      </c>
      <c r="B371" t="s">
        <v>887</v>
      </c>
      <c r="C371" s="50" t="s">
        <v>654</v>
      </c>
      <c r="D371" s="57" t="s">
        <v>882</v>
      </c>
      <c r="E371" s="52"/>
      <c r="F371" s="63">
        <v>1</v>
      </c>
      <c r="G371" s="271"/>
      <c r="H371" s="34"/>
      <c r="I371" s="149"/>
      <c r="J371" s="62"/>
      <c r="K371" s="61"/>
      <c r="L371" s="61"/>
      <c r="M371" s="53"/>
      <c r="N371" s="53"/>
      <c r="O371" s="53"/>
      <c r="P371" s="53"/>
      <c r="Q371" s="53"/>
      <c r="R371" s="61"/>
      <c r="S371" s="61"/>
      <c r="T371" s="53"/>
      <c r="U371" s="53"/>
      <c r="V371" s="61" t="s">
        <v>644</v>
      </c>
      <c r="W371" s="53"/>
      <c r="X371" s="53"/>
      <c r="Y371" s="53"/>
      <c r="Z371" s="61"/>
      <c r="AA371" s="53"/>
      <c r="AB371" s="53"/>
      <c r="AC371" s="61"/>
      <c r="AD371" s="63"/>
      <c r="AE371" s="61"/>
      <c r="AF371" s="53"/>
      <c r="AG371" s="61"/>
      <c r="AH371" s="53"/>
      <c r="AI371" s="61"/>
      <c r="AJ371" s="53"/>
      <c r="AK371" s="53"/>
      <c r="AL371" s="53"/>
      <c r="AM371" s="53"/>
      <c r="AN371" s="63"/>
      <c r="AO371" s="53"/>
      <c r="AP371" s="53"/>
      <c r="AQ371" s="63"/>
      <c r="AR371" s="63"/>
      <c r="AS371" s="63"/>
      <c r="AT371" s="53"/>
      <c r="AU371">
        <f>E371 +F371</f>
        <v>1</v>
      </c>
    </row>
    <row r="372" spans="1:47" x14ac:dyDescent="0.25">
      <c r="A372" t="str">
        <f>B372 &amp; " - " &amp;D372</f>
        <v>ASM - Carvalho</v>
      </c>
      <c r="B372" t="s">
        <v>974</v>
      </c>
      <c r="C372" s="194" t="s">
        <v>641</v>
      </c>
      <c r="D372" s="298" t="s">
        <v>97</v>
      </c>
      <c r="E372" s="195">
        <v>33</v>
      </c>
      <c r="F372" s="196"/>
      <c r="G372" s="197">
        <v>2</v>
      </c>
      <c r="H372" s="125">
        <f>AVERAGE(AA372,Z372,J372,L372,I372,M372,N372,O372,P372,S372,T372,U372,V372,X372,Y372,AB372,AD372,AE372,AF372,AG372,AH372,AI372,AJ372,AK372,AL372,AM372,AN372,AO372,AP372,AQ372,AR372,AS372,AT372)</f>
        <v>5.0303030303030303</v>
      </c>
      <c r="I372" s="48">
        <v>5</v>
      </c>
      <c r="J372" s="27">
        <v>5</v>
      </c>
      <c r="K372" s="37"/>
      <c r="L372" s="24">
        <v>5</v>
      </c>
      <c r="M372" s="24">
        <v>6</v>
      </c>
      <c r="N372" s="24">
        <v>5</v>
      </c>
      <c r="O372" s="24">
        <v>5</v>
      </c>
      <c r="P372" s="37">
        <v>5</v>
      </c>
      <c r="Q372" s="24"/>
      <c r="R372" s="37"/>
      <c r="S372" s="37">
        <v>6</v>
      </c>
      <c r="T372" s="24">
        <v>5</v>
      </c>
      <c r="U372" s="37">
        <v>4</v>
      </c>
      <c r="V372" s="24">
        <v>5</v>
      </c>
      <c r="W372" s="37"/>
      <c r="X372" s="37">
        <v>5</v>
      </c>
      <c r="Y372" s="24">
        <v>5</v>
      </c>
      <c r="Z372" s="37">
        <v>5</v>
      </c>
      <c r="AA372" s="24">
        <v>5</v>
      </c>
      <c r="AB372" s="22">
        <v>6</v>
      </c>
      <c r="AC372" s="24"/>
      <c r="AD372" s="27">
        <v>5</v>
      </c>
      <c r="AE372" s="37">
        <v>4</v>
      </c>
      <c r="AF372" s="163">
        <v>7</v>
      </c>
      <c r="AG372" s="37">
        <v>6</v>
      </c>
      <c r="AH372" s="27">
        <v>5</v>
      </c>
      <c r="AI372" s="27">
        <v>5</v>
      </c>
      <c r="AJ372" s="37">
        <v>5</v>
      </c>
      <c r="AK372" s="24">
        <v>5</v>
      </c>
      <c r="AL372" s="37">
        <v>5</v>
      </c>
      <c r="AM372" s="37">
        <v>6</v>
      </c>
      <c r="AN372" s="27">
        <v>5</v>
      </c>
      <c r="AO372" s="166">
        <v>3</v>
      </c>
      <c r="AP372" s="24">
        <v>6</v>
      </c>
      <c r="AQ372" s="26">
        <v>5</v>
      </c>
      <c r="AR372" s="252">
        <v>3</v>
      </c>
      <c r="AS372" s="306">
        <v>3</v>
      </c>
      <c r="AT372" s="37">
        <v>6</v>
      </c>
      <c r="AU372">
        <f>E372 +F372</f>
        <v>33</v>
      </c>
    </row>
    <row r="373" spans="1:47" x14ac:dyDescent="0.25">
      <c r="A373" t="str">
        <f>B373 &amp; " - " &amp;D373</f>
        <v>FCL - Ndong</v>
      </c>
      <c r="B373" t="s">
        <v>816</v>
      </c>
      <c r="C373" s="29" t="s">
        <v>654</v>
      </c>
      <c r="D373" s="60" t="s">
        <v>488</v>
      </c>
      <c r="E373" s="31">
        <v>34</v>
      </c>
      <c r="F373" s="99"/>
      <c r="G373" s="73">
        <v>3</v>
      </c>
      <c r="H373" s="34">
        <f>AVERAGE(Z373,X373,W373,J373,K373,L373,M373,N373,O373,P373,Q373,R373,S373,T373,U373,V373,Y373,AA373,AB373,AC373,AD373,AF373,AG373,AH373,AI373,AK373,AL373,AM373,AO373,AP373,AQ373,AR373,AS373,AT373)</f>
        <v>5.0294117647058822</v>
      </c>
      <c r="I373" s="170"/>
      <c r="J373" s="26">
        <v>5</v>
      </c>
      <c r="K373" s="166">
        <v>3</v>
      </c>
      <c r="L373" s="37">
        <v>5</v>
      </c>
      <c r="M373" s="37">
        <v>5</v>
      </c>
      <c r="N373" s="25">
        <v>7</v>
      </c>
      <c r="O373" s="24">
        <v>6</v>
      </c>
      <c r="P373" s="37">
        <v>5</v>
      </c>
      <c r="Q373" s="24">
        <v>5</v>
      </c>
      <c r="R373" s="37">
        <v>4</v>
      </c>
      <c r="S373" s="24">
        <v>6</v>
      </c>
      <c r="T373" s="24">
        <v>5</v>
      </c>
      <c r="U373" s="25">
        <v>7</v>
      </c>
      <c r="V373" s="24">
        <v>5</v>
      </c>
      <c r="W373" s="24">
        <v>5</v>
      </c>
      <c r="X373" s="37">
        <v>6</v>
      </c>
      <c r="Y373" s="24">
        <v>5</v>
      </c>
      <c r="Z373" s="24">
        <v>5</v>
      </c>
      <c r="AA373" s="24">
        <v>5</v>
      </c>
      <c r="AB373" s="24">
        <v>4</v>
      </c>
      <c r="AC373" s="24">
        <v>5</v>
      </c>
      <c r="AD373" s="26">
        <v>4</v>
      </c>
      <c r="AE373" s="24"/>
      <c r="AF373" s="26">
        <v>5</v>
      </c>
      <c r="AG373" s="24">
        <v>5</v>
      </c>
      <c r="AH373" s="26">
        <v>4</v>
      </c>
      <c r="AI373" s="26">
        <v>5</v>
      </c>
      <c r="AJ373" s="24"/>
      <c r="AK373" s="37">
        <v>5</v>
      </c>
      <c r="AL373" s="24">
        <v>6</v>
      </c>
      <c r="AM373" s="82">
        <v>2</v>
      </c>
      <c r="AN373" s="27"/>
      <c r="AO373" s="24">
        <v>6</v>
      </c>
      <c r="AP373" s="24">
        <v>5</v>
      </c>
      <c r="AQ373" s="27">
        <v>5</v>
      </c>
      <c r="AR373" s="247">
        <v>7</v>
      </c>
      <c r="AS373" s="26">
        <v>4</v>
      </c>
      <c r="AT373" s="37">
        <v>5</v>
      </c>
      <c r="AU373">
        <f>E373 +F373</f>
        <v>34</v>
      </c>
    </row>
    <row r="374" spans="1:47" x14ac:dyDescent="0.25">
      <c r="A374" t="str">
        <f>B374 &amp; " - " &amp;D374</f>
        <v>SCB - Kamano</v>
      </c>
      <c r="B374" t="s">
        <v>887</v>
      </c>
      <c r="C374" s="29" t="s">
        <v>665</v>
      </c>
      <c r="D374" s="60" t="s">
        <v>533</v>
      </c>
      <c r="E374" s="31">
        <v>17</v>
      </c>
      <c r="F374" s="99">
        <v>6</v>
      </c>
      <c r="G374" s="73">
        <v>3</v>
      </c>
      <c r="H374" s="34">
        <f>AVERAGE(J374,K374,L374,I374,AE374,AF374,AK374,AI374,AL374,AN374,AO374,AP374,AQ374,AR374,AS374,AT374)</f>
        <v>4.5</v>
      </c>
      <c r="I374" s="175">
        <v>5</v>
      </c>
      <c r="J374" s="26">
        <v>4</v>
      </c>
      <c r="K374" s="37">
        <v>4</v>
      </c>
      <c r="L374" s="166">
        <v>3</v>
      </c>
      <c r="M374" s="24"/>
      <c r="N374" s="24"/>
      <c r="O374" s="24" t="s">
        <v>655</v>
      </c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2"/>
      <c r="AB374" s="37" t="s">
        <v>644</v>
      </c>
      <c r="AC374" s="37" t="s">
        <v>644</v>
      </c>
      <c r="AD374" s="26" t="s">
        <v>644</v>
      </c>
      <c r="AE374" s="24">
        <v>5</v>
      </c>
      <c r="AF374" s="139">
        <v>4</v>
      </c>
      <c r="AG374" s="76" t="s">
        <v>644</v>
      </c>
      <c r="AH374" s="26" t="s">
        <v>644</v>
      </c>
      <c r="AI374" s="27">
        <v>4</v>
      </c>
      <c r="AJ374" s="24"/>
      <c r="AK374" s="24">
        <v>5</v>
      </c>
      <c r="AL374" s="24">
        <v>4</v>
      </c>
      <c r="AM374" s="37" t="s">
        <v>644</v>
      </c>
      <c r="AN374" s="27">
        <v>6</v>
      </c>
      <c r="AO374" s="166">
        <v>3</v>
      </c>
      <c r="AP374" s="23">
        <v>4</v>
      </c>
      <c r="AQ374" s="27">
        <v>4</v>
      </c>
      <c r="AR374" s="27">
        <v>5</v>
      </c>
      <c r="AS374" s="27">
        <v>4</v>
      </c>
      <c r="AT374" s="75">
        <v>8</v>
      </c>
      <c r="AU374">
        <f>E374 +F374</f>
        <v>23</v>
      </c>
    </row>
    <row r="375" spans="1:47" x14ac:dyDescent="0.25">
      <c r="A375" t="str">
        <f>B375 &amp; " - " &amp;D375</f>
        <v>SCB - Koné</v>
      </c>
      <c r="B375" t="s">
        <v>887</v>
      </c>
      <c r="C375" s="130" t="s">
        <v>665</v>
      </c>
      <c r="D375" s="131" t="s">
        <v>885</v>
      </c>
      <c r="E375" s="132"/>
      <c r="F375" s="133"/>
      <c r="G375" s="134"/>
      <c r="H375" s="34"/>
      <c r="I375" s="199"/>
      <c r="J375" s="200"/>
      <c r="K375" s="200"/>
      <c r="L375" s="200"/>
      <c r="M375" s="200"/>
      <c r="N375" s="200"/>
      <c r="O375" s="201"/>
      <c r="P375" s="200"/>
      <c r="Q375" s="200"/>
      <c r="R375" s="201"/>
      <c r="S375" s="201"/>
      <c r="T375" s="201"/>
      <c r="U375" s="201"/>
      <c r="V375" s="201"/>
      <c r="W375" s="201"/>
      <c r="X375" s="201"/>
      <c r="Y375" s="200"/>
      <c r="Z375" s="201"/>
      <c r="AA375" s="201"/>
      <c r="AB375" s="201"/>
      <c r="AC375" s="201"/>
      <c r="AD375" s="202"/>
      <c r="AE375" s="201"/>
      <c r="AF375" s="202"/>
      <c r="AG375" s="201"/>
      <c r="AH375" s="202"/>
      <c r="AI375" s="202"/>
      <c r="AJ375" s="201"/>
      <c r="AK375" s="201"/>
      <c r="AL375" s="201"/>
      <c r="AM375" s="201"/>
      <c r="AN375" s="202"/>
      <c r="AO375" s="201"/>
      <c r="AP375" s="201"/>
      <c r="AQ375" s="202"/>
      <c r="AR375" s="202"/>
      <c r="AS375" s="202"/>
      <c r="AT375" s="201"/>
      <c r="AU375">
        <f>E375 +F375</f>
        <v>0</v>
      </c>
    </row>
    <row r="376" spans="1:47" x14ac:dyDescent="0.25">
      <c r="A376" t="str">
        <f>B376 &amp; " - " &amp;D376</f>
        <v>SCB - Raspentino</v>
      </c>
      <c r="B376" t="s">
        <v>887</v>
      </c>
      <c r="C376" s="29" t="s">
        <v>665</v>
      </c>
      <c r="D376" s="38" t="s">
        <v>881</v>
      </c>
      <c r="E376" s="31">
        <v>5</v>
      </c>
      <c r="F376" s="99">
        <v>5</v>
      </c>
      <c r="G376" s="114">
        <v>1</v>
      </c>
      <c r="H376" s="34">
        <f>AVERAGE(U376,W376,Y376,Z376,AA376)</f>
        <v>4</v>
      </c>
      <c r="I376" s="87"/>
      <c r="J376" s="37"/>
      <c r="K376" s="37"/>
      <c r="L376" s="77"/>
      <c r="M376" s="24"/>
      <c r="N376" s="37" t="s">
        <v>644</v>
      </c>
      <c r="O376" s="37" t="s">
        <v>644</v>
      </c>
      <c r="P376" s="24"/>
      <c r="Q376" s="37" t="s">
        <v>644</v>
      </c>
      <c r="R376" s="37"/>
      <c r="S376" s="37" t="s">
        <v>644</v>
      </c>
      <c r="T376" s="37" t="s">
        <v>644</v>
      </c>
      <c r="U376" s="24">
        <v>4</v>
      </c>
      <c r="V376" s="37"/>
      <c r="W376" s="24">
        <v>4</v>
      </c>
      <c r="X376" s="77" t="s">
        <v>644</v>
      </c>
      <c r="Y376" s="24">
        <v>4</v>
      </c>
      <c r="Z376" s="37">
        <v>4</v>
      </c>
      <c r="AA376" s="24">
        <v>4</v>
      </c>
      <c r="AB376" s="24"/>
      <c r="AC376" s="37"/>
      <c r="AD376" s="27"/>
      <c r="AE376" s="37"/>
      <c r="AF376" s="24"/>
      <c r="AG376" s="24"/>
      <c r="AH376" s="24"/>
      <c r="AI376" s="24"/>
      <c r="AJ376" s="24"/>
      <c r="AK376" s="24"/>
      <c r="AL376" s="24"/>
      <c r="AM376" s="37"/>
      <c r="AN376" s="27"/>
      <c r="AO376" s="24"/>
      <c r="AP376" s="24"/>
      <c r="AQ376" s="27"/>
      <c r="AR376" s="28"/>
      <c r="AS376" s="27"/>
      <c r="AT376" s="24"/>
      <c r="AU376">
        <f>E376 +F376</f>
        <v>10</v>
      </c>
    </row>
    <row r="377" spans="1:47" x14ac:dyDescent="0.25">
      <c r="A377" t="str">
        <f>B377 &amp; " - " &amp;D377</f>
        <v>SCB - Maboulou</v>
      </c>
      <c r="B377" t="s">
        <v>887</v>
      </c>
      <c r="C377" s="29" t="s">
        <v>665</v>
      </c>
      <c r="D377" s="60" t="s">
        <v>878</v>
      </c>
      <c r="E377" s="31">
        <v>2</v>
      </c>
      <c r="F377" s="99">
        <v>7</v>
      </c>
      <c r="G377" s="73"/>
      <c r="H377" s="34">
        <f>AVERAGE(J377,AR377)</f>
        <v>4</v>
      </c>
      <c r="I377" s="76" t="s">
        <v>644</v>
      </c>
      <c r="J377" s="26">
        <v>4</v>
      </c>
      <c r="K377" s="37" t="s">
        <v>644</v>
      </c>
      <c r="L377" s="37"/>
      <c r="M377" s="24"/>
      <c r="N377" s="24"/>
      <c r="O377" s="37"/>
      <c r="P377" s="37" t="s">
        <v>644</v>
      </c>
      <c r="Q377" s="24"/>
      <c r="R377" s="24"/>
      <c r="S377" s="22"/>
      <c r="T377" s="24"/>
      <c r="U377" s="24"/>
      <c r="V377" s="37"/>
      <c r="W377" s="24"/>
      <c r="X377" s="24"/>
      <c r="Y377" s="37"/>
      <c r="Z377" s="24"/>
      <c r="AA377" s="24"/>
      <c r="AB377" s="24"/>
      <c r="AC377" s="24"/>
      <c r="AD377" s="27"/>
      <c r="AE377" s="37" t="s">
        <v>644</v>
      </c>
      <c r="AF377" s="27"/>
      <c r="AG377" s="24"/>
      <c r="AH377" s="27"/>
      <c r="AI377" s="27"/>
      <c r="AJ377" s="24"/>
      <c r="AK377" s="24"/>
      <c r="AL377" s="37" t="s">
        <v>644</v>
      </c>
      <c r="AM377" s="37" t="s">
        <v>644</v>
      </c>
      <c r="AN377" s="26" t="s">
        <v>644</v>
      </c>
      <c r="AO377" s="24"/>
      <c r="AP377" s="24"/>
      <c r="AQ377" s="27"/>
      <c r="AR377" s="27">
        <v>4</v>
      </c>
      <c r="AS377" s="27"/>
      <c r="AT377" s="24"/>
      <c r="AU377">
        <f>E377 +F377</f>
        <v>9</v>
      </c>
    </row>
    <row r="378" spans="1:47" ht="15.75" thickBot="1" x14ac:dyDescent="0.3">
      <c r="A378" t="str">
        <f>B378 &amp; " - " &amp;D378</f>
        <v>SCB - Coulibaly</v>
      </c>
      <c r="B378" t="s">
        <v>887</v>
      </c>
      <c r="C378" s="88" t="s">
        <v>665</v>
      </c>
      <c r="D378" s="203" t="s">
        <v>886</v>
      </c>
      <c r="E378" s="90">
        <v>7</v>
      </c>
      <c r="F378" s="119">
        <v>8</v>
      </c>
      <c r="G378" s="89">
        <v>1</v>
      </c>
      <c r="H378" s="120">
        <f>AVERAGE(L378,Q378,Z378,AE378,AF378,AP378,AR378,AT378)</f>
        <v>4.75</v>
      </c>
      <c r="I378" s="87" t="s">
        <v>644</v>
      </c>
      <c r="J378" s="37"/>
      <c r="K378" s="77" t="s">
        <v>644</v>
      </c>
      <c r="L378" s="37">
        <v>5</v>
      </c>
      <c r="M378" s="24"/>
      <c r="N378" s="37" t="s">
        <v>644</v>
      </c>
      <c r="O378" s="24"/>
      <c r="P378" s="37" t="s">
        <v>644</v>
      </c>
      <c r="Q378" s="24">
        <v>4</v>
      </c>
      <c r="R378" s="24"/>
      <c r="S378" s="37"/>
      <c r="T378" s="37"/>
      <c r="U378" s="37"/>
      <c r="V378" s="24"/>
      <c r="W378" s="37"/>
      <c r="X378" s="24"/>
      <c r="Y378" s="24"/>
      <c r="Z378" s="37">
        <v>4</v>
      </c>
      <c r="AA378" s="24"/>
      <c r="AB378" s="24"/>
      <c r="AC378" s="24"/>
      <c r="AD378" s="27"/>
      <c r="AE378" s="37">
        <v>6</v>
      </c>
      <c r="AF378" s="27">
        <v>4</v>
      </c>
      <c r="AG378" s="76" t="s">
        <v>644</v>
      </c>
      <c r="AH378" s="28"/>
      <c r="AI378" s="26" t="s">
        <v>644</v>
      </c>
      <c r="AJ378" s="22"/>
      <c r="AK378" s="37"/>
      <c r="AL378" s="24"/>
      <c r="AM378" s="22"/>
      <c r="AN378" s="26"/>
      <c r="AO378" s="22"/>
      <c r="AP378" s="24">
        <v>5</v>
      </c>
      <c r="AQ378" s="26" t="s">
        <v>644</v>
      </c>
      <c r="AR378" s="27">
        <v>4</v>
      </c>
      <c r="AS378" s="26"/>
      <c r="AT378" s="24">
        <v>6</v>
      </c>
      <c r="AU378">
        <f>E378 +F378</f>
        <v>15</v>
      </c>
    </row>
    <row r="379" spans="1:47" x14ac:dyDescent="0.25">
      <c r="A379" t="str">
        <f>B379 &amp; " - " &amp;D379</f>
        <v>GFCA - Filippi</v>
      </c>
      <c r="B379" t="s">
        <v>1047</v>
      </c>
      <c r="C379" s="17" t="s">
        <v>641</v>
      </c>
      <c r="D379" s="308" t="s">
        <v>290</v>
      </c>
      <c r="E379" s="18">
        <v>21</v>
      </c>
      <c r="F379" s="95">
        <v>5</v>
      </c>
      <c r="G379" s="96" t="s">
        <v>1103</v>
      </c>
      <c r="H379" s="34">
        <f>AVERAGE(J379,K379,L379,P379,Q379,S379,T379,W379,X379,Y379,AE379,AG379,AH379,AI379,AJ379,AL379,AN379,AO379,AP379,AR379,AS379,AT379)</f>
        <v>5</v>
      </c>
      <c r="I379" s="116"/>
      <c r="J379" s="24">
        <v>5</v>
      </c>
      <c r="K379" s="26">
        <v>5</v>
      </c>
      <c r="L379" s="24">
        <v>5</v>
      </c>
      <c r="M379" s="37"/>
      <c r="N379" s="77"/>
      <c r="O379" s="24"/>
      <c r="P379" s="37">
        <v>6</v>
      </c>
      <c r="Q379" s="24">
        <v>5</v>
      </c>
      <c r="R379" s="23"/>
      <c r="S379" s="22">
        <v>6</v>
      </c>
      <c r="T379" s="23">
        <v>5</v>
      </c>
      <c r="U379" s="24"/>
      <c r="V379" s="37" t="s">
        <v>644</v>
      </c>
      <c r="W379" s="24">
        <v>6</v>
      </c>
      <c r="X379" s="24">
        <v>5</v>
      </c>
      <c r="Y379" s="37">
        <v>5</v>
      </c>
      <c r="Z379" s="24"/>
      <c r="AA379" s="37" t="s">
        <v>644</v>
      </c>
      <c r="AB379" s="37" t="s">
        <v>644</v>
      </c>
      <c r="AC379" s="37"/>
      <c r="AD379" s="37" t="s">
        <v>644</v>
      </c>
      <c r="AE379" s="24">
        <v>4</v>
      </c>
      <c r="AF379" s="24"/>
      <c r="AG379" s="24">
        <v>6</v>
      </c>
      <c r="AH379" s="94">
        <v>5</v>
      </c>
      <c r="AI379" s="24">
        <v>5</v>
      </c>
      <c r="AJ379" s="32">
        <v>6</v>
      </c>
      <c r="AK379" s="24"/>
      <c r="AL379" s="26">
        <v>6</v>
      </c>
      <c r="AM379" s="24"/>
      <c r="AN379" s="24">
        <v>4</v>
      </c>
      <c r="AO379" s="37">
        <v>5</v>
      </c>
      <c r="AP379" s="24">
        <v>4</v>
      </c>
      <c r="AQ379" s="27"/>
      <c r="AR379" s="24">
        <v>5</v>
      </c>
      <c r="AS379" s="237">
        <v>2</v>
      </c>
      <c r="AT379" s="37">
        <v>5</v>
      </c>
      <c r="AU379">
        <f>E379 +F379</f>
        <v>26</v>
      </c>
    </row>
    <row r="380" spans="1:47" x14ac:dyDescent="0.25">
      <c r="A380" t="str">
        <f>B380 &amp; " - " &amp;D380</f>
        <v>SRFC - Diallo</v>
      </c>
      <c r="B380" t="s">
        <v>913</v>
      </c>
      <c r="C380" s="38" t="s">
        <v>638</v>
      </c>
      <c r="D380" s="30" t="s">
        <v>879</v>
      </c>
      <c r="E380" s="31">
        <v>7</v>
      </c>
      <c r="F380" s="99"/>
      <c r="G380" s="73"/>
      <c r="H380" s="204">
        <f>AVERAGE(M380,N380,O380,P380,Q380,R380,S380)</f>
        <v>5.1428571428571432</v>
      </c>
      <c r="I380" s="87"/>
      <c r="J380" s="22"/>
      <c r="K380" s="23"/>
      <c r="L380" s="23"/>
      <c r="M380" s="22">
        <v>6</v>
      </c>
      <c r="N380" s="24">
        <v>5</v>
      </c>
      <c r="O380" s="24">
        <v>4</v>
      </c>
      <c r="P380" s="24">
        <v>5</v>
      </c>
      <c r="Q380" s="23">
        <v>6</v>
      </c>
      <c r="R380" s="23">
        <v>4</v>
      </c>
      <c r="S380" s="23">
        <v>6</v>
      </c>
      <c r="T380" s="24"/>
      <c r="U380" s="22"/>
      <c r="V380" s="22"/>
      <c r="W380" s="22"/>
      <c r="X380" s="24"/>
      <c r="Y380" s="24"/>
      <c r="Z380" s="24"/>
      <c r="AA380" s="24"/>
      <c r="AB380" s="24"/>
      <c r="AC380" s="22"/>
      <c r="AD380" s="24"/>
      <c r="AE380" s="24"/>
      <c r="AF380" s="24"/>
      <c r="AG380" s="24"/>
      <c r="AH380" s="27"/>
      <c r="AI380" s="22"/>
      <c r="AJ380" s="22"/>
      <c r="AK380" s="24"/>
      <c r="AL380" s="28"/>
      <c r="AM380" s="22"/>
      <c r="AN380" s="22"/>
      <c r="AO380" s="24"/>
      <c r="AP380" s="24"/>
      <c r="AQ380" s="28"/>
      <c r="AR380" s="24"/>
      <c r="AS380" s="27"/>
      <c r="AT380" s="24"/>
      <c r="AU380">
        <f>E380 +F380</f>
        <v>7</v>
      </c>
    </row>
    <row r="381" spans="1:47" x14ac:dyDescent="0.25">
      <c r="A381" t="str">
        <f>B381 &amp; " - " &amp;D381</f>
        <v>SRFC - Sorin</v>
      </c>
      <c r="B381" t="s">
        <v>913</v>
      </c>
      <c r="C381" s="86" t="s">
        <v>638</v>
      </c>
      <c r="D381" s="85" t="s">
        <v>889</v>
      </c>
      <c r="E381" s="69"/>
      <c r="F381" s="115"/>
      <c r="G381" s="68"/>
      <c r="H381" s="204"/>
      <c r="I381" s="87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7"/>
      <c r="AI381" s="24"/>
      <c r="AJ381" s="24"/>
      <c r="AK381" s="24"/>
      <c r="AL381" s="27"/>
      <c r="AM381" s="24"/>
      <c r="AN381" s="24"/>
      <c r="AO381" s="24"/>
      <c r="AP381" s="24"/>
      <c r="AQ381" s="27"/>
      <c r="AR381" s="24"/>
      <c r="AS381" s="27"/>
      <c r="AT381" s="24"/>
      <c r="AU381">
        <f>E381 +F381</f>
        <v>0</v>
      </c>
    </row>
    <row r="382" spans="1:47" x14ac:dyDescent="0.25">
      <c r="A382" t="str">
        <f>B382 &amp; " - " &amp;D382</f>
        <v>FCL - Moukandjo</v>
      </c>
      <c r="B382" t="s">
        <v>816</v>
      </c>
      <c r="C382" s="30" t="s">
        <v>665</v>
      </c>
      <c r="D382" s="154" t="s">
        <v>119</v>
      </c>
      <c r="E382" s="31">
        <v>26</v>
      </c>
      <c r="F382" s="99">
        <v>5</v>
      </c>
      <c r="G382" s="30">
        <v>13</v>
      </c>
      <c r="H382" s="125">
        <f>AVERAGE(Z382,X382,W382,J382,K382,L382,I382,M382,N382,O382,P382,Q382,R382,S382,T382,U382,V382,AA382,AE382,AG382,AH382,AP382,AQ382,AR382,AS382)</f>
        <v>5</v>
      </c>
      <c r="I382" s="116">
        <v>4</v>
      </c>
      <c r="J382" s="77">
        <v>6</v>
      </c>
      <c r="K382" s="37">
        <v>5</v>
      </c>
      <c r="L382" s="76">
        <v>4</v>
      </c>
      <c r="M382" s="37">
        <v>4</v>
      </c>
      <c r="N382" s="77">
        <v>6</v>
      </c>
      <c r="O382" s="77">
        <v>6</v>
      </c>
      <c r="P382" s="37">
        <v>4</v>
      </c>
      <c r="Q382" s="22">
        <v>6</v>
      </c>
      <c r="R382" s="77">
        <v>5</v>
      </c>
      <c r="S382" s="37">
        <v>5</v>
      </c>
      <c r="T382" s="25">
        <v>7</v>
      </c>
      <c r="U382" s="25">
        <v>8</v>
      </c>
      <c r="V382" s="22">
        <v>6</v>
      </c>
      <c r="W382" s="22">
        <v>6</v>
      </c>
      <c r="X382" s="37">
        <v>4</v>
      </c>
      <c r="Y382" s="37" t="s">
        <v>644</v>
      </c>
      <c r="Z382" s="24">
        <v>4</v>
      </c>
      <c r="AA382" s="24">
        <v>5</v>
      </c>
      <c r="AB382" s="24"/>
      <c r="AC382" s="24"/>
      <c r="AD382" s="37" t="s">
        <v>644</v>
      </c>
      <c r="AE382" s="37">
        <v>5</v>
      </c>
      <c r="AF382" s="37" t="s">
        <v>644</v>
      </c>
      <c r="AG382" s="37">
        <v>5</v>
      </c>
      <c r="AH382" s="28">
        <v>5</v>
      </c>
      <c r="AI382" s="24" t="s">
        <v>673</v>
      </c>
      <c r="AJ382" s="24"/>
      <c r="AK382" s="37"/>
      <c r="AL382" s="27"/>
      <c r="AM382" s="24"/>
      <c r="AN382" s="37" t="s">
        <v>644</v>
      </c>
      <c r="AO382" s="24"/>
      <c r="AP382" s="24">
        <v>4</v>
      </c>
      <c r="AQ382" s="27">
        <v>4</v>
      </c>
      <c r="AR382" s="82">
        <v>3</v>
      </c>
      <c r="AS382" s="26">
        <v>4</v>
      </c>
      <c r="AT382" s="77" t="s">
        <v>673</v>
      </c>
      <c r="AU382">
        <f>E382 +F382</f>
        <v>31</v>
      </c>
    </row>
    <row r="383" spans="1:47" x14ac:dyDescent="0.25">
      <c r="A383" t="str">
        <f>B383 &amp; " - " &amp;D383</f>
        <v>SRFC - Danzé</v>
      </c>
      <c r="B383" t="s">
        <v>913</v>
      </c>
      <c r="C383" t="s">
        <v>641</v>
      </c>
      <c r="D383" t="s">
        <v>890</v>
      </c>
      <c r="E383" s="31">
        <v>19</v>
      </c>
      <c r="F383" s="99">
        <v>2</v>
      </c>
      <c r="G383" s="73"/>
      <c r="H383" s="34">
        <f>AVERAGE(O383,Y383,Z383,AA383,AD383,AE383,AF383,AG383,AH383,AJ383,AK383,AL383,AM383,AN383,AO383,AP383,AQ383,AS383,AT383)</f>
        <v>4.9473684210526319</v>
      </c>
      <c r="I383" s="87"/>
      <c r="J383" s="205"/>
      <c r="K383" s="24"/>
      <c r="L383" s="24"/>
      <c r="M383" s="37" t="s">
        <v>644</v>
      </c>
      <c r="N383" s="24"/>
      <c r="O383" s="24">
        <v>6</v>
      </c>
      <c r="P383" s="24"/>
      <c r="Q383" s="76" t="s">
        <v>644</v>
      </c>
      <c r="R383" s="24"/>
      <c r="S383" s="24"/>
      <c r="T383" s="24"/>
      <c r="U383" s="24"/>
      <c r="V383" s="24"/>
      <c r="W383" s="24"/>
      <c r="X383" s="24"/>
      <c r="Y383" s="24">
        <v>5</v>
      </c>
      <c r="Z383" s="24">
        <v>5</v>
      </c>
      <c r="AA383" s="24">
        <v>5</v>
      </c>
      <c r="AB383" s="24"/>
      <c r="AC383" s="24"/>
      <c r="AD383" s="24">
        <v>6</v>
      </c>
      <c r="AE383" s="82">
        <v>3</v>
      </c>
      <c r="AF383" s="24">
        <v>4</v>
      </c>
      <c r="AG383" s="24">
        <v>4</v>
      </c>
      <c r="AH383" s="27">
        <v>6</v>
      </c>
      <c r="AI383" s="24"/>
      <c r="AJ383" s="24">
        <v>6</v>
      </c>
      <c r="AK383" s="24">
        <v>6</v>
      </c>
      <c r="AL383" s="27">
        <v>5</v>
      </c>
      <c r="AM383" s="24">
        <v>5</v>
      </c>
      <c r="AN383" s="24">
        <v>5</v>
      </c>
      <c r="AO383" s="24">
        <v>4</v>
      </c>
      <c r="AP383" s="24">
        <v>5</v>
      </c>
      <c r="AQ383" s="27">
        <v>5</v>
      </c>
      <c r="AR383" s="37"/>
      <c r="AS383" s="27">
        <v>5</v>
      </c>
      <c r="AT383" s="24">
        <v>4</v>
      </c>
      <c r="AU383">
        <f>E383 +F383</f>
        <v>21</v>
      </c>
    </row>
    <row r="384" spans="1:47" x14ac:dyDescent="0.25">
      <c r="A384" t="str">
        <f>B384 &amp; " - " &amp;D384</f>
        <v>SRFC - Mexer</v>
      </c>
      <c r="B384" t="s">
        <v>913</v>
      </c>
      <c r="C384" t="s">
        <v>641</v>
      </c>
      <c r="D384" s="123" t="s">
        <v>891</v>
      </c>
      <c r="E384" s="31">
        <v>16</v>
      </c>
      <c r="F384" s="99"/>
      <c r="G384" s="73"/>
      <c r="H384" s="34">
        <f>AVERAGE(J384,K384,L384,I384,M384,N384,O384,P384,W384,X384,AE384,AF384,AG384,AP384,AR384,AS384)</f>
        <v>4.5</v>
      </c>
      <c r="I384" s="171">
        <v>5</v>
      </c>
      <c r="J384" s="206">
        <v>5</v>
      </c>
      <c r="K384" s="21">
        <v>4</v>
      </c>
      <c r="L384" s="24">
        <v>5</v>
      </c>
      <c r="M384" s="24">
        <v>5</v>
      </c>
      <c r="N384" s="24">
        <v>5</v>
      </c>
      <c r="O384" s="24">
        <v>4</v>
      </c>
      <c r="P384" s="24">
        <v>4</v>
      </c>
      <c r="Q384" s="24"/>
      <c r="R384" s="24"/>
      <c r="S384" s="24"/>
      <c r="T384" s="24"/>
      <c r="U384" s="24"/>
      <c r="V384" s="24"/>
      <c r="W384" s="24">
        <v>5</v>
      </c>
      <c r="X384" s="24">
        <v>5</v>
      </c>
      <c r="Y384" s="24"/>
      <c r="Z384" s="24"/>
      <c r="AA384" s="22"/>
      <c r="AB384" s="24"/>
      <c r="AC384" s="24"/>
      <c r="AD384" s="24"/>
      <c r="AE384" s="82">
        <v>3</v>
      </c>
      <c r="AF384" s="24">
        <v>4</v>
      </c>
      <c r="AG384" s="24">
        <v>5</v>
      </c>
      <c r="AH384" s="27"/>
      <c r="AI384" s="24"/>
      <c r="AJ384" s="24"/>
      <c r="AK384" s="24"/>
      <c r="AL384" s="27"/>
      <c r="AM384" s="22"/>
      <c r="AN384" s="24"/>
      <c r="AO384" s="24"/>
      <c r="AP384" s="24">
        <v>5</v>
      </c>
      <c r="AQ384" s="27"/>
      <c r="AR384" s="24">
        <v>4</v>
      </c>
      <c r="AS384" s="27">
        <v>4</v>
      </c>
      <c r="AT384" s="24"/>
      <c r="AU384">
        <f>E384 +F384</f>
        <v>16</v>
      </c>
    </row>
    <row r="385" spans="1:47" x14ac:dyDescent="0.25">
      <c r="A385" t="str">
        <f>B385 &amp; " - " &amp;D385</f>
        <v>SRFC - Zajkov</v>
      </c>
      <c r="B385" t="s">
        <v>913</v>
      </c>
      <c r="C385" s="64" t="s">
        <v>641</v>
      </c>
      <c r="D385" s="207" t="s">
        <v>892</v>
      </c>
      <c r="E385" s="52"/>
      <c r="F385" s="63"/>
      <c r="G385" s="145"/>
      <c r="H385" s="34"/>
      <c r="I385" s="58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7"/>
      <c r="AI385" s="46"/>
      <c r="AJ385" s="46"/>
      <c r="AK385" s="46"/>
      <c r="AL385" s="47"/>
      <c r="AM385" s="46"/>
      <c r="AN385" s="46"/>
      <c r="AO385" s="46"/>
      <c r="AP385" s="46"/>
      <c r="AQ385" s="47"/>
      <c r="AR385" s="46"/>
      <c r="AS385" s="47"/>
      <c r="AT385" s="46"/>
      <c r="AU385">
        <f>E385 +F385</f>
        <v>0</v>
      </c>
    </row>
    <row r="386" spans="1:47" x14ac:dyDescent="0.25">
      <c r="A386" t="str">
        <f>B386 &amp; " - " &amp;D386</f>
        <v>SRFC - Diagne</v>
      </c>
      <c r="B386" t="s">
        <v>913</v>
      </c>
      <c r="C386" t="s">
        <v>641</v>
      </c>
      <c r="D386" s="123" t="s">
        <v>893</v>
      </c>
      <c r="E386" s="31">
        <v>21</v>
      </c>
      <c r="F386" s="99">
        <v>1</v>
      </c>
      <c r="G386" s="114" t="s">
        <v>1119</v>
      </c>
      <c r="H386" s="34">
        <f>AVERAGE(K386,L386,O386,P386,Q386,R386,S386,T386,U386,V386,AA386,AB386,AC386,AD386,AL386,AM386,AN386,AO386,AP386,AQ386,AS386,AT386)</f>
        <v>5.0454545454545459</v>
      </c>
      <c r="I386" s="87"/>
      <c r="J386" s="24"/>
      <c r="K386" s="24">
        <v>5</v>
      </c>
      <c r="L386" s="24">
        <v>4</v>
      </c>
      <c r="M386" s="24"/>
      <c r="N386" s="37"/>
      <c r="O386" s="24">
        <v>5</v>
      </c>
      <c r="P386" s="25">
        <v>7</v>
      </c>
      <c r="Q386" s="24">
        <v>5</v>
      </c>
      <c r="R386" s="24">
        <v>5</v>
      </c>
      <c r="S386" s="24">
        <v>5</v>
      </c>
      <c r="T386" s="24">
        <v>5</v>
      </c>
      <c r="U386" s="24">
        <v>6</v>
      </c>
      <c r="V386" s="24">
        <v>5</v>
      </c>
      <c r="W386" s="24"/>
      <c r="X386" s="24"/>
      <c r="Y386" s="24"/>
      <c r="Z386" s="24"/>
      <c r="AA386" s="37">
        <v>6</v>
      </c>
      <c r="AB386" s="82">
        <v>3</v>
      </c>
      <c r="AC386" s="25">
        <v>7</v>
      </c>
      <c r="AD386" s="24">
        <v>6</v>
      </c>
      <c r="AE386" s="24"/>
      <c r="AF386" s="24"/>
      <c r="AG386" s="24"/>
      <c r="AH386" s="27"/>
      <c r="AI386" s="37"/>
      <c r="AJ386" s="24"/>
      <c r="AK386" s="24"/>
      <c r="AL386" s="94">
        <v>6</v>
      </c>
      <c r="AM386" s="22">
        <v>6</v>
      </c>
      <c r="AN386" s="37">
        <v>5</v>
      </c>
      <c r="AO386" s="24">
        <v>4</v>
      </c>
      <c r="AP386" s="24">
        <v>4</v>
      </c>
      <c r="AQ386" s="27">
        <v>5</v>
      </c>
      <c r="AR386" s="24"/>
      <c r="AS386" s="27">
        <v>4</v>
      </c>
      <c r="AT386" s="82">
        <v>3</v>
      </c>
      <c r="AU386">
        <f>E386 +F386</f>
        <v>22</v>
      </c>
    </row>
    <row r="387" spans="1:47" x14ac:dyDescent="0.25">
      <c r="A387" t="str">
        <f>B387 &amp; " - " &amp;D387</f>
        <v>SRFC - Moreira</v>
      </c>
      <c r="B387" t="s">
        <v>913</v>
      </c>
      <c r="C387" t="s">
        <v>641</v>
      </c>
      <c r="D387" t="s">
        <v>894</v>
      </c>
      <c r="E387" s="31">
        <v>14</v>
      </c>
      <c r="F387" s="99">
        <v>2</v>
      </c>
      <c r="G387" s="73"/>
      <c r="H387" s="34">
        <f>AVERAGE(J387,K387,I387,M387,N387,Q387,R387,S387,U387,V387,W387,X387,AB387,AR387)</f>
        <v>4.5</v>
      </c>
      <c r="I387" s="87">
        <v>4</v>
      </c>
      <c r="J387" s="37">
        <v>6</v>
      </c>
      <c r="K387" s="37">
        <v>5</v>
      </c>
      <c r="L387" s="37" t="s">
        <v>644</v>
      </c>
      <c r="M387" s="37">
        <v>4</v>
      </c>
      <c r="N387" s="24">
        <v>5</v>
      </c>
      <c r="O387" s="24"/>
      <c r="P387" s="24"/>
      <c r="Q387" s="37">
        <v>4</v>
      </c>
      <c r="R387" s="24">
        <v>4</v>
      </c>
      <c r="S387" s="24">
        <v>4</v>
      </c>
      <c r="T387" s="24"/>
      <c r="U387" s="24">
        <v>6</v>
      </c>
      <c r="V387" s="24">
        <v>4</v>
      </c>
      <c r="W387" s="37">
        <v>4</v>
      </c>
      <c r="X387" s="24">
        <v>5</v>
      </c>
      <c r="Y387" s="24"/>
      <c r="Z387" s="24"/>
      <c r="AA387" s="37" t="s">
        <v>644</v>
      </c>
      <c r="AB387" s="37">
        <v>5</v>
      </c>
      <c r="AC387" s="24"/>
      <c r="AD387" s="24"/>
      <c r="AE387" s="24"/>
      <c r="AF387" s="24"/>
      <c r="AG387" s="24"/>
      <c r="AH387" s="26"/>
      <c r="AI387" s="37"/>
      <c r="AJ387" s="37"/>
      <c r="AK387" s="24"/>
      <c r="AL387" s="27"/>
      <c r="AM387" s="37"/>
      <c r="AN387" s="24"/>
      <c r="AO387" s="24"/>
      <c r="AP387" s="37"/>
      <c r="AQ387" s="27"/>
      <c r="AR387" s="82">
        <v>3</v>
      </c>
      <c r="AS387" s="27"/>
      <c r="AT387" s="24"/>
      <c r="AU387">
        <f>E387 +F387</f>
        <v>16</v>
      </c>
    </row>
    <row r="388" spans="1:47" x14ac:dyDescent="0.25">
      <c r="A388" t="str">
        <f>B388 &amp; " - " &amp;D388</f>
        <v>SRFC - Lenjani</v>
      </c>
      <c r="B388" t="s">
        <v>913</v>
      </c>
      <c r="C388" s="64" t="s">
        <v>641</v>
      </c>
      <c r="D388" s="64" t="s">
        <v>895</v>
      </c>
      <c r="E388" s="52"/>
      <c r="F388" s="63">
        <v>1</v>
      </c>
      <c r="G388" s="145"/>
      <c r="H388" s="34"/>
      <c r="I388" s="149">
        <v>4</v>
      </c>
      <c r="J388" s="55"/>
      <c r="K388" s="55"/>
      <c r="L388" s="55"/>
      <c r="M388" s="55"/>
      <c r="N388" s="46"/>
      <c r="O388" s="46"/>
      <c r="P388" s="46"/>
      <c r="Q388" s="55"/>
      <c r="R388" s="46"/>
      <c r="S388" s="46"/>
      <c r="T388" s="46"/>
      <c r="U388" s="55"/>
      <c r="V388" s="46"/>
      <c r="W388" s="46"/>
      <c r="X388" s="46"/>
      <c r="Y388" s="46"/>
      <c r="Z388" s="46"/>
      <c r="AA388" s="46"/>
      <c r="AB388" s="55"/>
      <c r="AC388" s="46"/>
      <c r="AD388" s="46"/>
      <c r="AE388" s="46"/>
      <c r="AF388" s="55"/>
      <c r="AG388" s="46"/>
      <c r="AH388" s="47"/>
      <c r="AI388" s="55"/>
      <c r="AJ388" s="46"/>
      <c r="AK388" s="46"/>
      <c r="AL388" s="47"/>
      <c r="AM388" s="46"/>
      <c r="AN388" s="46"/>
      <c r="AO388" s="46"/>
      <c r="AP388" s="46"/>
      <c r="AQ388" s="47"/>
      <c r="AR388" s="46"/>
      <c r="AS388" s="47"/>
      <c r="AT388" s="46"/>
      <c r="AU388">
        <f>E388 +F388</f>
        <v>1</v>
      </c>
    </row>
    <row r="389" spans="1:47" x14ac:dyDescent="0.25">
      <c r="A389" t="str">
        <f>B389 &amp; " - " &amp;D389</f>
        <v>SRFC - Pedro Mendes</v>
      </c>
      <c r="B389" t="s">
        <v>913</v>
      </c>
      <c r="C389" t="s">
        <v>641</v>
      </c>
      <c r="D389" s="126" t="s">
        <v>896</v>
      </c>
      <c r="E389" s="31">
        <v>21</v>
      </c>
      <c r="F389" s="99">
        <v>1</v>
      </c>
      <c r="G389" s="73"/>
      <c r="H389" s="34">
        <f>AVERAGE(J389,I389,M389,N389,O389,Q389,R389,S389,T389,X389,Y389,Z389,AF389,AG389,AH389,AI389,AJ389,AK389,AL389,AS389,AT389)</f>
        <v>5.0476190476190474</v>
      </c>
      <c r="I389" s="87">
        <v>5</v>
      </c>
      <c r="J389" s="37">
        <v>6</v>
      </c>
      <c r="K389" s="37"/>
      <c r="L389" s="37"/>
      <c r="M389" s="37">
        <v>5</v>
      </c>
      <c r="N389" s="24">
        <v>5</v>
      </c>
      <c r="O389" s="24">
        <v>5</v>
      </c>
      <c r="P389" s="24"/>
      <c r="Q389" s="37">
        <v>4</v>
      </c>
      <c r="R389" s="24">
        <v>5</v>
      </c>
      <c r="S389" s="24">
        <v>5</v>
      </c>
      <c r="T389" s="24">
        <v>5</v>
      </c>
      <c r="U389" s="37"/>
      <c r="V389" s="24"/>
      <c r="W389" s="24"/>
      <c r="X389" s="24">
        <v>5</v>
      </c>
      <c r="Y389" s="24">
        <v>5</v>
      </c>
      <c r="Z389" s="24">
        <v>5</v>
      </c>
      <c r="AA389" s="24"/>
      <c r="AB389" s="37"/>
      <c r="AC389" s="24"/>
      <c r="AD389" s="24"/>
      <c r="AE389" s="24"/>
      <c r="AF389" s="37">
        <v>5</v>
      </c>
      <c r="AG389" s="24">
        <v>6</v>
      </c>
      <c r="AH389" s="27">
        <v>6</v>
      </c>
      <c r="AI389" s="37">
        <v>4</v>
      </c>
      <c r="AJ389" s="24">
        <v>6</v>
      </c>
      <c r="AK389" s="24">
        <v>5</v>
      </c>
      <c r="AL389" s="27">
        <v>4</v>
      </c>
      <c r="AM389" s="24"/>
      <c r="AN389" s="24"/>
      <c r="AO389" s="24"/>
      <c r="AP389" s="24"/>
      <c r="AQ389" s="27"/>
      <c r="AR389" s="37" t="s">
        <v>644</v>
      </c>
      <c r="AS389" s="27">
        <v>5</v>
      </c>
      <c r="AT389" s="24">
        <v>5</v>
      </c>
      <c r="AU389">
        <f>E389 +F389</f>
        <v>22</v>
      </c>
    </row>
    <row r="390" spans="1:47" x14ac:dyDescent="0.25">
      <c r="A390" t="str">
        <f>B390 &amp; " - " &amp;D390</f>
        <v>SRFC - Baal</v>
      </c>
      <c r="B390" t="s">
        <v>913</v>
      </c>
      <c r="C390" t="s">
        <v>641</v>
      </c>
      <c r="D390" s="123" t="s">
        <v>897</v>
      </c>
      <c r="E390" s="31">
        <v>18</v>
      </c>
      <c r="F390" s="99">
        <v>4</v>
      </c>
      <c r="G390" s="73"/>
      <c r="H390" s="34">
        <f>AVERAGE(Y390,J390,K390,L390,I390,M390,P390,Q390,R390,S390,T390,U390,V390,AJ390,AM390,AQ390,AR390,AS390)</f>
        <v>5.0555555555555554</v>
      </c>
      <c r="I390" s="87">
        <v>6</v>
      </c>
      <c r="J390" s="84">
        <v>7</v>
      </c>
      <c r="K390" s="37">
        <v>5</v>
      </c>
      <c r="L390" s="37">
        <v>5</v>
      </c>
      <c r="M390" s="37">
        <v>5</v>
      </c>
      <c r="N390" s="24"/>
      <c r="O390" s="24"/>
      <c r="P390" s="24">
        <v>5</v>
      </c>
      <c r="Q390" s="37">
        <v>6</v>
      </c>
      <c r="R390" s="24">
        <v>5</v>
      </c>
      <c r="S390" s="24">
        <v>6</v>
      </c>
      <c r="T390" s="24">
        <v>5</v>
      </c>
      <c r="U390" s="37">
        <v>5</v>
      </c>
      <c r="V390" s="24">
        <v>4</v>
      </c>
      <c r="W390" s="24"/>
      <c r="X390" s="24"/>
      <c r="Y390" s="24">
        <v>4</v>
      </c>
      <c r="Z390" s="24"/>
      <c r="AA390" s="24"/>
      <c r="AB390" s="37"/>
      <c r="AC390" s="24"/>
      <c r="AD390" s="24"/>
      <c r="AE390" s="24"/>
      <c r="AF390" s="37"/>
      <c r="AG390" s="24"/>
      <c r="AH390" s="27"/>
      <c r="AI390" s="37"/>
      <c r="AJ390" s="24">
        <v>5</v>
      </c>
      <c r="AK390" s="37" t="s">
        <v>644</v>
      </c>
      <c r="AL390" s="27"/>
      <c r="AM390" s="24">
        <v>5</v>
      </c>
      <c r="AN390" s="37" t="s">
        <v>644</v>
      </c>
      <c r="AO390" s="37" t="s">
        <v>644</v>
      </c>
      <c r="AP390" s="37" t="s">
        <v>644</v>
      </c>
      <c r="AQ390" s="27">
        <v>5</v>
      </c>
      <c r="AR390" s="24">
        <v>4</v>
      </c>
      <c r="AS390" s="27">
        <v>4</v>
      </c>
      <c r="AT390" s="24"/>
      <c r="AU390">
        <f>E390 +F390</f>
        <v>22</v>
      </c>
    </row>
    <row r="391" spans="1:47" x14ac:dyDescent="0.25">
      <c r="A391" t="str">
        <f>B391 &amp; " - " &amp;D391</f>
        <v>SRFC - Zeffane</v>
      </c>
      <c r="B391" t="s">
        <v>913</v>
      </c>
      <c r="C391" t="s">
        <v>641</v>
      </c>
      <c r="D391" s="123" t="s">
        <v>192</v>
      </c>
      <c r="E391" s="31">
        <v>9</v>
      </c>
      <c r="F391" s="99">
        <v>7</v>
      </c>
      <c r="G391" s="73">
        <v>1</v>
      </c>
      <c r="H391" s="34">
        <f>AVERAGE(K391,L391,N391,P391,S391,X391,AC391,AI391,AL391)</f>
        <v>4.666666666666667</v>
      </c>
      <c r="I391" s="87"/>
      <c r="J391" s="37" t="s">
        <v>644</v>
      </c>
      <c r="K391" s="75">
        <v>7</v>
      </c>
      <c r="L391" s="37">
        <v>4</v>
      </c>
      <c r="M391" s="37" t="s">
        <v>644</v>
      </c>
      <c r="N391" s="24">
        <v>4</v>
      </c>
      <c r="O391" s="24"/>
      <c r="P391" s="24">
        <v>5</v>
      </c>
      <c r="Q391" s="37"/>
      <c r="R391" s="37" t="s">
        <v>644</v>
      </c>
      <c r="S391" s="24">
        <v>5</v>
      </c>
      <c r="T391" s="24"/>
      <c r="U391" s="37" t="s">
        <v>644</v>
      </c>
      <c r="V391" s="24"/>
      <c r="W391" s="24"/>
      <c r="X391" s="24">
        <v>4</v>
      </c>
      <c r="Y391" s="24"/>
      <c r="Z391" s="24"/>
      <c r="AA391" s="24"/>
      <c r="AB391" s="37"/>
      <c r="AC391" s="24">
        <v>5</v>
      </c>
      <c r="AD391" s="24"/>
      <c r="AE391" s="24"/>
      <c r="AF391" s="37"/>
      <c r="AG391" s="37" t="s">
        <v>644</v>
      </c>
      <c r="AH391" s="27"/>
      <c r="AI391" s="37">
        <v>4</v>
      </c>
      <c r="AJ391" s="24"/>
      <c r="AK391" s="24"/>
      <c r="AL391" s="27">
        <v>4</v>
      </c>
      <c r="AM391" s="24"/>
      <c r="AN391" s="24"/>
      <c r="AO391" s="24"/>
      <c r="AP391" s="37" t="s">
        <v>644</v>
      </c>
      <c r="AQ391" s="27"/>
      <c r="AR391" s="24"/>
      <c r="AS391" s="26" t="s">
        <v>644</v>
      </c>
      <c r="AT391" s="24"/>
      <c r="AU391">
        <f>E391 +F391</f>
        <v>16</v>
      </c>
    </row>
    <row r="392" spans="1:47" x14ac:dyDescent="0.25">
      <c r="A392" t="str">
        <f>B392 &amp; " - " &amp;D392</f>
        <v>SRFC - Gnagnon</v>
      </c>
      <c r="B392" t="s">
        <v>913</v>
      </c>
      <c r="C392" t="s">
        <v>641</v>
      </c>
      <c r="D392" s="126" t="s">
        <v>1083</v>
      </c>
      <c r="E392" s="31">
        <v>2</v>
      </c>
      <c r="F392" s="99">
        <v>5</v>
      </c>
      <c r="G392" s="73"/>
      <c r="H392" s="34">
        <f>AVERAGE(AC392,AR392,AS392)</f>
        <v>3.6666666666666665</v>
      </c>
      <c r="I392" s="87"/>
      <c r="J392" s="37"/>
      <c r="K392" s="37"/>
      <c r="L392" s="37"/>
      <c r="M392" s="37"/>
      <c r="N392" s="24"/>
      <c r="O392" s="24"/>
      <c r="P392" s="24"/>
      <c r="Q392" s="37"/>
      <c r="R392" s="37"/>
      <c r="S392" s="24"/>
      <c r="T392" s="24"/>
      <c r="U392" s="37"/>
      <c r="V392" s="24"/>
      <c r="W392" s="24"/>
      <c r="X392" s="24"/>
      <c r="Y392" s="24"/>
      <c r="Z392" s="24"/>
      <c r="AA392" s="24"/>
      <c r="AB392" s="37"/>
      <c r="AC392" s="37">
        <v>5</v>
      </c>
      <c r="AD392" s="24"/>
      <c r="AE392" s="24"/>
      <c r="AF392" s="37"/>
      <c r="AG392" s="24"/>
      <c r="AH392" s="27"/>
      <c r="AI392" s="37"/>
      <c r="AJ392" s="24"/>
      <c r="AK392" s="37" t="s">
        <v>644</v>
      </c>
      <c r="AL392" s="27"/>
      <c r="AM392" s="37" t="s">
        <v>644</v>
      </c>
      <c r="AN392" s="37" t="s">
        <v>644</v>
      </c>
      <c r="AO392" s="24"/>
      <c r="AP392" s="24"/>
      <c r="AQ392" s="26" t="s">
        <v>644</v>
      </c>
      <c r="AR392" s="82">
        <v>3</v>
      </c>
      <c r="AS392" s="237">
        <v>3</v>
      </c>
      <c r="AT392" s="24"/>
      <c r="AU392">
        <f>E392 +F392</f>
        <v>7</v>
      </c>
    </row>
    <row r="393" spans="1:47" x14ac:dyDescent="0.25">
      <c r="A393" t="str">
        <f>B393 &amp; " - " &amp;D393</f>
        <v>SRFC - M'Bengue</v>
      </c>
      <c r="B393" t="s">
        <v>913</v>
      </c>
      <c r="C393" s="85" t="s">
        <v>641</v>
      </c>
      <c r="D393" s="85" t="s">
        <v>898</v>
      </c>
      <c r="E393" s="69">
        <v>21</v>
      </c>
      <c r="F393" s="115">
        <v>2</v>
      </c>
      <c r="G393" s="68"/>
      <c r="H393" s="72">
        <f>AVERAGE(O393,Q393,S393,T393,W393,X393,Y393,Z393,AA393,AB393,AC393,AD393,AE393,AF393,AG393,AH393,AI393,AJ393,AK393,AN393,AO393)</f>
        <v>4.8571428571428568</v>
      </c>
      <c r="I393" s="87"/>
      <c r="J393" s="79"/>
      <c r="K393" s="79" t="s">
        <v>644</v>
      </c>
      <c r="L393" s="37"/>
      <c r="M393" s="24"/>
      <c r="N393" s="24"/>
      <c r="O393" s="24">
        <v>5</v>
      </c>
      <c r="P393" s="24"/>
      <c r="Q393" s="24">
        <v>5</v>
      </c>
      <c r="R393" s="24"/>
      <c r="S393" s="24">
        <v>4</v>
      </c>
      <c r="T393" s="24">
        <v>5</v>
      </c>
      <c r="U393" s="24"/>
      <c r="V393" s="24"/>
      <c r="W393" s="24">
        <v>4</v>
      </c>
      <c r="X393" s="24">
        <v>5</v>
      </c>
      <c r="Y393" s="24">
        <v>5</v>
      </c>
      <c r="Z393" s="24">
        <v>5</v>
      </c>
      <c r="AA393" s="24">
        <v>6</v>
      </c>
      <c r="AB393" s="24">
        <v>5</v>
      </c>
      <c r="AC393" s="24">
        <v>5</v>
      </c>
      <c r="AD393" s="24">
        <v>6</v>
      </c>
      <c r="AE393" s="82">
        <v>2</v>
      </c>
      <c r="AF393" s="24">
        <v>6</v>
      </c>
      <c r="AG393" s="24">
        <v>5</v>
      </c>
      <c r="AH393" s="27">
        <v>6</v>
      </c>
      <c r="AI393" s="24">
        <v>4</v>
      </c>
      <c r="AJ393" s="24">
        <v>5</v>
      </c>
      <c r="AK393" s="24">
        <v>5</v>
      </c>
      <c r="AL393" s="27"/>
      <c r="AM393" s="37" t="s">
        <v>644</v>
      </c>
      <c r="AN393" s="24">
        <v>5</v>
      </c>
      <c r="AO393" s="24">
        <v>4</v>
      </c>
      <c r="AP393" s="24"/>
      <c r="AQ393" s="27"/>
      <c r="AR393" s="24"/>
      <c r="AS393" s="27"/>
      <c r="AT393" s="24"/>
      <c r="AU393">
        <f>E393 +F393</f>
        <v>23</v>
      </c>
    </row>
    <row r="394" spans="1:47" x14ac:dyDescent="0.25">
      <c r="A394" t="str">
        <f>B394 &amp; " - " &amp;D394</f>
        <v>SRFC - Doucouré</v>
      </c>
      <c r="B394" t="s">
        <v>913</v>
      </c>
      <c r="C394" s="64" t="s">
        <v>654</v>
      </c>
      <c r="D394" s="64" t="s">
        <v>899</v>
      </c>
      <c r="E394" s="52">
        <v>11</v>
      </c>
      <c r="F394" s="63">
        <v>5</v>
      </c>
      <c r="G394" s="145">
        <v>2</v>
      </c>
      <c r="H394" s="80">
        <f>AVERAGE(M394,N394,O394,Q394,R394,T394,U394,V394,Z394,AC394)</f>
        <v>5.4</v>
      </c>
      <c r="I394" s="149" t="s">
        <v>673</v>
      </c>
      <c r="J394" s="61"/>
      <c r="K394" s="62"/>
      <c r="L394" s="61"/>
      <c r="M394" s="53">
        <v>6</v>
      </c>
      <c r="N394" s="53">
        <v>5</v>
      </c>
      <c r="O394" s="53">
        <v>4</v>
      </c>
      <c r="P394" s="61" t="s">
        <v>644</v>
      </c>
      <c r="Q394" s="59">
        <v>6</v>
      </c>
      <c r="R394" s="53">
        <v>5</v>
      </c>
      <c r="S394" s="61" t="s">
        <v>644</v>
      </c>
      <c r="T394" s="53">
        <v>5</v>
      </c>
      <c r="U394" s="59">
        <v>7</v>
      </c>
      <c r="V394" s="53">
        <v>6</v>
      </c>
      <c r="W394" s="53"/>
      <c r="X394" s="61"/>
      <c r="Y394" s="53"/>
      <c r="Z394" s="61">
        <v>5</v>
      </c>
      <c r="AA394" s="61" t="s">
        <v>644</v>
      </c>
      <c r="AB394" s="61" t="s">
        <v>644</v>
      </c>
      <c r="AC394" s="53">
        <v>5</v>
      </c>
      <c r="AD394" s="61" t="s">
        <v>644</v>
      </c>
      <c r="AE394" s="53"/>
      <c r="AF394" s="53"/>
      <c r="AG394" s="53"/>
      <c r="AH394" s="63"/>
      <c r="AI394" s="59"/>
      <c r="AJ394" s="53"/>
      <c r="AK394" s="53"/>
      <c r="AL394" s="63"/>
      <c r="AM394" s="59"/>
      <c r="AN394" s="53"/>
      <c r="AO394" s="53"/>
      <c r="AP394" s="53"/>
      <c r="AQ394" s="63"/>
      <c r="AR394" s="53"/>
      <c r="AS394" s="63"/>
      <c r="AT394" s="53"/>
      <c r="AU394">
        <f>E394 +F394</f>
        <v>16</v>
      </c>
    </row>
    <row r="395" spans="1:47" x14ac:dyDescent="0.25">
      <c r="A395" t="str">
        <f>B395 &amp; " - " &amp;D395</f>
        <v>SRFC - Hunou</v>
      </c>
      <c r="B395" t="s">
        <v>913</v>
      </c>
      <c r="C395" s="64" t="s">
        <v>654</v>
      </c>
      <c r="D395" s="64" t="s">
        <v>900</v>
      </c>
      <c r="E395" s="52"/>
      <c r="F395" s="63"/>
      <c r="G395" s="145"/>
      <c r="H395" s="34"/>
      <c r="I395" s="58"/>
      <c r="J395" s="55"/>
      <c r="K395" s="55"/>
      <c r="L395" s="55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7"/>
      <c r="AI395" s="46"/>
      <c r="AJ395" s="46"/>
      <c r="AK395" s="46"/>
      <c r="AL395" s="47"/>
      <c r="AM395" s="46"/>
      <c r="AN395" s="46"/>
      <c r="AO395" s="46"/>
      <c r="AP395" s="46"/>
      <c r="AQ395" s="47"/>
      <c r="AR395" s="46"/>
      <c r="AS395" s="47"/>
      <c r="AT395" s="46"/>
      <c r="AU395">
        <f>E395 +F395</f>
        <v>0</v>
      </c>
    </row>
    <row r="396" spans="1:47" x14ac:dyDescent="0.25">
      <c r="A396" t="str">
        <f>B396 &amp; " - " &amp;D396</f>
        <v>SRFC - Grosicki</v>
      </c>
      <c r="B396" t="s">
        <v>913</v>
      </c>
      <c r="C396" s="30" t="s">
        <v>665</v>
      </c>
      <c r="D396" t="s">
        <v>606</v>
      </c>
      <c r="E396" s="31">
        <v>14</v>
      </c>
      <c r="F396" s="189">
        <v>19</v>
      </c>
      <c r="G396" s="73">
        <v>9</v>
      </c>
      <c r="H396" s="34">
        <f>AVERAGE(L396,P396,U396,W396,X396,Z396,AG396,AK396,AL396,AM396,AN396,AO396,AP396,AQ396,AT396)</f>
        <v>5</v>
      </c>
      <c r="I396" s="101" t="s">
        <v>644</v>
      </c>
      <c r="J396" s="77" t="s">
        <v>644</v>
      </c>
      <c r="K396" s="37" t="s">
        <v>644</v>
      </c>
      <c r="L396" s="37">
        <v>5</v>
      </c>
      <c r="M396" s="37" t="s">
        <v>644</v>
      </c>
      <c r="N396" s="37" t="s">
        <v>644</v>
      </c>
      <c r="O396" s="37" t="s">
        <v>644</v>
      </c>
      <c r="P396" s="37">
        <v>4</v>
      </c>
      <c r="Q396" s="76" t="s">
        <v>644</v>
      </c>
      <c r="R396" s="77" t="s">
        <v>644</v>
      </c>
      <c r="S396" s="77" t="s">
        <v>644</v>
      </c>
      <c r="T396" s="37" t="s">
        <v>644</v>
      </c>
      <c r="U396" s="161">
        <v>3</v>
      </c>
      <c r="V396" s="77" t="s">
        <v>644</v>
      </c>
      <c r="W396" s="25">
        <v>7</v>
      </c>
      <c r="X396" s="37">
        <v>4</v>
      </c>
      <c r="Y396" s="24"/>
      <c r="Z396" s="24">
        <v>6</v>
      </c>
      <c r="AA396" s="24"/>
      <c r="AB396" s="24"/>
      <c r="AC396" s="77" t="s">
        <v>644</v>
      </c>
      <c r="AD396" s="37" t="s">
        <v>644</v>
      </c>
      <c r="AE396" s="37" t="s">
        <v>644</v>
      </c>
      <c r="AF396" s="37" t="s">
        <v>644</v>
      </c>
      <c r="AG396" s="24">
        <v>4</v>
      </c>
      <c r="AH396" s="26" t="s">
        <v>644</v>
      </c>
      <c r="AI396" s="37" t="s">
        <v>644</v>
      </c>
      <c r="AJ396" s="77" t="s">
        <v>644</v>
      </c>
      <c r="AK396" s="75">
        <v>7</v>
      </c>
      <c r="AL396" s="26">
        <v>4</v>
      </c>
      <c r="AM396" s="84">
        <v>7</v>
      </c>
      <c r="AN396" s="75">
        <v>8</v>
      </c>
      <c r="AO396" s="37">
        <v>4</v>
      </c>
      <c r="AP396" s="82">
        <v>3</v>
      </c>
      <c r="AQ396" s="26">
        <v>5</v>
      </c>
      <c r="AR396" s="24"/>
      <c r="AS396" s="26"/>
      <c r="AT396" s="24">
        <v>4</v>
      </c>
      <c r="AU396">
        <f>E396 +F396</f>
        <v>33</v>
      </c>
    </row>
    <row r="397" spans="1:47" x14ac:dyDescent="0.25">
      <c r="A397" t="str">
        <f>B397 &amp; " - " &amp;D397</f>
        <v>SRFC - Prcic</v>
      </c>
      <c r="B397" t="s">
        <v>913</v>
      </c>
      <c r="C397" s="64" t="s">
        <v>654</v>
      </c>
      <c r="D397" s="64" t="s">
        <v>902</v>
      </c>
      <c r="E397" s="52"/>
      <c r="F397" s="63"/>
      <c r="G397" s="145"/>
      <c r="H397" s="34"/>
      <c r="I397" s="58"/>
      <c r="J397" s="209"/>
      <c r="K397" s="55"/>
      <c r="L397" s="55"/>
      <c r="M397" s="46"/>
      <c r="N397" s="46"/>
      <c r="O397" s="46"/>
      <c r="P397" s="46"/>
      <c r="Q397" s="55"/>
      <c r="R397" s="46"/>
      <c r="S397" s="55"/>
      <c r="T397" s="46"/>
      <c r="U397" s="55"/>
      <c r="V397" s="46"/>
      <c r="W397" s="46"/>
      <c r="X397" s="46"/>
      <c r="Y397" s="46"/>
      <c r="Z397" s="46"/>
      <c r="AA397" s="55"/>
      <c r="AB397" s="46"/>
      <c r="AC397" s="55"/>
      <c r="AD397" s="46"/>
      <c r="AE397" s="46"/>
      <c r="AF397" s="46"/>
      <c r="AG397" s="46"/>
      <c r="AH397" s="47"/>
      <c r="AI397" s="46"/>
      <c r="AJ397" s="55"/>
      <c r="AK397" s="55"/>
      <c r="AL397" s="47"/>
      <c r="AM397" s="46"/>
      <c r="AN397" s="46"/>
      <c r="AO397" s="55"/>
      <c r="AP397" s="59"/>
      <c r="AQ397" s="47"/>
      <c r="AR397" s="55"/>
      <c r="AS397" s="47"/>
      <c r="AT397" s="46"/>
      <c r="AU397">
        <f>E397 +F397</f>
        <v>0</v>
      </c>
    </row>
    <row r="398" spans="1:47" x14ac:dyDescent="0.25">
      <c r="A398" t="str">
        <f>B398 &amp; " - " &amp;D398</f>
        <v>SRFC - Brüls</v>
      </c>
      <c r="B398" t="s">
        <v>913</v>
      </c>
      <c r="C398" s="64" t="s">
        <v>654</v>
      </c>
      <c r="D398" s="64" t="s">
        <v>903</v>
      </c>
      <c r="E398" s="52"/>
      <c r="F398" s="63"/>
      <c r="G398" s="145"/>
      <c r="H398" s="34"/>
      <c r="I398" s="58"/>
      <c r="J398" s="55"/>
      <c r="K398" s="55"/>
      <c r="L398" s="55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55"/>
      <c r="X398" s="46"/>
      <c r="Y398" s="46"/>
      <c r="Z398" s="46"/>
      <c r="AA398" s="46"/>
      <c r="AB398" s="46"/>
      <c r="AC398" s="46"/>
      <c r="AD398" s="46"/>
      <c r="AE398" s="55"/>
      <c r="AF398" s="46"/>
      <c r="AG398" s="46"/>
      <c r="AH398" s="47"/>
      <c r="AI398" s="46"/>
      <c r="AJ398" s="46"/>
      <c r="AK398" s="46"/>
      <c r="AL398" s="47"/>
      <c r="AM398" s="46"/>
      <c r="AN398" s="46"/>
      <c r="AO398" s="46"/>
      <c r="AP398" s="46"/>
      <c r="AQ398" s="47"/>
      <c r="AR398" s="46"/>
      <c r="AS398" s="47"/>
      <c r="AT398" s="46"/>
      <c r="AU398">
        <f>E398 +F398</f>
        <v>0</v>
      </c>
    </row>
    <row r="399" spans="1:47" x14ac:dyDescent="0.25">
      <c r="A399" t="str">
        <f>B399 &amp; " - " &amp;D399</f>
        <v>OM - Nkoudou</v>
      </c>
      <c r="B399" t="s">
        <v>703</v>
      </c>
      <c r="C399" s="30" t="s">
        <v>654</v>
      </c>
      <c r="D399" s="38" t="s">
        <v>659</v>
      </c>
      <c r="E399" s="31">
        <v>22</v>
      </c>
      <c r="F399" s="99">
        <v>6</v>
      </c>
      <c r="G399" s="73">
        <v>5</v>
      </c>
      <c r="H399" s="34">
        <f>AVERAGE(N399,O399,S399,T399,U399,V399,W399,X399,Y399,Z399,AB399,AC399,AD399,AE399,AF399,AG399,AH399,AI399,AK399,AJ399,AL399,AM399,AN399)</f>
        <v>5</v>
      </c>
      <c r="I399" s="101" t="s">
        <v>644</v>
      </c>
      <c r="J399" s="26" t="s">
        <v>644</v>
      </c>
      <c r="K399" s="37"/>
      <c r="L399" s="37"/>
      <c r="M399" s="37"/>
      <c r="N399" s="24">
        <v>5</v>
      </c>
      <c r="O399" s="82">
        <v>3</v>
      </c>
      <c r="P399" s="37"/>
      <c r="Q399" s="24"/>
      <c r="R399" s="37" t="s">
        <v>644</v>
      </c>
      <c r="S399" s="24">
        <v>4</v>
      </c>
      <c r="T399" s="22">
        <v>6</v>
      </c>
      <c r="U399" s="24">
        <v>4</v>
      </c>
      <c r="V399" s="25">
        <v>8</v>
      </c>
      <c r="W399" s="25">
        <v>7</v>
      </c>
      <c r="X399" s="24">
        <v>5</v>
      </c>
      <c r="Y399" s="37">
        <v>6</v>
      </c>
      <c r="Z399" s="24">
        <v>5</v>
      </c>
      <c r="AA399" s="24"/>
      <c r="AB399" s="37">
        <v>4</v>
      </c>
      <c r="AC399" s="77">
        <v>6</v>
      </c>
      <c r="AD399" s="24">
        <v>4</v>
      </c>
      <c r="AE399" s="24">
        <v>5</v>
      </c>
      <c r="AF399" s="22">
        <v>6</v>
      </c>
      <c r="AG399" s="24">
        <v>5</v>
      </c>
      <c r="AH399" s="27">
        <v>4</v>
      </c>
      <c r="AI399" s="24">
        <v>4</v>
      </c>
      <c r="AJ399" s="24">
        <v>6</v>
      </c>
      <c r="AK399" s="24">
        <v>5</v>
      </c>
      <c r="AL399" s="26">
        <v>5</v>
      </c>
      <c r="AM399" s="24">
        <v>4</v>
      </c>
      <c r="AN399" s="24">
        <v>4</v>
      </c>
      <c r="AO399" s="37" t="s">
        <v>644</v>
      </c>
      <c r="AP399" s="37" t="s">
        <v>644</v>
      </c>
      <c r="AQ399" s="27"/>
      <c r="AR399" s="24"/>
      <c r="AS399" s="27"/>
      <c r="AT399" s="24"/>
      <c r="AU399">
        <f>E399 +F399</f>
        <v>28</v>
      </c>
    </row>
    <row r="400" spans="1:47" x14ac:dyDescent="0.25">
      <c r="A400" t="str">
        <f>B400 &amp; " - " &amp;D400</f>
        <v>SRFC - Quintero</v>
      </c>
      <c r="B400" t="s">
        <v>913</v>
      </c>
      <c r="C400" s="64" t="s">
        <v>654</v>
      </c>
      <c r="D400" s="64" t="s">
        <v>553</v>
      </c>
      <c r="E400" s="52">
        <v>9</v>
      </c>
      <c r="F400" s="63">
        <v>3</v>
      </c>
      <c r="G400" s="145">
        <v>1</v>
      </c>
      <c r="H400" s="34">
        <f>AVERAGE(S400,T400,W400,Y400,Z400,AA400,AB400,AD400,AE400,AF400)</f>
        <v>4.8</v>
      </c>
      <c r="I400" s="58"/>
      <c r="J400" s="55"/>
      <c r="K400" s="55"/>
      <c r="L400" s="55"/>
      <c r="M400" s="46"/>
      <c r="N400" s="46"/>
      <c r="O400" s="46"/>
      <c r="P400" s="46"/>
      <c r="Q400" s="46"/>
      <c r="R400" s="46" t="s">
        <v>644</v>
      </c>
      <c r="S400" s="46">
        <v>5</v>
      </c>
      <c r="T400" s="46">
        <v>4</v>
      </c>
      <c r="U400" s="46"/>
      <c r="V400" s="46"/>
      <c r="W400" s="55">
        <v>5</v>
      </c>
      <c r="X400" s="46" t="s">
        <v>644</v>
      </c>
      <c r="Y400" s="46">
        <v>5</v>
      </c>
      <c r="Z400" s="46">
        <v>7</v>
      </c>
      <c r="AA400" s="46">
        <v>5</v>
      </c>
      <c r="AB400" s="46">
        <v>5</v>
      </c>
      <c r="AC400" s="46"/>
      <c r="AD400" s="46">
        <v>4</v>
      </c>
      <c r="AE400" s="55">
        <v>4</v>
      </c>
      <c r="AF400" s="46">
        <v>4</v>
      </c>
      <c r="AG400" s="46"/>
      <c r="AH400" s="47"/>
      <c r="AI400" s="46"/>
      <c r="AJ400" s="46"/>
      <c r="AK400" s="46"/>
      <c r="AL400" s="47"/>
      <c r="AM400" s="46"/>
      <c r="AN400" s="46"/>
      <c r="AO400" s="46"/>
      <c r="AP400" s="46"/>
      <c r="AQ400" s="47"/>
      <c r="AR400" s="46"/>
      <c r="AS400" s="47"/>
      <c r="AT400" s="46"/>
      <c r="AU400">
        <f>E400 +F400</f>
        <v>12</v>
      </c>
    </row>
    <row r="401" spans="1:47" x14ac:dyDescent="0.25">
      <c r="A401" t="str">
        <f>B401 &amp; " - " &amp;D401</f>
        <v>SRFC - Henrique</v>
      </c>
      <c r="B401" t="s">
        <v>913</v>
      </c>
      <c r="C401" t="s">
        <v>654</v>
      </c>
      <c r="D401" s="123" t="s">
        <v>208</v>
      </c>
      <c r="E401" s="31">
        <v>15</v>
      </c>
      <c r="F401" s="99">
        <v>8</v>
      </c>
      <c r="G401" s="73">
        <v>3</v>
      </c>
      <c r="H401" s="34">
        <f>AVERAGE(J401,K401,L401,I401,O401,Q401,R401,U401,W401,Y401,AA401,AI401,AJ401,AL401,AR401,AS401)</f>
        <v>4.6875</v>
      </c>
      <c r="I401" s="87">
        <v>4</v>
      </c>
      <c r="J401" s="74">
        <v>5</v>
      </c>
      <c r="K401" s="186">
        <v>6</v>
      </c>
      <c r="L401" s="37">
        <v>4</v>
      </c>
      <c r="M401" s="24"/>
      <c r="N401" s="37" t="s">
        <v>644</v>
      </c>
      <c r="O401" s="37">
        <v>4</v>
      </c>
      <c r="P401" s="37" t="s">
        <v>644</v>
      </c>
      <c r="Q401" s="37">
        <v>5</v>
      </c>
      <c r="R401" s="24">
        <v>4</v>
      </c>
      <c r="S401" s="24"/>
      <c r="T401" s="76" t="s">
        <v>644</v>
      </c>
      <c r="U401" s="76">
        <v>6</v>
      </c>
      <c r="V401" s="24"/>
      <c r="W401" s="24">
        <v>4</v>
      </c>
      <c r="X401" s="37"/>
      <c r="Y401" s="75">
        <v>7</v>
      </c>
      <c r="Z401" s="37" t="s">
        <v>644</v>
      </c>
      <c r="AA401" s="37">
        <v>5</v>
      </c>
      <c r="AB401" s="37"/>
      <c r="AC401" s="24"/>
      <c r="AD401" s="24"/>
      <c r="AE401" s="24"/>
      <c r="AF401" s="24"/>
      <c r="AG401" s="24"/>
      <c r="AH401" s="27"/>
      <c r="AI401" s="24">
        <v>4</v>
      </c>
      <c r="AJ401" s="24">
        <v>5</v>
      </c>
      <c r="AK401" s="24"/>
      <c r="AL401" s="27">
        <v>4</v>
      </c>
      <c r="AM401" s="24"/>
      <c r="AN401" s="24"/>
      <c r="AO401" s="37" t="s">
        <v>644</v>
      </c>
      <c r="AP401" s="37"/>
      <c r="AQ401" s="26" t="s">
        <v>644</v>
      </c>
      <c r="AR401" s="37">
        <v>4</v>
      </c>
      <c r="AS401" s="26">
        <v>4</v>
      </c>
      <c r="AT401" s="77" t="s">
        <v>644</v>
      </c>
      <c r="AU401">
        <f>E401 +F401</f>
        <v>23</v>
      </c>
    </row>
    <row r="402" spans="1:47" x14ac:dyDescent="0.25">
      <c r="A402" t="str">
        <f>B402 &amp; " - " &amp;D402</f>
        <v>SRFC - Janvier</v>
      </c>
      <c r="B402" t="s">
        <v>913</v>
      </c>
      <c r="C402" t="s">
        <v>654</v>
      </c>
      <c r="D402" s="126" t="s">
        <v>905</v>
      </c>
      <c r="E402" s="31"/>
      <c r="F402" s="99">
        <v>3</v>
      </c>
      <c r="G402" s="73"/>
      <c r="H402" s="34"/>
      <c r="I402" s="87"/>
      <c r="J402" s="74"/>
      <c r="K402" s="186"/>
      <c r="L402" s="37"/>
      <c r="M402" s="24"/>
      <c r="N402" s="37"/>
      <c r="O402" s="37"/>
      <c r="P402" s="37"/>
      <c r="Q402" s="37"/>
      <c r="R402" s="24"/>
      <c r="S402" s="24"/>
      <c r="T402" s="76"/>
      <c r="U402" s="76"/>
      <c r="V402" s="24"/>
      <c r="W402" s="24"/>
      <c r="X402" s="37"/>
      <c r="Y402" s="24"/>
      <c r="Z402" s="37" t="s">
        <v>644</v>
      </c>
      <c r="AA402" s="37" t="s">
        <v>644</v>
      </c>
      <c r="AB402" s="37" t="s">
        <v>644</v>
      </c>
      <c r="AC402" s="24"/>
      <c r="AD402" s="24"/>
      <c r="AE402" s="24"/>
      <c r="AF402" s="24"/>
      <c r="AG402" s="24"/>
      <c r="AH402" s="27"/>
      <c r="AI402" s="24"/>
      <c r="AJ402" s="24"/>
      <c r="AK402" s="24"/>
      <c r="AL402" s="27"/>
      <c r="AM402" s="24"/>
      <c r="AN402" s="24"/>
      <c r="AO402" s="37"/>
      <c r="AP402" s="37"/>
      <c r="AQ402" s="27"/>
      <c r="AR402" s="37"/>
      <c r="AS402" s="27"/>
      <c r="AT402" s="37"/>
      <c r="AU402">
        <f>E402 +F402</f>
        <v>3</v>
      </c>
    </row>
    <row r="403" spans="1:47" x14ac:dyDescent="0.25">
      <c r="A403" t="str">
        <f>B403 &amp; " - " &amp;D403</f>
        <v>SRFC - Gourcuff</v>
      </c>
      <c r="B403" t="s">
        <v>913</v>
      </c>
      <c r="C403" t="s">
        <v>654</v>
      </c>
      <c r="D403" s="123" t="s">
        <v>1077</v>
      </c>
      <c r="E403" s="31">
        <v>8</v>
      </c>
      <c r="F403" s="99">
        <v>4</v>
      </c>
      <c r="G403" s="73">
        <v>2</v>
      </c>
      <c r="H403" s="34">
        <f>AVERAGE(AH403,AI403,AK403,AL403,AM403,AN403,AO403,AP403,AT403)</f>
        <v>5</v>
      </c>
      <c r="I403" s="87"/>
      <c r="J403" s="74"/>
      <c r="K403" s="186"/>
      <c r="L403" s="37"/>
      <c r="M403" s="24"/>
      <c r="N403" s="37"/>
      <c r="O403" s="37"/>
      <c r="P403" s="37"/>
      <c r="Q403" s="37"/>
      <c r="R403" s="24"/>
      <c r="S403" s="24"/>
      <c r="T403" s="76"/>
      <c r="U403" s="76"/>
      <c r="V403" s="24"/>
      <c r="W403" s="24"/>
      <c r="X403" s="37"/>
      <c r="Y403" s="24"/>
      <c r="Z403" s="37"/>
      <c r="AA403" s="37"/>
      <c r="AB403" s="37" t="s">
        <v>644</v>
      </c>
      <c r="AC403" s="24"/>
      <c r="AD403" s="24"/>
      <c r="AE403" s="24"/>
      <c r="AF403" s="24"/>
      <c r="AG403" s="24"/>
      <c r="AH403" s="26">
        <v>5</v>
      </c>
      <c r="AI403" s="24">
        <v>5</v>
      </c>
      <c r="AJ403" s="76" t="s">
        <v>644</v>
      </c>
      <c r="AK403" s="24">
        <v>5</v>
      </c>
      <c r="AL403" s="27">
        <v>4</v>
      </c>
      <c r="AM403" s="25">
        <v>8</v>
      </c>
      <c r="AN403" s="24">
        <v>6</v>
      </c>
      <c r="AO403" s="82">
        <v>3</v>
      </c>
      <c r="AP403" s="37">
        <v>5</v>
      </c>
      <c r="AQ403" s="27"/>
      <c r="AR403" s="37" t="s">
        <v>644</v>
      </c>
      <c r="AS403" s="27"/>
      <c r="AT403" s="37">
        <v>4</v>
      </c>
      <c r="AU403">
        <f>E403 +F403</f>
        <v>12</v>
      </c>
    </row>
    <row r="404" spans="1:47" x14ac:dyDescent="0.25">
      <c r="A404" t="str">
        <f>B404 &amp; " - " &amp;D404</f>
        <v>FCL - Z. Touré</v>
      </c>
      <c r="B404" t="s">
        <v>816</v>
      </c>
      <c r="C404" s="30" t="s">
        <v>641</v>
      </c>
      <c r="D404" s="38" t="s">
        <v>802</v>
      </c>
      <c r="E404" s="31">
        <v>29</v>
      </c>
      <c r="F404" s="99"/>
      <c r="G404" s="114">
        <v>4</v>
      </c>
      <c r="H404" s="34">
        <f>AVERAGE(Z404,N404,O404,Q404,R404,S404,T404,U404,V404,W404,X404,Y404,AA404,AB404,AC404,AD404,AE404,AF404,AG404,AH404,AI404,AJ404,AK404,AL404,AM404,AN404,AO404,AP404,AQ404)</f>
        <v>5</v>
      </c>
      <c r="I404" s="101"/>
      <c r="J404" s="37"/>
      <c r="K404" s="74"/>
      <c r="L404" s="74"/>
      <c r="M404" s="24"/>
      <c r="N404" s="24">
        <v>5</v>
      </c>
      <c r="O404" s="24">
        <v>6</v>
      </c>
      <c r="P404" s="37"/>
      <c r="Q404" s="25">
        <v>7</v>
      </c>
      <c r="R404" s="37">
        <v>5</v>
      </c>
      <c r="S404" s="24">
        <v>5</v>
      </c>
      <c r="T404" s="24">
        <v>4</v>
      </c>
      <c r="U404" s="24">
        <v>5</v>
      </c>
      <c r="V404" s="24">
        <v>5</v>
      </c>
      <c r="W404" s="24">
        <v>5</v>
      </c>
      <c r="X404" s="37">
        <v>6</v>
      </c>
      <c r="Y404" s="24">
        <v>5</v>
      </c>
      <c r="Z404" s="24">
        <v>5</v>
      </c>
      <c r="AA404" s="24">
        <v>5</v>
      </c>
      <c r="AB404" s="24">
        <v>5</v>
      </c>
      <c r="AC404" s="24">
        <v>4</v>
      </c>
      <c r="AD404" s="24">
        <v>5</v>
      </c>
      <c r="AE404" s="25">
        <v>8</v>
      </c>
      <c r="AF404" s="24">
        <v>4</v>
      </c>
      <c r="AG404" s="24">
        <v>5</v>
      </c>
      <c r="AH404" s="27">
        <v>4</v>
      </c>
      <c r="AI404" s="24">
        <v>4</v>
      </c>
      <c r="AJ404" s="24">
        <v>6</v>
      </c>
      <c r="AK404" s="37">
        <v>6</v>
      </c>
      <c r="AL404" s="27">
        <v>5</v>
      </c>
      <c r="AM404" s="82">
        <v>2</v>
      </c>
      <c r="AN404" s="82">
        <v>3</v>
      </c>
      <c r="AO404" s="24">
        <v>5</v>
      </c>
      <c r="AP404" s="22">
        <v>6</v>
      </c>
      <c r="AQ404" s="27" t="s">
        <v>673</v>
      </c>
      <c r="AR404" s="22"/>
      <c r="AS404" s="26"/>
      <c r="AT404" s="37"/>
      <c r="AU404">
        <f>E404 +F404</f>
        <v>29</v>
      </c>
    </row>
    <row r="405" spans="1:47" x14ac:dyDescent="0.25">
      <c r="A405" t="str">
        <f>B405 &amp; " - " &amp;D405</f>
        <v>SRFC - Salles-Lamonge</v>
      </c>
      <c r="B405" t="s">
        <v>913</v>
      </c>
      <c r="C405" t="s">
        <v>654</v>
      </c>
      <c r="D405" s="126" t="s">
        <v>1095</v>
      </c>
      <c r="E405" s="31">
        <v>1</v>
      </c>
      <c r="F405" s="99">
        <v>2</v>
      </c>
      <c r="G405" s="73"/>
      <c r="H405" s="34">
        <f>AVERAGE(AH405)</f>
        <v>5</v>
      </c>
      <c r="I405" s="87"/>
      <c r="J405" s="37"/>
      <c r="K405" s="37"/>
      <c r="L405" s="77"/>
      <c r="M405" s="22"/>
      <c r="N405" s="37"/>
      <c r="O405" s="37"/>
      <c r="P405" s="37"/>
      <c r="Q405" s="24"/>
      <c r="R405" s="24"/>
      <c r="S405" s="37"/>
      <c r="T405" s="37"/>
      <c r="U405" s="37"/>
      <c r="V405" s="37"/>
      <c r="W405" s="37"/>
      <c r="X405" s="37"/>
      <c r="Y405" s="24"/>
      <c r="Z405" s="24"/>
      <c r="AA405" s="37"/>
      <c r="AB405" s="37"/>
      <c r="AC405" s="37"/>
      <c r="AD405" s="37"/>
      <c r="AE405" s="37"/>
      <c r="AF405" s="24"/>
      <c r="AG405" s="37"/>
      <c r="AH405" s="27">
        <v>5</v>
      </c>
      <c r="AI405" s="37" t="s">
        <v>644</v>
      </c>
      <c r="AJ405" s="24"/>
      <c r="AK405" s="37"/>
      <c r="AL405" s="26"/>
      <c r="AM405" s="37"/>
      <c r="AN405" s="37"/>
      <c r="AO405" s="37"/>
      <c r="AP405" s="24"/>
      <c r="AQ405" s="26"/>
      <c r="AR405" s="24"/>
      <c r="AS405" s="26"/>
      <c r="AT405" s="37" t="s">
        <v>644</v>
      </c>
      <c r="AU405">
        <f>E405 +F405</f>
        <v>3</v>
      </c>
    </row>
    <row r="406" spans="1:47" x14ac:dyDescent="0.25">
      <c r="A406" t="str">
        <f>B406 &amp; " - " &amp;D406</f>
        <v>SRFC - Sylla</v>
      </c>
      <c r="B406" t="s">
        <v>913</v>
      </c>
      <c r="C406" s="156" t="s">
        <v>654</v>
      </c>
      <c r="D406" s="156" t="s">
        <v>508</v>
      </c>
      <c r="E406" s="211">
        <v>18</v>
      </c>
      <c r="F406" s="172">
        <v>2</v>
      </c>
      <c r="G406" s="103"/>
      <c r="H406" s="212">
        <f>AVERAGE(X406,J406,K406,L406,I406,M406,N406,O406,P406,R406,T406,V406,W406,AC406,AE406,AF406,AQ406,AR406,AS406)</f>
        <v>4.8947368421052628</v>
      </c>
      <c r="I406" s="87">
        <v>5</v>
      </c>
      <c r="J406" s="37">
        <v>5</v>
      </c>
      <c r="K406" s="37">
        <v>6</v>
      </c>
      <c r="L406" s="37">
        <v>5</v>
      </c>
      <c r="M406" s="24">
        <v>5</v>
      </c>
      <c r="N406" s="24">
        <v>4</v>
      </c>
      <c r="O406" s="24">
        <v>5</v>
      </c>
      <c r="P406" s="24">
        <v>5</v>
      </c>
      <c r="Q406" s="24"/>
      <c r="R406" s="24">
        <v>5</v>
      </c>
      <c r="S406" s="24"/>
      <c r="T406" s="24">
        <v>6</v>
      </c>
      <c r="U406" s="24"/>
      <c r="V406" s="37">
        <v>4</v>
      </c>
      <c r="W406" s="24">
        <v>5</v>
      </c>
      <c r="X406" s="24">
        <v>4</v>
      </c>
      <c r="Y406" s="37" t="s">
        <v>644</v>
      </c>
      <c r="Z406" s="24"/>
      <c r="AA406" s="24"/>
      <c r="AB406" s="24"/>
      <c r="AC406" s="24">
        <v>6</v>
      </c>
      <c r="AD406" s="24"/>
      <c r="AE406" s="24">
        <v>5</v>
      </c>
      <c r="AF406" s="24">
        <v>4</v>
      </c>
      <c r="AG406" s="24"/>
      <c r="AH406" s="27"/>
      <c r="AI406" s="24"/>
      <c r="AJ406" s="24"/>
      <c r="AK406" s="24"/>
      <c r="AL406" s="27"/>
      <c r="AM406" s="24"/>
      <c r="AN406" s="24"/>
      <c r="AO406" s="24"/>
      <c r="AP406" s="24"/>
      <c r="AQ406" s="27">
        <v>5</v>
      </c>
      <c r="AR406" s="82">
        <v>3</v>
      </c>
      <c r="AS406" s="27">
        <v>6</v>
      </c>
      <c r="AT406" s="24"/>
      <c r="AU406">
        <f>E406 +F406</f>
        <v>20</v>
      </c>
    </row>
    <row r="407" spans="1:47" x14ac:dyDescent="0.25">
      <c r="A407" t="str">
        <f>B407 &amp; " - " &amp;D407</f>
        <v>SRFC - Hosiner</v>
      </c>
      <c r="B407" t="s">
        <v>913</v>
      </c>
      <c r="C407" s="57" t="s">
        <v>665</v>
      </c>
      <c r="D407" s="57" t="s">
        <v>906</v>
      </c>
      <c r="E407" s="52"/>
      <c r="F407" s="63"/>
      <c r="G407" s="145"/>
      <c r="H407" s="208"/>
      <c r="I407" s="149"/>
      <c r="J407" s="61"/>
      <c r="K407" s="61"/>
      <c r="L407" s="61"/>
      <c r="M407" s="53"/>
      <c r="N407" s="53"/>
      <c r="O407" s="61"/>
      <c r="P407" s="53"/>
      <c r="Q407" s="53"/>
      <c r="R407" s="53"/>
      <c r="S407" s="61"/>
      <c r="T407" s="61"/>
      <c r="U407" s="61"/>
      <c r="V407" s="61"/>
      <c r="W407" s="53"/>
      <c r="X407" s="53"/>
      <c r="Y407" s="53"/>
      <c r="Z407" s="53"/>
      <c r="AA407" s="53"/>
      <c r="AB407" s="53"/>
      <c r="AC407" s="53"/>
      <c r="AD407" s="61"/>
      <c r="AE407" s="53"/>
      <c r="AF407" s="53"/>
      <c r="AG407" s="53"/>
      <c r="AH407" s="63"/>
      <c r="AI407" s="53"/>
      <c r="AJ407" s="53"/>
      <c r="AK407" s="53"/>
      <c r="AL407" s="63"/>
      <c r="AM407" s="53"/>
      <c r="AN407" s="53"/>
      <c r="AO407" s="53"/>
      <c r="AP407" s="53"/>
      <c r="AQ407" s="63"/>
      <c r="AR407" s="53"/>
      <c r="AS407" s="63"/>
      <c r="AT407" s="53"/>
      <c r="AU407">
        <f>E407 +F407</f>
        <v>0</v>
      </c>
    </row>
    <row r="408" spans="1:47" x14ac:dyDescent="0.25">
      <c r="A408" t="str">
        <f>B408 &amp; " - " &amp;D408</f>
        <v>SRFC - Habibou</v>
      </c>
      <c r="B408" t="s">
        <v>913</v>
      </c>
      <c r="C408" s="64" t="s">
        <v>665</v>
      </c>
      <c r="D408" s="64" t="s">
        <v>907</v>
      </c>
      <c r="E408" s="52"/>
      <c r="F408" s="63">
        <v>1</v>
      </c>
      <c r="G408" s="145"/>
      <c r="H408" s="34"/>
      <c r="I408" s="149"/>
      <c r="J408" s="55"/>
      <c r="K408" s="55"/>
      <c r="L408" s="55"/>
      <c r="M408" s="55"/>
      <c r="N408" s="46"/>
      <c r="O408" s="46"/>
      <c r="P408" s="46"/>
      <c r="Q408" s="61" t="s">
        <v>644</v>
      </c>
      <c r="R408" s="46"/>
      <c r="S408" s="46"/>
      <c r="T408" s="46"/>
      <c r="U408" s="55"/>
      <c r="V408" s="46"/>
      <c r="W408" s="46"/>
      <c r="X408" s="46"/>
      <c r="Y408" s="46"/>
      <c r="Z408" s="46"/>
      <c r="AA408" s="46"/>
      <c r="AB408" s="55"/>
      <c r="AC408" s="46"/>
      <c r="AD408" s="46"/>
      <c r="AE408" s="46"/>
      <c r="AF408" s="55"/>
      <c r="AG408" s="46"/>
      <c r="AH408" s="47"/>
      <c r="AI408" s="55"/>
      <c r="AJ408" s="46"/>
      <c r="AK408" s="46"/>
      <c r="AL408" s="47"/>
      <c r="AM408" s="46"/>
      <c r="AN408" s="46"/>
      <c r="AO408" s="46"/>
      <c r="AP408" s="46"/>
      <c r="AQ408" s="47"/>
      <c r="AR408" s="46"/>
      <c r="AS408" s="47"/>
      <c r="AT408" s="46"/>
      <c r="AU408">
        <f>E408 +F408</f>
        <v>1</v>
      </c>
    </row>
    <row r="409" spans="1:47" x14ac:dyDescent="0.25">
      <c r="A409" t="str">
        <f>B409 &amp; " - " &amp;D409</f>
        <v>SRFC - Ntep</v>
      </c>
      <c r="B409" t="s">
        <v>913</v>
      </c>
      <c r="C409" t="s">
        <v>665</v>
      </c>
      <c r="D409" t="s">
        <v>908</v>
      </c>
      <c r="E409" s="31">
        <v>11</v>
      </c>
      <c r="F409" s="99">
        <v>3</v>
      </c>
      <c r="G409" s="73">
        <v>2</v>
      </c>
      <c r="H409" s="34">
        <f>AVERAGE(M409,N409,P409,Q409,V409,AD409,AE409,AF409,AG409,AH409,AI409,AJ409)</f>
        <v>5.166666666666667</v>
      </c>
      <c r="I409" s="87"/>
      <c r="J409" s="77"/>
      <c r="K409" s="37"/>
      <c r="L409" s="37" t="s">
        <v>644</v>
      </c>
      <c r="M409" s="75">
        <v>7</v>
      </c>
      <c r="N409" s="22">
        <v>6</v>
      </c>
      <c r="O409" s="24"/>
      <c r="P409" s="66">
        <v>7</v>
      </c>
      <c r="Q409" s="23">
        <v>5</v>
      </c>
      <c r="R409" s="37"/>
      <c r="S409" s="24"/>
      <c r="T409" s="24"/>
      <c r="U409" s="24"/>
      <c r="V409" s="23">
        <v>6</v>
      </c>
      <c r="W409" s="24"/>
      <c r="X409" s="22"/>
      <c r="Y409" s="24"/>
      <c r="Z409" s="24"/>
      <c r="AA409" s="24"/>
      <c r="AB409" s="22"/>
      <c r="AC409" s="37" t="s">
        <v>644</v>
      </c>
      <c r="AD409" s="24">
        <v>6</v>
      </c>
      <c r="AE409" s="24">
        <v>4</v>
      </c>
      <c r="AF409" s="37">
        <v>4</v>
      </c>
      <c r="AG409" s="24">
        <v>4</v>
      </c>
      <c r="AH409" s="142">
        <v>5</v>
      </c>
      <c r="AI409" s="24">
        <v>4</v>
      </c>
      <c r="AJ409" s="76">
        <v>4</v>
      </c>
      <c r="AK409" s="24"/>
      <c r="AL409" s="27"/>
      <c r="AM409" s="24"/>
      <c r="AN409" s="24"/>
      <c r="AO409" s="24"/>
      <c r="AP409" s="37"/>
      <c r="AQ409" s="27"/>
      <c r="AR409" s="24"/>
      <c r="AS409" s="27"/>
      <c r="AT409" s="24"/>
      <c r="AU409">
        <f>E409 +F409</f>
        <v>14</v>
      </c>
    </row>
    <row r="410" spans="1:47" x14ac:dyDescent="0.25">
      <c r="A410" t="str">
        <f>B410 &amp; " - " &amp;D410</f>
        <v>ASSE - Hamouma</v>
      </c>
      <c r="B410" t="s">
        <v>746</v>
      </c>
      <c r="C410" s="30" t="s">
        <v>654</v>
      </c>
      <c r="D410" s="60" t="s">
        <v>151</v>
      </c>
      <c r="E410" s="31">
        <v>17</v>
      </c>
      <c r="F410" s="99">
        <v>7</v>
      </c>
      <c r="G410" s="73">
        <v>3</v>
      </c>
      <c r="H410" s="34">
        <f>AVERAGE(Y410,J410,K410,L410,I410,M410,N410,O410,P410,R410,S410,U410,V410,W410,Z410,AA410,AB410,AQ410)</f>
        <v>5</v>
      </c>
      <c r="I410" s="38">
        <v>5</v>
      </c>
      <c r="J410" s="77">
        <v>6</v>
      </c>
      <c r="K410" s="75">
        <v>7</v>
      </c>
      <c r="L410" s="24">
        <v>4</v>
      </c>
      <c r="M410" s="24">
        <v>4</v>
      </c>
      <c r="N410" s="24">
        <v>5</v>
      </c>
      <c r="O410" s="24">
        <v>5</v>
      </c>
      <c r="P410" s="24">
        <v>5</v>
      </c>
      <c r="Q410" s="37" t="s">
        <v>644</v>
      </c>
      <c r="R410" s="24">
        <v>5</v>
      </c>
      <c r="S410" s="24">
        <v>4</v>
      </c>
      <c r="T410" s="24"/>
      <c r="U410" s="24">
        <v>4</v>
      </c>
      <c r="V410" s="24">
        <v>4</v>
      </c>
      <c r="W410" s="25">
        <v>7</v>
      </c>
      <c r="X410" s="37" t="s">
        <v>644</v>
      </c>
      <c r="Y410" s="24">
        <v>5</v>
      </c>
      <c r="Z410" s="24">
        <v>5</v>
      </c>
      <c r="AA410" s="23">
        <v>5</v>
      </c>
      <c r="AB410" s="23">
        <v>4</v>
      </c>
      <c r="AC410" s="24"/>
      <c r="AD410" s="24"/>
      <c r="AE410" s="24"/>
      <c r="AF410" s="24"/>
      <c r="AG410" s="37"/>
      <c r="AH410" s="27"/>
      <c r="AI410" s="37" t="s">
        <v>644</v>
      </c>
      <c r="AJ410" s="24"/>
      <c r="AK410" s="24"/>
      <c r="AL410" s="27"/>
      <c r="AM410" s="24"/>
      <c r="AN410" s="24"/>
      <c r="AO410" s="22"/>
      <c r="AP410" s="24"/>
      <c r="AQ410" s="26">
        <v>6</v>
      </c>
      <c r="AR410" s="37" t="s">
        <v>644</v>
      </c>
      <c r="AS410" s="26" t="s">
        <v>644</v>
      </c>
      <c r="AT410" s="37" t="s">
        <v>644</v>
      </c>
      <c r="AU410">
        <f>E410 +F410</f>
        <v>24</v>
      </c>
    </row>
    <row r="411" spans="1:47" x14ac:dyDescent="0.25">
      <c r="A411" t="str">
        <f>B411 &amp; " - " &amp;D411</f>
        <v>SRFC - Boga</v>
      </c>
      <c r="B411" t="s">
        <v>913</v>
      </c>
      <c r="C411" s="30" t="s">
        <v>654</v>
      </c>
      <c r="D411" s="126" t="s">
        <v>910</v>
      </c>
      <c r="E411" s="31">
        <v>6</v>
      </c>
      <c r="F411" s="99">
        <v>21</v>
      </c>
      <c r="G411" s="73">
        <v>2</v>
      </c>
      <c r="H411" s="34">
        <f>AVERAGE(W411,X411,AB411,AC411,AF411,AL411,AO411,AP411,AS411)</f>
        <v>5</v>
      </c>
      <c r="I411" s="87"/>
      <c r="J411" s="37"/>
      <c r="K411" s="37"/>
      <c r="L411" s="77"/>
      <c r="M411" s="22"/>
      <c r="N411" s="37" t="s">
        <v>644</v>
      </c>
      <c r="O411" s="37" t="s">
        <v>644</v>
      </c>
      <c r="P411" s="37" t="s">
        <v>644</v>
      </c>
      <c r="Q411" s="24"/>
      <c r="R411" s="24"/>
      <c r="S411" s="37" t="s">
        <v>644</v>
      </c>
      <c r="T411" s="37" t="s">
        <v>644</v>
      </c>
      <c r="U411" s="37" t="s">
        <v>644</v>
      </c>
      <c r="V411" s="37" t="s">
        <v>644</v>
      </c>
      <c r="W411" s="25">
        <v>7</v>
      </c>
      <c r="X411" s="24">
        <v>4</v>
      </c>
      <c r="Y411" s="37" t="s">
        <v>644</v>
      </c>
      <c r="Z411" s="37" t="s">
        <v>644</v>
      </c>
      <c r="AA411" s="24"/>
      <c r="AB411" s="25">
        <v>7</v>
      </c>
      <c r="AC411" s="24">
        <v>6</v>
      </c>
      <c r="AD411" s="37" t="s">
        <v>644</v>
      </c>
      <c r="AE411" s="37" t="s">
        <v>644</v>
      </c>
      <c r="AF411" s="24">
        <v>4</v>
      </c>
      <c r="AG411" s="37" t="s">
        <v>644</v>
      </c>
      <c r="AH411" s="27"/>
      <c r="AI411" s="37" t="s">
        <v>644</v>
      </c>
      <c r="AJ411" s="24"/>
      <c r="AK411" s="37" t="s">
        <v>644</v>
      </c>
      <c r="AL411" s="139">
        <v>5</v>
      </c>
      <c r="AM411" s="37" t="s">
        <v>644</v>
      </c>
      <c r="AN411" s="37" t="s">
        <v>644</v>
      </c>
      <c r="AO411" s="37">
        <v>4</v>
      </c>
      <c r="AP411" s="82">
        <v>3</v>
      </c>
      <c r="AQ411" s="26" t="s">
        <v>644</v>
      </c>
      <c r="AR411" s="37" t="s">
        <v>644</v>
      </c>
      <c r="AS411" s="26">
        <v>5</v>
      </c>
      <c r="AT411" s="24"/>
      <c r="AU411">
        <f>E411 +F411</f>
        <v>27</v>
      </c>
    </row>
    <row r="412" spans="1:47" x14ac:dyDescent="0.25">
      <c r="A412" t="str">
        <f>B412 &amp; " - " &amp;D412</f>
        <v>SRFC - Erasmus</v>
      </c>
      <c r="B412" t="s">
        <v>913</v>
      </c>
      <c r="C412" t="s">
        <v>665</v>
      </c>
      <c r="D412" s="126" t="s">
        <v>1120</v>
      </c>
      <c r="E412" s="31"/>
      <c r="F412" s="99">
        <v>2</v>
      </c>
      <c r="G412" s="73"/>
      <c r="H412" s="34"/>
      <c r="I412" s="87"/>
      <c r="J412" s="37"/>
      <c r="K412" s="37"/>
      <c r="L412" s="77"/>
      <c r="M412" s="22"/>
      <c r="N412" s="24"/>
      <c r="O412" s="22"/>
      <c r="P412" s="37"/>
      <c r="Q412" s="24"/>
      <c r="R412" s="24"/>
      <c r="S412" s="37"/>
      <c r="T412" s="37"/>
      <c r="U412" s="77"/>
      <c r="V412" s="22"/>
      <c r="W412" s="24"/>
      <c r="X412" s="22"/>
      <c r="Y412" s="37"/>
      <c r="Z412" s="24"/>
      <c r="AA412" s="24"/>
      <c r="AB412" s="37"/>
      <c r="AC412" s="37"/>
      <c r="AD412" s="77"/>
      <c r="AE412" s="22"/>
      <c r="AF412" s="24"/>
      <c r="AG412" s="22"/>
      <c r="AH412" s="37"/>
      <c r="AI412" s="24"/>
      <c r="AJ412" s="24"/>
      <c r="AK412" s="37"/>
      <c r="AL412" s="26" t="s">
        <v>644</v>
      </c>
      <c r="AM412" s="37"/>
      <c r="AN412" s="37"/>
      <c r="AO412" s="37"/>
      <c r="AP412" s="24"/>
      <c r="AQ412" s="26"/>
      <c r="AR412" s="24"/>
      <c r="AS412" s="26"/>
      <c r="AT412" s="37" t="s">
        <v>644</v>
      </c>
      <c r="AU412">
        <f>E412 +F412</f>
        <v>2</v>
      </c>
    </row>
    <row r="413" spans="1:47" x14ac:dyDescent="0.25">
      <c r="A413" t="str">
        <f>B413 &amp; " - " &amp;D413</f>
        <v>SR - Traoré</v>
      </c>
      <c r="B413" t="s">
        <v>933</v>
      </c>
      <c r="C413" s="30" t="s">
        <v>641</v>
      </c>
      <c r="D413" s="176" t="s">
        <v>788</v>
      </c>
      <c r="E413" s="31">
        <v>32</v>
      </c>
      <c r="F413" s="99">
        <v>1</v>
      </c>
      <c r="G413" s="114">
        <v>2</v>
      </c>
      <c r="H413" s="34">
        <f>AVERAGE(Z413,X413,W413,J413,K413,I413,M413,N413,O413,P413,Q413,S413,T413,U413,V413,AA413,AB413,AC413,AD413,AE413,AF413,AG413,AH413,AJ413,AK413,AL413,AM413,AN413,AO413,AQ413,AR413,AT413)</f>
        <v>5</v>
      </c>
      <c r="I413" s="48">
        <v>6</v>
      </c>
      <c r="J413" s="75">
        <v>7</v>
      </c>
      <c r="K413" s="37">
        <v>5</v>
      </c>
      <c r="L413" s="37"/>
      <c r="M413" s="37">
        <v>5</v>
      </c>
      <c r="N413" s="24">
        <v>5</v>
      </c>
      <c r="O413" s="24">
        <v>5</v>
      </c>
      <c r="P413" s="37">
        <v>6</v>
      </c>
      <c r="Q413" s="24">
        <v>5</v>
      </c>
      <c r="R413" s="24"/>
      <c r="S413" s="24">
        <v>5</v>
      </c>
      <c r="T413" s="24">
        <v>5</v>
      </c>
      <c r="U413" s="24">
        <v>5</v>
      </c>
      <c r="V413" s="24">
        <v>5</v>
      </c>
      <c r="W413" s="24">
        <v>5</v>
      </c>
      <c r="X413" s="24">
        <v>4</v>
      </c>
      <c r="Y413" s="24"/>
      <c r="Z413" s="37">
        <v>5</v>
      </c>
      <c r="AA413" s="24">
        <v>5</v>
      </c>
      <c r="AB413" s="24">
        <v>5</v>
      </c>
      <c r="AC413" s="24">
        <v>5</v>
      </c>
      <c r="AD413" s="24">
        <v>5</v>
      </c>
      <c r="AE413" s="24">
        <v>4</v>
      </c>
      <c r="AF413" s="25">
        <v>7</v>
      </c>
      <c r="AG413" s="24">
        <v>6</v>
      </c>
      <c r="AH413" s="27">
        <v>4</v>
      </c>
      <c r="AI413" s="24"/>
      <c r="AJ413" s="24">
        <v>5</v>
      </c>
      <c r="AK413" s="37">
        <v>4</v>
      </c>
      <c r="AL413" s="27">
        <v>5</v>
      </c>
      <c r="AM413" s="24">
        <v>5</v>
      </c>
      <c r="AN413" s="24">
        <v>4</v>
      </c>
      <c r="AO413" s="24">
        <v>4</v>
      </c>
      <c r="AP413" s="76" t="s">
        <v>644</v>
      </c>
      <c r="AQ413" s="27">
        <v>5</v>
      </c>
      <c r="AR413" s="82">
        <v>3</v>
      </c>
      <c r="AS413" s="27"/>
      <c r="AT413" s="24">
        <v>6</v>
      </c>
      <c r="AU413">
        <f>E413 +F413</f>
        <v>33</v>
      </c>
    </row>
    <row r="414" spans="1:47" x14ac:dyDescent="0.25">
      <c r="A414" t="str">
        <f>B414 &amp; " - " &amp;D414</f>
        <v>SRFC - Saïd</v>
      </c>
      <c r="B414" t="s">
        <v>913</v>
      </c>
      <c r="C414" s="64" t="s">
        <v>665</v>
      </c>
      <c r="D414" s="64" t="s">
        <v>911</v>
      </c>
      <c r="E414" s="52"/>
      <c r="F414" s="63">
        <v>1</v>
      </c>
      <c r="G414" s="145"/>
      <c r="H414" s="34"/>
      <c r="I414" s="58"/>
      <c r="J414" s="55" t="s">
        <v>644</v>
      </c>
      <c r="K414" s="55"/>
      <c r="L414" s="55"/>
      <c r="M414" s="46"/>
      <c r="N414" s="46"/>
      <c r="O414" s="46"/>
      <c r="P414" s="55"/>
      <c r="Q414" s="46"/>
      <c r="R414" s="46"/>
      <c r="S414" s="55"/>
      <c r="T414" s="55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7"/>
      <c r="AI414" s="46"/>
      <c r="AJ414" s="46"/>
      <c r="AK414" s="55"/>
      <c r="AL414" s="56"/>
      <c r="AM414" s="55"/>
      <c r="AN414" s="55"/>
      <c r="AO414" s="55"/>
      <c r="AP414" s="46"/>
      <c r="AQ414" s="56"/>
      <c r="AR414" s="46"/>
      <c r="AS414" s="56"/>
      <c r="AT414" s="46"/>
      <c r="AU414">
        <f>E414 +F414</f>
        <v>1</v>
      </c>
    </row>
    <row r="415" spans="1:47" ht="15.75" thickBot="1" x14ac:dyDescent="0.3">
      <c r="A415" t="str">
        <f>B415 &amp; " - " &amp;D415</f>
        <v>SRFC - Toivonen</v>
      </c>
      <c r="B415" t="s">
        <v>913</v>
      </c>
      <c r="C415" s="213" t="s">
        <v>665</v>
      </c>
      <c r="D415" s="213" t="s">
        <v>912</v>
      </c>
      <c r="E415" s="214"/>
      <c r="F415" s="215">
        <v>1</v>
      </c>
      <c r="G415" s="216"/>
      <c r="H415" s="120"/>
      <c r="I415" s="58" t="s">
        <v>644</v>
      </c>
      <c r="J415" s="59"/>
      <c r="K415" s="182"/>
      <c r="L415" s="59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59"/>
      <c r="X415" s="46"/>
      <c r="Y415" s="46"/>
      <c r="Z415" s="46"/>
      <c r="AA415" s="46"/>
      <c r="AB415" s="46"/>
      <c r="AC415" s="46"/>
      <c r="AD415" s="46"/>
      <c r="AE415" s="55"/>
      <c r="AF415" s="59"/>
      <c r="AG415" s="81"/>
      <c r="AH415" s="47"/>
      <c r="AI415" s="46"/>
      <c r="AJ415" s="46"/>
      <c r="AK415" s="46"/>
      <c r="AL415" s="47"/>
      <c r="AM415" s="46"/>
      <c r="AN415" s="59"/>
      <c r="AO415" s="46"/>
      <c r="AP415" s="46"/>
      <c r="AQ415" s="47"/>
      <c r="AR415" s="46"/>
      <c r="AS415" s="47"/>
      <c r="AT415" s="46"/>
      <c r="AU415">
        <f>E415 +F415</f>
        <v>1</v>
      </c>
    </row>
    <row r="416" spans="1:47" x14ac:dyDescent="0.25">
      <c r="A416" t="str">
        <f>B416 &amp; " - " &amp;D416</f>
        <v>SR - Agassa</v>
      </c>
      <c r="B416" t="s">
        <v>933</v>
      </c>
      <c r="C416" s="16" t="s">
        <v>638</v>
      </c>
      <c r="D416" s="17" t="s">
        <v>914</v>
      </c>
      <c r="E416" s="18">
        <v>11</v>
      </c>
      <c r="F416" s="95"/>
      <c r="G416" s="158"/>
      <c r="H416" s="20">
        <f>AVERAGE(J416,K416,I416,M416,U416,V416,W416,X416,Y416,AS416)</f>
        <v>4.9000000000000004</v>
      </c>
      <c r="I416" s="48">
        <v>5</v>
      </c>
      <c r="J416" s="217">
        <v>7</v>
      </c>
      <c r="K416" s="37">
        <v>6</v>
      </c>
      <c r="L416" s="24"/>
      <c r="M416" s="24">
        <v>4</v>
      </c>
      <c r="N416" s="24" t="s">
        <v>673</v>
      </c>
      <c r="O416" s="24"/>
      <c r="P416" s="24"/>
      <c r="Q416" s="22"/>
      <c r="R416" s="24"/>
      <c r="S416" s="24"/>
      <c r="T416" s="24"/>
      <c r="U416" s="24">
        <v>4</v>
      </c>
      <c r="V416" s="24">
        <v>4</v>
      </c>
      <c r="W416" s="24">
        <v>5</v>
      </c>
      <c r="X416" s="24">
        <v>4</v>
      </c>
      <c r="Y416" s="24">
        <v>5</v>
      </c>
      <c r="Z416" s="24"/>
      <c r="AA416" s="24"/>
      <c r="AB416" s="24"/>
      <c r="AC416" s="24"/>
      <c r="AD416" s="24"/>
      <c r="AE416" s="24"/>
      <c r="AF416" s="24"/>
      <c r="AG416" s="24"/>
      <c r="AH416" s="22"/>
      <c r="AI416" s="27"/>
      <c r="AJ416" s="24"/>
      <c r="AK416" s="37"/>
      <c r="AL416" s="24"/>
      <c r="AM416" s="24"/>
      <c r="AN416" s="24"/>
      <c r="AO416" s="24"/>
      <c r="AP416" s="24"/>
      <c r="AQ416" s="22"/>
      <c r="AR416" s="24"/>
      <c r="AS416" s="23">
        <v>5</v>
      </c>
      <c r="AT416" s="24"/>
      <c r="AU416">
        <f>E416 +F416</f>
        <v>11</v>
      </c>
    </row>
    <row r="417" spans="1:47" x14ac:dyDescent="0.25">
      <c r="A417" t="str">
        <f>B417 &amp; " - " &amp;D417</f>
        <v>SR - Carrasso</v>
      </c>
      <c r="B417" t="s">
        <v>933</v>
      </c>
      <c r="C417" s="29" t="s">
        <v>638</v>
      </c>
      <c r="D417" s="60" t="s">
        <v>772</v>
      </c>
      <c r="E417" s="31">
        <v>10</v>
      </c>
      <c r="F417" s="99"/>
      <c r="G417" s="73"/>
      <c r="H417" s="34">
        <f>AVERAGE(AI417,AJ417,AK417,AL417,AM417,AN417,AO417,AP417,AQ417,AR417)</f>
        <v>5</v>
      </c>
      <c r="I417" s="48"/>
      <c r="J417" s="36"/>
      <c r="K417" s="37"/>
      <c r="L417" s="24"/>
      <c r="M417" s="24"/>
      <c r="N417" s="24"/>
      <c r="O417" s="24"/>
      <c r="P417" s="37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7">
        <v>4</v>
      </c>
      <c r="AJ417" s="24">
        <v>5</v>
      </c>
      <c r="AK417" s="37">
        <v>5</v>
      </c>
      <c r="AL417" s="24">
        <v>5</v>
      </c>
      <c r="AM417" s="24">
        <v>5</v>
      </c>
      <c r="AN417" s="24">
        <v>4</v>
      </c>
      <c r="AO417" s="24">
        <v>6</v>
      </c>
      <c r="AP417" s="24">
        <v>6</v>
      </c>
      <c r="AQ417" s="24">
        <v>6</v>
      </c>
      <c r="AR417" s="24">
        <v>4</v>
      </c>
      <c r="AS417" s="24"/>
      <c r="AT417" s="24"/>
      <c r="AU417">
        <f>E417 +F417</f>
        <v>10</v>
      </c>
    </row>
    <row r="418" spans="1:47" x14ac:dyDescent="0.25">
      <c r="A418" t="str">
        <f>B418 &amp; " - " &amp;D418</f>
        <v>SR - Placide</v>
      </c>
      <c r="B418" t="s">
        <v>933</v>
      </c>
      <c r="C418" s="67" t="s">
        <v>638</v>
      </c>
      <c r="D418" s="68" t="s">
        <v>595</v>
      </c>
      <c r="E418" s="69">
        <v>17</v>
      </c>
      <c r="F418" s="115">
        <v>2</v>
      </c>
      <c r="G418" s="122"/>
      <c r="H418" s="72">
        <f>AVERAGE(L418,N418,O418,P418,Q418,R418,S418,T418,Z418,AA418,AB418,AC418,AD418,AE418,AF418,AG418,AH418,AT418)</f>
        <v>5.0555555555555554</v>
      </c>
      <c r="I418" s="48"/>
      <c r="J418" s="37"/>
      <c r="K418" s="37" t="s">
        <v>644</v>
      </c>
      <c r="L418" s="74">
        <v>6</v>
      </c>
      <c r="M418" s="143"/>
      <c r="N418" s="23">
        <v>5</v>
      </c>
      <c r="O418" s="22">
        <v>5</v>
      </c>
      <c r="P418" s="22">
        <v>6</v>
      </c>
      <c r="Q418" s="24">
        <v>6</v>
      </c>
      <c r="R418" s="23">
        <v>5</v>
      </c>
      <c r="S418" s="23">
        <v>5</v>
      </c>
      <c r="T418" s="24">
        <v>5</v>
      </c>
      <c r="U418" s="22"/>
      <c r="V418" s="22"/>
      <c r="W418" s="22"/>
      <c r="X418" s="24"/>
      <c r="Y418" s="24"/>
      <c r="Z418" s="24">
        <v>5</v>
      </c>
      <c r="AA418" s="24">
        <v>4</v>
      </c>
      <c r="AB418" s="82">
        <v>2</v>
      </c>
      <c r="AC418" s="24">
        <v>5</v>
      </c>
      <c r="AD418" s="23">
        <v>5</v>
      </c>
      <c r="AE418" s="24">
        <v>5</v>
      </c>
      <c r="AF418" s="24">
        <v>6</v>
      </c>
      <c r="AG418" s="25">
        <v>7</v>
      </c>
      <c r="AH418" s="24">
        <v>4</v>
      </c>
      <c r="AI418" s="27"/>
      <c r="AJ418" s="24"/>
      <c r="AK418" s="37"/>
      <c r="AL418" s="24"/>
      <c r="AM418" s="24"/>
      <c r="AN418" s="24"/>
      <c r="AO418" s="24"/>
      <c r="AP418" s="24"/>
      <c r="AQ418" s="24"/>
      <c r="AR418" s="24"/>
      <c r="AS418" s="24"/>
      <c r="AT418" s="24">
        <v>5</v>
      </c>
      <c r="AU418">
        <f>E418 +F418</f>
        <v>19</v>
      </c>
    </row>
    <row r="419" spans="1:47" x14ac:dyDescent="0.25">
      <c r="A419" t="str">
        <f>B419 &amp; " - " &amp;D419</f>
        <v>SR - Fofana</v>
      </c>
      <c r="B419" t="s">
        <v>933</v>
      </c>
      <c r="C419" s="29" t="s">
        <v>641</v>
      </c>
      <c r="D419" s="30" t="s">
        <v>814</v>
      </c>
      <c r="E419" s="31">
        <v>12</v>
      </c>
      <c r="F419" s="99">
        <v>1</v>
      </c>
      <c r="G419" s="73"/>
      <c r="H419" s="34">
        <f>AVERAGE(O419,Q419,X419,Y419,Z419,AA419,AB419,AC419,AE419,AF419,AS419,AT419)</f>
        <v>4.666666666666667</v>
      </c>
      <c r="I419" s="48"/>
      <c r="J419" s="79"/>
      <c r="K419" s="37"/>
      <c r="L419" s="37"/>
      <c r="M419" s="24"/>
      <c r="N419" s="24"/>
      <c r="O419" s="24">
        <v>5</v>
      </c>
      <c r="P419" s="24"/>
      <c r="Q419" s="24">
        <v>5</v>
      </c>
      <c r="R419" s="24" t="s">
        <v>673</v>
      </c>
      <c r="S419" s="24"/>
      <c r="T419" s="24"/>
      <c r="U419" s="24"/>
      <c r="V419" s="24"/>
      <c r="W419" s="24"/>
      <c r="X419" s="37">
        <v>4</v>
      </c>
      <c r="Y419" s="24">
        <v>5</v>
      </c>
      <c r="Z419" s="24">
        <v>5</v>
      </c>
      <c r="AA419" s="24">
        <v>4</v>
      </c>
      <c r="AB419" s="24">
        <v>4</v>
      </c>
      <c r="AC419" s="24">
        <v>4</v>
      </c>
      <c r="AD419" s="24"/>
      <c r="AE419" s="24">
        <v>4</v>
      </c>
      <c r="AF419" s="24">
        <v>5</v>
      </c>
      <c r="AG419" s="24"/>
      <c r="AH419" s="24"/>
      <c r="AI419" s="27"/>
      <c r="AJ419" s="24"/>
      <c r="AK419" s="37"/>
      <c r="AL419" s="24"/>
      <c r="AM419" s="24"/>
      <c r="AN419" s="24"/>
      <c r="AO419" s="24"/>
      <c r="AP419" s="24"/>
      <c r="AQ419" s="24"/>
      <c r="AR419" s="24"/>
      <c r="AS419" s="24">
        <v>5</v>
      </c>
      <c r="AT419" s="24">
        <v>6</v>
      </c>
      <c r="AU419">
        <f>E419 +F419</f>
        <v>13</v>
      </c>
    </row>
    <row r="420" spans="1:47" x14ac:dyDescent="0.25">
      <c r="A420" t="str">
        <f>B420 &amp; " - " &amp;D420</f>
        <v>SR - Conte</v>
      </c>
      <c r="B420" t="s">
        <v>933</v>
      </c>
      <c r="C420" s="29" t="s">
        <v>641</v>
      </c>
      <c r="D420" s="30" t="s">
        <v>915</v>
      </c>
      <c r="E420" s="31">
        <v>11</v>
      </c>
      <c r="F420" s="99"/>
      <c r="G420" s="73"/>
      <c r="H420" s="34">
        <f>AVERAGE(L420,AI420,AJ420,AK420,AL420,AM420,AO420,AP420,AQ420,AR420,AS420)</f>
        <v>4.7272727272727275</v>
      </c>
      <c r="I420" s="48"/>
      <c r="J420" s="37"/>
      <c r="K420" s="79"/>
      <c r="L420" s="37">
        <v>5</v>
      </c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37">
        <v>3</v>
      </c>
      <c r="AJ420" s="24">
        <v>6</v>
      </c>
      <c r="AK420" s="37">
        <v>5</v>
      </c>
      <c r="AL420" s="24">
        <v>5</v>
      </c>
      <c r="AM420" s="24">
        <v>5</v>
      </c>
      <c r="AN420" s="24"/>
      <c r="AO420" s="24">
        <v>4</v>
      </c>
      <c r="AP420" s="24">
        <v>5</v>
      </c>
      <c r="AQ420" s="24">
        <v>5</v>
      </c>
      <c r="AR420" s="24">
        <v>4</v>
      </c>
      <c r="AS420" s="24">
        <v>5</v>
      </c>
      <c r="AT420" s="24"/>
      <c r="AU420">
        <f>E420 +F420</f>
        <v>11</v>
      </c>
    </row>
    <row r="421" spans="1:47" x14ac:dyDescent="0.25">
      <c r="A421" t="str">
        <f>B421 &amp; " - " &amp;D421</f>
        <v>SR - Glombard</v>
      </c>
      <c r="B421" t="s">
        <v>933</v>
      </c>
      <c r="C421" s="50" t="s">
        <v>641</v>
      </c>
      <c r="D421" s="57" t="s">
        <v>916</v>
      </c>
      <c r="E421" s="52"/>
      <c r="F421" s="63"/>
      <c r="G421" s="145"/>
      <c r="H421" s="34"/>
      <c r="I421" s="58"/>
      <c r="J421" s="55"/>
      <c r="K421" s="55"/>
      <c r="L421" s="55"/>
      <c r="M421" s="46"/>
      <c r="N421" s="55"/>
      <c r="O421" s="46"/>
      <c r="P421" s="55"/>
      <c r="Q421" s="55"/>
      <c r="R421" s="46"/>
      <c r="S421" s="46"/>
      <c r="T421" s="46"/>
      <c r="U421" s="46"/>
      <c r="V421" s="55"/>
      <c r="W421" s="46"/>
      <c r="X421" s="46"/>
      <c r="Y421" s="55"/>
      <c r="Z421" s="46"/>
      <c r="AA421" s="46"/>
      <c r="AB421" s="55"/>
      <c r="AC421" s="46"/>
      <c r="AD421" s="46"/>
      <c r="AE421" s="46"/>
      <c r="AF421" s="46"/>
      <c r="AG421" s="46"/>
      <c r="AH421" s="55"/>
      <c r="AI421" s="47"/>
      <c r="AJ421" s="46"/>
      <c r="AK421" s="55"/>
      <c r="AL421" s="46"/>
      <c r="AM421" s="46"/>
      <c r="AN421" s="46"/>
      <c r="AO421" s="46"/>
      <c r="AP421" s="46"/>
      <c r="AQ421" s="46"/>
      <c r="AR421" s="46"/>
      <c r="AS421" s="46"/>
      <c r="AT421" s="46"/>
      <c r="AU421">
        <f>E421 +F421</f>
        <v>0</v>
      </c>
    </row>
    <row r="422" spans="1:47" x14ac:dyDescent="0.25">
      <c r="A422" t="str">
        <f>B422 &amp; " - " &amp;D422</f>
        <v>TFC - Akpa-Akpro</v>
      </c>
      <c r="B422" t="s">
        <v>868</v>
      </c>
      <c r="C422" s="29" t="s">
        <v>641</v>
      </c>
      <c r="D422" t="s">
        <v>842</v>
      </c>
      <c r="E422" s="31">
        <v>29</v>
      </c>
      <c r="F422" s="99">
        <v>3</v>
      </c>
      <c r="G422" s="73">
        <v>1</v>
      </c>
      <c r="H422" s="34">
        <f>AVERAGE(AA422,X422,W422,V422,J422,K422,L422,I422,M422,N422,O422,P422,Q422,S422,T422,U422,Y422,Z422,AB422,AC422,AD422,AE422,AF422,AG422,AH422,AI422,AJ422,AK422,AL422)</f>
        <v>5</v>
      </c>
      <c r="I422" s="87">
        <v>5</v>
      </c>
      <c r="J422" s="77">
        <v>5</v>
      </c>
      <c r="K422" s="21">
        <v>6</v>
      </c>
      <c r="L422" s="37">
        <v>5</v>
      </c>
      <c r="M422" s="37">
        <v>5</v>
      </c>
      <c r="N422" s="37">
        <v>5</v>
      </c>
      <c r="O422" s="24">
        <v>5</v>
      </c>
      <c r="P422" s="24">
        <v>5</v>
      </c>
      <c r="Q422" s="24">
        <v>4</v>
      </c>
      <c r="R422" s="24"/>
      <c r="S422" s="24">
        <v>4</v>
      </c>
      <c r="T422" s="37">
        <v>4</v>
      </c>
      <c r="U422" s="24">
        <v>4</v>
      </c>
      <c r="V422" s="24">
        <v>4</v>
      </c>
      <c r="W422" s="24">
        <v>5</v>
      </c>
      <c r="X422" s="25">
        <v>8</v>
      </c>
      <c r="Y422" s="37">
        <v>6</v>
      </c>
      <c r="Z422" s="24">
        <v>6</v>
      </c>
      <c r="AA422" s="37">
        <v>5</v>
      </c>
      <c r="AB422" s="66">
        <v>7</v>
      </c>
      <c r="AC422" s="24">
        <v>5</v>
      </c>
      <c r="AD422" s="82">
        <v>3</v>
      </c>
      <c r="AE422" s="24">
        <v>5</v>
      </c>
      <c r="AF422" s="24">
        <v>4</v>
      </c>
      <c r="AG422" s="24">
        <v>5</v>
      </c>
      <c r="AH422" s="24">
        <v>5</v>
      </c>
      <c r="AI422" s="142">
        <v>4</v>
      </c>
      <c r="AJ422" s="24">
        <v>6</v>
      </c>
      <c r="AK422" s="24">
        <v>5</v>
      </c>
      <c r="AL422" s="24">
        <v>5</v>
      </c>
      <c r="AM422" s="24"/>
      <c r="AN422" s="24"/>
      <c r="AO422" s="37" t="s">
        <v>644</v>
      </c>
      <c r="AP422" s="24"/>
      <c r="AQ422" s="37" t="s">
        <v>644</v>
      </c>
      <c r="AR422" s="24"/>
      <c r="AS422" s="37" t="s">
        <v>644</v>
      </c>
      <c r="AT422" s="24"/>
      <c r="AU422">
        <f>E422 +F422</f>
        <v>32</v>
      </c>
    </row>
    <row r="423" spans="1:47" x14ac:dyDescent="0.25">
      <c r="A423" t="str">
        <f>B423 &amp; " - " &amp;D423</f>
        <v>Losc - Balmont</v>
      </c>
      <c r="B423" t="s">
        <v>771</v>
      </c>
      <c r="C423" s="29" t="s">
        <v>654</v>
      </c>
      <c r="D423" s="60" t="s">
        <v>757</v>
      </c>
      <c r="E423" s="31">
        <v>25</v>
      </c>
      <c r="F423" s="99">
        <v>3</v>
      </c>
      <c r="G423" s="73"/>
      <c r="H423" s="34">
        <f>AVERAGE(J423,K423,L423,I423,M423,R423,S423,T423,V423,W423,X423,Z423,AA423,AB423,AD423,AF423,AH423,AL423,AM423,AO423,AP423,AQ423,AS423,AT423)</f>
        <v>5</v>
      </c>
      <c r="I423" s="141">
        <v>5</v>
      </c>
      <c r="J423" s="24">
        <v>4</v>
      </c>
      <c r="K423" s="24">
        <v>5</v>
      </c>
      <c r="L423" s="37">
        <v>5</v>
      </c>
      <c r="M423" s="24">
        <v>4</v>
      </c>
      <c r="N423" s="37"/>
      <c r="O423" s="24"/>
      <c r="P423" s="24"/>
      <c r="Q423" s="24"/>
      <c r="R423" s="24">
        <v>5</v>
      </c>
      <c r="S423" s="24">
        <v>4</v>
      </c>
      <c r="T423" s="24">
        <v>5</v>
      </c>
      <c r="U423" s="24"/>
      <c r="V423" s="66">
        <v>7</v>
      </c>
      <c r="W423" s="37">
        <v>5</v>
      </c>
      <c r="X423" s="24">
        <v>6</v>
      </c>
      <c r="Y423" s="24" t="s">
        <v>673</v>
      </c>
      <c r="Z423" s="24">
        <v>6</v>
      </c>
      <c r="AA423" s="24">
        <v>4</v>
      </c>
      <c r="AB423" s="24">
        <v>5</v>
      </c>
      <c r="AC423" s="24"/>
      <c r="AD423" s="24">
        <v>4</v>
      </c>
      <c r="AE423" s="37" t="s">
        <v>644</v>
      </c>
      <c r="AF423" s="37">
        <v>5</v>
      </c>
      <c r="AG423" s="24"/>
      <c r="AH423" s="37">
        <v>5</v>
      </c>
      <c r="AI423" s="26" t="s">
        <v>644</v>
      </c>
      <c r="AJ423" s="24"/>
      <c r="AK423" s="24"/>
      <c r="AL423" s="24">
        <v>5</v>
      </c>
      <c r="AM423" s="24">
        <v>5</v>
      </c>
      <c r="AN423" s="24"/>
      <c r="AO423" s="24">
        <v>5</v>
      </c>
      <c r="AP423" s="24">
        <v>5</v>
      </c>
      <c r="AQ423" s="24">
        <v>6</v>
      </c>
      <c r="AR423" s="37" t="s">
        <v>644</v>
      </c>
      <c r="AS423" s="24">
        <v>5</v>
      </c>
      <c r="AT423" s="23">
        <v>5</v>
      </c>
      <c r="AU423">
        <f>E423 +F423</f>
        <v>28</v>
      </c>
    </row>
    <row r="424" spans="1:47" x14ac:dyDescent="0.25">
      <c r="A424" t="str">
        <f>B424 &amp; " - " &amp;D424</f>
        <v>SR - Tacalfred</v>
      </c>
      <c r="B424" t="s">
        <v>933</v>
      </c>
      <c r="C424" s="29" t="s">
        <v>641</v>
      </c>
      <c r="D424" s="30" t="s">
        <v>918</v>
      </c>
      <c r="E424" s="31">
        <v>14</v>
      </c>
      <c r="F424" s="99">
        <v>1</v>
      </c>
      <c r="G424" s="114"/>
      <c r="H424" s="34">
        <f>AVERAGE(P424,Q424,R424,S424,T424,Y424,AA424,AD424,AE424,AF424,AG424,AH424,AI424,AN424)</f>
        <v>4.5</v>
      </c>
      <c r="I424" s="48"/>
      <c r="J424" s="37"/>
      <c r="K424" s="37"/>
      <c r="L424" s="37"/>
      <c r="M424" s="37"/>
      <c r="N424" s="24"/>
      <c r="O424" s="37" t="s">
        <v>644</v>
      </c>
      <c r="P424" s="37">
        <v>5</v>
      </c>
      <c r="Q424" s="24">
        <v>5</v>
      </c>
      <c r="R424" s="24">
        <v>5</v>
      </c>
      <c r="S424" s="24">
        <v>4</v>
      </c>
      <c r="T424" s="82">
        <v>3</v>
      </c>
      <c r="U424" s="24"/>
      <c r="V424" s="24"/>
      <c r="W424" s="24"/>
      <c r="X424" s="24"/>
      <c r="Y424" s="24">
        <v>5</v>
      </c>
      <c r="Z424" s="37"/>
      <c r="AA424" s="24">
        <v>5</v>
      </c>
      <c r="AB424" s="24"/>
      <c r="AC424" s="24"/>
      <c r="AD424" s="24">
        <v>5</v>
      </c>
      <c r="AE424" s="24">
        <v>4</v>
      </c>
      <c r="AF424" s="24">
        <v>5</v>
      </c>
      <c r="AG424" s="24">
        <v>5</v>
      </c>
      <c r="AH424" s="24">
        <v>5</v>
      </c>
      <c r="AI424" s="237">
        <v>3</v>
      </c>
      <c r="AJ424" s="24"/>
      <c r="AK424" s="37"/>
      <c r="AL424" s="24"/>
      <c r="AM424" s="24"/>
      <c r="AN424" s="24">
        <v>4</v>
      </c>
      <c r="AO424" s="24"/>
      <c r="AP424" s="24"/>
      <c r="AQ424" s="24"/>
      <c r="AR424" s="24"/>
      <c r="AS424" s="24"/>
      <c r="AT424" s="24"/>
      <c r="AU424">
        <f>E424 +F424</f>
        <v>15</v>
      </c>
    </row>
    <row r="425" spans="1:47" x14ac:dyDescent="0.25">
      <c r="A425" t="str">
        <f>B425 &amp; " - " &amp;D425</f>
        <v>SCO - Thomas</v>
      </c>
      <c r="B425" t="s">
        <v>1066</v>
      </c>
      <c r="C425" s="29" t="s">
        <v>641</v>
      </c>
      <c r="D425" s="65" t="s">
        <v>49</v>
      </c>
      <c r="E425" s="31">
        <v>36</v>
      </c>
      <c r="F425" s="99"/>
      <c r="G425" s="73">
        <v>2</v>
      </c>
      <c r="H425" s="34">
        <f>AVERAGE(AS425,AR425,Z425,V425,J425,K425,L425,I425,M425,N425,O425,P425,Q425,R425,S425,T425,W425,Y425,X425,AA425,AB425,AC425,AD425,AE425,AF425,AG425,AH425,AI425,AJ425,AK425,AL425,AM425,AN425,AO425,AP425,AQ425)</f>
        <v>4.9722222222222223</v>
      </c>
      <c r="I425" s="173">
        <v>5</v>
      </c>
      <c r="J425" s="24">
        <v>5</v>
      </c>
      <c r="K425" s="37">
        <v>5</v>
      </c>
      <c r="L425" s="24">
        <v>5</v>
      </c>
      <c r="M425" s="37">
        <v>4</v>
      </c>
      <c r="N425" s="37">
        <v>5</v>
      </c>
      <c r="O425" s="24">
        <v>5</v>
      </c>
      <c r="P425" s="77">
        <v>6</v>
      </c>
      <c r="Q425" s="24">
        <v>5</v>
      </c>
      <c r="R425" s="23">
        <v>5</v>
      </c>
      <c r="S425" s="24">
        <v>5</v>
      </c>
      <c r="T425" s="24">
        <v>4</v>
      </c>
      <c r="U425" s="24"/>
      <c r="V425" s="37">
        <v>5</v>
      </c>
      <c r="W425" s="24">
        <v>5</v>
      </c>
      <c r="X425" s="24">
        <v>6</v>
      </c>
      <c r="Y425" s="37">
        <v>5</v>
      </c>
      <c r="Z425" s="22">
        <v>6</v>
      </c>
      <c r="AA425" s="24">
        <v>4</v>
      </c>
      <c r="AB425" s="66">
        <v>7</v>
      </c>
      <c r="AC425" s="37">
        <v>5</v>
      </c>
      <c r="AD425" s="166">
        <v>3</v>
      </c>
      <c r="AE425" s="66">
        <v>7</v>
      </c>
      <c r="AF425" s="24">
        <v>4</v>
      </c>
      <c r="AG425" s="166">
        <v>3</v>
      </c>
      <c r="AH425" s="24">
        <v>5</v>
      </c>
      <c r="AI425" s="237">
        <v>3</v>
      </c>
      <c r="AJ425" s="24">
        <v>5</v>
      </c>
      <c r="AK425" s="24">
        <v>5</v>
      </c>
      <c r="AL425" s="37">
        <v>4</v>
      </c>
      <c r="AM425" s="24">
        <v>6</v>
      </c>
      <c r="AN425" s="24">
        <v>6</v>
      </c>
      <c r="AO425" s="37">
        <v>6</v>
      </c>
      <c r="AP425" s="24">
        <v>5</v>
      </c>
      <c r="AQ425" s="24">
        <v>6</v>
      </c>
      <c r="AR425" s="24">
        <v>4</v>
      </c>
      <c r="AS425" s="24">
        <v>5</v>
      </c>
      <c r="AT425" s="24"/>
      <c r="AU425">
        <f>E425 +F425</f>
        <v>36</v>
      </c>
    </row>
    <row r="426" spans="1:47" x14ac:dyDescent="0.25">
      <c r="A426" t="str">
        <f>B426 &amp; " - " &amp;D426</f>
        <v>SR - El Kaoutari</v>
      </c>
      <c r="B426" t="s">
        <v>933</v>
      </c>
      <c r="C426" s="29" t="s">
        <v>641</v>
      </c>
      <c r="D426" s="60" t="s">
        <v>1097</v>
      </c>
      <c r="E426" s="31">
        <v>7</v>
      </c>
      <c r="F426" s="99">
        <v>1</v>
      </c>
      <c r="G426" s="114"/>
      <c r="H426" s="34">
        <f>AVERAGE(AG426,AH426,AI426,AJ426,AK426,AL426,AM426)</f>
        <v>4.5714285714285712</v>
      </c>
      <c r="I426" s="48"/>
      <c r="J426" s="37"/>
      <c r="K426" s="37"/>
      <c r="L426" s="37"/>
      <c r="M426" s="37"/>
      <c r="N426" s="24"/>
      <c r="O426" s="24"/>
      <c r="P426" s="37"/>
      <c r="Q426" s="24"/>
      <c r="R426" s="24"/>
      <c r="S426" s="24"/>
      <c r="T426" s="24"/>
      <c r="U426" s="24"/>
      <c r="V426" s="24"/>
      <c r="W426" s="24"/>
      <c r="X426" s="24"/>
      <c r="Y426" s="24"/>
      <c r="Z426" s="37"/>
      <c r="AA426" s="24"/>
      <c r="AB426" s="24"/>
      <c r="AC426" s="24"/>
      <c r="AD426" s="24"/>
      <c r="AE426" s="24"/>
      <c r="AF426" s="37" t="s">
        <v>644</v>
      </c>
      <c r="AG426" s="24">
        <v>6</v>
      </c>
      <c r="AH426" s="24">
        <v>5</v>
      </c>
      <c r="AI426" s="237">
        <v>3</v>
      </c>
      <c r="AJ426" s="24">
        <v>5</v>
      </c>
      <c r="AK426" s="37">
        <v>4</v>
      </c>
      <c r="AL426" s="24">
        <v>5</v>
      </c>
      <c r="AM426" s="24">
        <v>4</v>
      </c>
      <c r="AN426" s="24"/>
      <c r="AO426" s="24"/>
      <c r="AP426" s="24"/>
      <c r="AQ426" s="24"/>
      <c r="AR426" s="24"/>
      <c r="AS426" s="24"/>
      <c r="AT426" s="24"/>
      <c r="AU426">
        <f>E426 +F426</f>
        <v>8</v>
      </c>
    </row>
    <row r="427" spans="1:47" x14ac:dyDescent="0.25">
      <c r="A427" t="str">
        <f>B427 &amp; " - " &amp;D427</f>
        <v>SR - Turan</v>
      </c>
      <c r="B427" t="s">
        <v>933</v>
      </c>
      <c r="C427" s="29" t="s">
        <v>641</v>
      </c>
      <c r="D427" s="60" t="s">
        <v>925</v>
      </c>
      <c r="E427" s="31">
        <v>8</v>
      </c>
      <c r="F427" s="99">
        <v>3</v>
      </c>
      <c r="G427" s="73">
        <v>2</v>
      </c>
      <c r="H427" s="34">
        <f>AVERAGE(L427,M427,O427,Z427,AB427,AQ427,AS427,AT427)</f>
        <v>5.25</v>
      </c>
      <c r="I427" s="48"/>
      <c r="J427" s="37"/>
      <c r="K427" s="79"/>
      <c r="L427" s="77">
        <v>6</v>
      </c>
      <c r="M427" s="24">
        <v>4</v>
      </c>
      <c r="N427" s="24"/>
      <c r="O427" s="24">
        <v>5</v>
      </c>
      <c r="P427" s="24"/>
      <c r="Q427" s="24"/>
      <c r="R427" s="24"/>
      <c r="S427" s="24"/>
      <c r="T427" s="24"/>
      <c r="U427" s="37"/>
      <c r="V427" s="24"/>
      <c r="W427" s="24"/>
      <c r="X427" s="37"/>
      <c r="Y427" s="24"/>
      <c r="Z427" s="24">
        <v>4</v>
      </c>
      <c r="AA427" s="76" t="s">
        <v>644</v>
      </c>
      <c r="AB427" s="24">
        <v>5</v>
      </c>
      <c r="AC427" s="37"/>
      <c r="AD427" s="24"/>
      <c r="AE427" s="24"/>
      <c r="AF427" s="24"/>
      <c r="AG427" s="24"/>
      <c r="AH427" s="37" t="s">
        <v>644</v>
      </c>
      <c r="AI427" s="27"/>
      <c r="AJ427" s="22"/>
      <c r="AK427" s="37"/>
      <c r="AL427" s="24"/>
      <c r="AM427" s="24"/>
      <c r="AN427" s="24"/>
      <c r="AO427" s="76" t="s">
        <v>644</v>
      </c>
      <c r="AP427" s="24"/>
      <c r="AQ427" s="24">
        <v>5</v>
      </c>
      <c r="AR427" s="24"/>
      <c r="AS427" s="24">
        <v>6</v>
      </c>
      <c r="AT427" s="25">
        <v>7</v>
      </c>
      <c r="AU427">
        <f>E427 +F427</f>
        <v>11</v>
      </c>
    </row>
    <row r="428" spans="1:47" x14ac:dyDescent="0.25">
      <c r="A428" t="str">
        <f>B428 &amp; " - " &amp;D428</f>
        <v>SR - Weber</v>
      </c>
      <c r="B428" t="s">
        <v>933</v>
      </c>
      <c r="C428" s="67" t="s">
        <v>641</v>
      </c>
      <c r="D428" s="68" t="s">
        <v>574</v>
      </c>
      <c r="E428" s="69">
        <v>19</v>
      </c>
      <c r="F428" s="115"/>
      <c r="G428" s="122">
        <v>1</v>
      </c>
      <c r="H428" s="72">
        <f>AVERAGE(V428,J428,K428,L428,I428,M428,N428,P428,S428,T428,U428,W428,AC428,AD428,AN428,AO428,AP428,AQ428)</f>
        <v>4.8888888888888893</v>
      </c>
      <c r="I428" s="48">
        <v>5</v>
      </c>
      <c r="J428" s="37">
        <v>5</v>
      </c>
      <c r="K428" s="37">
        <v>5</v>
      </c>
      <c r="L428" s="37">
        <v>5</v>
      </c>
      <c r="M428" s="24">
        <v>5</v>
      </c>
      <c r="N428" s="24">
        <v>4</v>
      </c>
      <c r="O428" s="24"/>
      <c r="P428" s="24">
        <v>5</v>
      </c>
      <c r="Q428" s="24"/>
      <c r="R428" s="24"/>
      <c r="S428" s="24">
        <v>5</v>
      </c>
      <c r="T428" s="24">
        <v>5</v>
      </c>
      <c r="U428" s="24">
        <v>5</v>
      </c>
      <c r="V428" s="22">
        <v>6</v>
      </c>
      <c r="W428" s="24">
        <v>5</v>
      </c>
      <c r="X428" s="24" t="s">
        <v>673</v>
      </c>
      <c r="Y428" s="24"/>
      <c r="Z428" s="37"/>
      <c r="AA428" s="24"/>
      <c r="AB428" s="37"/>
      <c r="AC428" s="37">
        <v>5</v>
      </c>
      <c r="AD428" s="24">
        <v>5</v>
      </c>
      <c r="AE428" s="24"/>
      <c r="AF428" s="24"/>
      <c r="AG428" s="37"/>
      <c r="AH428" s="24"/>
      <c r="AI428" s="27"/>
      <c r="AJ428" s="24"/>
      <c r="AK428" s="37"/>
      <c r="AL428" s="37"/>
      <c r="AM428" s="24"/>
      <c r="AN428" s="24">
        <v>4</v>
      </c>
      <c r="AO428" s="24">
        <v>5</v>
      </c>
      <c r="AP428" s="24">
        <v>6</v>
      </c>
      <c r="AQ428" s="82">
        <v>3</v>
      </c>
      <c r="AR428" s="24"/>
      <c r="AS428" s="24"/>
      <c r="AT428" s="24"/>
      <c r="AU428">
        <f>E428 +F428</f>
        <v>19</v>
      </c>
    </row>
    <row r="429" spans="1:47" x14ac:dyDescent="0.25">
      <c r="A429" t="str">
        <f>B429 &amp; " - " &amp;D429</f>
        <v>SRFC - Armand</v>
      </c>
      <c r="B429" t="s">
        <v>913</v>
      </c>
      <c r="C429" s="29" t="s">
        <v>641</v>
      </c>
      <c r="D429" t="s">
        <v>207</v>
      </c>
      <c r="E429" s="31">
        <v>33</v>
      </c>
      <c r="F429" s="99">
        <v>1</v>
      </c>
      <c r="G429" s="114">
        <v>1</v>
      </c>
      <c r="H429" s="208">
        <f>AVERAGE(Y429,W429,J429,K429,L429,I429,M429,N429,P429,Q429,R429,T429,U429,V429,Z429,AA429,AB429,AC429,AD429,AE429,AG429,AH429,AI429,AJ429,AK429,AL429,AM429,AN429,AO429,AP429,AQ429,AR429,AT429)</f>
        <v>4.9696969696969697</v>
      </c>
      <c r="I429" s="37">
        <v>5</v>
      </c>
      <c r="J429" s="24">
        <v>5</v>
      </c>
      <c r="K429" s="21">
        <v>5</v>
      </c>
      <c r="L429" s="22">
        <v>6</v>
      </c>
      <c r="M429" s="24">
        <v>6</v>
      </c>
      <c r="N429" s="24">
        <v>5</v>
      </c>
      <c r="O429" s="24"/>
      <c r="P429" s="24">
        <v>6</v>
      </c>
      <c r="Q429" s="24">
        <v>4</v>
      </c>
      <c r="R429" s="24">
        <v>5</v>
      </c>
      <c r="S429" s="24"/>
      <c r="T429" s="24">
        <v>5</v>
      </c>
      <c r="U429" s="24">
        <v>6</v>
      </c>
      <c r="V429" s="24">
        <v>4</v>
      </c>
      <c r="W429" s="24">
        <v>5</v>
      </c>
      <c r="X429" s="37" t="s">
        <v>644</v>
      </c>
      <c r="Y429" s="24">
        <v>4</v>
      </c>
      <c r="Z429" s="24">
        <v>5</v>
      </c>
      <c r="AA429" s="24">
        <v>5</v>
      </c>
      <c r="AB429" s="24">
        <v>5</v>
      </c>
      <c r="AC429" s="24">
        <v>5</v>
      </c>
      <c r="AD429" s="24">
        <v>6</v>
      </c>
      <c r="AE429" s="82">
        <v>3</v>
      </c>
      <c r="AF429" s="24"/>
      <c r="AG429" s="24">
        <v>5</v>
      </c>
      <c r="AH429" s="24">
        <v>6</v>
      </c>
      <c r="AI429" s="27">
        <v>5</v>
      </c>
      <c r="AJ429" s="24">
        <v>6</v>
      </c>
      <c r="AK429" s="24">
        <v>5</v>
      </c>
      <c r="AL429" s="24">
        <v>5</v>
      </c>
      <c r="AM429" s="23">
        <v>5</v>
      </c>
      <c r="AN429" s="24">
        <v>6</v>
      </c>
      <c r="AO429" s="24">
        <v>4</v>
      </c>
      <c r="AP429" s="82">
        <v>3</v>
      </c>
      <c r="AQ429" s="24">
        <v>5</v>
      </c>
      <c r="AR429" s="24">
        <v>4</v>
      </c>
      <c r="AS429" s="24"/>
      <c r="AT429" s="24">
        <v>5</v>
      </c>
      <c r="AU429">
        <f>E429 +F429</f>
        <v>34</v>
      </c>
    </row>
    <row r="430" spans="1:47" x14ac:dyDescent="0.25">
      <c r="A430" t="str">
        <f>B430 &amp; " - " &amp;D430</f>
        <v>SR - Fortes</v>
      </c>
      <c r="B430" t="s">
        <v>933</v>
      </c>
      <c r="C430" s="29" t="s">
        <v>654</v>
      </c>
      <c r="D430" s="30" t="s">
        <v>920</v>
      </c>
      <c r="E430" s="31">
        <v>4</v>
      </c>
      <c r="F430" s="99">
        <v>12</v>
      </c>
      <c r="G430" s="73"/>
      <c r="H430" s="34">
        <f>AVERAGE(O430,R430,X430,Y430)</f>
        <v>4.25</v>
      </c>
      <c r="I430" s="48"/>
      <c r="J430" s="37"/>
      <c r="K430" s="37"/>
      <c r="L430" s="37"/>
      <c r="M430" s="24"/>
      <c r="N430" s="24"/>
      <c r="O430" s="24">
        <v>4</v>
      </c>
      <c r="P430" s="37" t="s">
        <v>644</v>
      </c>
      <c r="Q430" s="24"/>
      <c r="R430" s="24">
        <v>5</v>
      </c>
      <c r="S430" s="37" t="s">
        <v>644</v>
      </c>
      <c r="T430" s="76" t="s">
        <v>644</v>
      </c>
      <c r="U430" s="24"/>
      <c r="V430" s="37" t="s">
        <v>644</v>
      </c>
      <c r="W430" s="37" t="s">
        <v>644</v>
      </c>
      <c r="X430" s="24">
        <v>4</v>
      </c>
      <c r="Y430" s="24">
        <v>4</v>
      </c>
      <c r="Z430" s="37" t="s">
        <v>644</v>
      </c>
      <c r="AA430" s="76" t="s">
        <v>644</v>
      </c>
      <c r="AB430" s="37" t="s">
        <v>644</v>
      </c>
      <c r="AC430" s="37" t="s">
        <v>644</v>
      </c>
      <c r="AD430" s="37" t="s">
        <v>644</v>
      </c>
      <c r="AE430" s="24"/>
      <c r="AF430" s="37"/>
      <c r="AG430" s="24"/>
      <c r="AH430" s="24"/>
      <c r="AI430" s="26" t="s">
        <v>644</v>
      </c>
      <c r="AJ430" s="37"/>
      <c r="AK430" s="37" t="s">
        <v>644</v>
      </c>
      <c r="AL430" s="37"/>
      <c r="AM430" s="24"/>
      <c r="AN430" s="37"/>
      <c r="AO430" s="24"/>
      <c r="AP430" s="24"/>
      <c r="AQ430" s="24"/>
      <c r="AR430" s="24"/>
      <c r="AS430" s="24"/>
      <c r="AT430" s="37"/>
      <c r="AU430">
        <f>E430 +F430</f>
        <v>16</v>
      </c>
    </row>
    <row r="431" spans="1:47" x14ac:dyDescent="0.25">
      <c r="A431" t="str">
        <f>B431 &amp; " - " &amp;D431</f>
        <v>SCB - Danic</v>
      </c>
      <c r="B431" t="s">
        <v>887</v>
      </c>
      <c r="C431" s="29" t="s">
        <v>654</v>
      </c>
      <c r="D431" s="30" t="s">
        <v>483</v>
      </c>
      <c r="E431" s="31">
        <v>32</v>
      </c>
      <c r="F431" s="99">
        <v>5</v>
      </c>
      <c r="G431" s="114">
        <v>5</v>
      </c>
      <c r="H431" s="34">
        <f>AVERAGE(Y431,X431,W431,V431,J431,K431,L431,M431,N431,O431,P431,Q431,R431,S431,T431,AA431,AB431,AD431,AE431,AF431,AG431,AK431,AI431,AL431,AM431,AN431,AO431,AP431,AR431,AS431,AT431)</f>
        <v>4.9666666666666668</v>
      </c>
      <c r="I431" s="87" t="s">
        <v>644</v>
      </c>
      <c r="J431" s="84">
        <v>7</v>
      </c>
      <c r="K431" s="37">
        <v>5</v>
      </c>
      <c r="L431" s="77">
        <v>6</v>
      </c>
      <c r="M431" s="237">
        <v>3</v>
      </c>
      <c r="N431" s="22">
        <v>5</v>
      </c>
      <c r="O431" s="24">
        <v>4</v>
      </c>
      <c r="P431" s="24">
        <v>5</v>
      </c>
      <c r="Q431" s="24">
        <v>5</v>
      </c>
      <c r="R431" s="37">
        <v>4</v>
      </c>
      <c r="S431" s="37">
        <v>5</v>
      </c>
      <c r="T431" s="24">
        <v>6</v>
      </c>
      <c r="U431" s="22">
        <v>6</v>
      </c>
      <c r="V431" s="37" t="s">
        <v>673</v>
      </c>
      <c r="W431" s="24">
        <v>5</v>
      </c>
      <c r="X431" s="24">
        <v>4</v>
      </c>
      <c r="Y431" s="24">
        <v>5</v>
      </c>
      <c r="Z431" s="37"/>
      <c r="AA431" s="24">
        <v>5</v>
      </c>
      <c r="AB431" s="82">
        <v>3</v>
      </c>
      <c r="AC431" s="37" t="s">
        <v>644</v>
      </c>
      <c r="AD431" s="24">
        <v>4</v>
      </c>
      <c r="AE431" s="37">
        <v>6</v>
      </c>
      <c r="AF431" s="24">
        <v>4</v>
      </c>
      <c r="AG431" s="24">
        <v>6</v>
      </c>
      <c r="AH431" s="37" t="s">
        <v>644</v>
      </c>
      <c r="AI431" s="27">
        <v>5</v>
      </c>
      <c r="AJ431" s="37" t="s">
        <v>644</v>
      </c>
      <c r="AK431" s="24">
        <v>6</v>
      </c>
      <c r="AL431" s="22">
        <v>6</v>
      </c>
      <c r="AM431" s="37">
        <v>6</v>
      </c>
      <c r="AN431" s="25">
        <v>7</v>
      </c>
      <c r="AO431" s="24">
        <v>4</v>
      </c>
      <c r="AP431" s="24">
        <v>4</v>
      </c>
      <c r="AQ431" s="37" t="s">
        <v>644</v>
      </c>
      <c r="AR431" s="23">
        <v>5</v>
      </c>
      <c r="AS431" s="24">
        <v>5</v>
      </c>
      <c r="AT431" s="24">
        <v>4</v>
      </c>
      <c r="AU431">
        <f>E431 +F431</f>
        <v>37</v>
      </c>
    </row>
    <row r="432" spans="1:47" x14ac:dyDescent="0.25">
      <c r="A432" t="str">
        <f>B432 &amp; " - " &amp;D432</f>
        <v>SR - Mfulu</v>
      </c>
      <c r="B432" t="s">
        <v>933</v>
      </c>
      <c r="C432" s="29" t="s">
        <v>654</v>
      </c>
      <c r="D432" s="60" t="s">
        <v>921</v>
      </c>
      <c r="E432" s="31">
        <v>2</v>
      </c>
      <c r="F432" s="99">
        <v>11</v>
      </c>
      <c r="G432" s="73"/>
      <c r="H432" s="34">
        <f>AVERAGE(R432,V432,AN432,AS432)</f>
        <v>4.5</v>
      </c>
      <c r="I432" s="48"/>
      <c r="J432" s="76" t="s">
        <v>644</v>
      </c>
      <c r="K432" s="79" t="s">
        <v>644</v>
      </c>
      <c r="L432" s="79" t="s">
        <v>644</v>
      </c>
      <c r="M432" s="24"/>
      <c r="N432" s="79"/>
      <c r="O432" s="36"/>
      <c r="P432" s="37" t="s">
        <v>644</v>
      </c>
      <c r="Q432" s="24"/>
      <c r="R432" s="37">
        <v>4</v>
      </c>
      <c r="S432" s="77"/>
      <c r="T432" s="79"/>
      <c r="U432" s="36"/>
      <c r="V432" s="37">
        <v>4</v>
      </c>
      <c r="W432" s="24"/>
      <c r="X432" s="37" t="s">
        <v>644</v>
      </c>
      <c r="Y432" s="24"/>
      <c r="Z432" s="24"/>
      <c r="AA432" s="24"/>
      <c r="AB432" s="24"/>
      <c r="AC432" s="37"/>
      <c r="AD432" s="37"/>
      <c r="AE432" s="37" t="s">
        <v>644</v>
      </c>
      <c r="AF432" s="24"/>
      <c r="AG432" s="24"/>
      <c r="AH432" s="24"/>
      <c r="AI432" s="27"/>
      <c r="AJ432" s="24"/>
      <c r="AK432" s="37"/>
      <c r="AL432" s="37" t="s">
        <v>644</v>
      </c>
      <c r="AM432" s="24"/>
      <c r="AN432" s="37">
        <v>5</v>
      </c>
      <c r="AO432" s="24"/>
      <c r="AP432" s="24"/>
      <c r="AQ432" s="37" t="s">
        <v>644</v>
      </c>
      <c r="AR432" s="24"/>
      <c r="AS432" s="76">
        <v>5</v>
      </c>
      <c r="AT432" s="37" t="s">
        <v>644</v>
      </c>
      <c r="AU432">
        <f>E432 +F432</f>
        <v>13</v>
      </c>
    </row>
    <row r="433" spans="1:47" x14ac:dyDescent="0.25">
      <c r="A433" t="str">
        <f>B433 &amp; " - " &amp;D433</f>
        <v>SR - Bourillon</v>
      </c>
      <c r="B433" t="s">
        <v>933</v>
      </c>
      <c r="C433" s="50" t="s">
        <v>654</v>
      </c>
      <c r="D433" s="57" t="s">
        <v>922</v>
      </c>
      <c r="E433" s="52"/>
      <c r="F433" s="63"/>
      <c r="G433" s="145"/>
      <c r="H433" s="34"/>
      <c r="I433" s="45"/>
      <c r="J433" s="55"/>
      <c r="K433" s="185"/>
      <c r="L433" s="55"/>
      <c r="M433" s="46"/>
      <c r="N433" s="46"/>
      <c r="O433" s="46"/>
      <c r="P433" s="46"/>
      <c r="Q433" s="46"/>
      <c r="R433" s="46"/>
      <c r="S433" s="46"/>
      <c r="T433" s="46"/>
      <c r="U433" s="55"/>
      <c r="V433" s="46"/>
      <c r="W433" s="46"/>
      <c r="X433" s="55"/>
      <c r="Y433" s="46"/>
      <c r="Z433" s="46"/>
      <c r="AA433" s="46"/>
      <c r="AB433" s="46"/>
      <c r="AC433" s="55"/>
      <c r="AD433" s="46"/>
      <c r="AE433" s="46"/>
      <c r="AF433" s="46"/>
      <c r="AG433" s="46"/>
      <c r="AH433" s="55"/>
      <c r="AI433" s="47"/>
      <c r="AJ433" s="59"/>
      <c r="AK433" s="55"/>
      <c r="AL433" s="46"/>
      <c r="AM433" s="46"/>
      <c r="AN433" s="46"/>
      <c r="AO433" s="46"/>
      <c r="AP433" s="46"/>
      <c r="AQ433" s="46"/>
      <c r="AR433" s="46"/>
      <c r="AS433" s="46"/>
      <c r="AT433" s="46"/>
      <c r="AU433">
        <f>E433 +F433</f>
        <v>0</v>
      </c>
    </row>
    <row r="434" spans="1:47" x14ac:dyDescent="0.25">
      <c r="A434" t="str">
        <f>B434 &amp; " - " &amp;D434</f>
        <v>SR - Bulot</v>
      </c>
      <c r="B434" t="s">
        <v>933</v>
      </c>
      <c r="C434" s="29" t="s">
        <v>654</v>
      </c>
      <c r="D434" s="30" t="s">
        <v>923</v>
      </c>
      <c r="E434" s="31">
        <v>11</v>
      </c>
      <c r="F434" s="99">
        <v>5</v>
      </c>
      <c r="G434" s="73">
        <v>1</v>
      </c>
      <c r="H434" s="34">
        <f>AVERAGE(Z434,J434,K434,I434,N434,P434,Q434,R434,S434,T434,U434,Y434)</f>
        <v>4.583333333333333</v>
      </c>
      <c r="I434" s="48">
        <v>4</v>
      </c>
      <c r="J434" s="37">
        <v>5</v>
      </c>
      <c r="K434" s="74">
        <v>4</v>
      </c>
      <c r="L434" s="37" t="s">
        <v>644</v>
      </c>
      <c r="M434" s="77" t="s">
        <v>644</v>
      </c>
      <c r="N434" s="24">
        <v>5</v>
      </c>
      <c r="O434" s="37" t="s">
        <v>644</v>
      </c>
      <c r="P434" s="66">
        <v>7</v>
      </c>
      <c r="Q434" s="24">
        <v>4</v>
      </c>
      <c r="R434" s="24">
        <v>5</v>
      </c>
      <c r="S434" s="24">
        <v>5</v>
      </c>
      <c r="T434" s="24">
        <v>4</v>
      </c>
      <c r="U434" s="37">
        <v>4</v>
      </c>
      <c r="V434" s="24"/>
      <c r="W434" s="24"/>
      <c r="X434" s="37"/>
      <c r="Y434" s="37">
        <v>4</v>
      </c>
      <c r="Z434" s="24">
        <v>4</v>
      </c>
      <c r="AA434" s="24"/>
      <c r="AB434" s="24"/>
      <c r="AC434" s="37"/>
      <c r="AD434" s="24"/>
      <c r="AE434" s="24"/>
      <c r="AF434" s="24"/>
      <c r="AG434" s="24"/>
      <c r="AH434" s="37"/>
      <c r="AI434" s="27"/>
      <c r="AJ434" s="22"/>
      <c r="AK434" s="37"/>
      <c r="AL434" s="24"/>
      <c r="AM434" s="24"/>
      <c r="AN434" s="24"/>
      <c r="AO434" s="24"/>
      <c r="AP434" s="24"/>
      <c r="AQ434" s="24"/>
      <c r="AR434" s="24"/>
      <c r="AS434" s="24"/>
      <c r="AT434" s="37" t="s">
        <v>644</v>
      </c>
      <c r="AU434">
        <f>E434 +F434</f>
        <v>16</v>
      </c>
    </row>
    <row r="435" spans="1:47" x14ac:dyDescent="0.25">
      <c r="A435" t="str">
        <f>B435 &amp; " - " &amp;D435</f>
        <v>ASSE - Lemoine</v>
      </c>
      <c r="B435" t="s">
        <v>746</v>
      </c>
      <c r="C435" s="29" t="s">
        <v>654</v>
      </c>
      <c r="D435" s="60" t="s">
        <v>741</v>
      </c>
      <c r="E435" s="31">
        <v>29</v>
      </c>
      <c r="F435" s="99">
        <v>4</v>
      </c>
      <c r="G435" s="73"/>
      <c r="H435" s="34">
        <f>AVERAGE(Y435,J435,K435,L435,I435,O435,P435,Q435,R435,S435,W435,Z435,AA435,AB435,AC435,AD435,AE435,AF435,AI435,AJ435,AK435,AM435,AN435,AO435,AP435,AQ435,AR435,AS435)</f>
        <v>4.9642857142857144</v>
      </c>
      <c r="I435" s="38">
        <v>5</v>
      </c>
      <c r="J435" s="21">
        <v>6</v>
      </c>
      <c r="K435" s="37">
        <v>6</v>
      </c>
      <c r="L435" s="24">
        <v>4</v>
      </c>
      <c r="M435" s="37" t="s">
        <v>644</v>
      </c>
      <c r="N435" s="76" t="s">
        <v>644</v>
      </c>
      <c r="O435" s="24">
        <v>5</v>
      </c>
      <c r="P435" s="24">
        <v>5</v>
      </c>
      <c r="Q435" s="24">
        <v>5</v>
      </c>
      <c r="R435" s="23">
        <v>5</v>
      </c>
      <c r="S435" s="37">
        <v>4</v>
      </c>
      <c r="T435" s="24"/>
      <c r="U435" s="24" t="s">
        <v>673</v>
      </c>
      <c r="V435" s="24"/>
      <c r="W435" s="24">
        <v>5</v>
      </c>
      <c r="X435" s="37"/>
      <c r="Y435" s="24">
        <v>4</v>
      </c>
      <c r="Z435" s="24">
        <v>4</v>
      </c>
      <c r="AA435" s="24">
        <v>5</v>
      </c>
      <c r="AB435" s="24">
        <v>4</v>
      </c>
      <c r="AC435" s="24">
        <v>5</v>
      </c>
      <c r="AD435" s="24">
        <v>5</v>
      </c>
      <c r="AE435" s="24">
        <v>4</v>
      </c>
      <c r="AF435" s="24">
        <v>6</v>
      </c>
      <c r="AG435" s="37" t="s">
        <v>644</v>
      </c>
      <c r="AH435" s="37" t="s">
        <v>644</v>
      </c>
      <c r="AI435" s="27">
        <v>5</v>
      </c>
      <c r="AJ435" s="24">
        <v>5</v>
      </c>
      <c r="AK435" s="24">
        <v>5</v>
      </c>
      <c r="AL435" s="24"/>
      <c r="AM435" s="24">
        <v>6</v>
      </c>
      <c r="AN435" s="24">
        <v>6</v>
      </c>
      <c r="AO435" s="24">
        <v>5</v>
      </c>
      <c r="AP435" s="24">
        <v>5</v>
      </c>
      <c r="AQ435" s="24">
        <v>6</v>
      </c>
      <c r="AR435" s="24">
        <v>5</v>
      </c>
      <c r="AS435" s="24">
        <v>4</v>
      </c>
      <c r="AT435" s="24"/>
      <c r="AU435">
        <f>E435 +F435</f>
        <v>33</v>
      </c>
    </row>
    <row r="436" spans="1:47" x14ac:dyDescent="0.25">
      <c r="A436" t="str">
        <f>B436 &amp; " - " &amp;D436</f>
        <v>SR - Rodriguez</v>
      </c>
      <c r="B436" t="s">
        <v>933</v>
      </c>
      <c r="C436" s="29" t="s">
        <v>654</v>
      </c>
      <c r="D436" s="176" t="s">
        <v>926</v>
      </c>
      <c r="E436" s="31">
        <v>2</v>
      </c>
      <c r="F436" s="99">
        <v>1</v>
      </c>
      <c r="G436" s="73"/>
      <c r="H436" s="34">
        <f>AVERAGE(AQ436,AR436)</f>
        <v>4.5</v>
      </c>
      <c r="I436" s="48"/>
      <c r="J436" s="37"/>
      <c r="K436" s="79"/>
      <c r="L436" s="77"/>
      <c r="M436" s="24"/>
      <c r="N436" s="24"/>
      <c r="O436" s="24"/>
      <c r="P436" s="24"/>
      <c r="Q436" s="24"/>
      <c r="R436" s="24"/>
      <c r="S436" s="24"/>
      <c r="T436" s="24"/>
      <c r="U436" s="37"/>
      <c r="V436" s="37" t="s">
        <v>644</v>
      </c>
      <c r="W436" s="24"/>
      <c r="X436" s="37"/>
      <c r="Y436" s="24"/>
      <c r="Z436" s="24"/>
      <c r="AA436" s="24"/>
      <c r="AB436" s="24"/>
      <c r="AC436" s="37"/>
      <c r="AD436" s="24"/>
      <c r="AE436" s="24"/>
      <c r="AF436" s="24"/>
      <c r="AG436" s="24"/>
      <c r="AH436" s="37"/>
      <c r="AI436" s="27"/>
      <c r="AJ436" s="22"/>
      <c r="AK436" s="37"/>
      <c r="AL436" s="24"/>
      <c r="AM436" s="24"/>
      <c r="AN436" s="24"/>
      <c r="AO436" s="24"/>
      <c r="AP436" s="24"/>
      <c r="AQ436" s="24">
        <v>4</v>
      </c>
      <c r="AR436" s="24">
        <v>5</v>
      </c>
      <c r="AS436" s="24"/>
      <c r="AT436" s="24"/>
      <c r="AU436">
        <f>E436 +F436</f>
        <v>3</v>
      </c>
    </row>
    <row r="437" spans="1:47" x14ac:dyDescent="0.25">
      <c r="A437" t="str">
        <f>B437 &amp; " - " &amp;D437</f>
        <v>SR - Kamara</v>
      </c>
      <c r="B437" t="s">
        <v>933</v>
      </c>
      <c r="C437" s="29" t="s">
        <v>654</v>
      </c>
      <c r="D437" s="176" t="s">
        <v>927</v>
      </c>
      <c r="E437" s="31"/>
      <c r="F437" s="99">
        <v>2</v>
      </c>
      <c r="G437" s="73"/>
      <c r="H437" s="34"/>
      <c r="I437" s="48"/>
      <c r="J437" s="37"/>
      <c r="K437" s="79"/>
      <c r="L437" s="77"/>
      <c r="M437" s="24"/>
      <c r="N437" s="24"/>
      <c r="O437" s="24"/>
      <c r="P437" s="24"/>
      <c r="Q437" s="24"/>
      <c r="R437" s="24"/>
      <c r="S437" s="24"/>
      <c r="T437" s="24"/>
      <c r="U437" s="37"/>
      <c r="V437" s="37"/>
      <c r="W437" s="24"/>
      <c r="X437" s="37"/>
      <c r="Y437" s="24"/>
      <c r="Z437" s="24"/>
      <c r="AA437" s="37" t="s">
        <v>644</v>
      </c>
      <c r="AB437" s="24"/>
      <c r="AC437" s="37" t="s">
        <v>644</v>
      </c>
      <c r="AD437" s="24"/>
      <c r="AE437" s="24"/>
      <c r="AF437" s="24"/>
      <c r="AG437" s="24"/>
      <c r="AH437" s="37"/>
      <c r="AI437" s="27"/>
      <c r="AJ437" s="22"/>
      <c r="AK437" s="37"/>
      <c r="AL437" s="24"/>
      <c r="AM437" s="24"/>
      <c r="AN437" s="24"/>
      <c r="AO437" s="24"/>
      <c r="AP437" s="24"/>
      <c r="AQ437" s="24"/>
      <c r="AR437" s="24"/>
      <c r="AS437" s="24"/>
      <c r="AT437" s="24"/>
      <c r="AU437">
        <f>E437 +F437</f>
        <v>2</v>
      </c>
    </row>
    <row r="438" spans="1:47" x14ac:dyDescent="0.25">
      <c r="A438" t="str">
        <f>B438 &amp; " - " &amp;D438</f>
        <v>SR - L. Bangoura</v>
      </c>
      <c r="B438" t="s">
        <v>933</v>
      </c>
      <c r="C438" s="29" t="s">
        <v>654</v>
      </c>
      <c r="D438" s="176" t="s">
        <v>1098</v>
      </c>
      <c r="E438" s="31">
        <v>3</v>
      </c>
      <c r="F438" s="99">
        <v>7</v>
      </c>
      <c r="G438" s="73">
        <v>1</v>
      </c>
      <c r="H438" s="34">
        <f>AVERAGE(AF438,AH438,AN438,AP438,AT438)</f>
        <v>4.4000000000000004</v>
      </c>
      <c r="I438" s="87"/>
      <c r="J438" s="76"/>
      <c r="K438" s="79"/>
      <c r="L438" s="24"/>
      <c r="M438" s="24"/>
      <c r="N438" s="23"/>
      <c r="O438" s="24"/>
      <c r="P438" s="24"/>
      <c r="Q438" s="37"/>
      <c r="R438" s="37"/>
      <c r="S438" s="76"/>
      <c r="T438" s="76"/>
      <c r="U438" s="77"/>
      <c r="V438" s="24"/>
      <c r="W438" s="77"/>
      <c r="X438" s="22"/>
      <c r="Y438" s="37"/>
      <c r="Z438" s="37"/>
      <c r="AA438" s="24"/>
      <c r="AB438" s="24"/>
      <c r="AC438" s="24"/>
      <c r="AD438" s="24"/>
      <c r="AE438" s="37"/>
      <c r="AF438" s="76">
        <v>5</v>
      </c>
      <c r="AG438" s="37" t="s">
        <v>644</v>
      </c>
      <c r="AH438" s="24">
        <v>5</v>
      </c>
      <c r="AI438" s="26" t="s">
        <v>644</v>
      </c>
      <c r="AJ438" s="77" t="s">
        <v>644</v>
      </c>
      <c r="AK438" s="37"/>
      <c r="AL438" s="37" t="s">
        <v>644</v>
      </c>
      <c r="AM438" s="37" t="s">
        <v>644</v>
      </c>
      <c r="AN438" s="37">
        <v>4</v>
      </c>
      <c r="AO438" s="24"/>
      <c r="AP438" s="82">
        <v>3</v>
      </c>
      <c r="AQ438" s="24"/>
      <c r="AR438" s="24"/>
      <c r="AS438" s="37"/>
      <c r="AT438" s="76">
        <v>5</v>
      </c>
      <c r="AU438">
        <f>E438 +F438</f>
        <v>10</v>
      </c>
    </row>
    <row r="439" spans="1:47" x14ac:dyDescent="0.25">
      <c r="A439" t="str">
        <f>B439 &amp; " - " &amp;D439</f>
        <v>SR - Diego</v>
      </c>
      <c r="B439" t="s">
        <v>933</v>
      </c>
      <c r="C439" s="29" t="s">
        <v>654</v>
      </c>
      <c r="D439" s="60" t="s">
        <v>96</v>
      </c>
      <c r="E439" s="31">
        <v>15</v>
      </c>
      <c r="F439" s="99">
        <v>8</v>
      </c>
      <c r="G439" s="73">
        <v>3</v>
      </c>
      <c r="H439" s="34">
        <f>AVERAGE(O439,S439,U439,V439,W439,Z439,AA439,AB439,AD439,AH439,AE439,AJ439,AK439,AL439,AN439,AR439,AS439,AT439)</f>
        <v>5.0555555555555554</v>
      </c>
      <c r="I439" s="48"/>
      <c r="J439" s="24"/>
      <c r="K439" s="37"/>
      <c r="L439" s="37"/>
      <c r="M439" s="36"/>
      <c r="N439" s="37" t="s">
        <v>644</v>
      </c>
      <c r="O439" s="24">
        <v>4</v>
      </c>
      <c r="P439" s="24"/>
      <c r="Q439" s="37" t="s">
        <v>644</v>
      </c>
      <c r="R439" s="76" t="s">
        <v>644</v>
      </c>
      <c r="S439" s="24">
        <v>5</v>
      </c>
      <c r="T439" s="76" t="s">
        <v>644</v>
      </c>
      <c r="U439" s="37">
        <v>5</v>
      </c>
      <c r="V439" s="24">
        <v>5</v>
      </c>
      <c r="W439" s="24">
        <v>6</v>
      </c>
      <c r="X439" s="37"/>
      <c r="Y439" s="24"/>
      <c r="Z439" s="25">
        <v>7</v>
      </c>
      <c r="AA439" s="24">
        <v>5</v>
      </c>
      <c r="AB439" s="23">
        <v>4</v>
      </c>
      <c r="AC439" s="24"/>
      <c r="AD439" s="24">
        <v>4</v>
      </c>
      <c r="AE439" s="24">
        <v>4</v>
      </c>
      <c r="AF439" s="24"/>
      <c r="AG439" s="37" t="s">
        <v>644</v>
      </c>
      <c r="AH439" s="37">
        <v>4</v>
      </c>
      <c r="AI439" s="26"/>
      <c r="AJ439" s="24">
        <v>6</v>
      </c>
      <c r="AK439" s="37">
        <v>5</v>
      </c>
      <c r="AL439" s="25">
        <v>7</v>
      </c>
      <c r="AM439" s="24"/>
      <c r="AN439" s="82">
        <v>3</v>
      </c>
      <c r="AO439" s="24"/>
      <c r="AP439" s="24"/>
      <c r="AQ439" s="24"/>
      <c r="AR439" s="37">
        <v>6</v>
      </c>
      <c r="AS439" s="24">
        <v>4</v>
      </c>
      <c r="AT439" s="25">
        <v>7</v>
      </c>
      <c r="AU439">
        <f>E439 +F439</f>
        <v>23</v>
      </c>
    </row>
    <row r="440" spans="1:47" x14ac:dyDescent="0.25">
      <c r="A440" t="str">
        <f>B440 &amp; " - " &amp;D440</f>
        <v>SR - Ndom</v>
      </c>
      <c r="B440" t="s">
        <v>933</v>
      </c>
      <c r="C440" s="29" t="s">
        <v>654</v>
      </c>
      <c r="D440" s="65" t="s">
        <v>1121</v>
      </c>
      <c r="E440" s="31">
        <v>4</v>
      </c>
      <c r="F440" s="99">
        <v>4</v>
      </c>
      <c r="G440" s="73"/>
      <c r="H440" s="34">
        <f>AVERAGE(AL440,AN440,AQ440,AR440)</f>
        <v>4.5</v>
      </c>
      <c r="I440" s="48"/>
      <c r="J440" s="24"/>
      <c r="K440" s="37"/>
      <c r="L440" s="37"/>
      <c r="M440" s="36"/>
      <c r="N440" s="37"/>
      <c r="O440" s="24"/>
      <c r="P440" s="24"/>
      <c r="Q440" s="37"/>
      <c r="R440" s="76"/>
      <c r="S440" s="24"/>
      <c r="T440" s="76"/>
      <c r="U440" s="37"/>
      <c r="V440" s="24"/>
      <c r="W440" s="24"/>
      <c r="X440" s="37"/>
      <c r="Y440" s="24"/>
      <c r="Z440" s="24"/>
      <c r="AA440" s="24"/>
      <c r="AB440" s="23"/>
      <c r="AC440" s="24"/>
      <c r="AD440" s="24"/>
      <c r="AE440" s="24"/>
      <c r="AF440" s="24"/>
      <c r="AG440" s="37"/>
      <c r="AH440" s="37"/>
      <c r="AI440" s="26" t="s">
        <v>644</v>
      </c>
      <c r="AJ440" s="76" t="s">
        <v>644</v>
      </c>
      <c r="AK440" s="37"/>
      <c r="AL440" s="23">
        <v>5</v>
      </c>
      <c r="AM440" s="37" t="s">
        <v>644</v>
      </c>
      <c r="AN440" s="24">
        <v>4</v>
      </c>
      <c r="AO440" s="76" t="s">
        <v>644</v>
      </c>
      <c r="AP440" s="24"/>
      <c r="AQ440" s="24">
        <v>5</v>
      </c>
      <c r="AR440" s="24">
        <v>4</v>
      </c>
      <c r="AS440" s="24"/>
      <c r="AT440" s="24"/>
      <c r="AU440">
        <f>E440 +F440</f>
        <v>8</v>
      </c>
    </row>
    <row r="441" spans="1:47" x14ac:dyDescent="0.25">
      <c r="A441" t="str">
        <f>B441 &amp; " - " &amp;D441</f>
        <v>SR - Peuget</v>
      </c>
      <c r="B441" t="s">
        <v>933</v>
      </c>
      <c r="C441" s="67" t="s">
        <v>654</v>
      </c>
      <c r="D441" s="85" t="s">
        <v>928</v>
      </c>
      <c r="E441" s="69">
        <v>8</v>
      </c>
      <c r="F441" s="115">
        <v>4</v>
      </c>
      <c r="G441" s="68"/>
      <c r="H441" s="72">
        <f>AVERAGE(J441,L441,I441,M441,O441,R441,T441,X441,Z441)</f>
        <v>4.666666666666667</v>
      </c>
      <c r="I441" s="48">
        <v>4</v>
      </c>
      <c r="J441" s="37">
        <v>5</v>
      </c>
      <c r="K441" s="37"/>
      <c r="L441" s="37">
        <v>5</v>
      </c>
      <c r="M441" s="24">
        <v>4</v>
      </c>
      <c r="N441" s="24"/>
      <c r="O441" s="24">
        <v>5</v>
      </c>
      <c r="P441" s="24"/>
      <c r="Q441" s="24"/>
      <c r="R441" s="24">
        <v>5</v>
      </c>
      <c r="S441" s="24"/>
      <c r="T441" s="24">
        <v>5</v>
      </c>
      <c r="U441" s="24"/>
      <c r="V441" s="24"/>
      <c r="W441" s="37" t="s">
        <v>644</v>
      </c>
      <c r="X441" s="24">
        <v>5</v>
      </c>
      <c r="Y441" s="37" t="s">
        <v>644</v>
      </c>
      <c r="Z441" s="24">
        <v>4</v>
      </c>
      <c r="AA441" s="24"/>
      <c r="AB441" s="24"/>
      <c r="AC441" s="37" t="s">
        <v>644</v>
      </c>
      <c r="AD441" s="24"/>
      <c r="AE441" s="24"/>
      <c r="AF441" s="24"/>
      <c r="AG441" s="24"/>
      <c r="AH441" s="24"/>
      <c r="AI441" s="26"/>
      <c r="AJ441" s="37"/>
      <c r="AK441" s="37"/>
      <c r="AL441" s="24"/>
      <c r="AM441" s="37"/>
      <c r="AN441" s="24"/>
      <c r="AO441" s="24"/>
      <c r="AP441" s="22"/>
      <c r="AQ441" s="24"/>
      <c r="AR441" s="24"/>
      <c r="AS441" s="24"/>
      <c r="AT441" s="24"/>
      <c r="AU441">
        <f>E441 +F441</f>
        <v>12</v>
      </c>
    </row>
    <row r="442" spans="1:47" x14ac:dyDescent="0.25">
      <c r="A442" t="str">
        <f>B442 &amp; " - " &amp;D442</f>
        <v>SR - Charbonnier</v>
      </c>
      <c r="B442" t="s">
        <v>933</v>
      </c>
      <c r="C442" s="29" t="s">
        <v>665</v>
      </c>
      <c r="D442" s="30" t="s">
        <v>929</v>
      </c>
      <c r="E442" s="31">
        <v>16</v>
      </c>
      <c r="F442" s="99">
        <v>6</v>
      </c>
      <c r="G442" s="73">
        <v>4</v>
      </c>
      <c r="H442" s="34">
        <f>AVERAGE(L442,O442,U442,AC442,AD442,AF442,AG442,AH442,AJ442,AK442,AL442,AM442,AN442,AQ442,AR442,AT442)</f>
        <v>5</v>
      </c>
      <c r="I442" s="87" t="s">
        <v>644</v>
      </c>
      <c r="J442" s="37"/>
      <c r="K442" s="79"/>
      <c r="L442" s="75">
        <v>7</v>
      </c>
      <c r="M442" s="79" t="s">
        <v>644</v>
      </c>
      <c r="N442" s="24"/>
      <c r="O442" s="24">
        <v>5</v>
      </c>
      <c r="P442" s="24"/>
      <c r="Q442" s="24"/>
      <c r="R442" s="24"/>
      <c r="S442" s="37" t="s">
        <v>644</v>
      </c>
      <c r="T442" s="24"/>
      <c r="U442" s="24">
        <v>5</v>
      </c>
      <c r="V442" s="24"/>
      <c r="W442" s="24"/>
      <c r="X442" s="24"/>
      <c r="Y442" s="22"/>
      <c r="Z442" s="24"/>
      <c r="AA442" s="22"/>
      <c r="AB442" s="24"/>
      <c r="AC442" s="23">
        <v>5</v>
      </c>
      <c r="AD442" s="82">
        <v>3</v>
      </c>
      <c r="AE442" s="37" t="s">
        <v>644</v>
      </c>
      <c r="AF442" s="25">
        <v>7</v>
      </c>
      <c r="AG442" s="24">
        <v>5</v>
      </c>
      <c r="AH442" s="82">
        <v>3</v>
      </c>
      <c r="AI442" s="28"/>
      <c r="AJ442" s="22">
        <v>6</v>
      </c>
      <c r="AK442" s="37">
        <v>4</v>
      </c>
      <c r="AL442" s="22">
        <v>6</v>
      </c>
      <c r="AM442" s="24">
        <v>4</v>
      </c>
      <c r="AN442" s="24">
        <v>4</v>
      </c>
      <c r="AO442" s="37"/>
      <c r="AP442" s="76" t="s">
        <v>644</v>
      </c>
      <c r="AQ442" s="24">
        <v>5</v>
      </c>
      <c r="AR442" s="37">
        <v>4</v>
      </c>
      <c r="AS442" s="76" t="s">
        <v>644</v>
      </c>
      <c r="AT442" s="66">
        <v>7</v>
      </c>
      <c r="AU442">
        <f>E442 +F442</f>
        <v>22</v>
      </c>
    </row>
    <row r="443" spans="1:47" x14ac:dyDescent="0.25">
      <c r="A443" t="str">
        <f>B443 &amp; " - " &amp;D443</f>
        <v>SR - N'Gog</v>
      </c>
      <c r="B443" t="s">
        <v>933</v>
      </c>
      <c r="C443" s="146" t="s">
        <v>665</v>
      </c>
      <c r="D443" s="154" t="s">
        <v>930</v>
      </c>
      <c r="E443" s="148">
        <v>11</v>
      </c>
      <c r="F443" s="142">
        <v>5</v>
      </c>
      <c r="G443" s="49">
        <v>3</v>
      </c>
      <c r="H443" s="34">
        <f>AVERAGE(J443,K443,I443,P443,Q443,V443,W443,X443,Y443,Z443,AA443)</f>
        <v>4.4545454545454541</v>
      </c>
      <c r="I443" s="87">
        <v>4</v>
      </c>
      <c r="J443" s="37">
        <v>4</v>
      </c>
      <c r="K443" s="37">
        <v>4</v>
      </c>
      <c r="L443" s="77"/>
      <c r="M443" s="22"/>
      <c r="N443" s="24"/>
      <c r="O443" s="24"/>
      <c r="P443" s="22">
        <v>5</v>
      </c>
      <c r="Q443" s="24">
        <v>4</v>
      </c>
      <c r="R443" s="24"/>
      <c r="S443" s="24"/>
      <c r="T443" s="24"/>
      <c r="U443" s="37" t="s">
        <v>644</v>
      </c>
      <c r="V443" s="24">
        <v>4</v>
      </c>
      <c r="W443" s="23">
        <v>5</v>
      </c>
      <c r="X443" s="75">
        <v>7</v>
      </c>
      <c r="Y443" s="24">
        <v>4</v>
      </c>
      <c r="Z443" s="24">
        <v>4</v>
      </c>
      <c r="AA443" s="24">
        <v>4</v>
      </c>
      <c r="AB443" s="37" t="s">
        <v>644</v>
      </c>
      <c r="AC443" s="24"/>
      <c r="AD443" s="37" t="s">
        <v>644</v>
      </c>
      <c r="AE443" s="24"/>
      <c r="AF443" s="37"/>
      <c r="AG443" s="77"/>
      <c r="AH443" s="37"/>
      <c r="AI443" s="27"/>
      <c r="AJ443" s="76" t="s">
        <v>644</v>
      </c>
      <c r="AK443" s="37"/>
      <c r="AL443" s="24"/>
      <c r="AM443" s="37"/>
      <c r="AN443" s="24"/>
      <c r="AO443" s="76" t="s">
        <v>644</v>
      </c>
      <c r="AP443" s="37"/>
      <c r="AQ443" s="24"/>
      <c r="AR443" s="22"/>
      <c r="AS443" s="24"/>
      <c r="AT443" s="24"/>
      <c r="AU443">
        <f>E443 +F443</f>
        <v>16</v>
      </c>
    </row>
    <row r="444" spans="1:47" x14ac:dyDescent="0.25">
      <c r="A444" t="str">
        <f>B444 &amp; " - " &amp;D444</f>
        <v>ESTAC - Nivet</v>
      </c>
      <c r="B444" t="s">
        <v>1034</v>
      </c>
      <c r="C444" s="29" t="s">
        <v>654</v>
      </c>
      <c r="D444" s="154" t="s">
        <v>1024</v>
      </c>
      <c r="E444" s="31">
        <v>27</v>
      </c>
      <c r="F444" s="99">
        <v>7</v>
      </c>
      <c r="G444" s="73">
        <v>3</v>
      </c>
      <c r="H444" s="34">
        <f>AVERAGE(L444,M444,I444,P444,Q444,R444,S444,T444,U444,V444,W444,Y444,AB444,AE444,AG444,AH444,AI444,AK444,AL444,AM444,AN444,AO444,AP444,AR444,AS444,AT444)</f>
        <v>4.9615384615384617</v>
      </c>
      <c r="I444" s="87">
        <v>5</v>
      </c>
      <c r="J444" s="24"/>
      <c r="K444" s="37" t="s">
        <v>644</v>
      </c>
      <c r="L444" s="37">
        <v>5</v>
      </c>
      <c r="M444" s="37">
        <v>4</v>
      </c>
      <c r="N444" s="37" t="s">
        <v>644</v>
      </c>
      <c r="O444" s="37" t="s">
        <v>644</v>
      </c>
      <c r="P444" s="37">
        <v>5</v>
      </c>
      <c r="Q444" s="37">
        <v>5</v>
      </c>
      <c r="R444" s="37">
        <v>5</v>
      </c>
      <c r="S444" s="24">
        <v>4</v>
      </c>
      <c r="T444" s="24">
        <v>4</v>
      </c>
      <c r="U444" s="25">
        <v>7</v>
      </c>
      <c r="V444" s="37">
        <v>5</v>
      </c>
      <c r="W444" s="37">
        <v>4</v>
      </c>
      <c r="X444" s="37" t="s">
        <v>644</v>
      </c>
      <c r="Y444" s="37">
        <v>5</v>
      </c>
      <c r="Z444" s="24" t="s">
        <v>673</v>
      </c>
      <c r="AA444" s="24"/>
      <c r="AB444" s="24">
        <v>4</v>
      </c>
      <c r="AC444" s="37" t="s">
        <v>644</v>
      </c>
      <c r="AD444" s="37" t="s">
        <v>644</v>
      </c>
      <c r="AE444" s="37">
        <v>4</v>
      </c>
      <c r="AF444" s="76" t="s">
        <v>644</v>
      </c>
      <c r="AG444" s="24">
        <v>5</v>
      </c>
      <c r="AH444" s="84">
        <v>7</v>
      </c>
      <c r="AI444" s="27">
        <v>6</v>
      </c>
      <c r="AJ444" s="37"/>
      <c r="AK444" s="24">
        <v>5</v>
      </c>
      <c r="AL444" s="166">
        <v>2</v>
      </c>
      <c r="AM444" s="76">
        <v>6</v>
      </c>
      <c r="AN444" s="37">
        <v>6</v>
      </c>
      <c r="AO444" s="37">
        <v>5</v>
      </c>
      <c r="AP444" s="22">
        <v>6</v>
      </c>
      <c r="AQ444" s="37"/>
      <c r="AR444" s="77">
        <v>5</v>
      </c>
      <c r="AS444" s="24">
        <v>4</v>
      </c>
      <c r="AT444" s="37">
        <v>6</v>
      </c>
      <c r="AU444">
        <f>E444 +F444</f>
        <v>34</v>
      </c>
    </row>
    <row r="445" spans="1:47" x14ac:dyDescent="0.25">
      <c r="A445" t="str">
        <f>B445 &amp; " - " &amp;D445</f>
        <v>OGCN - Le Marchand</v>
      </c>
      <c r="B445" t="s">
        <v>728</v>
      </c>
      <c r="C445" s="29" t="s">
        <v>641</v>
      </c>
      <c r="D445" s="176" t="s">
        <v>710</v>
      </c>
      <c r="E445" s="31">
        <v>26</v>
      </c>
      <c r="F445" s="99"/>
      <c r="G445" s="73">
        <v>1</v>
      </c>
      <c r="H445" s="34">
        <f>AVERAGE(J445,I445,P445,R445,T445,U445,V445,W445,X445,Y445,Z445,AA445,AD445,AE445,AF445,AG445,AH445,AI445,AJ445,AL445,AM445,AN445,AO445,AP445,AQ445)</f>
        <v>4.96</v>
      </c>
      <c r="I445" s="38">
        <v>5</v>
      </c>
      <c r="J445" s="143">
        <v>6</v>
      </c>
      <c r="K445" s="24"/>
      <c r="L445" s="24"/>
      <c r="M445" s="24"/>
      <c r="N445" s="37"/>
      <c r="O445" s="24"/>
      <c r="P445" s="82">
        <v>3</v>
      </c>
      <c r="Q445" s="24"/>
      <c r="R445" s="24">
        <v>5</v>
      </c>
      <c r="S445" s="24"/>
      <c r="T445" s="24">
        <v>5</v>
      </c>
      <c r="U445" s="24">
        <v>5</v>
      </c>
      <c r="V445" s="24">
        <v>5</v>
      </c>
      <c r="W445" s="24">
        <v>5</v>
      </c>
      <c r="X445" s="24">
        <v>6</v>
      </c>
      <c r="Y445" s="24">
        <v>5</v>
      </c>
      <c r="Z445" s="24">
        <v>6</v>
      </c>
      <c r="AA445" s="24">
        <v>5</v>
      </c>
      <c r="AB445" s="24"/>
      <c r="AC445" s="24"/>
      <c r="AD445" s="24">
        <v>5</v>
      </c>
      <c r="AE445" s="24">
        <v>5</v>
      </c>
      <c r="AF445" s="24">
        <v>6</v>
      </c>
      <c r="AG445" s="24">
        <v>5</v>
      </c>
      <c r="AH445" s="24">
        <v>5</v>
      </c>
      <c r="AI445" s="27">
        <v>5</v>
      </c>
      <c r="AJ445" s="166">
        <v>3</v>
      </c>
      <c r="AK445" s="24"/>
      <c r="AL445" s="24">
        <v>5</v>
      </c>
      <c r="AM445" s="24">
        <v>6</v>
      </c>
      <c r="AN445" s="82">
        <v>3</v>
      </c>
      <c r="AO445" s="24">
        <v>5</v>
      </c>
      <c r="AP445" s="24">
        <v>4</v>
      </c>
      <c r="AQ445" s="24">
        <v>6</v>
      </c>
      <c r="AR445" s="24"/>
      <c r="AS445" s="24" t="s">
        <v>673</v>
      </c>
      <c r="AT445" s="24"/>
      <c r="AU445">
        <f>E445 +F445</f>
        <v>26</v>
      </c>
    </row>
    <row r="446" spans="1:47" x14ac:dyDescent="0.25">
      <c r="A446" t="str">
        <f>B446 &amp; " - " &amp;D446</f>
        <v>SR - Kyei</v>
      </c>
      <c r="B446" t="s">
        <v>933</v>
      </c>
      <c r="C446" s="29" t="s">
        <v>665</v>
      </c>
      <c r="D446" s="60" t="s">
        <v>931</v>
      </c>
      <c r="E446" s="31">
        <v>7</v>
      </c>
      <c r="F446" s="99">
        <v>9</v>
      </c>
      <c r="G446" s="73">
        <v>3</v>
      </c>
      <c r="H446" s="34">
        <f>AVERAGE(L446,M446,N446,R446,S446,AS446,AT446)</f>
        <v>4.8571428571428568</v>
      </c>
      <c r="I446" s="87" t="s">
        <v>644</v>
      </c>
      <c r="J446" s="76" t="s">
        <v>644</v>
      </c>
      <c r="K446" s="79" t="s">
        <v>644</v>
      </c>
      <c r="L446" s="127">
        <v>7</v>
      </c>
      <c r="M446" s="24">
        <v>5</v>
      </c>
      <c r="N446" s="23">
        <v>4</v>
      </c>
      <c r="O446" s="24"/>
      <c r="P446" s="24"/>
      <c r="Q446" s="37" t="s">
        <v>644</v>
      </c>
      <c r="R446" s="37">
        <v>4</v>
      </c>
      <c r="S446" s="76">
        <v>4</v>
      </c>
      <c r="T446" s="76" t="s">
        <v>644</v>
      </c>
      <c r="U446" s="77" t="s">
        <v>644</v>
      </c>
      <c r="V446" s="24"/>
      <c r="W446" s="77"/>
      <c r="X446" s="22"/>
      <c r="Y446" s="37"/>
      <c r="Z446" s="24"/>
      <c r="AA446" s="24"/>
      <c r="AB446" s="24"/>
      <c r="AC446" s="24"/>
      <c r="AD446" s="24"/>
      <c r="AE446" s="37"/>
      <c r="AF446" s="22"/>
      <c r="AG446" s="37"/>
      <c r="AH446" s="24"/>
      <c r="AI446" s="27"/>
      <c r="AJ446" s="24"/>
      <c r="AK446" s="37"/>
      <c r="AL446" s="24"/>
      <c r="AM446" s="23"/>
      <c r="AN446" s="37" t="s">
        <v>644</v>
      </c>
      <c r="AO446" s="24"/>
      <c r="AP446" s="24"/>
      <c r="AQ446" s="37" t="s">
        <v>644</v>
      </c>
      <c r="AR446" s="37" t="s">
        <v>644</v>
      </c>
      <c r="AS446" s="37">
        <v>4</v>
      </c>
      <c r="AT446" s="77">
        <v>6</v>
      </c>
      <c r="AU446">
        <f>E446 +F446</f>
        <v>16</v>
      </c>
    </row>
    <row r="447" spans="1:47" x14ac:dyDescent="0.25">
      <c r="A447" t="str">
        <f>B447 &amp; " - " &amp;D447</f>
        <v>SR - Maanane</v>
      </c>
      <c r="B447" t="s">
        <v>933</v>
      </c>
      <c r="C447" s="29" t="s">
        <v>665</v>
      </c>
      <c r="D447" s="176" t="s">
        <v>932</v>
      </c>
      <c r="E447" s="31"/>
      <c r="F447" s="99">
        <v>1</v>
      </c>
      <c r="G447" s="73"/>
      <c r="H447" s="34"/>
      <c r="I447" s="87"/>
      <c r="J447" s="76"/>
      <c r="K447" s="79"/>
      <c r="L447" s="24"/>
      <c r="M447" s="24"/>
      <c r="N447" s="23"/>
      <c r="O447" s="24"/>
      <c r="P447" s="24"/>
      <c r="Q447" s="37"/>
      <c r="R447" s="37"/>
      <c r="S447" s="76"/>
      <c r="T447" s="76"/>
      <c r="U447" s="77"/>
      <c r="V447" s="24"/>
      <c r="W447" s="77"/>
      <c r="X447" s="22"/>
      <c r="Y447" s="37"/>
      <c r="Z447" s="37" t="s">
        <v>644</v>
      </c>
      <c r="AA447" s="24"/>
      <c r="AB447" s="24"/>
      <c r="AC447" s="24"/>
      <c r="AD447" s="24"/>
      <c r="AE447" s="37"/>
      <c r="AF447" s="22"/>
      <c r="AG447" s="37"/>
      <c r="AH447" s="24"/>
      <c r="AI447" s="27"/>
      <c r="AJ447" s="24"/>
      <c r="AK447" s="37"/>
      <c r="AL447" s="24"/>
      <c r="AM447" s="23"/>
      <c r="AN447" s="37"/>
      <c r="AO447" s="24"/>
      <c r="AP447" s="24"/>
      <c r="AQ447" s="24"/>
      <c r="AR447" s="24"/>
      <c r="AS447" s="37"/>
      <c r="AT447" s="77"/>
      <c r="AU447">
        <f>E447 +F447</f>
        <v>1</v>
      </c>
    </row>
    <row r="448" spans="1:47" ht="15.75" thickBot="1" x14ac:dyDescent="0.3">
      <c r="A448" t="str">
        <f>B448 &amp; " - " &amp;D448</f>
        <v>SR - Bifouma</v>
      </c>
      <c r="B448" t="s">
        <v>933</v>
      </c>
      <c r="C448" s="88" t="s">
        <v>665</v>
      </c>
      <c r="D448" s="203" t="s">
        <v>1099</v>
      </c>
      <c r="E448" s="90">
        <v>10</v>
      </c>
      <c r="F448" s="119">
        <v>4</v>
      </c>
      <c r="G448" s="89">
        <v>4</v>
      </c>
      <c r="H448" s="120">
        <f>AVERAGE(AF448,AG448,AH448,AI448,AJ448,AK448,AL448,AM448,AN448,AO448,AP448)</f>
        <v>4.5454545454545459</v>
      </c>
      <c r="I448" s="87"/>
      <c r="J448" s="76"/>
      <c r="K448" s="79"/>
      <c r="L448" s="24"/>
      <c r="M448" s="24"/>
      <c r="N448" s="23"/>
      <c r="O448" s="24"/>
      <c r="P448" s="24"/>
      <c r="Q448" s="37"/>
      <c r="R448" s="37"/>
      <c r="S448" s="76"/>
      <c r="T448" s="76"/>
      <c r="U448" s="77"/>
      <c r="V448" s="24"/>
      <c r="W448" s="77"/>
      <c r="X448" s="22"/>
      <c r="Y448" s="37"/>
      <c r="Z448" s="37"/>
      <c r="AA448" s="24"/>
      <c r="AB448" s="24"/>
      <c r="AC448" s="24"/>
      <c r="AD448" s="24"/>
      <c r="AE448" s="37" t="s">
        <v>644</v>
      </c>
      <c r="AF448" s="23">
        <v>4</v>
      </c>
      <c r="AG448" s="77">
        <v>6</v>
      </c>
      <c r="AH448" s="37">
        <v>4</v>
      </c>
      <c r="AI448" s="237">
        <v>3</v>
      </c>
      <c r="AJ448" s="25">
        <v>8</v>
      </c>
      <c r="AK448" s="166">
        <v>3</v>
      </c>
      <c r="AL448" s="24">
        <v>4</v>
      </c>
      <c r="AM448" s="23">
        <v>4</v>
      </c>
      <c r="AN448" s="37">
        <v>4</v>
      </c>
      <c r="AO448" s="24">
        <v>4</v>
      </c>
      <c r="AP448" s="22">
        <v>6</v>
      </c>
      <c r="AQ448" s="24"/>
      <c r="AR448" s="77" t="s">
        <v>644</v>
      </c>
      <c r="AS448" s="37" t="s">
        <v>644</v>
      </c>
      <c r="AT448" s="77"/>
      <c r="AU448">
        <f>E448 +F448</f>
        <v>14</v>
      </c>
    </row>
    <row r="449" spans="1:47" x14ac:dyDescent="0.25">
      <c r="A449" t="str">
        <f>B449 &amp; " - " &amp;D449</f>
        <v>FCN - Dupé</v>
      </c>
      <c r="B449" t="s">
        <v>955</v>
      </c>
      <c r="C449" s="16" t="s">
        <v>638</v>
      </c>
      <c r="D449" s="17" t="s">
        <v>934</v>
      </c>
      <c r="E449" s="18">
        <v>7</v>
      </c>
      <c r="F449" s="95"/>
      <c r="G449" s="158"/>
      <c r="H449" s="20">
        <f>AVERAGE(M449,X449,Y449,AO449,AP449,AQ449,AT449)</f>
        <v>5.7142857142857144</v>
      </c>
      <c r="I449" s="175"/>
      <c r="J449" s="36"/>
      <c r="K449" s="37"/>
      <c r="L449" s="22"/>
      <c r="M449" s="24">
        <v>6</v>
      </c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5">
        <v>7</v>
      </c>
      <c r="Y449" s="24">
        <v>6</v>
      </c>
      <c r="Z449" s="24"/>
      <c r="AA449" s="24"/>
      <c r="AB449" s="24"/>
      <c r="AC449" s="24"/>
      <c r="AD449" s="24"/>
      <c r="AE449" s="37"/>
      <c r="AF449" s="27"/>
      <c r="AG449" s="26"/>
      <c r="AH449" s="87"/>
      <c r="AI449" s="24"/>
      <c r="AJ449" s="37"/>
      <c r="AK449" s="24"/>
      <c r="AL449" s="24"/>
      <c r="AM449" s="24"/>
      <c r="AN449" s="24"/>
      <c r="AO449" s="24">
        <v>5</v>
      </c>
      <c r="AP449" s="24">
        <v>5</v>
      </c>
      <c r="AQ449" s="24">
        <v>5</v>
      </c>
      <c r="AR449" s="24"/>
      <c r="AS449" s="24"/>
      <c r="AT449" s="24">
        <v>6</v>
      </c>
      <c r="AU449">
        <f>E449 +F449</f>
        <v>7</v>
      </c>
    </row>
    <row r="450" spans="1:47" x14ac:dyDescent="0.25">
      <c r="A450" t="str">
        <f>B450 &amp; " - " &amp;D450</f>
        <v>TFC - Trejo</v>
      </c>
      <c r="B450" t="s">
        <v>868</v>
      </c>
      <c r="C450" s="67" t="s">
        <v>654</v>
      </c>
      <c r="D450" s="162" t="s">
        <v>860</v>
      </c>
      <c r="E450" s="69">
        <v>23</v>
      </c>
      <c r="F450" s="115">
        <v>10</v>
      </c>
      <c r="G450" s="68">
        <v>3</v>
      </c>
      <c r="H450" s="72">
        <f>AVERAGE(AA450,Y450,J450,K450,L450,M450,N450,R450,S450,T450,U450,V450,W450,X450,Z450,AB450,AC450,AD450,AF450,AG450,AE450,AH450,AI450,AJ450)</f>
        <v>4.958333333333333</v>
      </c>
      <c r="I450" s="87" t="s">
        <v>644</v>
      </c>
      <c r="J450" s="37">
        <v>4</v>
      </c>
      <c r="K450" s="74">
        <v>5</v>
      </c>
      <c r="L450" s="74">
        <v>5</v>
      </c>
      <c r="M450" s="37">
        <v>4</v>
      </c>
      <c r="N450" s="37">
        <v>6</v>
      </c>
      <c r="O450" s="37"/>
      <c r="P450" s="37"/>
      <c r="Q450" s="24"/>
      <c r="R450" s="75">
        <v>8</v>
      </c>
      <c r="S450" s="24">
        <v>4</v>
      </c>
      <c r="T450" s="37">
        <v>5</v>
      </c>
      <c r="U450" s="166">
        <v>2</v>
      </c>
      <c r="V450" s="24">
        <v>5</v>
      </c>
      <c r="W450" s="24">
        <v>6</v>
      </c>
      <c r="X450" s="66">
        <v>7</v>
      </c>
      <c r="Y450" s="66">
        <v>7</v>
      </c>
      <c r="Z450" s="24">
        <v>5</v>
      </c>
      <c r="AA450" s="24">
        <v>5</v>
      </c>
      <c r="AB450" s="24">
        <v>6</v>
      </c>
      <c r="AC450" s="24">
        <v>4</v>
      </c>
      <c r="AD450" s="82">
        <v>2</v>
      </c>
      <c r="AE450" s="76">
        <v>5</v>
      </c>
      <c r="AF450" s="27">
        <v>5</v>
      </c>
      <c r="AG450" s="142">
        <v>6</v>
      </c>
      <c r="AH450" s="38">
        <v>4</v>
      </c>
      <c r="AI450" s="24">
        <v>5</v>
      </c>
      <c r="AJ450" s="24">
        <v>4</v>
      </c>
      <c r="AK450" s="37" t="s">
        <v>644</v>
      </c>
      <c r="AL450" s="77" t="s">
        <v>644</v>
      </c>
      <c r="AM450" s="24"/>
      <c r="AN450" s="76" t="s">
        <v>644</v>
      </c>
      <c r="AO450" s="77" t="s">
        <v>644</v>
      </c>
      <c r="AP450" s="37" t="s">
        <v>644</v>
      </c>
      <c r="AQ450" s="37" t="s">
        <v>644</v>
      </c>
      <c r="AR450" s="22"/>
      <c r="AS450" s="37" t="s">
        <v>644</v>
      </c>
      <c r="AT450" s="76" t="s">
        <v>644</v>
      </c>
      <c r="AU450">
        <f>E450 +F450</f>
        <v>33</v>
      </c>
    </row>
    <row r="451" spans="1:47" x14ac:dyDescent="0.25">
      <c r="A451" t="str">
        <f>B451 &amp; " - " &amp;D451</f>
        <v>FCN - Djidji</v>
      </c>
      <c r="B451" t="s">
        <v>955</v>
      </c>
      <c r="C451" s="29" t="s">
        <v>641</v>
      </c>
      <c r="D451" s="30" t="s">
        <v>935</v>
      </c>
      <c r="E451" s="31">
        <v>20</v>
      </c>
      <c r="F451" s="99">
        <v>2</v>
      </c>
      <c r="G451" s="114"/>
      <c r="H451" s="34">
        <f>AVERAGE(J451,K451,L451,I451,M451,N451,R451,V451,X451,Z451,AA451,AB451,AC451,AD451,AL451,AP451,AQ451,AR451,AS451,AT451)</f>
        <v>5.05</v>
      </c>
      <c r="I451" s="87">
        <v>5</v>
      </c>
      <c r="J451" s="66">
        <v>7</v>
      </c>
      <c r="K451" s="37">
        <v>6</v>
      </c>
      <c r="L451" s="24">
        <v>5</v>
      </c>
      <c r="M451" s="24">
        <v>5</v>
      </c>
      <c r="N451" s="24">
        <v>5</v>
      </c>
      <c r="O451" s="37" t="s">
        <v>644</v>
      </c>
      <c r="P451" s="24"/>
      <c r="Q451" s="24"/>
      <c r="R451" s="24">
        <v>5</v>
      </c>
      <c r="S451" s="24"/>
      <c r="T451" s="24"/>
      <c r="U451" s="24"/>
      <c r="V451" s="24">
        <v>5</v>
      </c>
      <c r="W451" s="24"/>
      <c r="X451" s="24">
        <v>6</v>
      </c>
      <c r="Y451" s="24"/>
      <c r="Z451" s="24">
        <v>5</v>
      </c>
      <c r="AA451" s="24">
        <v>5</v>
      </c>
      <c r="AB451" s="24">
        <v>5</v>
      </c>
      <c r="AC451" s="24">
        <v>5</v>
      </c>
      <c r="AD451" s="24">
        <v>5</v>
      </c>
      <c r="AE451" s="37"/>
      <c r="AF451" s="27"/>
      <c r="AG451" s="26"/>
      <c r="AH451" s="87"/>
      <c r="AI451" s="37" t="s">
        <v>644</v>
      </c>
      <c r="AJ451" s="37"/>
      <c r="AK451" s="24"/>
      <c r="AL451" s="37">
        <v>5</v>
      </c>
      <c r="AM451" s="24"/>
      <c r="AN451" s="24"/>
      <c r="AO451" s="24"/>
      <c r="AP451" s="24">
        <v>4</v>
      </c>
      <c r="AQ451" s="24">
        <v>4</v>
      </c>
      <c r="AR451" s="24">
        <v>6</v>
      </c>
      <c r="AS451" s="24">
        <v>5</v>
      </c>
      <c r="AT451" s="82">
        <v>3</v>
      </c>
      <c r="AU451">
        <f>E451 +F451</f>
        <v>22</v>
      </c>
    </row>
    <row r="452" spans="1:47" x14ac:dyDescent="0.25">
      <c r="A452" t="str">
        <f>B452 &amp; " - " &amp;D452</f>
        <v>FCN - N'Dongala</v>
      </c>
      <c r="B452" t="s">
        <v>955</v>
      </c>
      <c r="C452" s="29" t="s">
        <v>641</v>
      </c>
      <c r="D452" s="30" t="s">
        <v>936</v>
      </c>
      <c r="E452" s="31"/>
      <c r="F452" s="99"/>
      <c r="G452" s="73"/>
      <c r="H452" s="34"/>
      <c r="I452" s="87"/>
      <c r="J452" s="24"/>
      <c r="K452" s="79"/>
      <c r="L452" s="24"/>
      <c r="M452" s="36"/>
      <c r="N452" s="24"/>
      <c r="O452" s="24"/>
      <c r="P452" s="24"/>
      <c r="Q452" s="37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37"/>
      <c r="AF452" s="27"/>
      <c r="AG452" s="26"/>
      <c r="AH452" s="87"/>
      <c r="AI452" s="24"/>
      <c r="AJ452" s="37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>
        <f>E452 +F452</f>
        <v>0</v>
      </c>
    </row>
    <row r="453" spans="1:47" x14ac:dyDescent="0.25">
      <c r="A453" t="str">
        <f>B453 &amp; " - " &amp;D453</f>
        <v>MHSC - Ninga</v>
      </c>
      <c r="B453" t="s">
        <v>838</v>
      </c>
      <c r="C453" s="146" t="s">
        <v>665</v>
      </c>
      <c r="D453" s="65" t="s">
        <v>836</v>
      </c>
      <c r="E453" s="148">
        <v>20</v>
      </c>
      <c r="F453" s="142">
        <v>6</v>
      </c>
      <c r="G453" s="49">
        <v>7</v>
      </c>
      <c r="H453" s="34">
        <f>AVERAGE(R453,S453,T453,U453,V453,W453,X453,Y453,Z453,AA453,AB453,AC453,AD453,AG453,AI453,AJ453,AK453,AO453,AQ453,AP453,AR453,AS453,AT453)</f>
        <v>4.9565217391304346</v>
      </c>
      <c r="I453" s="170"/>
      <c r="J453" s="37"/>
      <c r="K453" s="77"/>
      <c r="L453" s="37"/>
      <c r="M453" s="37"/>
      <c r="N453" s="37"/>
      <c r="O453" s="37"/>
      <c r="P453" s="23"/>
      <c r="Q453" s="24"/>
      <c r="R453" s="24">
        <v>4</v>
      </c>
      <c r="S453" s="77">
        <v>6</v>
      </c>
      <c r="T453" s="166">
        <v>3</v>
      </c>
      <c r="U453" s="37">
        <v>5</v>
      </c>
      <c r="V453" s="23">
        <v>4</v>
      </c>
      <c r="W453" s="25">
        <v>8</v>
      </c>
      <c r="X453" s="24">
        <v>4</v>
      </c>
      <c r="Y453" s="75">
        <v>8</v>
      </c>
      <c r="Z453" s="22">
        <v>5</v>
      </c>
      <c r="AA453" s="37">
        <v>5</v>
      </c>
      <c r="AB453" s="37">
        <v>4</v>
      </c>
      <c r="AC453" s="37">
        <v>4</v>
      </c>
      <c r="AD453" s="166">
        <v>3</v>
      </c>
      <c r="AE453" s="37" t="s">
        <v>644</v>
      </c>
      <c r="AF453" s="37"/>
      <c r="AG453" s="37">
        <v>6</v>
      </c>
      <c r="AH453" s="76" t="s">
        <v>644</v>
      </c>
      <c r="AI453" s="37">
        <v>4</v>
      </c>
      <c r="AJ453" s="37">
        <v>5</v>
      </c>
      <c r="AK453" s="37">
        <v>5</v>
      </c>
      <c r="AL453" s="37" t="s">
        <v>644</v>
      </c>
      <c r="AM453" s="24"/>
      <c r="AN453" s="37"/>
      <c r="AO453" s="166">
        <v>3</v>
      </c>
      <c r="AP453" s="37">
        <v>6</v>
      </c>
      <c r="AQ453" s="84">
        <v>7</v>
      </c>
      <c r="AR453" s="37">
        <v>4</v>
      </c>
      <c r="AS453" s="75">
        <v>7</v>
      </c>
      <c r="AT453" s="37">
        <v>4</v>
      </c>
      <c r="AU453">
        <f>E453 +F453</f>
        <v>26</v>
      </c>
    </row>
    <row r="454" spans="1:47" x14ac:dyDescent="0.25">
      <c r="A454" t="str">
        <f>B454 &amp; " - " &amp;D454</f>
        <v>FCN - Moimbé</v>
      </c>
      <c r="B454" t="s">
        <v>955</v>
      </c>
      <c r="C454" s="29" t="s">
        <v>641</v>
      </c>
      <c r="D454" s="65" t="s">
        <v>938</v>
      </c>
      <c r="E454" s="31">
        <v>15</v>
      </c>
      <c r="F454" s="99"/>
      <c r="G454" s="73"/>
      <c r="H454" s="34">
        <f>AVERAGE(P454,O454,R454,S454,T454,Q454,U454,V454,W454,AE454,AG454,AJ454,AK454,AL454,AN454)</f>
        <v>5.0666666666666664</v>
      </c>
      <c r="I454" s="170"/>
      <c r="J454" s="36"/>
      <c r="K454" s="79"/>
      <c r="L454" s="36"/>
      <c r="M454" s="24"/>
      <c r="N454" s="24"/>
      <c r="O454" s="24">
        <v>5</v>
      </c>
      <c r="P454" s="24">
        <v>5</v>
      </c>
      <c r="Q454" s="24">
        <v>5</v>
      </c>
      <c r="R454" s="24">
        <v>6</v>
      </c>
      <c r="S454" s="66">
        <v>7</v>
      </c>
      <c r="T454" s="24">
        <v>5</v>
      </c>
      <c r="U454" s="24">
        <v>5</v>
      </c>
      <c r="V454" s="24">
        <v>5</v>
      </c>
      <c r="W454" s="24">
        <v>5</v>
      </c>
      <c r="X454" s="24"/>
      <c r="Y454" s="24"/>
      <c r="Z454" s="24"/>
      <c r="AA454" s="24"/>
      <c r="AB454" s="24"/>
      <c r="AC454" s="24"/>
      <c r="AD454" s="24"/>
      <c r="AE454" s="24">
        <v>5</v>
      </c>
      <c r="AF454" s="24"/>
      <c r="AG454" s="24">
        <v>6</v>
      </c>
      <c r="AH454" s="27"/>
      <c r="AI454" s="24"/>
      <c r="AJ454" s="24">
        <v>5</v>
      </c>
      <c r="AK454" s="82">
        <v>3</v>
      </c>
      <c r="AL454" s="24">
        <v>5</v>
      </c>
      <c r="AM454" s="24"/>
      <c r="AN454" s="24">
        <v>4</v>
      </c>
      <c r="AO454" s="24"/>
      <c r="AP454" s="24"/>
      <c r="AQ454" s="24"/>
      <c r="AR454" s="37"/>
      <c r="AS454" s="24"/>
      <c r="AT454" s="24"/>
      <c r="AU454">
        <f>E454 +F454</f>
        <v>15</v>
      </c>
    </row>
    <row r="455" spans="1:47" x14ac:dyDescent="0.25">
      <c r="A455" t="str">
        <f>B455 &amp; " - " &amp;D455</f>
        <v>FCN - Kwateng</v>
      </c>
      <c r="B455" t="s">
        <v>955</v>
      </c>
      <c r="C455" s="29" t="s">
        <v>641</v>
      </c>
      <c r="D455" s="65" t="s">
        <v>939</v>
      </c>
      <c r="E455" s="31"/>
      <c r="F455" s="99">
        <v>2</v>
      </c>
      <c r="G455" s="73"/>
      <c r="H455" s="34"/>
      <c r="I455" s="170"/>
      <c r="J455" s="79" t="s">
        <v>644</v>
      </c>
      <c r="K455" s="79"/>
      <c r="L455" s="36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7"/>
      <c r="AI455" s="24"/>
      <c r="AJ455" s="24"/>
      <c r="AK455" s="24"/>
      <c r="AL455" s="24"/>
      <c r="AM455" s="24"/>
      <c r="AN455" s="24"/>
      <c r="AO455" s="24"/>
      <c r="AP455" s="24"/>
      <c r="AQ455" s="24"/>
      <c r="AR455" s="37"/>
      <c r="AS455" s="24"/>
      <c r="AT455" s="37" t="s">
        <v>644</v>
      </c>
      <c r="AU455">
        <f>E455 +F455</f>
        <v>2</v>
      </c>
    </row>
    <row r="456" spans="1:47" x14ac:dyDescent="0.25">
      <c r="A456" t="str">
        <f>B456 &amp; " - " &amp;D456</f>
        <v>FCN - Lenjani</v>
      </c>
      <c r="B456" t="s">
        <v>955</v>
      </c>
      <c r="C456" s="29" t="s">
        <v>641</v>
      </c>
      <c r="D456" s="154" t="s">
        <v>895</v>
      </c>
      <c r="E456" s="31">
        <v>15</v>
      </c>
      <c r="F456" s="99">
        <v>5</v>
      </c>
      <c r="G456" s="73">
        <v>1</v>
      </c>
      <c r="H456" s="34">
        <f>AVERAGE(K456,L456,N456,P456,W456,X456,Y456,AA456,AB456,AC456,AD456,AF456,AH456,AP456,AT456)</f>
        <v>4.8666666666666663</v>
      </c>
      <c r="I456" s="170"/>
      <c r="J456" s="36"/>
      <c r="K456" s="127">
        <v>7</v>
      </c>
      <c r="L456" s="218">
        <v>3</v>
      </c>
      <c r="M456" s="24"/>
      <c r="N456" s="24">
        <v>5</v>
      </c>
      <c r="O456" s="24"/>
      <c r="P456" s="24">
        <v>4</v>
      </c>
      <c r="Q456" s="24"/>
      <c r="R456" s="24"/>
      <c r="S456" s="37" t="s">
        <v>644</v>
      </c>
      <c r="T456" s="24"/>
      <c r="U456" s="24"/>
      <c r="V456" s="24"/>
      <c r="W456" s="24">
        <v>6</v>
      </c>
      <c r="X456" s="24">
        <v>5</v>
      </c>
      <c r="Y456" s="24">
        <v>4</v>
      </c>
      <c r="Z456" s="24"/>
      <c r="AA456" s="24">
        <v>5</v>
      </c>
      <c r="AB456" s="24">
        <v>6</v>
      </c>
      <c r="AC456" s="24">
        <v>4</v>
      </c>
      <c r="AD456" s="24">
        <v>6</v>
      </c>
      <c r="AE456" s="24"/>
      <c r="AF456" s="24">
        <v>6</v>
      </c>
      <c r="AG456" s="24"/>
      <c r="AH456" s="27">
        <v>5</v>
      </c>
      <c r="AI456" s="24"/>
      <c r="AJ456" s="24"/>
      <c r="AK456" s="24"/>
      <c r="AL456" s="24"/>
      <c r="AM456" s="24"/>
      <c r="AN456" s="37" t="s">
        <v>644</v>
      </c>
      <c r="AO456" s="37" t="s">
        <v>644</v>
      </c>
      <c r="AP456" s="24">
        <v>4</v>
      </c>
      <c r="AQ456" s="37" t="s">
        <v>644</v>
      </c>
      <c r="AR456" s="37"/>
      <c r="AS456" s="37" t="s">
        <v>644</v>
      </c>
      <c r="AT456" s="82">
        <v>3</v>
      </c>
      <c r="AU456">
        <f>E456 +F456</f>
        <v>20</v>
      </c>
    </row>
    <row r="457" spans="1:47" x14ac:dyDescent="0.25">
      <c r="A457" t="str">
        <f>B457 &amp; " - " &amp;D457</f>
        <v>FCN - Cana</v>
      </c>
      <c r="B457" t="s">
        <v>955</v>
      </c>
      <c r="C457" s="29" t="s">
        <v>641</v>
      </c>
      <c r="D457" s="154" t="s">
        <v>280</v>
      </c>
      <c r="E457" s="31">
        <v>20</v>
      </c>
      <c r="F457" s="99">
        <v>1</v>
      </c>
      <c r="G457" s="114" t="s">
        <v>679</v>
      </c>
      <c r="H457" s="34">
        <f>AVERAGE(M457,N457,P457,O457,S457,T457,Q457,U457,V457,W457,Y457,AE457,AG457,AH457,AJ457,AK457,AI457,AM457,AN457,AO457)</f>
        <v>4.6500000000000004</v>
      </c>
      <c r="I457" s="170"/>
      <c r="J457" s="36"/>
      <c r="K457" s="24"/>
      <c r="L457" s="24"/>
      <c r="M457" s="24">
        <v>5</v>
      </c>
      <c r="N457" s="24">
        <v>4</v>
      </c>
      <c r="O457" s="82">
        <v>3</v>
      </c>
      <c r="P457" s="24">
        <v>5</v>
      </c>
      <c r="Q457" s="24">
        <v>5</v>
      </c>
      <c r="R457" s="24"/>
      <c r="S457" s="24">
        <v>5</v>
      </c>
      <c r="T457" s="24">
        <v>5</v>
      </c>
      <c r="U457" s="24">
        <v>4</v>
      </c>
      <c r="V457" s="24">
        <v>4</v>
      </c>
      <c r="W457" s="24">
        <v>5</v>
      </c>
      <c r="X457" s="24"/>
      <c r="Y457" s="24">
        <v>5</v>
      </c>
      <c r="Z457" s="24"/>
      <c r="AA457" s="24"/>
      <c r="AB457" s="24"/>
      <c r="AC457" s="24"/>
      <c r="AD457" s="37" t="s">
        <v>644</v>
      </c>
      <c r="AE457" s="24">
        <v>6</v>
      </c>
      <c r="AF457" s="24"/>
      <c r="AG457" s="24">
        <v>6</v>
      </c>
      <c r="AH457" s="27">
        <v>6</v>
      </c>
      <c r="AI457" s="24">
        <v>5</v>
      </c>
      <c r="AJ457" s="24">
        <v>5</v>
      </c>
      <c r="AK457" s="82">
        <v>2</v>
      </c>
      <c r="AL457" s="24"/>
      <c r="AM457" s="24">
        <v>4</v>
      </c>
      <c r="AN457" s="24">
        <v>4</v>
      </c>
      <c r="AO457" s="24">
        <v>5</v>
      </c>
      <c r="AP457" s="24"/>
      <c r="AQ457" s="24"/>
      <c r="AR457" s="37"/>
      <c r="AS457" s="24"/>
      <c r="AT457" s="24"/>
      <c r="AU457">
        <f>E457 +F457</f>
        <v>21</v>
      </c>
    </row>
    <row r="458" spans="1:47" x14ac:dyDescent="0.25">
      <c r="A458" t="str">
        <f>B458 &amp; " - " &amp;D458</f>
        <v>SCO - Andreu</v>
      </c>
      <c r="B458" t="s">
        <v>1066</v>
      </c>
      <c r="C458" s="29" t="s">
        <v>641</v>
      </c>
      <c r="D458" s="154" t="s">
        <v>470</v>
      </c>
      <c r="E458" s="31">
        <v>31</v>
      </c>
      <c r="F458" s="99"/>
      <c r="G458" s="73"/>
      <c r="H458" s="34">
        <f>AVERAGE(Z458,V458,J458,K458,L458,I458,M458,N458,O458,P458,Q458,R458,S458,T458,U458,W458,X458,Y458,AA458,AB458,AC458,AD458,AF458,AG458,AJ458,AK458,AM458,AO458,AP458,AQ458,AR458)</f>
        <v>4.935483870967742</v>
      </c>
      <c r="I458" s="173">
        <v>6</v>
      </c>
      <c r="J458" s="24">
        <v>5</v>
      </c>
      <c r="K458" s="37">
        <v>6</v>
      </c>
      <c r="L458" s="24">
        <v>4</v>
      </c>
      <c r="M458" s="37">
        <v>4</v>
      </c>
      <c r="N458" s="37">
        <v>5</v>
      </c>
      <c r="O458" s="24">
        <v>6</v>
      </c>
      <c r="P458" s="37">
        <v>5</v>
      </c>
      <c r="Q458" s="24">
        <v>5</v>
      </c>
      <c r="R458" s="23">
        <v>4</v>
      </c>
      <c r="S458" s="24">
        <v>5</v>
      </c>
      <c r="T458" s="24">
        <v>4</v>
      </c>
      <c r="U458" s="24">
        <v>5</v>
      </c>
      <c r="V458" s="37">
        <v>6</v>
      </c>
      <c r="W458" s="24">
        <v>5</v>
      </c>
      <c r="X458" s="23">
        <v>5</v>
      </c>
      <c r="Y458" s="37">
        <v>6</v>
      </c>
      <c r="Z458" s="24">
        <v>5</v>
      </c>
      <c r="AA458" s="24">
        <v>5</v>
      </c>
      <c r="AB458" s="24">
        <v>6</v>
      </c>
      <c r="AC458" s="76">
        <v>5</v>
      </c>
      <c r="AD458" s="82">
        <v>3</v>
      </c>
      <c r="AE458" s="24"/>
      <c r="AF458" s="24">
        <v>4</v>
      </c>
      <c r="AG458" s="24">
        <v>4</v>
      </c>
      <c r="AH458" s="27"/>
      <c r="AI458" s="24"/>
      <c r="AJ458" s="37">
        <v>5</v>
      </c>
      <c r="AK458" s="24">
        <v>5</v>
      </c>
      <c r="AL458" s="37"/>
      <c r="AM458" s="24">
        <v>5</v>
      </c>
      <c r="AN458" s="37"/>
      <c r="AO458" s="37">
        <v>5</v>
      </c>
      <c r="AP458" s="24">
        <v>5</v>
      </c>
      <c r="AQ458" s="24">
        <v>5</v>
      </c>
      <c r="AR458" s="24">
        <v>5</v>
      </c>
      <c r="AS458" s="24"/>
      <c r="AT458" s="24"/>
      <c r="AU458">
        <f>E458 +F458</f>
        <v>31</v>
      </c>
    </row>
    <row r="459" spans="1:47" x14ac:dyDescent="0.25">
      <c r="A459" t="str">
        <f>B459 &amp; " - " &amp;D459</f>
        <v>FCN - Walongwa</v>
      </c>
      <c r="B459" t="s">
        <v>955</v>
      </c>
      <c r="C459" s="29" t="s">
        <v>641</v>
      </c>
      <c r="D459" s="65" t="s">
        <v>1135</v>
      </c>
      <c r="E459" s="31">
        <v>1</v>
      </c>
      <c r="F459" s="99"/>
      <c r="G459" s="73"/>
      <c r="H459" s="34">
        <f>AVERAGE(AS459)</f>
        <v>4</v>
      </c>
      <c r="I459" s="170"/>
      <c r="J459" s="36"/>
      <c r="K459" s="24"/>
      <c r="L459" s="24"/>
      <c r="M459" s="24"/>
      <c r="N459" s="24"/>
      <c r="O459" s="24"/>
      <c r="P459" s="24"/>
      <c r="Q459" s="24"/>
      <c r="R459" s="36"/>
      <c r="S459" s="24"/>
      <c r="T459" s="24"/>
      <c r="U459" s="24"/>
      <c r="V459" s="24"/>
      <c r="W459" s="24"/>
      <c r="X459" s="24"/>
      <c r="Y459" s="24"/>
      <c r="Z459" s="24"/>
      <c r="AA459" s="24"/>
      <c r="AB459" s="36"/>
      <c r="AC459" s="24"/>
      <c r="AD459" s="24"/>
      <c r="AE459" s="24"/>
      <c r="AF459" s="24"/>
      <c r="AG459" s="24"/>
      <c r="AH459" s="24"/>
      <c r="AI459" s="24"/>
      <c r="AJ459" s="36"/>
      <c r="AK459" s="24"/>
      <c r="AL459" s="24"/>
      <c r="AM459" s="24"/>
      <c r="AN459" s="24"/>
      <c r="AO459" s="24"/>
      <c r="AP459" s="24"/>
      <c r="AQ459" s="24"/>
      <c r="AR459" s="37"/>
      <c r="AS459" s="24">
        <v>4</v>
      </c>
      <c r="AT459" s="24"/>
      <c r="AU459">
        <f>E459 +F459</f>
        <v>1</v>
      </c>
    </row>
    <row r="460" spans="1:47" x14ac:dyDescent="0.25">
      <c r="A460" t="str">
        <f>B460 &amp; " - " &amp;D460</f>
        <v>ASM - Helder Costa</v>
      </c>
      <c r="B460" t="s">
        <v>974</v>
      </c>
      <c r="C460" s="67" t="s">
        <v>665</v>
      </c>
      <c r="D460" s="290" t="s">
        <v>971</v>
      </c>
      <c r="E460" s="69">
        <v>15</v>
      </c>
      <c r="F460" s="115">
        <v>10</v>
      </c>
      <c r="G460" s="122">
        <v>3</v>
      </c>
      <c r="H460" s="34">
        <f>AVERAGE(U460,V460,W460,Z460,AA460,AB460,AE460,AH460,AI460,AK460,AL460,AP460,AQ460,AR460,AS460)</f>
        <v>4.9333333333333336</v>
      </c>
      <c r="I460" s="87"/>
      <c r="J460" s="21"/>
      <c r="K460" s="37"/>
      <c r="L460" s="37"/>
      <c r="M460" s="37"/>
      <c r="N460" s="37"/>
      <c r="O460" s="37"/>
      <c r="P460" s="37"/>
      <c r="Q460" s="37"/>
      <c r="R460" s="37"/>
      <c r="S460" s="37"/>
      <c r="T460" s="37" t="s">
        <v>644</v>
      </c>
      <c r="U460" s="77">
        <v>6</v>
      </c>
      <c r="V460" s="24">
        <v>5</v>
      </c>
      <c r="W460" s="37">
        <v>5</v>
      </c>
      <c r="X460" s="37" t="s">
        <v>644</v>
      </c>
      <c r="Y460" s="37" t="s">
        <v>644</v>
      </c>
      <c r="Z460" s="37">
        <v>5</v>
      </c>
      <c r="AA460" s="37">
        <v>4</v>
      </c>
      <c r="AB460" s="37">
        <v>5</v>
      </c>
      <c r="AC460" s="76" t="s">
        <v>644</v>
      </c>
      <c r="AD460" s="77" t="s">
        <v>644</v>
      </c>
      <c r="AE460" s="166">
        <v>3</v>
      </c>
      <c r="AF460" s="26" t="s">
        <v>644</v>
      </c>
      <c r="AG460" s="37" t="s">
        <v>644</v>
      </c>
      <c r="AH460" s="27">
        <v>4</v>
      </c>
      <c r="AI460" s="84">
        <v>7</v>
      </c>
      <c r="AJ460" s="37" t="s">
        <v>644</v>
      </c>
      <c r="AK460" s="23">
        <v>6</v>
      </c>
      <c r="AL460" s="37">
        <v>4</v>
      </c>
      <c r="AM460" s="37" t="s">
        <v>644</v>
      </c>
      <c r="AN460" s="24"/>
      <c r="AO460" s="24"/>
      <c r="AP460" s="234">
        <v>3</v>
      </c>
      <c r="AQ460" s="75">
        <v>7</v>
      </c>
      <c r="AR460" s="84">
        <v>7</v>
      </c>
      <c r="AS460" s="166">
        <v>3</v>
      </c>
      <c r="AT460" s="37" t="s">
        <v>644</v>
      </c>
      <c r="AU460">
        <f>E460 +F460</f>
        <v>25</v>
      </c>
    </row>
    <row r="461" spans="1:47" x14ac:dyDescent="0.25">
      <c r="A461" t="str">
        <f>B461 &amp; " - " &amp;D461</f>
        <v>EAG - Kerbrat</v>
      </c>
      <c r="B461" t="s">
        <v>999</v>
      </c>
      <c r="C461" s="245" t="s">
        <v>641</v>
      </c>
      <c r="D461" s="30" t="s">
        <v>984</v>
      </c>
      <c r="E461" s="31">
        <v>29</v>
      </c>
      <c r="F461" s="99"/>
      <c r="G461" s="114" t="s">
        <v>679</v>
      </c>
      <c r="H461" s="125">
        <f>AVERAGE(AA461,J461,K461,L461,I461,M461,N461,V461,W461,X461,Y461,Z461,AB461,AC461,AD461,AE461,AF461,AG461,AH461,AJ461,AK461,AL461,AM461,AN461,AO461,AP461,AQ461,AS461,AT461)</f>
        <v>4.931034482758621</v>
      </c>
      <c r="I461" s="173">
        <v>5</v>
      </c>
      <c r="J461" s="24">
        <v>5</v>
      </c>
      <c r="K461" s="26">
        <v>5</v>
      </c>
      <c r="L461" s="24">
        <v>6</v>
      </c>
      <c r="M461" s="37">
        <v>5</v>
      </c>
      <c r="N461" s="37">
        <v>5</v>
      </c>
      <c r="O461" s="24"/>
      <c r="P461" s="37"/>
      <c r="Q461" s="24"/>
      <c r="R461" s="23"/>
      <c r="S461" s="24"/>
      <c r="T461" s="24"/>
      <c r="U461" s="24"/>
      <c r="V461" s="37">
        <v>5</v>
      </c>
      <c r="W461" s="24">
        <v>5</v>
      </c>
      <c r="X461" s="24">
        <v>5</v>
      </c>
      <c r="Y461" s="37">
        <v>4</v>
      </c>
      <c r="Z461" s="24">
        <v>5</v>
      </c>
      <c r="AA461" s="37">
        <v>5</v>
      </c>
      <c r="AB461" s="37">
        <v>5</v>
      </c>
      <c r="AC461" s="37">
        <v>4</v>
      </c>
      <c r="AD461" s="24">
        <v>5</v>
      </c>
      <c r="AE461" s="24">
        <v>6</v>
      </c>
      <c r="AF461" s="27">
        <v>6</v>
      </c>
      <c r="AG461" s="24">
        <v>6</v>
      </c>
      <c r="AH461" s="237">
        <v>3</v>
      </c>
      <c r="AI461" s="24"/>
      <c r="AJ461" s="24">
        <v>4</v>
      </c>
      <c r="AK461" s="24">
        <v>4</v>
      </c>
      <c r="AL461" s="37">
        <v>6</v>
      </c>
      <c r="AM461" s="24">
        <v>6</v>
      </c>
      <c r="AN461" s="24">
        <v>4</v>
      </c>
      <c r="AO461" s="37">
        <v>4</v>
      </c>
      <c r="AP461" s="37">
        <v>6</v>
      </c>
      <c r="AQ461" s="24">
        <v>5</v>
      </c>
      <c r="AR461" s="24"/>
      <c r="AS461" s="24">
        <v>5</v>
      </c>
      <c r="AT461" s="24">
        <v>4</v>
      </c>
      <c r="AU461">
        <f>E461 +F461</f>
        <v>29</v>
      </c>
    </row>
    <row r="462" spans="1:47" x14ac:dyDescent="0.25">
      <c r="A462" t="str">
        <f>B462 &amp; " - " &amp;D462</f>
        <v>FCN - Deaux</v>
      </c>
      <c r="B462" t="s">
        <v>955</v>
      </c>
      <c r="C462" s="50" t="s">
        <v>654</v>
      </c>
      <c r="D462" s="57" t="s">
        <v>633</v>
      </c>
      <c r="E462" s="52">
        <v>13</v>
      </c>
      <c r="F462" s="63">
        <v>3</v>
      </c>
      <c r="G462" s="145"/>
      <c r="H462" s="80">
        <f>AVERAGE(AA462,J462,K462,L462,M462,I462,O462,R462,T462,W462,X462,Y462,Z462)</f>
        <v>5</v>
      </c>
      <c r="I462" s="149">
        <v>5</v>
      </c>
      <c r="J462" s="53">
        <v>5</v>
      </c>
      <c r="K462" s="61">
        <v>6</v>
      </c>
      <c r="L462" s="61">
        <v>5</v>
      </c>
      <c r="M462" s="53">
        <v>4</v>
      </c>
      <c r="N462" s="61" t="s">
        <v>644</v>
      </c>
      <c r="O462" s="61">
        <v>5</v>
      </c>
      <c r="P462" s="53"/>
      <c r="Q462" s="61" t="s">
        <v>644</v>
      </c>
      <c r="R462" s="53">
        <v>5</v>
      </c>
      <c r="S462" s="61" t="s">
        <v>644</v>
      </c>
      <c r="T462" s="53">
        <v>5</v>
      </c>
      <c r="U462" s="61"/>
      <c r="V462" s="53"/>
      <c r="W462" s="61">
        <v>6</v>
      </c>
      <c r="X462" s="53">
        <v>5</v>
      </c>
      <c r="Y462" s="61">
        <v>5</v>
      </c>
      <c r="Z462" s="53">
        <v>4</v>
      </c>
      <c r="AA462" s="53">
        <v>5</v>
      </c>
      <c r="AB462" s="53"/>
      <c r="AC462" s="53"/>
      <c r="AD462" s="53"/>
      <c r="AE462" s="61"/>
      <c r="AF462" s="63"/>
      <c r="AG462" s="61"/>
      <c r="AH462" s="62"/>
      <c r="AI462" s="53"/>
      <c r="AJ462" s="61"/>
      <c r="AK462" s="53"/>
      <c r="AL462" s="53"/>
      <c r="AM462" s="53"/>
      <c r="AN462" s="61"/>
      <c r="AO462" s="53"/>
      <c r="AP462" s="53"/>
      <c r="AQ462" s="53"/>
      <c r="AR462" s="61"/>
      <c r="AS462" s="61"/>
      <c r="AT462" s="53"/>
      <c r="AU462">
        <f>E462 +F462</f>
        <v>16</v>
      </c>
    </row>
    <row r="463" spans="1:47" x14ac:dyDescent="0.25">
      <c r="A463" t="str">
        <f>B463 &amp; " - " &amp;D463</f>
        <v>FCN - B. Touré</v>
      </c>
      <c r="B463" t="s">
        <v>955</v>
      </c>
      <c r="C463" s="146" t="s">
        <v>654</v>
      </c>
      <c r="D463" s="154" t="s">
        <v>941</v>
      </c>
      <c r="E463" s="148">
        <v>21</v>
      </c>
      <c r="F463" s="142">
        <v>2</v>
      </c>
      <c r="G463" s="49"/>
      <c r="H463" s="34">
        <f>AVERAGE(J463,K463,L463,I463,N463,P463,O463,R463,S463,T463,Q463,U463,V463,AB463,AC463,AD463,AF463,AO463,AP463,AQ463)</f>
        <v>5.15</v>
      </c>
      <c r="I463" s="173">
        <v>6</v>
      </c>
      <c r="J463" s="23">
        <v>5</v>
      </c>
      <c r="K463" s="76">
        <v>6</v>
      </c>
      <c r="L463" s="23">
        <v>5</v>
      </c>
      <c r="M463" s="23"/>
      <c r="N463" s="76">
        <v>5</v>
      </c>
      <c r="O463" s="23">
        <v>5</v>
      </c>
      <c r="P463" s="23">
        <v>4</v>
      </c>
      <c r="Q463" s="23">
        <v>5</v>
      </c>
      <c r="R463" s="23">
        <v>5</v>
      </c>
      <c r="S463" s="23">
        <v>5</v>
      </c>
      <c r="T463" s="23">
        <v>5</v>
      </c>
      <c r="U463" s="23">
        <v>5</v>
      </c>
      <c r="V463" s="23">
        <v>4</v>
      </c>
      <c r="W463" s="109"/>
      <c r="X463" s="109"/>
      <c r="Y463" s="109"/>
      <c r="Z463" s="109"/>
      <c r="AA463" s="109"/>
      <c r="AB463" s="23">
        <v>5</v>
      </c>
      <c r="AC463" s="23">
        <v>5</v>
      </c>
      <c r="AD463" s="83">
        <v>7</v>
      </c>
      <c r="AE463" s="108"/>
      <c r="AF463" s="142">
        <v>6</v>
      </c>
      <c r="AG463" s="174"/>
      <c r="AH463" s="180"/>
      <c r="AI463" s="109"/>
      <c r="AJ463" s="108"/>
      <c r="AK463" s="109"/>
      <c r="AL463" s="76" t="s">
        <v>644</v>
      </c>
      <c r="AM463" s="76" t="s">
        <v>644</v>
      </c>
      <c r="AN463" s="109"/>
      <c r="AO463" s="23">
        <v>6</v>
      </c>
      <c r="AP463" s="23">
        <v>4</v>
      </c>
      <c r="AQ463" s="23">
        <v>5</v>
      </c>
      <c r="AR463" s="37" t="s">
        <v>673</v>
      </c>
      <c r="AS463" s="109"/>
      <c r="AT463" s="109"/>
      <c r="AU463">
        <f>E463 +F463</f>
        <v>23</v>
      </c>
    </row>
    <row r="464" spans="1:47" x14ac:dyDescent="0.25">
      <c r="A464" t="str">
        <f>B464 &amp; " - " &amp;D464</f>
        <v>FCN - A. Touré</v>
      </c>
      <c r="B464" t="s">
        <v>955</v>
      </c>
      <c r="C464" s="29" t="s">
        <v>654</v>
      </c>
      <c r="D464" s="30" t="s">
        <v>942</v>
      </c>
      <c r="E464" s="31">
        <v>2</v>
      </c>
      <c r="F464" s="99">
        <v>3</v>
      </c>
      <c r="G464" s="73"/>
      <c r="H464" s="100">
        <f>AVERAGE(V464,X464)</f>
        <v>5.5</v>
      </c>
      <c r="I464" s="87"/>
      <c r="J464" s="24"/>
      <c r="K464" s="37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>
        <v>6</v>
      </c>
      <c r="W464" s="24"/>
      <c r="X464" s="24">
        <v>5</v>
      </c>
      <c r="Y464" s="37" t="s">
        <v>644</v>
      </c>
      <c r="Z464" s="37" t="s">
        <v>644</v>
      </c>
      <c r="AA464" s="24"/>
      <c r="AB464" s="24"/>
      <c r="AC464" s="24"/>
      <c r="AD464" s="24"/>
      <c r="AE464" s="37"/>
      <c r="AF464" s="27"/>
      <c r="AG464" s="26"/>
      <c r="AH464" s="87"/>
      <c r="AI464" s="24"/>
      <c r="AJ464" s="37"/>
      <c r="AK464" s="24"/>
      <c r="AL464" s="24"/>
      <c r="AM464" s="24"/>
      <c r="AN464" s="24"/>
      <c r="AO464" s="24"/>
      <c r="AP464" s="24"/>
      <c r="AQ464" s="24"/>
      <c r="AR464" s="37"/>
      <c r="AS464" s="37" t="s">
        <v>644</v>
      </c>
      <c r="AT464" s="24"/>
      <c r="AU464">
        <f>E464 +F464</f>
        <v>5</v>
      </c>
    </row>
    <row r="465" spans="1:47" x14ac:dyDescent="0.25">
      <c r="A465" t="str">
        <f>B465 &amp; " - " &amp;D465</f>
        <v>FCN - Rongier</v>
      </c>
      <c r="B465" t="s">
        <v>955</v>
      </c>
      <c r="C465" s="29" t="s">
        <v>654</v>
      </c>
      <c r="D465" s="60" t="s">
        <v>943</v>
      </c>
      <c r="E465" s="31">
        <v>9</v>
      </c>
      <c r="F465" s="99">
        <v>2</v>
      </c>
      <c r="G465" s="73">
        <v>1</v>
      </c>
      <c r="H465" s="34">
        <f>AVERAGE(J465,K465,L465,M465,I465,N465,P465,R465,S465)</f>
        <v>5.5555555555555554</v>
      </c>
      <c r="I465" s="87">
        <v>6</v>
      </c>
      <c r="J465" s="24">
        <v>5</v>
      </c>
      <c r="K465" s="37">
        <v>6</v>
      </c>
      <c r="L465" s="24">
        <v>4</v>
      </c>
      <c r="M465" s="24">
        <v>5</v>
      </c>
      <c r="N465" s="24">
        <v>6</v>
      </c>
      <c r="O465" s="37" t="s">
        <v>644</v>
      </c>
      <c r="P465" s="24">
        <v>6</v>
      </c>
      <c r="Q465" s="24"/>
      <c r="R465" s="75">
        <v>7</v>
      </c>
      <c r="S465" s="24">
        <v>5</v>
      </c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37"/>
      <c r="AF465" s="27"/>
      <c r="AG465" s="26"/>
      <c r="AH465" s="87"/>
      <c r="AI465" s="24"/>
      <c r="AJ465" s="37"/>
      <c r="AK465" s="24"/>
      <c r="AL465" s="24"/>
      <c r="AM465" s="24"/>
      <c r="AN465" s="24"/>
      <c r="AO465" s="24"/>
      <c r="AP465" s="37"/>
      <c r="AQ465" s="37"/>
      <c r="AR465" s="37"/>
      <c r="AS465" s="24"/>
      <c r="AT465" s="37" t="s">
        <v>644</v>
      </c>
      <c r="AU465">
        <f>E465 +F465</f>
        <v>11</v>
      </c>
    </row>
    <row r="466" spans="1:47" x14ac:dyDescent="0.25">
      <c r="A466" t="str">
        <f>B466 &amp; " - " &amp;D466</f>
        <v>FCN - Gomis</v>
      </c>
      <c r="B466" t="s">
        <v>955</v>
      </c>
      <c r="C466" s="29" t="s">
        <v>654</v>
      </c>
      <c r="D466" s="30" t="s">
        <v>944</v>
      </c>
      <c r="E466" s="31">
        <v>13</v>
      </c>
      <c r="F466" s="99">
        <v>4</v>
      </c>
      <c r="G466" s="73"/>
      <c r="H466" s="34">
        <f>AVERAGE(L466,AE466,AF466,AG466,AH466,AJ466,AK466,AI466,AL466,AM466,AN466,AP466,AR466,AS466,AT466)</f>
        <v>4.8666666666666663</v>
      </c>
      <c r="I466" s="87"/>
      <c r="J466" s="24"/>
      <c r="K466" s="37" t="s">
        <v>644</v>
      </c>
      <c r="L466" s="24">
        <v>4</v>
      </c>
      <c r="M466" s="24"/>
      <c r="N466" s="24"/>
      <c r="O466" s="24"/>
      <c r="P466" s="24"/>
      <c r="Q466" s="24"/>
      <c r="R466" s="24"/>
      <c r="S466" s="24"/>
      <c r="T466" s="37" t="s">
        <v>644</v>
      </c>
      <c r="U466" s="24"/>
      <c r="V466" s="24"/>
      <c r="W466" s="24"/>
      <c r="X466" s="24"/>
      <c r="Y466" s="24"/>
      <c r="Z466" s="37"/>
      <c r="AA466" s="37"/>
      <c r="AB466" s="24"/>
      <c r="AC466" s="24"/>
      <c r="AD466" s="24"/>
      <c r="AE466" s="37">
        <v>6</v>
      </c>
      <c r="AF466" s="26">
        <v>6</v>
      </c>
      <c r="AG466" s="26">
        <v>5</v>
      </c>
      <c r="AH466" s="87">
        <v>5</v>
      </c>
      <c r="AI466" s="37">
        <v>6</v>
      </c>
      <c r="AJ466" s="37">
        <v>5</v>
      </c>
      <c r="AK466" s="24">
        <v>4</v>
      </c>
      <c r="AL466" s="24">
        <v>6</v>
      </c>
      <c r="AM466" s="24">
        <v>5</v>
      </c>
      <c r="AN466" s="82">
        <v>3</v>
      </c>
      <c r="AO466" s="24"/>
      <c r="AP466" s="24">
        <v>5</v>
      </c>
      <c r="AQ466" s="24"/>
      <c r="AR466" s="37">
        <v>5</v>
      </c>
      <c r="AS466" s="24">
        <v>5</v>
      </c>
      <c r="AT466" s="82">
        <v>3</v>
      </c>
      <c r="AU466">
        <f>E466 +F466</f>
        <v>17</v>
      </c>
    </row>
    <row r="467" spans="1:47" x14ac:dyDescent="0.25">
      <c r="A467" t="str">
        <f>B467 &amp; " - " &amp;D467</f>
        <v>SCB - Modesto</v>
      </c>
      <c r="B467" t="s">
        <v>887</v>
      </c>
      <c r="C467" s="29" t="s">
        <v>641</v>
      </c>
      <c r="D467" s="30" t="s">
        <v>873</v>
      </c>
      <c r="E467" s="31">
        <v>27</v>
      </c>
      <c r="F467" s="99">
        <v>2</v>
      </c>
      <c r="G467" s="114" t="s">
        <v>679</v>
      </c>
      <c r="H467" s="34">
        <f>AVERAGE(J467,K467,I467,M467,N467,O467,T467,U467,V467,W467,X467,Y467,Z467,AA467,AB467,AC467,AD467,AF467,AH467,AJ467,AI467,AL467,AM467,AN467,AO467,AR467,AS467)</f>
        <v>4.9259259259259256</v>
      </c>
      <c r="I467" s="87">
        <v>5</v>
      </c>
      <c r="J467" s="37">
        <v>5</v>
      </c>
      <c r="K467" s="37">
        <v>5</v>
      </c>
      <c r="L467" s="37" t="s">
        <v>644</v>
      </c>
      <c r="M467" s="24">
        <v>5</v>
      </c>
      <c r="N467" s="37">
        <v>5</v>
      </c>
      <c r="O467" s="24">
        <v>6</v>
      </c>
      <c r="P467" s="24"/>
      <c r="Q467" s="37"/>
      <c r="R467" s="24"/>
      <c r="S467" s="37" t="s">
        <v>644</v>
      </c>
      <c r="T467" s="24">
        <v>5</v>
      </c>
      <c r="U467" s="24">
        <v>5</v>
      </c>
      <c r="V467" s="24">
        <v>5</v>
      </c>
      <c r="W467" s="23">
        <v>5</v>
      </c>
      <c r="X467" s="24">
        <v>6</v>
      </c>
      <c r="Y467" s="24">
        <v>4</v>
      </c>
      <c r="Z467" s="24">
        <v>4</v>
      </c>
      <c r="AA467" s="24">
        <v>5</v>
      </c>
      <c r="AB467" s="23">
        <v>4</v>
      </c>
      <c r="AC467" s="24">
        <v>6</v>
      </c>
      <c r="AD467" s="24">
        <v>5</v>
      </c>
      <c r="AE467" s="24"/>
      <c r="AF467" s="27">
        <v>4</v>
      </c>
      <c r="AG467" s="27"/>
      <c r="AH467" s="38">
        <v>5</v>
      </c>
      <c r="AI467" s="24">
        <v>5</v>
      </c>
      <c r="AJ467" s="24">
        <v>6</v>
      </c>
      <c r="AK467" s="24"/>
      <c r="AL467" s="24">
        <v>4</v>
      </c>
      <c r="AM467" s="24">
        <v>5</v>
      </c>
      <c r="AN467" s="24">
        <v>5</v>
      </c>
      <c r="AO467" s="82">
        <v>3</v>
      </c>
      <c r="AP467" s="24"/>
      <c r="AQ467" s="24"/>
      <c r="AR467" s="24">
        <v>5</v>
      </c>
      <c r="AS467" s="24">
        <v>6</v>
      </c>
      <c r="AT467" s="24"/>
      <c r="AU467">
        <f>E467 +F467</f>
        <v>29</v>
      </c>
    </row>
    <row r="468" spans="1:47" x14ac:dyDescent="0.25">
      <c r="A468" t="str">
        <f>B468 &amp; " - " &amp;D468</f>
        <v>FCN - Alégué</v>
      </c>
      <c r="B468" t="s">
        <v>955</v>
      </c>
      <c r="C468" s="29" t="s">
        <v>654</v>
      </c>
      <c r="D468" s="65" t="s">
        <v>946</v>
      </c>
      <c r="E468" s="31">
        <v>1</v>
      </c>
      <c r="F468" s="99">
        <v>2</v>
      </c>
      <c r="G468" s="73">
        <v>1</v>
      </c>
      <c r="H468" s="34">
        <f>AVERAGE(Q468)</f>
        <v>5</v>
      </c>
      <c r="I468" s="87"/>
      <c r="J468" s="24"/>
      <c r="K468" s="37"/>
      <c r="L468" s="24"/>
      <c r="M468" s="37"/>
      <c r="N468" s="37"/>
      <c r="O468" s="37"/>
      <c r="P468" s="37"/>
      <c r="Q468" s="77">
        <v>5</v>
      </c>
      <c r="R468" s="23"/>
      <c r="S468" s="37"/>
      <c r="T468" s="23"/>
      <c r="U468" s="37" t="s">
        <v>644</v>
      </c>
      <c r="V468" s="37" t="s">
        <v>644</v>
      </c>
      <c r="W468" s="24"/>
      <c r="X468" s="24"/>
      <c r="Y468" s="24"/>
      <c r="Z468" s="24"/>
      <c r="AA468" s="24"/>
      <c r="AB468" s="24"/>
      <c r="AC468" s="24"/>
      <c r="AD468" s="24"/>
      <c r="AE468" s="37"/>
      <c r="AF468" s="27"/>
      <c r="AG468" s="26"/>
      <c r="AH468" s="87"/>
      <c r="AI468" s="24"/>
      <c r="AJ468" s="37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>
        <f>E468 +F468</f>
        <v>3</v>
      </c>
    </row>
    <row r="469" spans="1:47" x14ac:dyDescent="0.25">
      <c r="A469" t="str">
        <f>B469 &amp; " - " &amp;D469</f>
        <v>FCN - Gillet</v>
      </c>
      <c r="B469" t="s">
        <v>955</v>
      </c>
      <c r="C469" s="29" t="s">
        <v>654</v>
      </c>
      <c r="D469" s="154" t="s">
        <v>1078</v>
      </c>
      <c r="E469" s="31">
        <v>19</v>
      </c>
      <c r="F469" s="99"/>
      <c r="G469" s="73">
        <v>1</v>
      </c>
      <c r="H469" s="34">
        <f>AVERAGE(AB469,AC469,AD469,AE469,AF469,AG469,AH469,AJ469,AK469,AI469,AL469,AM469,AN469,AO469,AP469,AQ469,AR469,AS469,AT469)</f>
        <v>5.2105263157894735</v>
      </c>
      <c r="I469" s="87"/>
      <c r="J469" s="24"/>
      <c r="K469" s="37"/>
      <c r="L469" s="24"/>
      <c r="M469" s="37"/>
      <c r="N469" s="37"/>
      <c r="O469" s="37"/>
      <c r="P469" s="37"/>
      <c r="Q469" s="77"/>
      <c r="R469" s="23"/>
      <c r="S469" s="37"/>
      <c r="T469" s="23"/>
      <c r="U469" s="37"/>
      <c r="V469" s="37"/>
      <c r="W469" s="24"/>
      <c r="X469" s="24"/>
      <c r="Y469" s="24"/>
      <c r="Z469" s="24"/>
      <c r="AA469" s="24"/>
      <c r="AB469" s="24">
        <v>5</v>
      </c>
      <c r="AC469" s="24">
        <v>4</v>
      </c>
      <c r="AD469" s="24">
        <v>5</v>
      </c>
      <c r="AE469" s="75">
        <v>7</v>
      </c>
      <c r="AF469" s="27">
        <v>6</v>
      </c>
      <c r="AG469" s="26">
        <v>5</v>
      </c>
      <c r="AH469" s="87">
        <v>6</v>
      </c>
      <c r="AI469" s="24">
        <v>6</v>
      </c>
      <c r="AJ469" s="37">
        <v>6</v>
      </c>
      <c r="AK469" s="24">
        <v>4</v>
      </c>
      <c r="AL469" s="24">
        <v>6</v>
      </c>
      <c r="AM469" s="24">
        <v>6</v>
      </c>
      <c r="AN469" s="24">
        <v>4</v>
      </c>
      <c r="AO469" s="24">
        <v>4</v>
      </c>
      <c r="AP469" s="24">
        <v>4</v>
      </c>
      <c r="AQ469" s="24">
        <v>5</v>
      </c>
      <c r="AR469" s="24">
        <v>6</v>
      </c>
      <c r="AS469" s="24">
        <v>6</v>
      </c>
      <c r="AT469" s="24">
        <v>4</v>
      </c>
      <c r="AU469">
        <f>E469 +F469</f>
        <v>19</v>
      </c>
    </row>
    <row r="470" spans="1:47" x14ac:dyDescent="0.25">
      <c r="A470" t="str">
        <f>B470 &amp; " - " &amp;D470</f>
        <v>GFCA - Larbi</v>
      </c>
      <c r="B470" t="s">
        <v>1047</v>
      </c>
      <c r="C470" s="29" t="s">
        <v>654</v>
      </c>
      <c r="D470" s="65" t="s">
        <v>616</v>
      </c>
      <c r="E470" s="31">
        <v>26</v>
      </c>
      <c r="F470" s="99">
        <v>4</v>
      </c>
      <c r="G470" s="73">
        <v>8</v>
      </c>
      <c r="H470" s="34">
        <f>AVERAGE(AB470,Z470,I470,O470,P470,Q470,R470,S470,T470,U470,V470,W470,X470,AA470,AC470,AD470,AE470,AF470,AH470,AK470,AJ470,AL470,AM470,AO470,AP470,AQ470)</f>
        <v>4.9230769230769234</v>
      </c>
      <c r="I470" s="300">
        <v>2</v>
      </c>
      <c r="J470" s="37"/>
      <c r="K470" s="37" t="s">
        <v>644</v>
      </c>
      <c r="L470" s="37" t="s">
        <v>644</v>
      </c>
      <c r="M470" s="37"/>
      <c r="N470" s="37"/>
      <c r="O470" s="25">
        <v>7</v>
      </c>
      <c r="P470" s="37">
        <v>4</v>
      </c>
      <c r="Q470" s="24">
        <v>4</v>
      </c>
      <c r="R470" s="23">
        <v>4</v>
      </c>
      <c r="S470" s="24">
        <v>4</v>
      </c>
      <c r="T470" s="25">
        <v>7</v>
      </c>
      <c r="U470" s="24">
        <v>4</v>
      </c>
      <c r="V470" s="37">
        <v>5</v>
      </c>
      <c r="W470" s="25">
        <v>7</v>
      </c>
      <c r="X470" s="24">
        <v>5</v>
      </c>
      <c r="Y470" s="37" t="s">
        <v>644</v>
      </c>
      <c r="Z470" s="24">
        <v>4</v>
      </c>
      <c r="AA470" s="75">
        <v>7</v>
      </c>
      <c r="AB470" s="24">
        <v>6</v>
      </c>
      <c r="AC470" s="37">
        <v>4</v>
      </c>
      <c r="AD470" s="23">
        <v>5</v>
      </c>
      <c r="AE470" s="161">
        <v>3</v>
      </c>
      <c r="AF470" s="142">
        <v>5</v>
      </c>
      <c r="AG470" s="27"/>
      <c r="AH470" s="154">
        <v>4</v>
      </c>
      <c r="AI470" s="24"/>
      <c r="AJ470" s="83">
        <v>7</v>
      </c>
      <c r="AK470" s="22">
        <v>6</v>
      </c>
      <c r="AL470" s="37">
        <v>5</v>
      </c>
      <c r="AM470" s="24">
        <v>4</v>
      </c>
      <c r="AN470" s="76" t="s">
        <v>644</v>
      </c>
      <c r="AO470" s="37">
        <v>4</v>
      </c>
      <c r="AP470" s="24">
        <v>4</v>
      </c>
      <c r="AQ470" s="25">
        <v>7</v>
      </c>
      <c r="AR470" s="37"/>
      <c r="AS470" s="37"/>
      <c r="AT470" s="24"/>
      <c r="AU470">
        <f>E470 +F470</f>
        <v>30</v>
      </c>
    </row>
    <row r="471" spans="1:47" x14ac:dyDescent="0.25">
      <c r="A471" t="str">
        <f>B471 &amp; " - " &amp;D471</f>
        <v>FCN - Iloki</v>
      </c>
      <c r="B471" t="s">
        <v>955</v>
      </c>
      <c r="C471" s="29" t="s">
        <v>654</v>
      </c>
      <c r="D471" s="154" t="s">
        <v>950</v>
      </c>
      <c r="E471" s="31">
        <v>10</v>
      </c>
      <c r="F471" s="99">
        <v>11</v>
      </c>
      <c r="G471" s="73">
        <v>1</v>
      </c>
      <c r="H471" s="34">
        <f>AVERAGE(P471,O471,R471,Q471,U471,V471,W471,X471,AI471,AN471,AQ471)</f>
        <v>4.7272727272727275</v>
      </c>
      <c r="I471" s="87"/>
      <c r="J471" s="24"/>
      <c r="K471" s="37"/>
      <c r="L471" s="24"/>
      <c r="M471" s="37"/>
      <c r="N471" s="37" t="s">
        <v>644</v>
      </c>
      <c r="O471" s="75">
        <v>7</v>
      </c>
      <c r="P471" s="24">
        <v>5</v>
      </c>
      <c r="Q471" s="37">
        <v>4</v>
      </c>
      <c r="R471" s="23">
        <v>5</v>
      </c>
      <c r="S471" s="37" t="s">
        <v>644</v>
      </c>
      <c r="T471" s="37" t="s">
        <v>644</v>
      </c>
      <c r="U471" s="24">
        <v>5</v>
      </c>
      <c r="V471" s="24">
        <v>4</v>
      </c>
      <c r="W471" s="24">
        <v>5</v>
      </c>
      <c r="X471" s="24">
        <v>4</v>
      </c>
      <c r="Y471" s="37" t="s">
        <v>644</v>
      </c>
      <c r="Z471" s="37" t="s">
        <v>644</v>
      </c>
      <c r="AA471" s="24"/>
      <c r="AB471" s="37" t="s">
        <v>644</v>
      </c>
      <c r="AC471" s="37" t="s">
        <v>644</v>
      </c>
      <c r="AD471" s="24"/>
      <c r="AE471" s="37"/>
      <c r="AF471" s="26" t="s">
        <v>644</v>
      </c>
      <c r="AG471" s="26"/>
      <c r="AH471" s="87"/>
      <c r="AI471" s="24">
        <v>5</v>
      </c>
      <c r="AJ471" s="37"/>
      <c r="AK471" s="24"/>
      <c r="AL471" s="24"/>
      <c r="AM471" s="24"/>
      <c r="AN471" s="37">
        <v>4</v>
      </c>
      <c r="AO471" s="24"/>
      <c r="AP471" s="37" t="s">
        <v>644</v>
      </c>
      <c r="AQ471" s="24">
        <v>4</v>
      </c>
      <c r="AR471" s="37" t="s">
        <v>644</v>
      </c>
      <c r="AS471" s="24"/>
      <c r="AT471" s="24"/>
      <c r="AU471">
        <f>E471 +F471</f>
        <v>21</v>
      </c>
    </row>
    <row r="472" spans="1:47" x14ac:dyDescent="0.25">
      <c r="A472" t="str">
        <f>B472 &amp; " - " &amp;D472</f>
        <v>FCN - M'Laab</v>
      </c>
      <c r="B472" t="s">
        <v>955</v>
      </c>
      <c r="C472" s="29" t="s">
        <v>654</v>
      </c>
      <c r="D472" s="65" t="s">
        <v>952</v>
      </c>
      <c r="E472" s="31"/>
      <c r="F472" s="99">
        <v>2</v>
      </c>
      <c r="G472" s="73"/>
      <c r="H472" s="34"/>
      <c r="I472" s="87"/>
      <c r="J472" s="24"/>
      <c r="K472" s="37"/>
      <c r="L472" s="24"/>
      <c r="M472" s="37"/>
      <c r="N472" s="24"/>
      <c r="O472" s="37"/>
      <c r="P472" s="24"/>
      <c r="Q472" s="37"/>
      <c r="R472" s="76"/>
      <c r="S472" s="37"/>
      <c r="T472" s="37"/>
      <c r="U472" s="24"/>
      <c r="V472" s="24"/>
      <c r="W472" s="37" t="s">
        <v>644</v>
      </c>
      <c r="X472" s="37"/>
      <c r="Y472" s="24"/>
      <c r="Z472" s="24"/>
      <c r="AA472" s="24"/>
      <c r="AB472" s="24"/>
      <c r="AC472" s="24"/>
      <c r="AD472" s="24"/>
      <c r="AE472" s="37"/>
      <c r="AF472" s="27"/>
      <c r="AG472" s="26"/>
      <c r="AH472" s="87"/>
      <c r="AI472" s="24"/>
      <c r="AJ472" s="37"/>
      <c r="AK472" s="24"/>
      <c r="AL472" s="24"/>
      <c r="AM472" s="24"/>
      <c r="AN472" s="24"/>
      <c r="AO472" s="24"/>
      <c r="AP472" s="37" t="s">
        <v>644</v>
      </c>
      <c r="AQ472" s="24"/>
      <c r="AR472" s="24"/>
      <c r="AS472" s="24"/>
      <c r="AT472" s="24"/>
      <c r="AU472">
        <f>E472 +F472</f>
        <v>2</v>
      </c>
    </row>
    <row r="473" spans="1:47" x14ac:dyDescent="0.25">
      <c r="A473" t="str">
        <f>B473 &amp; " - " &amp;D473</f>
        <v>FCGB - Rolan</v>
      </c>
      <c r="B473" t="s">
        <v>796</v>
      </c>
      <c r="C473" s="67" t="s">
        <v>665</v>
      </c>
      <c r="D473" s="85" t="s">
        <v>95</v>
      </c>
      <c r="E473" s="69">
        <v>22</v>
      </c>
      <c r="F473" s="115">
        <v>9</v>
      </c>
      <c r="G473" s="68">
        <v>7</v>
      </c>
      <c r="H473" s="72">
        <f>AVERAGE(N473,P473,Q473,S473,T473,W473,X473,Z473,AB473,AC473,AG473,AF473,AE473,AH473,AI473,AJ473,AK473,AM473,AP473,AR473,AS473,AT473,AQ473)</f>
        <v>4.9130434782608692</v>
      </c>
      <c r="I473" s="101" t="s">
        <v>644</v>
      </c>
      <c r="J473" s="76" t="s">
        <v>644</v>
      </c>
      <c r="K473" s="32"/>
      <c r="L473" s="76" t="s">
        <v>644</v>
      </c>
      <c r="M473" s="24"/>
      <c r="N473" s="23">
        <v>4</v>
      </c>
      <c r="O473" s="37" t="s">
        <v>644</v>
      </c>
      <c r="P473" s="24">
        <v>6</v>
      </c>
      <c r="Q473" s="22">
        <v>6</v>
      </c>
      <c r="R473" s="24"/>
      <c r="S473" s="24">
        <v>4</v>
      </c>
      <c r="T473" s="76">
        <v>4</v>
      </c>
      <c r="U473" s="37"/>
      <c r="V473" s="37"/>
      <c r="W473" s="24">
        <v>4</v>
      </c>
      <c r="X473" s="37">
        <v>4</v>
      </c>
      <c r="Y473" s="37" t="s">
        <v>644</v>
      </c>
      <c r="Z473" s="77">
        <v>6</v>
      </c>
      <c r="AA473" s="37" t="s">
        <v>644</v>
      </c>
      <c r="AB473" s="24">
        <v>4</v>
      </c>
      <c r="AC473" s="23">
        <v>6</v>
      </c>
      <c r="AD473" s="37"/>
      <c r="AE473" s="25">
        <v>7</v>
      </c>
      <c r="AF473" s="27">
        <v>5</v>
      </c>
      <c r="AG473" s="142">
        <v>4</v>
      </c>
      <c r="AH473" s="227">
        <v>7</v>
      </c>
      <c r="AI473" s="24">
        <v>4</v>
      </c>
      <c r="AJ473" s="161">
        <v>3</v>
      </c>
      <c r="AK473" s="23">
        <v>4</v>
      </c>
      <c r="AL473" s="22"/>
      <c r="AM473" s="24">
        <v>4</v>
      </c>
      <c r="AN473" s="37" t="s">
        <v>644</v>
      </c>
      <c r="AO473" s="37" t="s">
        <v>644</v>
      </c>
      <c r="AP473" s="25">
        <v>7</v>
      </c>
      <c r="AQ473" s="24">
        <v>4</v>
      </c>
      <c r="AR473" s="25">
        <v>8</v>
      </c>
      <c r="AS473" s="24">
        <v>4</v>
      </c>
      <c r="AT473" s="23">
        <v>4</v>
      </c>
      <c r="AU473">
        <f>E473 +F473</f>
        <v>31</v>
      </c>
    </row>
    <row r="474" spans="1:47" x14ac:dyDescent="0.25">
      <c r="A474" t="str">
        <f>B474 &amp; " - " &amp;D474</f>
        <v>FCN - Aristeguieta</v>
      </c>
      <c r="B474" t="s">
        <v>955</v>
      </c>
      <c r="C474" s="50" t="s">
        <v>665</v>
      </c>
      <c r="D474" s="57" t="s">
        <v>948</v>
      </c>
      <c r="E474" s="52"/>
      <c r="F474" s="63"/>
      <c r="G474" s="145"/>
      <c r="H474" s="34"/>
      <c r="I474" s="219"/>
      <c r="J474" s="138"/>
      <c r="K474" s="137"/>
      <c r="L474" s="138"/>
      <c r="M474" s="138"/>
      <c r="N474" s="138"/>
      <c r="O474" s="138"/>
      <c r="P474" s="137"/>
      <c r="Q474" s="138"/>
      <c r="R474" s="137"/>
      <c r="S474" s="138"/>
      <c r="T474" s="138"/>
      <c r="U474" s="138"/>
      <c r="V474" s="138"/>
      <c r="W474" s="138"/>
      <c r="X474" s="138"/>
      <c r="Y474" s="138"/>
      <c r="Z474" s="138"/>
      <c r="AA474" s="138"/>
      <c r="AB474" s="138"/>
      <c r="AC474" s="138"/>
      <c r="AD474" s="138"/>
      <c r="AE474" s="137"/>
      <c r="AF474" s="133"/>
      <c r="AG474" s="136"/>
      <c r="AH474" s="135"/>
      <c r="AI474" s="138"/>
      <c r="AJ474" s="137"/>
      <c r="AK474" s="138"/>
      <c r="AL474" s="138"/>
      <c r="AM474" s="138"/>
      <c r="AN474" s="138"/>
      <c r="AO474" s="138"/>
      <c r="AP474" s="138"/>
      <c r="AQ474" s="138"/>
      <c r="AR474" s="137"/>
      <c r="AS474" s="138"/>
      <c r="AT474" s="138"/>
      <c r="AU474">
        <f>E474 +F474</f>
        <v>0</v>
      </c>
    </row>
    <row r="475" spans="1:47" x14ac:dyDescent="0.25">
      <c r="A475" t="str">
        <f>B475 &amp; " - " &amp;D475</f>
        <v>GFCA - Maury</v>
      </c>
      <c r="B475" t="s">
        <v>1047</v>
      </c>
      <c r="C475" s="29" t="s">
        <v>638</v>
      </c>
      <c r="D475" s="176" t="s">
        <v>211</v>
      </c>
      <c r="E475" s="31">
        <v>34</v>
      </c>
      <c r="F475" s="99"/>
      <c r="G475" s="73"/>
      <c r="H475" s="34">
        <f>AVERAGE(J475,K475,L475,M475,N475,O475,P475,Q475,R475,S475,T475,U475,V475,Z475,AA475,AB475,AC475,AD475,AE475,AF475,AG475,AH475,AI475,AK475,AJ475,AL475,AM475,AN475,AO475,AP475,AQ475,AR475,AS475,AT475)</f>
        <v>4.9117647058823533</v>
      </c>
      <c r="I475" s="175"/>
      <c r="J475" s="24">
        <v>5</v>
      </c>
      <c r="K475" s="37">
        <v>5</v>
      </c>
      <c r="L475" s="24">
        <v>5</v>
      </c>
      <c r="M475" s="84">
        <v>7</v>
      </c>
      <c r="N475" s="37">
        <v>4</v>
      </c>
      <c r="O475" s="24">
        <v>6</v>
      </c>
      <c r="P475" s="84">
        <v>7</v>
      </c>
      <c r="Q475" s="24">
        <v>5</v>
      </c>
      <c r="R475" s="23">
        <v>5</v>
      </c>
      <c r="S475" s="24">
        <v>6</v>
      </c>
      <c r="T475" s="22">
        <v>6</v>
      </c>
      <c r="U475" s="24">
        <v>5</v>
      </c>
      <c r="V475" s="37">
        <v>5</v>
      </c>
      <c r="W475" s="24"/>
      <c r="X475" s="32"/>
      <c r="Y475" s="37"/>
      <c r="Z475" s="24">
        <v>5</v>
      </c>
      <c r="AA475" s="24">
        <v>5</v>
      </c>
      <c r="AB475" s="24">
        <v>4</v>
      </c>
      <c r="AC475" s="37">
        <v>4</v>
      </c>
      <c r="AD475" s="24">
        <v>6</v>
      </c>
      <c r="AE475" s="24">
        <v>4</v>
      </c>
      <c r="AF475" s="27">
        <v>5</v>
      </c>
      <c r="AG475" s="28">
        <v>5</v>
      </c>
      <c r="AH475" s="305">
        <v>2</v>
      </c>
      <c r="AI475" s="24">
        <v>6</v>
      </c>
      <c r="AJ475" s="32">
        <v>6</v>
      </c>
      <c r="AK475" s="24">
        <v>5</v>
      </c>
      <c r="AL475" s="75">
        <v>7</v>
      </c>
      <c r="AM475" s="24">
        <v>4</v>
      </c>
      <c r="AN475" s="24">
        <v>5</v>
      </c>
      <c r="AO475" s="77">
        <v>6</v>
      </c>
      <c r="AP475" s="24">
        <v>4</v>
      </c>
      <c r="AQ475" s="24">
        <v>4</v>
      </c>
      <c r="AR475" s="82">
        <v>2</v>
      </c>
      <c r="AS475" s="82">
        <v>2</v>
      </c>
      <c r="AT475" s="24">
        <v>5</v>
      </c>
      <c r="AU475">
        <f>E475 +F475</f>
        <v>34</v>
      </c>
    </row>
    <row r="476" spans="1:47" x14ac:dyDescent="0.25">
      <c r="A476" t="str">
        <f>B476 &amp; " - " &amp;D476</f>
        <v>ASSE - Roux</v>
      </c>
      <c r="B476" t="s">
        <v>746</v>
      </c>
      <c r="C476" s="29" t="s">
        <v>665</v>
      </c>
      <c r="D476" s="60" t="s">
        <v>142</v>
      </c>
      <c r="E476" s="31">
        <v>21</v>
      </c>
      <c r="F476" s="99">
        <v>8</v>
      </c>
      <c r="G476" s="73">
        <v>9</v>
      </c>
      <c r="H476" s="34">
        <f>AVERAGE(J476,K476,L476,M476,O476,T476,V476,U476,X476,Y476,Z476,AA476,AB476,AG476,AJ476,AN476,AO476,AP476,AQ476,AR476,AS476,AT476)</f>
        <v>4.9090909090909092</v>
      </c>
      <c r="I476" s="101" t="s">
        <v>644</v>
      </c>
      <c r="J476" s="23">
        <v>4</v>
      </c>
      <c r="K476" s="82">
        <v>3</v>
      </c>
      <c r="L476" s="24">
        <v>5</v>
      </c>
      <c r="M476" s="22">
        <v>6</v>
      </c>
      <c r="N476" s="24"/>
      <c r="O476" s="37">
        <v>4</v>
      </c>
      <c r="P476" s="24"/>
      <c r="Q476" s="37" t="s">
        <v>644</v>
      </c>
      <c r="R476" s="37" t="s">
        <v>644</v>
      </c>
      <c r="S476" s="24"/>
      <c r="T476" s="37">
        <v>6</v>
      </c>
      <c r="U476" s="37">
        <v>4</v>
      </c>
      <c r="V476" s="24">
        <v>4</v>
      </c>
      <c r="W476" s="77" t="s">
        <v>644</v>
      </c>
      <c r="X476" s="24">
        <v>4</v>
      </c>
      <c r="Y476" s="24">
        <v>4</v>
      </c>
      <c r="Z476" s="24">
        <v>4</v>
      </c>
      <c r="AA476" s="24">
        <v>4</v>
      </c>
      <c r="AB476" s="77">
        <v>5</v>
      </c>
      <c r="AC476" s="24"/>
      <c r="AD476" s="37"/>
      <c r="AE476" s="37" t="s">
        <v>644</v>
      </c>
      <c r="AF476" s="26" t="s">
        <v>644</v>
      </c>
      <c r="AG476" s="94">
        <v>6</v>
      </c>
      <c r="AH476" s="38"/>
      <c r="AI476" s="24"/>
      <c r="AJ476" s="24">
        <v>5</v>
      </c>
      <c r="AK476" s="24"/>
      <c r="AL476" s="24"/>
      <c r="AM476" s="77" t="s">
        <v>644</v>
      </c>
      <c r="AN476" s="25">
        <v>7</v>
      </c>
      <c r="AO476" s="24">
        <v>5</v>
      </c>
      <c r="AP476" s="25">
        <v>7</v>
      </c>
      <c r="AQ476" s="25">
        <v>8</v>
      </c>
      <c r="AR476" s="24">
        <v>4</v>
      </c>
      <c r="AS476" s="24">
        <v>4</v>
      </c>
      <c r="AT476" s="37">
        <v>5</v>
      </c>
      <c r="AU476">
        <f>E476 +F476</f>
        <v>29</v>
      </c>
    </row>
    <row r="477" spans="1:47" x14ac:dyDescent="0.25">
      <c r="A477" t="str">
        <f>B477 &amp; " - " &amp;D477</f>
        <v>EAG - Briand</v>
      </c>
      <c r="B477" t="s">
        <v>999</v>
      </c>
      <c r="C477" s="29" t="s">
        <v>665</v>
      </c>
      <c r="D477" s="154" t="s">
        <v>296</v>
      </c>
      <c r="E477" s="31">
        <v>33</v>
      </c>
      <c r="F477" s="27">
        <v>2</v>
      </c>
      <c r="G477" s="73">
        <v>7</v>
      </c>
      <c r="H477" s="34">
        <f>AVERAGE(AA477,K477,L477,M477,N477,P477,Q477,R477,S477,T477,U477,V477,W477,AB477,AC477,AD477,AE477,AF477,AG477,AH477,AI477,AJ477,AK477,AL477,AM477,AN477,AO477,AP477,AQ477,AR477,AS477,AT477)</f>
        <v>4.90625</v>
      </c>
      <c r="I477" s="101"/>
      <c r="J477" s="37" t="s">
        <v>644</v>
      </c>
      <c r="K477" s="37">
        <v>5</v>
      </c>
      <c r="L477" s="37">
        <v>6</v>
      </c>
      <c r="M477" s="37">
        <v>5</v>
      </c>
      <c r="N477" s="75">
        <v>7</v>
      </c>
      <c r="O477" s="37" t="s">
        <v>644</v>
      </c>
      <c r="P477" s="37">
        <v>5</v>
      </c>
      <c r="Q477" s="24">
        <v>5</v>
      </c>
      <c r="R477" s="22">
        <v>6</v>
      </c>
      <c r="S477" s="24">
        <v>5</v>
      </c>
      <c r="T477" s="22">
        <v>6</v>
      </c>
      <c r="U477" s="24">
        <v>4</v>
      </c>
      <c r="V477" s="37">
        <v>4</v>
      </c>
      <c r="W477" s="24">
        <v>5</v>
      </c>
      <c r="X477" s="24" t="s">
        <v>673</v>
      </c>
      <c r="Y477" s="37"/>
      <c r="Z477" s="24"/>
      <c r="AA477" s="24">
        <v>4</v>
      </c>
      <c r="AB477" s="24">
        <v>4</v>
      </c>
      <c r="AC477" s="37">
        <v>4</v>
      </c>
      <c r="AD477" s="24">
        <v>4</v>
      </c>
      <c r="AE477" s="25">
        <v>7</v>
      </c>
      <c r="AF477" s="163">
        <v>7</v>
      </c>
      <c r="AG477" s="27">
        <v>4</v>
      </c>
      <c r="AH477" s="305">
        <v>3</v>
      </c>
      <c r="AI477" s="25">
        <v>7</v>
      </c>
      <c r="AJ477" s="24">
        <v>4</v>
      </c>
      <c r="AK477" s="82">
        <v>3</v>
      </c>
      <c r="AL477" s="75">
        <v>7</v>
      </c>
      <c r="AM477" s="24">
        <v>4</v>
      </c>
      <c r="AN477" s="24">
        <v>4</v>
      </c>
      <c r="AO477" s="37">
        <v>4</v>
      </c>
      <c r="AP477" s="25">
        <v>7</v>
      </c>
      <c r="AQ477" s="24">
        <v>4</v>
      </c>
      <c r="AR477" s="24">
        <v>4</v>
      </c>
      <c r="AS477" s="24">
        <v>4</v>
      </c>
      <c r="AT477" s="24">
        <v>5</v>
      </c>
      <c r="AU477">
        <f>E477 +F477</f>
        <v>35</v>
      </c>
    </row>
    <row r="478" spans="1:47" x14ac:dyDescent="0.25">
      <c r="A478" t="str">
        <f>B478 &amp; " - " &amp;D478</f>
        <v>FCN - Henry</v>
      </c>
      <c r="B478" t="s">
        <v>955</v>
      </c>
      <c r="C478" s="29" t="s">
        <v>665</v>
      </c>
      <c r="D478" s="65" t="s">
        <v>953</v>
      </c>
      <c r="E478" s="31"/>
      <c r="F478" s="99">
        <v>2</v>
      </c>
      <c r="G478" s="73"/>
      <c r="H478" s="34"/>
      <c r="I478" s="87"/>
      <c r="J478" s="24"/>
      <c r="K478" s="37"/>
      <c r="L478" s="24"/>
      <c r="M478" s="37"/>
      <c r="N478" s="24"/>
      <c r="O478" s="37"/>
      <c r="P478" s="24"/>
      <c r="Q478" s="37"/>
      <c r="R478" s="76"/>
      <c r="S478" s="37"/>
      <c r="T478" s="37"/>
      <c r="U478" s="24"/>
      <c r="V478" s="24"/>
      <c r="W478" s="37"/>
      <c r="X478" s="37"/>
      <c r="Y478" s="24"/>
      <c r="Z478" s="37" t="s">
        <v>644</v>
      </c>
      <c r="AA478" s="37" t="s">
        <v>644</v>
      </c>
      <c r="AB478" s="24"/>
      <c r="AC478" s="24"/>
      <c r="AD478" s="24"/>
      <c r="AE478" s="37"/>
      <c r="AF478" s="27"/>
      <c r="AG478" s="26"/>
      <c r="AH478" s="87"/>
      <c r="AI478" s="24"/>
      <c r="AJ478" s="37"/>
      <c r="AK478" s="24"/>
      <c r="AL478" s="24"/>
      <c r="AM478" s="24"/>
      <c r="AN478" s="24"/>
      <c r="AO478" s="24"/>
      <c r="AP478" s="24"/>
      <c r="AQ478" s="24"/>
      <c r="AR478" s="24"/>
      <c r="AS478" s="24"/>
      <c r="AT478" s="24"/>
      <c r="AU478">
        <f>E478 +F478</f>
        <v>2</v>
      </c>
    </row>
    <row r="479" spans="1:47" ht="15.75" thickBot="1" x14ac:dyDescent="0.3">
      <c r="A479" t="str">
        <f>B479 &amp; " - " &amp;D479</f>
        <v>FCN - Niane</v>
      </c>
      <c r="B479" t="s">
        <v>955</v>
      </c>
      <c r="C479" s="88" t="s">
        <v>665</v>
      </c>
      <c r="D479" s="165" t="s">
        <v>954</v>
      </c>
      <c r="E479" s="90"/>
      <c r="F479" s="119"/>
      <c r="G479" s="89"/>
      <c r="H479" s="120"/>
      <c r="I479" s="87"/>
      <c r="J479" s="24"/>
      <c r="K479" s="37"/>
      <c r="L479" s="24"/>
      <c r="M479" s="37"/>
      <c r="N479" s="24"/>
      <c r="O479" s="37"/>
      <c r="P479" s="24"/>
      <c r="Q479" s="37"/>
      <c r="R479" s="22"/>
      <c r="S479" s="37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37"/>
      <c r="AF479" s="26"/>
      <c r="AG479" s="26"/>
      <c r="AH479" s="87"/>
      <c r="AI479" s="37"/>
      <c r="AJ479" s="37"/>
      <c r="AK479" s="24"/>
      <c r="AL479" s="24"/>
      <c r="AM479" s="37"/>
      <c r="AN479" s="24"/>
      <c r="AO479" s="24"/>
      <c r="AP479" s="24"/>
      <c r="AQ479" s="24"/>
      <c r="AR479" s="24"/>
      <c r="AS479" s="24"/>
      <c r="AT479" s="24"/>
      <c r="AU479">
        <f>E479 +F479</f>
        <v>0</v>
      </c>
    </row>
    <row r="480" spans="1:47" x14ac:dyDescent="0.25">
      <c r="A480" t="str">
        <f>B480 &amp; " - " &amp;D480</f>
        <v>ASM - Nardi</v>
      </c>
      <c r="B480" t="s">
        <v>974</v>
      </c>
      <c r="C480" s="16" t="s">
        <v>638</v>
      </c>
      <c r="D480" s="220" t="s">
        <v>956</v>
      </c>
      <c r="E480" s="18">
        <v>2</v>
      </c>
      <c r="F480" s="95"/>
      <c r="G480" s="158"/>
      <c r="H480" s="159">
        <f>AVERAGE(Z480,AA480)</f>
        <v>5.5</v>
      </c>
      <c r="I480" s="48"/>
      <c r="J480" s="24"/>
      <c r="K480" s="37"/>
      <c r="L480" s="24"/>
      <c r="M480" s="24"/>
      <c r="N480" s="24"/>
      <c r="O480" s="24"/>
      <c r="P480" s="37"/>
      <c r="Q480" s="24"/>
      <c r="R480" s="37"/>
      <c r="S480" s="37"/>
      <c r="T480" s="24"/>
      <c r="U480" s="37"/>
      <c r="V480" s="24"/>
      <c r="W480" s="37"/>
      <c r="X480" s="37"/>
      <c r="Y480" s="24"/>
      <c r="Z480" s="77">
        <v>5</v>
      </c>
      <c r="AA480" s="22">
        <v>6</v>
      </c>
      <c r="AB480" s="24"/>
      <c r="AC480" s="27"/>
      <c r="AD480" s="24"/>
      <c r="AE480" s="37"/>
      <c r="AF480" s="24"/>
      <c r="AG480" s="37"/>
      <c r="AH480" s="24"/>
      <c r="AI480" s="24"/>
      <c r="AJ480" s="37"/>
      <c r="AK480" s="24"/>
      <c r="AL480" s="37"/>
      <c r="AM480" s="37"/>
      <c r="AN480" s="24"/>
      <c r="AO480" s="37"/>
      <c r="AP480" s="24"/>
      <c r="AQ480" s="37"/>
      <c r="AR480" s="37"/>
      <c r="AS480" s="24"/>
      <c r="AT480" s="37"/>
      <c r="AU480">
        <f>E480 +F480</f>
        <v>2</v>
      </c>
    </row>
    <row r="481" spans="1:47" x14ac:dyDescent="0.25">
      <c r="A481" t="str">
        <f>B481 &amp; " - " &amp;D481</f>
        <v>SR - Mandi</v>
      </c>
      <c r="B481" t="s">
        <v>933</v>
      </c>
      <c r="C481" s="67" t="s">
        <v>641</v>
      </c>
      <c r="D481" s="85" t="s">
        <v>917</v>
      </c>
      <c r="E481" s="69">
        <v>32</v>
      </c>
      <c r="F481" s="115"/>
      <c r="G481" s="122">
        <v>5</v>
      </c>
      <c r="H481" s="72">
        <f>AVERAGE(Z481,J481,K481,L481,I481,M481,N481,O481,U481,V481,W481,X481,Y481,AB481,AC481,AD481,AE481,AF481,AG481,AH481,AI481,AJ481,AK481,AL481,AM481,AN481,AO481,AP481,AQ481,AR481,AS481,AT481)</f>
        <v>4.90625</v>
      </c>
      <c r="I481" s="48">
        <v>5</v>
      </c>
      <c r="J481" s="169">
        <v>6</v>
      </c>
      <c r="K481" s="74">
        <v>5</v>
      </c>
      <c r="L481" s="76">
        <v>5</v>
      </c>
      <c r="M481" s="24">
        <v>4</v>
      </c>
      <c r="N481" s="24">
        <v>5</v>
      </c>
      <c r="O481" s="24">
        <v>5</v>
      </c>
      <c r="P481" s="24"/>
      <c r="Q481" s="24"/>
      <c r="R481" s="24"/>
      <c r="S481" s="24"/>
      <c r="T481" s="24"/>
      <c r="U481" s="23">
        <v>4</v>
      </c>
      <c r="V481" s="24">
        <v>4</v>
      </c>
      <c r="W481" s="22">
        <v>6</v>
      </c>
      <c r="X481" s="24">
        <v>5</v>
      </c>
      <c r="Y481" s="24">
        <v>5</v>
      </c>
      <c r="Z481" s="23">
        <v>4</v>
      </c>
      <c r="AA481" s="24"/>
      <c r="AB481" s="24">
        <v>4</v>
      </c>
      <c r="AC481" s="237">
        <v>3</v>
      </c>
      <c r="AD481" s="25">
        <v>7</v>
      </c>
      <c r="AE481" s="82">
        <v>3</v>
      </c>
      <c r="AF481" s="24">
        <v>5</v>
      </c>
      <c r="AG481" s="24">
        <v>5</v>
      </c>
      <c r="AH481" s="24">
        <v>6</v>
      </c>
      <c r="AI481" s="82">
        <v>3</v>
      </c>
      <c r="AJ481" s="25">
        <v>8</v>
      </c>
      <c r="AK481" s="37">
        <v>4</v>
      </c>
      <c r="AL481" s="24">
        <v>4</v>
      </c>
      <c r="AM481" s="24">
        <v>5</v>
      </c>
      <c r="AN481" s="22">
        <v>5</v>
      </c>
      <c r="AO481" s="23">
        <v>6</v>
      </c>
      <c r="AP481" s="24">
        <v>5</v>
      </c>
      <c r="AQ481" s="24">
        <v>5</v>
      </c>
      <c r="AR481" s="24">
        <v>4</v>
      </c>
      <c r="AS481" s="24">
        <v>5</v>
      </c>
      <c r="AT481" s="25">
        <v>7</v>
      </c>
      <c r="AU481">
        <f>E481 +F481</f>
        <v>32</v>
      </c>
    </row>
    <row r="482" spans="1:47" x14ac:dyDescent="0.25">
      <c r="A482" t="str">
        <f>B482 &amp; " - " &amp;D482</f>
        <v>TFC - Tisserand</v>
      </c>
      <c r="B482" t="s">
        <v>868</v>
      </c>
      <c r="C482" s="29" t="s">
        <v>641</v>
      </c>
      <c r="D482" s="123" t="s">
        <v>852</v>
      </c>
      <c r="E482" s="31">
        <v>32</v>
      </c>
      <c r="F482" s="99">
        <v>1</v>
      </c>
      <c r="G482" s="73">
        <v>1</v>
      </c>
      <c r="H482" s="34">
        <f>AVERAGE(AA482,X482,I482,M482,N482,O482,P482,Q482,R482,S482,T482,U482,V482,W482,AB482,AC482,AD482,AE482,AF482,AG482,AH482,AI482,AK482,AL482,AM482,AN482,AO482,AP482,AQ482,AR482,AS482,AT482)</f>
        <v>4.90625</v>
      </c>
      <c r="I482" s="87">
        <v>5</v>
      </c>
      <c r="J482" s="26"/>
      <c r="K482" s="37"/>
      <c r="L482" s="37" t="s">
        <v>644</v>
      </c>
      <c r="M482" s="187">
        <v>3</v>
      </c>
      <c r="N482" s="24">
        <v>5</v>
      </c>
      <c r="O482" s="24">
        <v>5</v>
      </c>
      <c r="P482" s="24">
        <v>5</v>
      </c>
      <c r="Q482" s="24">
        <v>4</v>
      </c>
      <c r="R482" s="24">
        <v>5</v>
      </c>
      <c r="S482" s="24">
        <v>5</v>
      </c>
      <c r="T482" s="37">
        <v>5</v>
      </c>
      <c r="U482" s="161">
        <v>3</v>
      </c>
      <c r="V482" s="24">
        <v>5</v>
      </c>
      <c r="W482" s="24">
        <v>6</v>
      </c>
      <c r="X482" s="24">
        <v>5</v>
      </c>
      <c r="Y482" s="24"/>
      <c r="Z482" s="24"/>
      <c r="AA482" s="24">
        <v>4</v>
      </c>
      <c r="AB482" s="24">
        <v>5</v>
      </c>
      <c r="AC482" s="26">
        <v>5</v>
      </c>
      <c r="AD482" s="24">
        <v>4</v>
      </c>
      <c r="AE482" s="24">
        <v>5</v>
      </c>
      <c r="AF482" s="24">
        <v>5</v>
      </c>
      <c r="AG482" s="24">
        <v>5</v>
      </c>
      <c r="AH482" s="24">
        <v>5</v>
      </c>
      <c r="AI482" s="24">
        <v>5</v>
      </c>
      <c r="AJ482" s="24"/>
      <c r="AK482" s="24">
        <v>5</v>
      </c>
      <c r="AL482" s="24">
        <v>6</v>
      </c>
      <c r="AM482" s="24">
        <v>4</v>
      </c>
      <c r="AN482" s="24">
        <v>6</v>
      </c>
      <c r="AO482" s="24">
        <v>6</v>
      </c>
      <c r="AP482" s="24">
        <v>5</v>
      </c>
      <c r="AQ482" s="22">
        <v>6</v>
      </c>
      <c r="AR482" s="24">
        <v>5</v>
      </c>
      <c r="AS482" s="24">
        <v>5</v>
      </c>
      <c r="AT482" s="24">
        <v>5</v>
      </c>
      <c r="AU482">
        <f>E482 +F482</f>
        <v>33</v>
      </c>
    </row>
    <row r="483" spans="1:47" x14ac:dyDescent="0.25">
      <c r="A483" t="str">
        <f>B483 &amp; " - " &amp;D483</f>
        <v>ASM - Raggi</v>
      </c>
      <c r="B483" t="s">
        <v>974</v>
      </c>
      <c r="C483" s="29" t="s">
        <v>641</v>
      </c>
      <c r="D483" s="60" t="s">
        <v>959</v>
      </c>
      <c r="E483" s="31">
        <v>29</v>
      </c>
      <c r="F483" s="99">
        <v>2</v>
      </c>
      <c r="G483" s="73">
        <v>2</v>
      </c>
      <c r="H483" s="34">
        <f>AVERAGE(J483,L483,I483,M483,N483,O483,P483,Q483,S483,T483,U483,V483,W483,AC483,AD483,AE483,AF483,AG483,AH483,AI483,AJ483,AM483,AN483,AO483,AP483,AQ483,AR483,AS483,AT483)</f>
        <v>4.8965517241379306</v>
      </c>
      <c r="I483" s="48">
        <v>4</v>
      </c>
      <c r="J483" s="223">
        <v>6</v>
      </c>
      <c r="K483" s="37"/>
      <c r="L483" s="24">
        <v>4</v>
      </c>
      <c r="M483" s="24">
        <v>5</v>
      </c>
      <c r="N483" s="24">
        <v>5</v>
      </c>
      <c r="O483" s="24">
        <v>4</v>
      </c>
      <c r="P483" s="77">
        <v>6</v>
      </c>
      <c r="Q483" s="24">
        <v>4</v>
      </c>
      <c r="R483" s="37"/>
      <c r="S483" s="37">
        <v>6</v>
      </c>
      <c r="T483" s="24">
        <v>5</v>
      </c>
      <c r="U483" s="37">
        <v>5</v>
      </c>
      <c r="V483" s="24">
        <v>6</v>
      </c>
      <c r="W483" s="37">
        <v>4</v>
      </c>
      <c r="X483" s="37"/>
      <c r="Y483" s="24"/>
      <c r="Z483" s="37"/>
      <c r="AA483" s="37" t="s">
        <v>644</v>
      </c>
      <c r="AB483" s="24"/>
      <c r="AC483" s="27">
        <v>6</v>
      </c>
      <c r="AD483" s="24">
        <v>5</v>
      </c>
      <c r="AE483" s="166">
        <v>3</v>
      </c>
      <c r="AF483" s="24">
        <v>6</v>
      </c>
      <c r="AG483" s="37">
        <v>6</v>
      </c>
      <c r="AH483" s="24">
        <v>5</v>
      </c>
      <c r="AI483" s="66">
        <v>7</v>
      </c>
      <c r="AJ483" s="37">
        <v>5</v>
      </c>
      <c r="AK483" s="76" t="s">
        <v>644</v>
      </c>
      <c r="AL483" s="37"/>
      <c r="AM483" s="37">
        <v>6</v>
      </c>
      <c r="AN483" s="24">
        <v>4</v>
      </c>
      <c r="AO483" s="166">
        <v>3</v>
      </c>
      <c r="AP483" s="22">
        <v>6</v>
      </c>
      <c r="AQ483" s="37">
        <v>6</v>
      </c>
      <c r="AR483" s="37">
        <v>4</v>
      </c>
      <c r="AS483" s="82">
        <v>1</v>
      </c>
      <c r="AT483" s="37">
        <v>5</v>
      </c>
      <c r="AU483">
        <f>E483 +F483</f>
        <v>31</v>
      </c>
    </row>
    <row r="484" spans="1:47" x14ac:dyDescent="0.25">
      <c r="A484" t="str">
        <f>B484 &amp; " - " &amp;D484</f>
        <v>ASM - Kurzawa</v>
      </c>
      <c r="B484" t="s">
        <v>974</v>
      </c>
      <c r="C484" s="50" t="s">
        <v>641</v>
      </c>
      <c r="D484" s="57" t="s">
        <v>134</v>
      </c>
      <c r="E484" s="52">
        <v>3</v>
      </c>
      <c r="F484" s="63"/>
      <c r="G484" s="145">
        <v>1</v>
      </c>
      <c r="H484" s="80">
        <f>AVERAGE(J484,I484,K484)</f>
        <v>5.666666666666667</v>
      </c>
      <c r="I484" s="64">
        <v>6</v>
      </c>
      <c r="J484" s="221">
        <v>6</v>
      </c>
      <c r="K484" s="61">
        <v>5</v>
      </c>
      <c r="L484" s="53"/>
      <c r="M484" s="53"/>
      <c r="N484" s="46"/>
      <c r="O484" s="46"/>
      <c r="P484" s="55"/>
      <c r="Q484" s="46"/>
      <c r="R484" s="46"/>
      <c r="S484" s="55"/>
      <c r="T484" s="46"/>
      <c r="U484" s="55"/>
      <c r="V484" s="46"/>
      <c r="W484" s="55"/>
      <c r="X484" s="55"/>
      <c r="Y484" s="46"/>
      <c r="Z484" s="55"/>
      <c r="AA484" s="55"/>
      <c r="AB484" s="46"/>
      <c r="AC484" s="47"/>
      <c r="AD484" s="55"/>
      <c r="AE484" s="55"/>
      <c r="AF484" s="46"/>
      <c r="AG484" s="55"/>
      <c r="AH484" s="46"/>
      <c r="AI484" s="46"/>
      <c r="AJ484" s="55"/>
      <c r="AK484" s="55"/>
      <c r="AL484" s="55"/>
      <c r="AM484" s="55"/>
      <c r="AN484" s="46"/>
      <c r="AO484" s="55"/>
      <c r="AP484" s="46"/>
      <c r="AQ484" s="55"/>
      <c r="AR484" s="55"/>
      <c r="AS484" s="46"/>
      <c r="AT484" s="55"/>
      <c r="AU484">
        <f>E484 +F484</f>
        <v>3</v>
      </c>
    </row>
    <row r="485" spans="1:47" x14ac:dyDescent="0.25">
      <c r="A485" t="str">
        <f>B485 &amp; " - " &amp;D485</f>
        <v>ASM - Echiejile</v>
      </c>
      <c r="B485" t="s">
        <v>974</v>
      </c>
      <c r="C485" s="29" t="s">
        <v>641</v>
      </c>
      <c r="D485" s="38" t="s">
        <v>958</v>
      </c>
      <c r="E485" s="31">
        <v>18</v>
      </c>
      <c r="F485" s="99">
        <v>2</v>
      </c>
      <c r="G485" s="73"/>
      <c r="H485" s="34">
        <f>AVERAGE(L485,M485,R485,S485,T485,U485,W485,Y485,Z485,AA485,AH485,AI485,AJ485,AK485,AL485,AM485,AN485,AO485)</f>
        <v>4.9444444444444446</v>
      </c>
      <c r="I485" s="48"/>
      <c r="J485" s="222"/>
      <c r="K485" s="37"/>
      <c r="L485" s="24">
        <v>5</v>
      </c>
      <c r="M485" s="24">
        <v>5</v>
      </c>
      <c r="N485" s="24"/>
      <c r="O485" s="24"/>
      <c r="P485" s="37"/>
      <c r="Q485" s="24"/>
      <c r="R485" s="37">
        <v>5</v>
      </c>
      <c r="S485" s="37">
        <v>6</v>
      </c>
      <c r="T485" s="23">
        <v>6</v>
      </c>
      <c r="U485" s="37">
        <v>5</v>
      </c>
      <c r="V485" s="37" t="s">
        <v>644</v>
      </c>
      <c r="W485" s="37">
        <v>5</v>
      </c>
      <c r="X485" s="37" t="s">
        <v>644</v>
      </c>
      <c r="Y485" s="24">
        <v>4</v>
      </c>
      <c r="Z485" s="37">
        <v>6</v>
      </c>
      <c r="AA485" s="24">
        <v>5</v>
      </c>
      <c r="AB485" s="24"/>
      <c r="AC485" s="26"/>
      <c r="AD485" s="24"/>
      <c r="AE485" s="37"/>
      <c r="AF485" s="24"/>
      <c r="AG485" s="37"/>
      <c r="AH485" s="24">
        <v>4</v>
      </c>
      <c r="AI485" s="24">
        <v>5</v>
      </c>
      <c r="AJ485" s="37">
        <v>5</v>
      </c>
      <c r="AK485" s="24">
        <v>5</v>
      </c>
      <c r="AL485" s="37">
        <v>5</v>
      </c>
      <c r="AM485" s="37">
        <v>6</v>
      </c>
      <c r="AN485" s="82">
        <v>3</v>
      </c>
      <c r="AO485" s="37">
        <v>4</v>
      </c>
      <c r="AP485" s="24"/>
      <c r="AQ485" s="37"/>
      <c r="AR485" s="37"/>
      <c r="AS485" s="24"/>
      <c r="AT485" s="37"/>
      <c r="AU485">
        <f>E485 +F485</f>
        <v>20</v>
      </c>
    </row>
    <row r="486" spans="1:47" x14ac:dyDescent="0.25">
      <c r="A486" t="str">
        <f>B486 &amp; " - " &amp;D486</f>
        <v>GFCA - Djokovic</v>
      </c>
      <c r="B486" t="s">
        <v>1047</v>
      </c>
      <c r="C486" s="29" t="s">
        <v>654</v>
      </c>
      <c r="D486" s="65" t="s">
        <v>1039</v>
      </c>
      <c r="E486" s="31">
        <v>26</v>
      </c>
      <c r="F486" s="99">
        <v>9</v>
      </c>
      <c r="G486" s="73">
        <v>2</v>
      </c>
      <c r="H486" s="34">
        <f>AVERAGE(AB486,Y486,J486,K486,L486,M486,I486,N486,P486,R486,S486,T486,V486,W486,AC486,AD486,AE486,AG486,AH486,AI486,AK486,AJ486,AL486,AM486,AN486,AP486,AR486,AT486)</f>
        <v>4.8928571428571432</v>
      </c>
      <c r="I486" s="87">
        <v>6</v>
      </c>
      <c r="J486" s="26">
        <v>4</v>
      </c>
      <c r="K486" s="37">
        <v>4</v>
      </c>
      <c r="L486" s="37">
        <v>5</v>
      </c>
      <c r="M486" s="37">
        <v>5</v>
      </c>
      <c r="N486" s="37">
        <v>5</v>
      </c>
      <c r="O486" s="37"/>
      <c r="P486" s="37">
        <v>4</v>
      </c>
      <c r="Q486" s="37" t="s">
        <v>644</v>
      </c>
      <c r="R486" s="37">
        <v>4</v>
      </c>
      <c r="S486" s="25">
        <v>7</v>
      </c>
      <c r="T486" s="24">
        <v>5</v>
      </c>
      <c r="U486" s="24"/>
      <c r="V486" s="37">
        <v>5</v>
      </c>
      <c r="W486" s="37">
        <v>5</v>
      </c>
      <c r="X486" s="37" t="s">
        <v>644</v>
      </c>
      <c r="Y486" s="37">
        <v>5</v>
      </c>
      <c r="Z486" s="37" t="s">
        <v>644</v>
      </c>
      <c r="AA486" s="37" t="s">
        <v>644</v>
      </c>
      <c r="AB486" s="24">
        <v>5</v>
      </c>
      <c r="AC486" s="94">
        <v>6</v>
      </c>
      <c r="AD486" s="24">
        <v>4</v>
      </c>
      <c r="AE486" s="37">
        <v>4</v>
      </c>
      <c r="AF486" s="37" t="s">
        <v>644</v>
      </c>
      <c r="AG486" s="24">
        <v>5</v>
      </c>
      <c r="AH486" s="84">
        <v>7</v>
      </c>
      <c r="AI486" s="24">
        <v>4</v>
      </c>
      <c r="AJ486" s="32">
        <v>5</v>
      </c>
      <c r="AK486" s="37">
        <v>5</v>
      </c>
      <c r="AL486" s="37">
        <v>5</v>
      </c>
      <c r="AM486" s="76">
        <v>5</v>
      </c>
      <c r="AN486" s="37">
        <v>5</v>
      </c>
      <c r="AO486" s="37"/>
      <c r="AP486" s="24">
        <v>5</v>
      </c>
      <c r="AQ486" s="37" t="s">
        <v>644</v>
      </c>
      <c r="AR486" s="37">
        <v>4</v>
      </c>
      <c r="AS486" s="37" t="s">
        <v>644</v>
      </c>
      <c r="AT486" s="37">
        <v>4</v>
      </c>
      <c r="AU486">
        <f>E486 +F486</f>
        <v>35</v>
      </c>
    </row>
    <row r="487" spans="1:47" x14ac:dyDescent="0.25">
      <c r="A487" t="str">
        <f>B487 &amp; " - " &amp;D487</f>
        <v>FCL - Barthelmé</v>
      </c>
      <c r="B487" t="s">
        <v>816</v>
      </c>
      <c r="C487" s="29" t="s">
        <v>654</v>
      </c>
      <c r="D487" s="30" t="s">
        <v>804</v>
      </c>
      <c r="E487" s="31">
        <v>16</v>
      </c>
      <c r="F487" s="99">
        <v>8</v>
      </c>
      <c r="G487" s="73"/>
      <c r="H487" s="34">
        <f>AVERAGE(O487,P487,Q487,U487,V487,Y487,AE487,AF487,AI487,AJ487,AL487,AM487,AN487,AO487,AP487,AS487,AT487)</f>
        <v>4.882352941176471</v>
      </c>
      <c r="I487" s="87" t="s">
        <v>644</v>
      </c>
      <c r="J487" s="26"/>
      <c r="K487" s="37"/>
      <c r="L487" s="37"/>
      <c r="M487" s="24"/>
      <c r="N487" s="24"/>
      <c r="O487" s="24">
        <v>6</v>
      </c>
      <c r="P487" s="84">
        <v>7</v>
      </c>
      <c r="Q487" s="24">
        <v>4</v>
      </c>
      <c r="R487" s="37" t="s">
        <v>644</v>
      </c>
      <c r="S487" s="24"/>
      <c r="T487" s="24"/>
      <c r="U487" s="24">
        <v>5</v>
      </c>
      <c r="V487" s="37">
        <v>5</v>
      </c>
      <c r="W487" s="24"/>
      <c r="X487" s="37"/>
      <c r="Y487" s="24">
        <v>6</v>
      </c>
      <c r="Z487" s="24"/>
      <c r="AA487" s="24"/>
      <c r="AB487" s="24"/>
      <c r="AC487" s="26" t="s">
        <v>644</v>
      </c>
      <c r="AD487" s="37" t="s">
        <v>644</v>
      </c>
      <c r="AE487" s="24">
        <v>5</v>
      </c>
      <c r="AF487" s="166">
        <v>3</v>
      </c>
      <c r="AG487" s="37"/>
      <c r="AH487" s="37" t="s">
        <v>644</v>
      </c>
      <c r="AI487" s="37">
        <v>5</v>
      </c>
      <c r="AJ487" s="37">
        <v>6</v>
      </c>
      <c r="AK487" s="37" t="s">
        <v>644</v>
      </c>
      <c r="AL487" s="24">
        <v>5</v>
      </c>
      <c r="AM487" s="24">
        <v>4</v>
      </c>
      <c r="AN487" s="24">
        <v>6</v>
      </c>
      <c r="AO487" s="24">
        <v>5</v>
      </c>
      <c r="AP487" s="37">
        <v>4</v>
      </c>
      <c r="AQ487" s="37"/>
      <c r="AR487" s="37" t="s">
        <v>644</v>
      </c>
      <c r="AS487" s="166">
        <v>3</v>
      </c>
      <c r="AT487" s="37">
        <v>4</v>
      </c>
      <c r="AU487">
        <f>E487 +F487</f>
        <v>24</v>
      </c>
    </row>
    <row r="488" spans="1:47" x14ac:dyDescent="0.25">
      <c r="A488" t="str">
        <f>B488 &amp; " - " &amp;D488</f>
        <v>ASM - Coentrao</v>
      </c>
      <c r="B488" t="s">
        <v>974</v>
      </c>
      <c r="C488" s="29" t="s">
        <v>641</v>
      </c>
      <c r="D488" s="65" t="s">
        <v>960</v>
      </c>
      <c r="E488" s="31">
        <v>13</v>
      </c>
      <c r="F488" s="99">
        <v>2</v>
      </c>
      <c r="G488" s="73">
        <v>3</v>
      </c>
      <c r="H488" s="34">
        <f>AVERAGE(N488,O488,Q488,V488,W488,X488,AB488,AC488,AD488,AE488,AF488)</f>
        <v>5.6363636363636367</v>
      </c>
      <c r="I488" s="48"/>
      <c r="J488" s="223"/>
      <c r="K488" s="37"/>
      <c r="L488" s="24"/>
      <c r="M488" s="37" t="s">
        <v>644</v>
      </c>
      <c r="N488" s="24">
        <v>4</v>
      </c>
      <c r="O488" s="25">
        <v>7</v>
      </c>
      <c r="P488" s="37"/>
      <c r="Q488" s="24">
        <v>5</v>
      </c>
      <c r="R488" s="37"/>
      <c r="S488" s="37"/>
      <c r="T488" s="24"/>
      <c r="U488" s="37"/>
      <c r="V488" s="24">
        <v>6</v>
      </c>
      <c r="W488" s="75">
        <v>7</v>
      </c>
      <c r="X488" s="37">
        <v>5</v>
      </c>
      <c r="Y488" s="24" t="s">
        <v>673</v>
      </c>
      <c r="Z488" s="37"/>
      <c r="AA488" s="24"/>
      <c r="AB488" s="24">
        <v>4</v>
      </c>
      <c r="AC488" s="24">
        <v>6</v>
      </c>
      <c r="AD488" s="25">
        <v>8</v>
      </c>
      <c r="AE488" s="166">
        <v>3</v>
      </c>
      <c r="AF488" s="66">
        <v>7</v>
      </c>
      <c r="AG488" s="37" t="s">
        <v>673</v>
      </c>
      <c r="AH488" s="24"/>
      <c r="AI488" s="24"/>
      <c r="AJ488" s="37"/>
      <c r="AK488" s="24"/>
      <c r="AL488" s="37"/>
      <c r="AM488" s="37"/>
      <c r="AN488" s="37" t="s">
        <v>644</v>
      </c>
      <c r="AO488" s="37"/>
      <c r="AP488" s="24"/>
      <c r="AQ488" s="37"/>
      <c r="AR488" s="37"/>
      <c r="AS488" s="24"/>
      <c r="AT488" s="37"/>
      <c r="AU488">
        <f>E488 +F488</f>
        <v>15</v>
      </c>
    </row>
    <row r="489" spans="1:47" x14ac:dyDescent="0.25">
      <c r="A489" t="str">
        <f>B489 &amp; " - " &amp;D489</f>
        <v>ASM - Jemerson</v>
      </c>
      <c r="B489" t="s">
        <v>974</v>
      </c>
      <c r="C489" s="29" t="s">
        <v>641</v>
      </c>
      <c r="D489" s="65" t="s">
        <v>1122</v>
      </c>
      <c r="E489" s="31">
        <v>3</v>
      </c>
      <c r="F489" s="99">
        <v>1</v>
      </c>
      <c r="G489" s="73"/>
      <c r="H489" s="34">
        <f>AVERAGE(AM489,AO489,AS489)</f>
        <v>3.3333333333333335</v>
      </c>
      <c r="I489" s="48"/>
      <c r="J489" s="223"/>
      <c r="K489" s="37"/>
      <c r="L489" s="24"/>
      <c r="M489" s="37"/>
      <c r="N489" s="24"/>
      <c r="O489" s="223"/>
      <c r="P489" s="37"/>
      <c r="Q489" s="24"/>
      <c r="R489" s="37"/>
      <c r="S489" s="24"/>
      <c r="T489" s="24"/>
      <c r="U489" s="37"/>
      <c r="V489" s="24"/>
      <c r="W489" s="223"/>
      <c r="X489" s="37"/>
      <c r="Y489" s="24"/>
      <c r="Z489" s="37"/>
      <c r="AA489" s="24"/>
      <c r="AB489" s="223"/>
      <c r="AC489" s="37"/>
      <c r="AD489" s="24"/>
      <c r="AE489" s="37"/>
      <c r="AF489" s="24"/>
      <c r="AG489" s="24"/>
      <c r="AH489" s="37"/>
      <c r="AI489" s="24"/>
      <c r="AJ489" s="37"/>
      <c r="AK489" s="24"/>
      <c r="AL489" s="37"/>
      <c r="AM489" s="37">
        <v>5</v>
      </c>
      <c r="AN489" s="24"/>
      <c r="AO489" s="166">
        <v>3</v>
      </c>
      <c r="AP489" s="24"/>
      <c r="AQ489" s="37" t="s">
        <v>644</v>
      </c>
      <c r="AR489" s="37"/>
      <c r="AS489" s="82">
        <v>2</v>
      </c>
      <c r="AT489" s="37"/>
      <c r="AU489">
        <f>E489 +F489</f>
        <v>4</v>
      </c>
    </row>
    <row r="490" spans="1:47" x14ac:dyDescent="0.25">
      <c r="A490" t="str">
        <f>B490 &amp; " - " &amp;D490</f>
        <v>ASM - Touré</v>
      </c>
      <c r="B490" t="s">
        <v>974</v>
      </c>
      <c r="C490" s="29" t="s">
        <v>641</v>
      </c>
      <c r="D490" s="154" t="s">
        <v>48</v>
      </c>
      <c r="E490" s="31">
        <v>9</v>
      </c>
      <c r="F490" s="99">
        <v>1</v>
      </c>
      <c r="G490" s="73">
        <v>3</v>
      </c>
      <c r="H490" s="34">
        <f>AVERAGE(K490,M490,N490,O490,V490,W490,X490,Y490)</f>
        <v>5.625</v>
      </c>
      <c r="I490" s="48"/>
      <c r="J490" s="222"/>
      <c r="K490" s="37">
        <v>5</v>
      </c>
      <c r="L490" s="24"/>
      <c r="M490" s="24">
        <v>6</v>
      </c>
      <c r="N490" s="22">
        <v>6</v>
      </c>
      <c r="O490" s="24">
        <v>4</v>
      </c>
      <c r="P490" s="37" t="s">
        <v>673</v>
      </c>
      <c r="Q490" s="24"/>
      <c r="R490" s="24"/>
      <c r="S490" s="37"/>
      <c r="T490" s="24"/>
      <c r="U490" s="37" t="s">
        <v>644</v>
      </c>
      <c r="V490" s="24">
        <v>6</v>
      </c>
      <c r="W490" s="75">
        <v>7</v>
      </c>
      <c r="X490" s="37">
        <v>6</v>
      </c>
      <c r="Y490" s="24">
        <v>5</v>
      </c>
      <c r="Z490" s="37"/>
      <c r="AA490" s="24"/>
      <c r="AB490" s="24"/>
      <c r="AC490" s="37"/>
      <c r="AD490" s="24"/>
      <c r="AE490" s="37"/>
      <c r="AF490" s="24"/>
      <c r="AG490" s="37"/>
      <c r="AH490" s="24"/>
      <c r="AI490" s="24"/>
      <c r="AJ490" s="77"/>
      <c r="AK490" s="24"/>
      <c r="AL490" s="37"/>
      <c r="AM490" s="37"/>
      <c r="AN490" s="24"/>
      <c r="AO490" s="37"/>
      <c r="AP490" s="24"/>
      <c r="AQ490" s="37"/>
      <c r="AR490" s="37"/>
      <c r="AS490" s="24"/>
      <c r="AT490" s="37"/>
      <c r="AU490">
        <f>E490 +F490</f>
        <v>10</v>
      </c>
    </row>
    <row r="491" spans="1:47" x14ac:dyDescent="0.25">
      <c r="A491" t="str">
        <f>B491 &amp; " - " &amp;D491</f>
        <v>ASM - Diallo</v>
      </c>
      <c r="B491" t="s">
        <v>974</v>
      </c>
      <c r="C491" s="50" t="s">
        <v>641</v>
      </c>
      <c r="D491" s="57" t="s">
        <v>879</v>
      </c>
      <c r="E491" s="52"/>
      <c r="F491" s="63"/>
      <c r="G491" s="145"/>
      <c r="H491" s="34"/>
      <c r="I491" s="45"/>
      <c r="J491" s="224"/>
      <c r="K491" s="55"/>
      <c r="L491" s="46"/>
      <c r="M491" s="46"/>
      <c r="N491" s="46"/>
      <c r="O491" s="46"/>
      <c r="P491" s="55"/>
      <c r="Q491" s="46"/>
      <c r="R491" s="46"/>
      <c r="S491" s="55"/>
      <c r="T491" s="46"/>
      <c r="U491" s="55"/>
      <c r="V491" s="46"/>
      <c r="W491" s="55"/>
      <c r="X491" s="55"/>
      <c r="Y491" s="46"/>
      <c r="Z491" s="55"/>
      <c r="AA491" s="55"/>
      <c r="AB491" s="46"/>
      <c r="AC491" s="47"/>
      <c r="AD491" s="55"/>
      <c r="AE491" s="55"/>
      <c r="AF491" s="46"/>
      <c r="AG491" s="55"/>
      <c r="AH491" s="46"/>
      <c r="AI491" s="46"/>
      <c r="AJ491" s="55"/>
      <c r="AK491" s="55"/>
      <c r="AL491" s="55"/>
      <c r="AM491" s="55"/>
      <c r="AN491" s="46"/>
      <c r="AO491" s="55"/>
      <c r="AP491" s="46"/>
      <c r="AQ491" s="55"/>
      <c r="AR491" s="55"/>
      <c r="AS491" s="46"/>
      <c r="AT491" s="55"/>
      <c r="AU491">
        <f>E491 +F491</f>
        <v>0</v>
      </c>
    </row>
    <row r="492" spans="1:47" x14ac:dyDescent="0.25">
      <c r="A492" t="str">
        <f>B492 &amp; " - " &amp;D492</f>
        <v>ASM - Borja Lopez</v>
      </c>
      <c r="B492" t="s">
        <v>974</v>
      </c>
      <c r="C492" s="39" t="s">
        <v>641</v>
      </c>
      <c r="D492" s="225" t="s">
        <v>961</v>
      </c>
      <c r="E492" s="39"/>
      <c r="F492" s="226"/>
      <c r="G492" s="40"/>
      <c r="H492" s="72"/>
      <c r="I492" s="149"/>
      <c r="J492" s="6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63"/>
      <c r="AE492" s="53"/>
      <c r="AF492" s="63"/>
      <c r="AG492" s="53"/>
      <c r="AH492" s="63"/>
      <c r="AI492" s="63"/>
      <c r="AJ492" s="53"/>
      <c r="AK492" s="53"/>
      <c r="AL492" s="53"/>
      <c r="AM492" s="53"/>
      <c r="AN492" s="63"/>
      <c r="AO492" s="53"/>
      <c r="AP492" s="53"/>
      <c r="AQ492" s="63"/>
      <c r="AR492" s="63"/>
      <c r="AS492" s="63"/>
      <c r="AT492" s="53"/>
      <c r="AU492">
        <f>E492 +F492</f>
        <v>0</v>
      </c>
    </row>
    <row r="493" spans="1:47" x14ac:dyDescent="0.25">
      <c r="A493" t="str">
        <f>B493 &amp; " - " &amp;D493</f>
        <v>ASM - Wallace</v>
      </c>
      <c r="B493" t="s">
        <v>974</v>
      </c>
      <c r="C493" s="29" t="s">
        <v>641</v>
      </c>
      <c r="D493" s="154" t="s">
        <v>443</v>
      </c>
      <c r="E493" s="31">
        <v>25</v>
      </c>
      <c r="F493" s="99">
        <v>1</v>
      </c>
      <c r="G493" s="73">
        <v>1</v>
      </c>
      <c r="H493" s="34">
        <f>AVERAGE(K493,P493,Q493,R493,W493,X493,Y493,Z493,AA493,AB493,AC493,AD493,AE493,AF493,AG493,AH493,AI493,AJ493,AK493,AL493,AP493,AQ493,AR493,AS493,AT493)</f>
        <v>4.88</v>
      </c>
      <c r="I493" s="48"/>
      <c r="J493" s="155" t="s">
        <v>644</v>
      </c>
      <c r="K493" s="37">
        <v>5</v>
      </c>
      <c r="L493" s="24"/>
      <c r="M493" s="24"/>
      <c r="N493" s="24"/>
      <c r="O493" s="24"/>
      <c r="P493" s="37">
        <v>4</v>
      </c>
      <c r="Q493" s="22">
        <v>6</v>
      </c>
      <c r="R493" s="166">
        <v>3</v>
      </c>
      <c r="S493" s="37"/>
      <c r="T493" s="24"/>
      <c r="U493" s="37"/>
      <c r="V493" s="24"/>
      <c r="W493" s="37">
        <v>4</v>
      </c>
      <c r="X493" s="37">
        <v>5</v>
      </c>
      <c r="Y493" s="24">
        <v>5</v>
      </c>
      <c r="Z493" s="37">
        <v>6</v>
      </c>
      <c r="AA493" s="24">
        <v>6</v>
      </c>
      <c r="AB493" s="24">
        <v>4</v>
      </c>
      <c r="AC493" s="27">
        <v>6</v>
      </c>
      <c r="AD493" s="24">
        <v>6</v>
      </c>
      <c r="AE493" s="166">
        <v>3</v>
      </c>
      <c r="AF493" s="24">
        <v>5</v>
      </c>
      <c r="AG493" s="37">
        <v>6</v>
      </c>
      <c r="AH493" s="24">
        <v>5</v>
      </c>
      <c r="AI493" s="24">
        <v>5</v>
      </c>
      <c r="AJ493" s="37">
        <v>5</v>
      </c>
      <c r="AK493" s="24">
        <v>4</v>
      </c>
      <c r="AL493" s="37">
        <v>5</v>
      </c>
      <c r="AM493" s="37"/>
      <c r="AN493" s="37"/>
      <c r="AO493" s="37"/>
      <c r="AP493" s="24">
        <v>5</v>
      </c>
      <c r="AQ493" s="37">
        <v>5</v>
      </c>
      <c r="AR493" s="37">
        <v>5</v>
      </c>
      <c r="AS493" s="82">
        <v>2</v>
      </c>
      <c r="AT493" s="84">
        <v>7</v>
      </c>
      <c r="AU493">
        <f>E493 +F493</f>
        <v>26</v>
      </c>
    </row>
    <row r="494" spans="1:47" x14ac:dyDescent="0.25">
      <c r="A494" t="str">
        <f>B494 &amp; " - " &amp;D494</f>
        <v>ASM - Bakayoko</v>
      </c>
      <c r="B494" t="s">
        <v>974</v>
      </c>
      <c r="C494" s="29" t="s">
        <v>654</v>
      </c>
      <c r="D494" s="38" t="s">
        <v>962</v>
      </c>
      <c r="E494" s="31">
        <v>14</v>
      </c>
      <c r="F494" s="99">
        <v>5</v>
      </c>
      <c r="G494" s="73">
        <v>1</v>
      </c>
      <c r="H494" s="34">
        <f>AVERAGE(K494,P494,W494,Y494,AC494,AD494,AE494,AG494,AI494,AM494,AN494,AP494,AQ494,AR494,AS494)</f>
        <v>5.4666666666666668</v>
      </c>
      <c r="I494" s="87"/>
      <c r="J494" s="27"/>
      <c r="K494" s="37">
        <v>5</v>
      </c>
      <c r="L494" s="24"/>
      <c r="M494" s="24"/>
      <c r="N494" s="24"/>
      <c r="O494" s="24"/>
      <c r="P494" s="37">
        <v>5</v>
      </c>
      <c r="Q494" s="24"/>
      <c r="R494" s="37"/>
      <c r="S494" s="37"/>
      <c r="T494" s="24"/>
      <c r="U494" s="37"/>
      <c r="V494" s="24"/>
      <c r="W494" s="37">
        <v>6</v>
      </c>
      <c r="X494" s="37"/>
      <c r="Y494" s="24">
        <v>5</v>
      </c>
      <c r="Z494" s="37"/>
      <c r="AA494" s="24"/>
      <c r="AB494" s="24"/>
      <c r="AC494" s="27">
        <v>5</v>
      </c>
      <c r="AD494" s="24">
        <v>6</v>
      </c>
      <c r="AE494" s="37">
        <v>4</v>
      </c>
      <c r="AF494" s="37" t="s">
        <v>644</v>
      </c>
      <c r="AG494" s="75">
        <v>7</v>
      </c>
      <c r="AH494" s="37" t="s">
        <v>644</v>
      </c>
      <c r="AI494" s="24">
        <v>6</v>
      </c>
      <c r="AJ494" s="37"/>
      <c r="AK494" s="24"/>
      <c r="AL494" s="37" t="s">
        <v>644</v>
      </c>
      <c r="AM494" s="84">
        <v>7</v>
      </c>
      <c r="AN494" s="24">
        <v>5</v>
      </c>
      <c r="AO494" s="37"/>
      <c r="AP494" s="24">
        <v>6</v>
      </c>
      <c r="AQ494" s="37">
        <v>6</v>
      </c>
      <c r="AR494" s="37">
        <v>6</v>
      </c>
      <c r="AS494" s="82">
        <v>3</v>
      </c>
      <c r="AT494" s="37" t="s">
        <v>644</v>
      </c>
      <c r="AU494">
        <f>E494 +F494</f>
        <v>19</v>
      </c>
    </row>
    <row r="495" spans="1:47" x14ac:dyDescent="0.25">
      <c r="A495" t="str">
        <f>B495 &amp; " - " &amp;D495</f>
        <v>ASM - Dirar</v>
      </c>
      <c r="B495" t="s">
        <v>974</v>
      </c>
      <c r="C495" s="29" t="s">
        <v>654</v>
      </c>
      <c r="D495" s="30" t="s">
        <v>548</v>
      </c>
      <c r="E495" s="31">
        <v>20</v>
      </c>
      <c r="F495" s="99"/>
      <c r="G495" s="73">
        <v>2</v>
      </c>
      <c r="H495" s="34">
        <f>AVERAGE(J495,K495,O495,P495,Q495,S495,Y495,Z495,AA495,AB495,AF495,AG495,AO495,AP495,AQ495,AR495,AS495,AT495)</f>
        <v>5.6111111111111107</v>
      </c>
      <c r="I495" s="87" t="s">
        <v>677</v>
      </c>
      <c r="J495" s="27">
        <v>6</v>
      </c>
      <c r="K495" s="37">
        <v>5</v>
      </c>
      <c r="L495" s="37"/>
      <c r="M495" s="24"/>
      <c r="N495" s="22"/>
      <c r="O495" s="84">
        <v>7</v>
      </c>
      <c r="P495" s="75">
        <v>7</v>
      </c>
      <c r="Q495" s="24">
        <v>6</v>
      </c>
      <c r="R495" s="37"/>
      <c r="S495" s="37">
        <v>6</v>
      </c>
      <c r="T495" s="24"/>
      <c r="U495" s="37"/>
      <c r="V495" s="24"/>
      <c r="W495" s="37"/>
      <c r="X495" s="37"/>
      <c r="Y495" s="84">
        <v>7</v>
      </c>
      <c r="Z495" s="37">
        <v>5</v>
      </c>
      <c r="AA495" s="24">
        <v>5</v>
      </c>
      <c r="AB495" s="24">
        <v>4</v>
      </c>
      <c r="AC495" s="26" t="s">
        <v>673</v>
      </c>
      <c r="AD495" s="24"/>
      <c r="AE495" s="37"/>
      <c r="AF495" s="66">
        <v>7</v>
      </c>
      <c r="AG495" s="166">
        <v>3</v>
      </c>
      <c r="AH495" s="24"/>
      <c r="AI495" s="37"/>
      <c r="AJ495" s="37"/>
      <c r="AK495" s="24"/>
      <c r="AL495" s="77"/>
      <c r="AM495" s="37"/>
      <c r="AN495" s="24"/>
      <c r="AO495" s="37">
        <v>5</v>
      </c>
      <c r="AP495" s="37">
        <v>6</v>
      </c>
      <c r="AQ495" s="37">
        <v>6</v>
      </c>
      <c r="AR495" s="77">
        <v>6</v>
      </c>
      <c r="AS495" s="166">
        <v>3</v>
      </c>
      <c r="AT495" s="84">
        <v>7</v>
      </c>
      <c r="AU495">
        <f>E495 +F495</f>
        <v>20</v>
      </c>
    </row>
    <row r="496" spans="1:47" x14ac:dyDescent="0.25">
      <c r="A496" t="str">
        <f>B496 &amp; " - " &amp;D496</f>
        <v>GFCA - Boutaïb</v>
      </c>
      <c r="B496" t="s">
        <v>1047</v>
      </c>
      <c r="C496" s="146" t="s">
        <v>665</v>
      </c>
      <c r="D496" s="65" t="s">
        <v>1041</v>
      </c>
      <c r="E496" s="148">
        <v>23</v>
      </c>
      <c r="F496" s="142">
        <v>9</v>
      </c>
      <c r="G496" s="49">
        <v>6</v>
      </c>
      <c r="H496" s="34">
        <f>AVERAGE(M496,N496,Q496,R496,U496,V496,W496,Y496,AB496,AC496,AE496,AG496,AH496,AK496,AL496,AM496,AN496,AO496,AP496,AQ496,AS496,AT496)</f>
        <v>4.8636363636363633</v>
      </c>
      <c r="I496" s="116" t="s">
        <v>644</v>
      </c>
      <c r="J496" s="26" t="s">
        <v>644</v>
      </c>
      <c r="K496" s="37"/>
      <c r="L496" s="37" t="s">
        <v>644</v>
      </c>
      <c r="M496" s="37">
        <v>5</v>
      </c>
      <c r="N496" s="37">
        <v>4</v>
      </c>
      <c r="O496" s="37" t="s">
        <v>644</v>
      </c>
      <c r="P496" s="37" t="s">
        <v>644</v>
      </c>
      <c r="Q496" s="24">
        <v>4</v>
      </c>
      <c r="R496" s="23">
        <v>4</v>
      </c>
      <c r="S496" s="22"/>
      <c r="T496" s="24"/>
      <c r="U496" s="25">
        <v>7</v>
      </c>
      <c r="V496" s="75">
        <v>7</v>
      </c>
      <c r="W496" s="23">
        <v>4</v>
      </c>
      <c r="X496" s="37"/>
      <c r="Y496" s="76">
        <v>4</v>
      </c>
      <c r="Z496" s="24"/>
      <c r="AA496" s="37" t="s">
        <v>644</v>
      </c>
      <c r="AB496" s="22">
        <v>6</v>
      </c>
      <c r="AC496" s="94">
        <v>6</v>
      </c>
      <c r="AD496" s="37" t="s">
        <v>644</v>
      </c>
      <c r="AE496" s="24">
        <v>4</v>
      </c>
      <c r="AF496" s="24"/>
      <c r="AG496" s="24">
        <v>4</v>
      </c>
      <c r="AH496" s="24">
        <v>4</v>
      </c>
      <c r="AI496" s="37" t="s">
        <v>644</v>
      </c>
      <c r="AJ496" s="286" t="s">
        <v>644</v>
      </c>
      <c r="AK496" s="24">
        <v>4</v>
      </c>
      <c r="AL496" s="77">
        <v>6</v>
      </c>
      <c r="AM496" s="24">
        <v>4</v>
      </c>
      <c r="AN496" s="24">
        <v>4</v>
      </c>
      <c r="AO496" s="37">
        <v>5</v>
      </c>
      <c r="AP496" s="24">
        <v>6</v>
      </c>
      <c r="AQ496" s="25">
        <v>7</v>
      </c>
      <c r="AR496" s="24"/>
      <c r="AS496" s="24">
        <v>4</v>
      </c>
      <c r="AT496" s="24">
        <v>4</v>
      </c>
      <c r="AU496">
        <f>E496 +F496</f>
        <v>32</v>
      </c>
    </row>
    <row r="497" spans="1:47" x14ac:dyDescent="0.25">
      <c r="A497" t="str">
        <f>B497 &amp; " - " &amp;D497</f>
        <v>ASM - Pasalic</v>
      </c>
      <c r="B497" t="s">
        <v>974</v>
      </c>
      <c r="C497" s="146" t="s">
        <v>654</v>
      </c>
      <c r="D497" s="65" t="s">
        <v>618</v>
      </c>
      <c r="E497" s="148">
        <v>12</v>
      </c>
      <c r="F497" s="142">
        <v>4</v>
      </c>
      <c r="G497" s="49">
        <v>3</v>
      </c>
      <c r="H497" s="34">
        <f>AVERAGE(M497,O497,R497,S497,T497,U497,V497,X497,AF497,AG497,AH497)</f>
        <v>5.1818181818181817</v>
      </c>
      <c r="I497" s="87" t="s">
        <v>677</v>
      </c>
      <c r="J497" s="222"/>
      <c r="K497" s="37"/>
      <c r="L497" s="37" t="s">
        <v>644</v>
      </c>
      <c r="M497" s="23">
        <v>5</v>
      </c>
      <c r="N497" s="37"/>
      <c r="O497" s="37">
        <v>4</v>
      </c>
      <c r="P497" s="37" t="s">
        <v>644</v>
      </c>
      <c r="Q497" s="37" t="s">
        <v>644</v>
      </c>
      <c r="R497" s="77">
        <v>6</v>
      </c>
      <c r="S497" s="37">
        <v>5</v>
      </c>
      <c r="T497" s="25">
        <v>7</v>
      </c>
      <c r="U497" s="37">
        <v>4</v>
      </c>
      <c r="V497" s="22">
        <v>6</v>
      </c>
      <c r="W497" s="37"/>
      <c r="X497" s="37">
        <v>5</v>
      </c>
      <c r="Y497" s="37"/>
      <c r="Z497" s="37"/>
      <c r="AA497" s="24"/>
      <c r="AB497" s="24"/>
      <c r="AC497" s="139" t="s">
        <v>644</v>
      </c>
      <c r="AD497" s="37"/>
      <c r="AE497" s="37" t="s">
        <v>644</v>
      </c>
      <c r="AF497" s="24">
        <v>5</v>
      </c>
      <c r="AG497" s="37">
        <v>5</v>
      </c>
      <c r="AH497" s="24">
        <v>5</v>
      </c>
      <c r="AI497" s="24"/>
      <c r="AJ497" s="37"/>
      <c r="AK497" s="24"/>
      <c r="AL497" s="37"/>
      <c r="AM497" s="37"/>
      <c r="AN497" s="24"/>
      <c r="AO497" s="37"/>
      <c r="AP497" s="24"/>
      <c r="AQ497" s="37"/>
      <c r="AR497" s="37"/>
      <c r="AS497" s="24"/>
      <c r="AT497" s="37"/>
      <c r="AU497">
        <f>E497 +F497</f>
        <v>16</v>
      </c>
    </row>
    <row r="498" spans="1:47" x14ac:dyDescent="0.25">
      <c r="A498" t="str">
        <f>B498 &amp; " - " &amp;D498</f>
        <v>ASM - Traoré</v>
      </c>
      <c r="B498" t="s">
        <v>974</v>
      </c>
      <c r="C498" s="146" t="s">
        <v>654</v>
      </c>
      <c r="D498" s="154" t="s">
        <v>788</v>
      </c>
      <c r="E498" s="148">
        <v>4</v>
      </c>
      <c r="F498" s="142">
        <v>3</v>
      </c>
      <c r="G498" s="49"/>
      <c r="H498" s="34">
        <f>AVERAGE(K498,L498,M498,P498,Q498)</f>
        <v>5</v>
      </c>
      <c r="I498" s="48"/>
      <c r="J498" s="222"/>
      <c r="K498" s="37">
        <v>5</v>
      </c>
      <c r="L498" s="37">
        <v>5</v>
      </c>
      <c r="M498" s="23">
        <v>5</v>
      </c>
      <c r="N498" s="37"/>
      <c r="O498" s="37" t="s">
        <v>644</v>
      </c>
      <c r="P498" s="37">
        <v>5</v>
      </c>
      <c r="Q498" s="24">
        <v>5</v>
      </c>
      <c r="R498" s="37"/>
      <c r="S498" s="37"/>
      <c r="T498" s="24"/>
      <c r="U498" s="37"/>
      <c r="V498" s="24"/>
      <c r="W498" s="37"/>
      <c r="X498" s="37"/>
      <c r="Y498" s="37"/>
      <c r="Z498" s="37"/>
      <c r="AA498" s="24"/>
      <c r="AB498" s="24"/>
      <c r="AC498" s="27"/>
      <c r="AD498" s="37"/>
      <c r="AE498" s="37"/>
      <c r="AF498" s="24"/>
      <c r="AG498" s="37"/>
      <c r="AH498" s="24"/>
      <c r="AI498" s="24"/>
      <c r="AJ498" s="37"/>
      <c r="AK498" s="24"/>
      <c r="AL498" s="37"/>
      <c r="AM498" s="37"/>
      <c r="AN498" s="24"/>
      <c r="AO498" s="37"/>
      <c r="AP498" s="24"/>
      <c r="AQ498" s="37"/>
      <c r="AR498" s="37"/>
      <c r="AS498" s="24"/>
      <c r="AT498" s="37"/>
      <c r="AU498">
        <f>E498 +F498</f>
        <v>7</v>
      </c>
    </row>
    <row r="499" spans="1:47" x14ac:dyDescent="0.25">
      <c r="A499" t="str">
        <f>B499 &amp; " - " &amp;D499</f>
        <v>GFCA - Sylla</v>
      </c>
      <c r="B499" t="s">
        <v>1047</v>
      </c>
      <c r="C499" s="29" t="s">
        <v>641</v>
      </c>
      <c r="D499" s="154" t="s">
        <v>508</v>
      </c>
      <c r="E499" s="31">
        <v>29</v>
      </c>
      <c r="F499" s="99">
        <v>5</v>
      </c>
      <c r="G499" s="114" t="s">
        <v>679</v>
      </c>
      <c r="H499" s="34">
        <f>AVERAGE(AB499,Z499,Y499,J499,K499,L499,M499,I499,N499,P499,Q499,U499,W499,X499,AA499,AC499,AG499,AE499,AI499,AK499,AJ499,AL499,AM499,AN499,AO499,AP499,AQ499,AR499,AS499,AT499)</f>
        <v>4.8620689655172411</v>
      </c>
      <c r="I499" s="173">
        <v>5</v>
      </c>
      <c r="J499" s="27">
        <v>5</v>
      </c>
      <c r="K499" s="37">
        <v>5</v>
      </c>
      <c r="L499" s="24">
        <v>4</v>
      </c>
      <c r="M499" s="37">
        <v>5</v>
      </c>
      <c r="N499" s="37" t="s">
        <v>655</v>
      </c>
      <c r="O499" s="24"/>
      <c r="P499" s="37">
        <v>5</v>
      </c>
      <c r="Q499" s="24">
        <v>5</v>
      </c>
      <c r="R499" s="76" t="s">
        <v>644</v>
      </c>
      <c r="S499" s="24"/>
      <c r="T499" s="37" t="s">
        <v>644</v>
      </c>
      <c r="U499" s="66">
        <v>7</v>
      </c>
      <c r="V499" s="37"/>
      <c r="W499" s="24">
        <v>5</v>
      </c>
      <c r="X499" s="23">
        <v>6</v>
      </c>
      <c r="Y499" s="37">
        <v>5</v>
      </c>
      <c r="Z499" s="24">
        <v>4</v>
      </c>
      <c r="AA499" s="24">
        <v>6</v>
      </c>
      <c r="AB499" s="24">
        <v>5</v>
      </c>
      <c r="AC499" s="139">
        <v>5</v>
      </c>
      <c r="AD499" s="37" t="s">
        <v>644</v>
      </c>
      <c r="AE499" s="76">
        <v>4</v>
      </c>
      <c r="AF499" s="37" t="s">
        <v>644</v>
      </c>
      <c r="AG499" s="24">
        <v>6</v>
      </c>
      <c r="AH499" s="24"/>
      <c r="AI499" s="24">
        <v>5</v>
      </c>
      <c r="AJ499" s="32">
        <v>5</v>
      </c>
      <c r="AK499" s="37">
        <v>5</v>
      </c>
      <c r="AL499" s="84">
        <v>7</v>
      </c>
      <c r="AM499" s="82">
        <v>3</v>
      </c>
      <c r="AN499" s="37">
        <v>4</v>
      </c>
      <c r="AO499" s="37">
        <v>4</v>
      </c>
      <c r="AP499" s="82">
        <v>3</v>
      </c>
      <c r="AQ499" s="24">
        <v>5</v>
      </c>
      <c r="AR499" s="24">
        <v>5</v>
      </c>
      <c r="AS499" s="82">
        <v>3</v>
      </c>
      <c r="AT499" s="24">
        <v>5</v>
      </c>
      <c r="AU499">
        <f>E499 +F499</f>
        <v>34</v>
      </c>
    </row>
    <row r="500" spans="1:47" x14ac:dyDescent="0.25">
      <c r="A500" t="str">
        <f>B500 &amp; " - " &amp;D500</f>
        <v>ASM - Lopes</v>
      </c>
      <c r="B500" t="s">
        <v>974</v>
      </c>
      <c r="C500" s="50" t="s">
        <v>654</v>
      </c>
      <c r="D500" s="57" t="s">
        <v>124</v>
      </c>
      <c r="E500" s="52">
        <v>2</v>
      </c>
      <c r="F500" s="63"/>
      <c r="G500" s="145"/>
      <c r="H500" s="80">
        <f>AVERAGE(T500)</f>
        <v>5</v>
      </c>
      <c r="I500" s="149"/>
      <c r="J500" s="276"/>
      <c r="K500" s="61"/>
      <c r="L500" s="61"/>
      <c r="M500" s="61"/>
      <c r="N500" s="61" t="s">
        <v>677</v>
      </c>
      <c r="O500" s="61"/>
      <c r="P500" s="61"/>
      <c r="Q500" s="61"/>
      <c r="R500" s="61"/>
      <c r="S500" s="61"/>
      <c r="T500" s="61">
        <v>5</v>
      </c>
      <c r="U500" s="61"/>
      <c r="V500" s="61"/>
      <c r="W500" s="61"/>
      <c r="X500" s="61"/>
      <c r="Y500" s="61"/>
      <c r="Z500" s="61"/>
      <c r="AA500" s="61"/>
      <c r="AB500" s="61"/>
      <c r="AC500" s="62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/>
      <c r="AT500" s="55"/>
      <c r="AU500">
        <f>E500 +F500</f>
        <v>2</v>
      </c>
    </row>
    <row r="501" spans="1:47" x14ac:dyDescent="0.25">
      <c r="A501" t="str">
        <f>B501 &amp; " - " &amp;D501</f>
        <v>ASM - Boschilia</v>
      </c>
      <c r="B501" t="s">
        <v>974</v>
      </c>
      <c r="C501" s="50" t="s">
        <v>654</v>
      </c>
      <c r="D501" s="57" t="s">
        <v>963</v>
      </c>
      <c r="E501" s="52">
        <v>1</v>
      </c>
      <c r="F501" s="63">
        <v>3</v>
      </c>
      <c r="G501" s="145"/>
      <c r="H501" s="80">
        <f>AVERAGE(Y501)</f>
        <v>4</v>
      </c>
      <c r="I501" s="149"/>
      <c r="J501" s="276"/>
      <c r="K501" s="61"/>
      <c r="L501" s="61"/>
      <c r="M501" s="61"/>
      <c r="N501" s="61" t="s">
        <v>644</v>
      </c>
      <c r="O501" s="61"/>
      <c r="P501" s="61"/>
      <c r="Q501" s="61" t="s">
        <v>644</v>
      </c>
      <c r="R501" s="61"/>
      <c r="S501" s="61"/>
      <c r="T501" s="61" t="s">
        <v>644</v>
      </c>
      <c r="U501" s="61" t="s">
        <v>644</v>
      </c>
      <c r="V501" s="61"/>
      <c r="W501" s="61"/>
      <c r="X501" s="61"/>
      <c r="Y501" s="61">
        <v>4</v>
      </c>
      <c r="Z501" s="61"/>
      <c r="AA501" s="61"/>
      <c r="AB501" s="61"/>
      <c r="AC501" s="62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1"/>
      <c r="AS501" s="61"/>
      <c r="AT501" s="61"/>
      <c r="AU501">
        <f>E501 +F501</f>
        <v>4</v>
      </c>
    </row>
    <row r="502" spans="1:47" x14ac:dyDescent="0.25">
      <c r="A502" t="str">
        <f>B502 &amp; " - " &amp;D502</f>
        <v>ASM - Bahlouli</v>
      </c>
      <c r="B502" t="s">
        <v>974</v>
      </c>
      <c r="C502" s="29" t="s">
        <v>654</v>
      </c>
      <c r="D502" s="60" t="s">
        <v>967</v>
      </c>
      <c r="E502" s="31">
        <v>2</v>
      </c>
      <c r="F502" s="99">
        <v>6</v>
      </c>
      <c r="G502" s="73">
        <v>1</v>
      </c>
      <c r="H502" s="34">
        <f>AVERAGE(K502,AN502)</f>
        <v>5</v>
      </c>
      <c r="I502" s="48"/>
      <c r="J502" s="36"/>
      <c r="K502" s="37">
        <v>5</v>
      </c>
      <c r="L502" s="24"/>
      <c r="M502" s="37" t="s">
        <v>644</v>
      </c>
      <c r="N502" s="37"/>
      <c r="O502" s="77"/>
      <c r="P502" s="37"/>
      <c r="Q502" s="37"/>
      <c r="R502" s="37"/>
      <c r="S502" s="37"/>
      <c r="T502" s="24"/>
      <c r="U502" s="37"/>
      <c r="V502" s="24"/>
      <c r="W502" s="37"/>
      <c r="X502" s="37"/>
      <c r="Y502" s="37"/>
      <c r="Z502" s="37"/>
      <c r="AA502" s="37"/>
      <c r="AB502" s="37" t="s">
        <v>644</v>
      </c>
      <c r="AC502" s="26"/>
      <c r="AD502" s="24"/>
      <c r="AE502" s="37"/>
      <c r="AF502" s="24"/>
      <c r="AG502" s="37"/>
      <c r="AH502" s="24"/>
      <c r="AI502" s="37" t="s">
        <v>644</v>
      </c>
      <c r="AJ502" s="37" t="s">
        <v>644</v>
      </c>
      <c r="AK502" s="22"/>
      <c r="AL502" s="37"/>
      <c r="AM502" s="37"/>
      <c r="AN502" s="24">
        <v>5</v>
      </c>
      <c r="AO502" s="77" t="s">
        <v>644</v>
      </c>
      <c r="AP502" s="76"/>
      <c r="AQ502" s="37"/>
      <c r="AR502" s="37"/>
      <c r="AS502" s="37" t="s">
        <v>644</v>
      </c>
      <c r="AT502" s="37"/>
      <c r="AU502">
        <f>E502 +F502</f>
        <v>8</v>
      </c>
    </row>
    <row r="503" spans="1:47" x14ac:dyDescent="0.25">
      <c r="A503" t="str">
        <f>B503 &amp; " - " &amp;D503</f>
        <v>SCB - Ayité</v>
      </c>
      <c r="B503" t="s">
        <v>887</v>
      </c>
      <c r="C503" s="67" t="s">
        <v>665</v>
      </c>
      <c r="D503" s="85" t="s">
        <v>883</v>
      </c>
      <c r="E503" s="69">
        <v>30</v>
      </c>
      <c r="F503" s="115">
        <v>2</v>
      </c>
      <c r="G503" s="68">
        <v>8</v>
      </c>
      <c r="H503" s="72">
        <f>AVERAGE(X503,W503,J503,K503,L503,I503,M503,N503,O503,Q503,R503,S503,T503,U503,V503,Z503,AC503,AD503,AG503,AH503,AJ503,AK503,AL503,AM503,AO503,AP503,AQ503,AS503,AT503)</f>
        <v>4.8620689655172411</v>
      </c>
      <c r="I503" s="175">
        <v>6</v>
      </c>
      <c r="J503" s="299">
        <v>7</v>
      </c>
      <c r="K503" s="37">
        <v>5</v>
      </c>
      <c r="L503" s="37">
        <v>5</v>
      </c>
      <c r="M503" s="24">
        <v>4</v>
      </c>
      <c r="N503" s="23">
        <v>5</v>
      </c>
      <c r="O503" s="24">
        <v>5</v>
      </c>
      <c r="P503" s="24"/>
      <c r="Q503" s="24">
        <v>4</v>
      </c>
      <c r="R503" s="23">
        <v>4</v>
      </c>
      <c r="S503" s="24">
        <v>4</v>
      </c>
      <c r="T503" s="24">
        <v>5</v>
      </c>
      <c r="U503" s="24">
        <v>6</v>
      </c>
      <c r="V503" s="37">
        <v>4</v>
      </c>
      <c r="W503" s="24">
        <v>5</v>
      </c>
      <c r="X503" s="24">
        <v>5</v>
      </c>
      <c r="Y503" s="37" t="s">
        <v>644</v>
      </c>
      <c r="Z503" s="24">
        <v>6</v>
      </c>
      <c r="AA503" s="22" t="s">
        <v>673</v>
      </c>
      <c r="AB503" s="24"/>
      <c r="AC503" s="28">
        <v>6</v>
      </c>
      <c r="AD503" s="82">
        <v>3</v>
      </c>
      <c r="AE503" s="24"/>
      <c r="AF503" s="37"/>
      <c r="AG503" s="75">
        <v>8</v>
      </c>
      <c r="AH503" s="25">
        <v>7</v>
      </c>
      <c r="AI503" s="37" t="s">
        <v>644</v>
      </c>
      <c r="AJ503" s="25">
        <v>7</v>
      </c>
      <c r="AK503" s="24">
        <v>5</v>
      </c>
      <c r="AL503" s="82">
        <v>3</v>
      </c>
      <c r="AM503" s="24">
        <v>4</v>
      </c>
      <c r="AN503" s="24"/>
      <c r="AO503" s="82">
        <v>3</v>
      </c>
      <c r="AP503" s="82">
        <v>3</v>
      </c>
      <c r="AQ503" s="23">
        <v>4</v>
      </c>
      <c r="AR503" s="24"/>
      <c r="AS503" s="23">
        <v>4</v>
      </c>
      <c r="AT503" s="24">
        <v>4</v>
      </c>
      <c r="AU503">
        <f>E503 +F503</f>
        <v>32</v>
      </c>
    </row>
    <row r="504" spans="1:47" x14ac:dyDescent="0.25">
      <c r="A504" t="str">
        <f>B504 &amp; " - " &amp;D504</f>
        <v>ASM - Falcao</v>
      </c>
      <c r="B504" t="s">
        <v>974</v>
      </c>
      <c r="C504" s="50" t="s">
        <v>665</v>
      </c>
      <c r="D504" s="57" t="s">
        <v>965</v>
      </c>
      <c r="E504" s="228"/>
      <c r="F504" s="229"/>
      <c r="G504" s="230"/>
      <c r="H504" s="100"/>
      <c r="I504" s="229"/>
      <c r="J504" s="229"/>
      <c r="K504" s="229"/>
      <c r="L504" s="229"/>
      <c r="M504" s="229"/>
      <c r="N504" s="229"/>
      <c r="O504" s="229"/>
      <c r="P504" s="229"/>
      <c r="Q504" s="229"/>
      <c r="R504" s="229"/>
      <c r="S504" s="229"/>
      <c r="T504" s="229"/>
      <c r="U504" s="229"/>
      <c r="V504" s="229"/>
      <c r="W504" s="229"/>
      <c r="X504" s="229"/>
      <c r="Y504" s="229"/>
      <c r="Z504" s="229"/>
      <c r="AA504" s="229"/>
      <c r="AB504" s="231"/>
      <c r="AC504" s="232"/>
      <c r="AD504" s="232"/>
      <c r="AE504" s="233"/>
      <c r="AF504" s="229"/>
      <c r="AG504" s="229"/>
      <c r="AH504" s="232"/>
      <c r="AI504" s="229"/>
      <c r="AJ504" s="229"/>
      <c r="AK504" s="229"/>
      <c r="AL504" s="229"/>
      <c r="AM504" s="229"/>
      <c r="AN504" s="232"/>
      <c r="AO504" s="229"/>
      <c r="AP504" s="229"/>
      <c r="AQ504" s="229"/>
      <c r="AR504" s="232"/>
      <c r="AS504" s="229"/>
      <c r="AT504" s="229"/>
      <c r="AU504">
        <f>E504 +F504</f>
        <v>0</v>
      </c>
    </row>
    <row r="505" spans="1:47" x14ac:dyDescent="0.25">
      <c r="A505" t="str">
        <f>B505 &amp; " - " &amp;D505</f>
        <v>ASM - L. Traoré</v>
      </c>
      <c r="B505" t="s">
        <v>974</v>
      </c>
      <c r="C505" s="29" t="s">
        <v>665</v>
      </c>
      <c r="D505" s="154" t="s">
        <v>966</v>
      </c>
      <c r="E505" s="31">
        <v>11</v>
      </c>
      <c r="F505" s="99">
        <v>8</v>
      </c>
      <c r="G505" s="73">
        <v>3</v>
      </c>
      <c r="H505" s="34">
        <f>AVERAGE(R505,T505,Y505,Z505,AA505,AK505,AP505,AQ505,AR505,AS505)</f>
        <v>4.3</v>
      </c>
      <c r="I505" s="48"/>
      <c r="J505" s="27"/>
      <c r="K505" s="37" t="s">
        <v>644</v>
      </c>
      <c r="L505" s="24"/>
      <c r="M505" s="24"/>
      <c r="N505" s="24"/>
      <c r="O505" s="24"/>
      <c r="P505" s="37" t="s">
        <v>644</v>
      </c>
      <c r="Q505" s="24"/>
      <c r="R505" s="37">
        <v>5</v>
      </c>
      <c r="S505" s="37" t="s">
        <v>644</v>
      </c>
      <c r="T505" s="37">
        <v>4</v>
      </c>
      <c r="U505" s="77"/>
      <c r="V505" s="37" t="s">
        <v>644</v>
      </c>
      <c r="W505" s="37" t="s">
        <v>644</v>
      </c>
      <c r="X505" s="37"/>
      <c r="Y505" s="25">
        <v>7</v>
      </c>
      <c r="Z505" s="37">
        <v>4</v>
      </c>
      <c r="AA505" s="166">
        <v>3</v>
      </c>
      <c r="AB505" s="24"/>
      <c r="AC505" s="27"/>
      <c r="AD505" s="24" t="s">
        <v>673</v>
      </c>
      <c r="AE505" s="37"/>
      <c r="AF505" s="24"/>
      <c r="AG505" s="37"/>
      <c r="AH505" s="24"/>
      <c r="AI505" s="37" t="s">
        <v>644</v>
      </c>
      <c r="AJ505" s="37"/>
      <c r="AK505" s="24">
        <v>4</v>
      </c>
      <c r="AL505" s="37" t="s">
        <v>644</v>
      </c>
      <c r="AM505" s="37" t="s">
        <v>644</v>
      </c>
      <c r="AN505" s="24"/>
      <c r="AO505" s="37"/>
      <c r="AP505" s="24">
        <v>4</v>
      </c>
      <c r="AQ505" s="37">
        <v>4</v>
      </c>
      <c r="AR505" s="77">
        <v>6</v>
      </c>
      <c r="AS505" s="82">
        <v>2</v>
      </c>
      <c r="AT505" s="37"/>
      <c r="AU505">
        <f>E505 +F505</f>
        <v>19</v>
      </c>
    </row>
    <row r="506" spans="1:47" x14ac:dyDescent="0.25">
      <c r="A506" t="str">
        <f>B506 &amp; " - " &amp;D506</f>
        <v>ASM - Germain</v>
      </c>
      <c r="B506" t="s">
        <v>974</v>
      </c>
      <c r="C506" s="50" t="s">
        <v>665</v>
      </c>
      <c r="D506" s="57" t="s">
        <v>195</v>
      </c>
      <c r="E506" s="52"/>
      <c r="F506" s="63"/>
      <c r="G506" s="145"/>
      <c r="H506" s="34"/>
      <c r="I506" s="45"/>
      <c r="J506" s="182"/>
      <c r="K506" s="55"/>
      <c r="L506" s="46"/>
      <c r="M506" s="55"/>
      <c r="N506" s="55"/>
      <c r="O506" s="81"/>
      <c r="P506" s="55"/>
      <c r="Q506" s="55"/>
      <c r="R506" s="55"/>
      <c r="S506" s="81"/>
      <c r="T506" s="46"/>
      <c r="U506" s="55"/>
      <c r="V506" s="46"/>
      <c r="W506" s="55"/>
      <c r="X506" s="55"/>
      <c r="Y506" s="55"/>
      <c r="Z506" s="55"/>
      <c r="AA506" s="55"/>
      <c r="AB506" s="55"/>
      <c r="AC506" s="56"/>
      <c r="AD506" s="46"/>
      <c r="AE506" s="55"/>
      <c r="AF506" s="46"/>
      <c r="AG506" s="55"/>
      <c r="AH506" s="46"/>
      <c r="AI506" s="46"/>
      <c r="AJ506" s="55"/>
      <c r="AK506" s="55"/>
      <c r="AL506" s="55"/>
      <c r="AM506" s="55"/>
      <c r="AN506" s="46"/>
      <c r="AO506" s="46"/>
      <c r="AP506" s="46"/>
      <c r="AQ506" s="81"/>
      <c r="AR506" s="55"/>
      <c r="AS506" s="81"/>
      <c r="AT506" s="55"/>
      <c r="AU506">
        <f>E506 +F506</f>
        <v>0</v>
      </c>
    </row>
    <row r="507" spans="1:47" x14ac:dyDescent="0.25">
      <c r="A507" t="str">
        <f>B507 &amp; " - " &amp;D507</f>
        <v>ASM - Matheus</v>
      </c>
      <c r="B507" t="s">
        <v>974</v>
      </c>
      <c r="C507" s="29" t="s">
        <v>665</v>
      </c>
      <c r="D507" s="60" t="s">
        <v>848</v>
      </c>
      <c r="E507" s="31"/>
      <c r="F507" s="99"/>
      <c r="G507" s="73"/>
      <c r="H507" s="34"/>
      <c r="I507" s="48"/>
      <c r="J507" s="36"/>
      <c r="K507" s="37"/>
      <c r="L507" s="24"/>
      <c r="M507" s="37"/>
      <c r="N507" s="37"/>
      <c r="O507" s="77"/>
      <c r="P507" s="37"/>
      <c r="Q507" s="37"/>
      <c r="R507" s="37"/>
      <c r="S507" s="37"/>
      <c r="T507" s="24"/>
      <c r="U507" s="37"/>
      <c r="V507" s="24"/>
      <c r="W507" s="37"/>
      <c r="X507" s="37"/>
      <c r="Y507" s="37"/>
      <c r="Z507" s="37"/>
      <c r="AA507" s="37"/>
      <c r="AB507" s="37"/>
      <c r="AC507" s="26"/>
      <c r="AD507" s="24"/>
      <c r="AE507" s="37"/>
      <c r="AF507" s="24"/>
      <c r="AG507" s="37"/>
      <c r="AH507" s="24"/>
      <c r="AI507" s="37"/>
      <c r="AJ507" s="37"/>
      <c r="AK507" s="22"/>
      <c r="AL507" s="37"/>
      <c r="AM507" s="37"/>
      <c r="AN507" s="24"/>
      <c r="AO507" s="24"/>
      <c r="AP507" s="76"/>
      <c r="AQ507" s="37"/>
      <c r="AR507" s="37"/>
      <c r="AS507" s="24"/>
      <c r="AT507" s="37"/>
      <c r="AU507">
        <f>E507 +F507</f>
        <v>0</v>
      </c>
    </row>
    <row r="508" spans="1:47" x14ac:dyDescent="0.25">
      <c r="A508" t="str">
        <f>B508 &amp; " - " &amp;D508</f>
        <v>ASM - Cavaleiro</v>
      </c>
      <c r="B508" t="s">
        <v>974</v>
      </c>
      <c r="C508" s="29" t="s">
        <v>665</v>
      </c>
      <c r="D508" s="176" t="s">
        <v>968</v>
      </c>
      <c r="E508" s="31">
        <v>6</v>
      </c>
      <c r="F508" s="99">
        <v>6</v>
      </c>
      <c r="G508" s="73">
        <v>1</v>
      </c>
      <c r="H508" s="34">
        <f>AVERAGE(J508,I508,M508,O508,R508,AT508)</f>
        <v>4.833333333333333</v>
      </c>
      <c r="I508" s="48">
        <v>5</v>
      </c>
      <c r="J508" s="21">
        <v>4</v>
      </c>
      <c r="K508" s="37"/>
      <c r="L508" s="37" t="s">
        <v>644</v>
      </c>
      <c r="M508" s="37">
        <v>4</v>
      </c>
      <c r="N508" s="37" t="s">
        <v>644</v>
      </c>
      <c r="O508" s="76">
        <v>4</v>
      </c>
      <c r="P508" s="37"/>
      <c r="Q508" s="37"/>
      <c r="R508" s="37">
        <v>5</v>
      </c>
      <c r="S508" s="37" t="s">
        <v>644</v>
      </c>
      <c r="T508" s="24"/>
      <c r="U508" s="37"/>
      <c r="V508" s="24"/>
      <c r="W508" s="37"/>
      <c r="X508" s="37"/>
      <c r="Y508" s="37"/>
      <c r="Z508" s="37"/>
      <c r="AA508" s="37"/>
      <c r="AB508" s="37" t="s">
        <v>644</v>
      </c>
      <c r="AC508" s="26"/>
      <c r="AD508" s="24"/>
      <c r="AE508" s="37"/>
      <c r="AF508" s="24"/>
      <c r="AG508" s="37"/>
      <c r="AH508" s="24"/>
      <c r="AI508" s="37"/>
      <c r="AJ508" s="37"/>
      <c r="AK508" s="22"/>
      <c r="AL508" s="37"/>
      <c r="AM508" s="37"/>
      <c r="AN508" s="24"/>
      <c r="AO508" s="24"/>
      <c r="AP508" s="37" t="s">
        <v>644</v>
      </c>
      <c r="AQ508" s="37"/>
      <c r="AR508" s="37" t="s">
        <v>644</v>
      </c>
      <c r="AS508" s="24"/>
      <c r="AT508" s="75">
        <v>7</v>
      </c>
      <c r="AU508">
        <f>E508 +F508</f>
        <v>12</v>
      </c>
    </row>
    <row r="509" spans="1:47" x14ac:dyDescent="0.25">
      <c r="A509" t="str">
        <f>B509 &amp; " - " &amp;D509</f>
        <v>SCO - Capelle</v>
      </c>
      <c r="B509" t="s">
        <v>1066</v>
      </c>
      <c r="C509" s="29" t="s">
        <v>654</v>
      </c>
      <c r="D509" s="65" t="s">
        <v>1059</v>
      </c>
      <c r="E509" s="31">
        <v>15</v>
      </c>
      <c r="F509" s="99">
        <v>13</v>
      </c>
      <c r="G509" s="73">
        <v>4</v>
      </c>
      <c r="H509" s="34">
        <f>AVERAGE(O509,AB509,AC509,AD509,AE509,AF509,AI509,AL509,AM509,AN509,AO509,AP509,AS509,AT509)</f>
        <v>4.8571428571428568</v>
      </c>
      <c r="I509" s="116" t="s">
        <v>644</v>
      </c>
      <c r="J509" s="24"/>
      <c r="K509" s="37"/>
      <c r="L509" s="37" t="s">
        <v>644</v>
      </c>
      <c r="M509" s="37" t="s">
        <v>644</v>
      </c>
      <c r="N509" s="37"/>
      <c r="O509" s="24">
        <v>4</v>
      </c>
      <c r="P509" s="37"/>
      <c r="Q509" s="37" t="s">
        <v>644</v>
      </c>
      <c r="R509" s="23"/>
      <c r="S509" s="76" t="s">
        <v>644</v>
      </c>
      <c r="T509" s="37" t="s">
        <v>644</v>
      </c>
      <c r="U509" s="24"/>
      <c r="V509" s="37" t="s">
        <v>644</v>
      </c>
      <c r="W509" s="37" t="s">
        <v>644</v>
      </c>
      <c r="X509" s="24"/>
      <c r="Y509" s="37" t="s">
        <v>644</v>
      </c>
      <c r="Z509" s="76" t="s">
        <v>644</v>
      </c>
      <c r="AA509" s="37" t="s">
        <v>644</v>
      </c>
      <c r="AB509" s="25">
        <v>7</v>
      </c>
      <c r="AC509" s="94">
        <v>6</v>
      </c>
      <c r="AD509" s="22">
        <v>6</v>
      </c>
      <c r="AE509" s="24">
        <v>6</v>
      </c>
      <c r="AF509" s="24">
        <v>4</v>
      </c>
      <c r="AG509" s="24"/>
      <c r="AH509" s="24"/>
      <c r="AI509" s="24">
        <v>4</v>
      </c>
      <c r="AJ509" s="22" t="s">
        <v>673</v>
      </c>
      <c r="AK509" s="24"/>
      <c r="AL509" s="37">
        <v>4</v>
      </c>
      <c r="AM509" s="24">
        <v>6</v>
      </c>
      <c r="AN509" s="24">
        <v>4</v>
      </c>
      <c r="AO509" s="37">
        <v>4</v>
      </c>
      <c r="AP509" s="24">
        <v>4</v>
      </c>
      <c r="AQ509" s="37" t="s">
        <v>644</v>
      </c>
      <c r="AR509" s="37" t="s">
        <v>644</v>
      </c>
      <c r="AS509" s="24">
        <v>5</v>
      </c>
      <c r="AT509" s="24">
        <v>4</v>
      </c>
      <c r="AU509">
        <f>E509 +F509</f>
        <v>28</v>
      </c>
    </row>
    <row r="510" spans="1:47" x14ac:dyDescent="0.25">
      <c r="A510" t="str">
        <f>B510 &amp; " - " &amp;D510</f>
        <v>SCB - Palmieri</v>
      </c>
      <c r="B510" t="s">
        <v>887</v>
      </c>
      <c r="C510" s="29" t="s">
        <v>641</v>
      </c>
      <c r="D510" s="30" t="s">
        <v>168</v>
      </c>
      <c r="E510" s="31">
        <v>33</v>
      </c>
      <c r="F510" s="27">
        <v>1</v>
      </c>
      <c r="G510" s="114">
        <v>2</v>
      </c>
      <c r="H510" s="34">
        <f>AVERAGE(Y510,X510,K510,L510,I510,M510,N510,O510,P510,R510,S510,T510,U510,V510,W510,Z510,AA510,AB510,AC510,AD510,AE510,AF510,AG510,AH510,AK510,AL510,AM510,AN510,AO510,AP510,AQ510,AS510,AT510)</f>
        <v>4.8484848484848486</v>
      </c>
      <c r="I510" s="87">
        <v>5</v>
      </c>
      <c r="J510" s="79"/>
      <c r="K510" s="186">
        <v>6</v>
      </c>
      <c r="L510" s="166">
        <v>3</v>
      </c>
      <c r="M510" s="24">
        <v>6</v>
      </c>
      <c r="N510" s="24">
        <v>5</v>
      </c>
      <c r="O510" s="24">
        <v>5</v>
      </c>
      <c r="P510" s="22">
        <v>6</v>
      </c>
      <c r="Q510" s="24"/>
      <c r="R510" s="24">
        <v>4</v>
      </c>
      <c r="S510" s="24">
        <v>5</v>
      </c>
      <c r="T510" s="24">
        <v>5</v>
      </c>
      <c r="U510" s="24">
        <v>5</v>
      </c>
      <c r="V510" s="24">
        <v>5</v>
      </c>
      <c r="W510" s="24">
        <v>6</v>
      </c>
      <c r="X510" s="24">
        <v>4</v>
      </c>
      <c r="Y510" s="24">
        <v>4</v>
      </c>
      <c r="Z510" s="24">
        <v>6</v>
      </c>
      <c r="AA510" s="24">
        <v>6</v>
      </c>
      <c r="AB510" s="23">
        <v>4</v>
      </c>
      <c r="AC510" s="27">
        <v>6</v>
      </c>
      <c r="AD510" s="82">
        <v>3</v>
      </c>
      <c r="AE510" s="24">
        <v>6</v>
      </c>
      <c r="AF510" s="24">
        <v>4</v>
      </c>
      <c r="AG510" s="24">
        <v>6</v>
      </c>
      <c r="AH510" s="24">
        <v>5</v>
      </c>
      <c r="AI510" s="37" t="s">
        <v>644</v>
      </c>
      <c r="AJ510" s="24"/>
      <c r="AK510" s="24">
        <v>5</v>
      </c>
      <c r="AL510" s="82">
        <v>3</v>
      </c>
      <c r="AM510" s="24">
        <v>4</v>
      </c>
      <c r="AN510" s="24">
        <v>5</v>
      </c>
      <c r="AO510" s="82">
        <v>3</v>
      </c>
      <c r="AP510" s="24">
        <v>5</v>
      </c>
      <c r="AQ510" s="24">
        <v>4</v>
      </c>
      <c r="AR510" s="24"/>
      <c r="AS510" s="37">
        <v>5</v>
      </c>
      <c r="AT510" s="24">
        <v>6</v>
      </c>
      <c r="AU510">
        <f>E510 +F510</f>
        <v>34</v>
      </c>
    </row>
    <row r="511" spans="1:47" x14ac:dyDescent="0.25">
      <c r="A511" t="str">
        <f>B511 &amp; " - " &amp;D511</f>
        <v>ASM - Love</v>
      </c>
      <c r="B511" t="s">
        <v>974</v>
      </c>
      <c r="C511" s="29" t="s">
        <v>665</v>
      </c>
      <c r="D511" s="176" t="s">
        <v>1100</v>
      </c>
      <c r="E511" s="31">
        <v>9</v>
      </c>
      <c r="F511" s="99">
        <v>3</v>
      </c>
      <c r="G511" s="114">
        <v>4</v>
      </c>
      <c r="H511" s="34">
        <f>AVERAGE(AF511,AG511,AH511,AI511,AL511,AM511,AN511,AO511,AT511)</f>
        <v>4.7777777777777777</v>
      </c>
      <c r="I511" s="87"/>
      <c r="J511" s="21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77"/>
      <c r="V511" s="24"/>
      <c r="W511" s="37"/>
      <c r="X511" s="37"/>
      <c r="Y511" s="37"/>
      <c r="Z511" s="37"/>
      <c r="AA511" s="37"/>
      <c r="AB511" s="37"/>
      <c r="AC511" s="139"/>
      <c r="AD511" s="77"/>
      <c r="AE511" s="76" t="s">
        <v>644</v>
      </c>
      <c r="AF511" s="82">
        <v>3</v>
      </c>
      <c r="AG511" s="166">
        <v>3</v>
      </c>
      <c r="AH511" s="22">
        <v>5</v>
      </c>
      <c r="AI511" s="37">
        <v>5</v>
      </c>
      <c r="AJ511" s="37" t="s">
        <v>644</v>
      </c>
      <c r="AK511" s="22"/>
      <c r="AL511" s="75">
        <v>8</v>
      </c>
      <c r="AM511" s="75">
        <v>7</v>
      </c>
      <c r="AN511" s="82">
        <v>3</v>
      </c>
      <c r="AO511" s="82">
        <v>3</v>
      </c>
      <c r="AP511" s="76"/>
      <c r="AQ511" s="37"/>
      <c r="AR511" s="37"/>
      <c r="AS511" s="37" t="s">
        <v>644</v>
      </c>
      <c r="AT511" s="37">
        <v>6</v>
      </c>
      <c r="AU511">
        <f>E511 +F511</f>
        <v>12</v>
      </c>
    </row>
    <row r="512" spans="1:47" x14ac:dyDescent="0.25">
      <c r="A512" t="str">
        <f>B512 &amp; " - " &amp;D512</f>
        <v>ASM - Chaibi</v>
      </c>
      <c r="B512" t="s">
        <v>974</v>
      </c>
      <c r="C512" s="29" t="s">
        <v>665</v>
      </c>
      <c r="D512" s="176" t="s">
        <v>1101</v>
      </c>
      <c r="E512" s="31"/>
      <c r="F512" s="99">
        <v>1</v>
      </c>
      <c r="G512" s="114"/>
      <c r="H512" s="34"/>
      <c r="I512" s="87"/>
      <c r="J512" s="21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77"/>
      <c r="V512" s="24"/>
      <c r="W512" s="37"/>
      <c r="X512" s="37"/>
      <c r="Y512" s="37"/>
      <c r="Z512" s="37"/>
      <c r="AA512" s="37"/>
      <c r="AB512" s="37"/>
      <c r="AC512" s="139"/>
      <c r="AD512" s="77"/>
      <c r="AE512" s="76" t="s">
        <v>644</v>
      </c>
      <c r="AF512" s="24"/>
      <c r="AG512" s="37"/>
      <c r="AH512" s="24"/>
      <c r="AI512" s="37"/>
      <c r="AJ512" s="37"/>
      <c r="AK512" s="22"/>
      <c r="AL512" s="37"/>
      <c r="AM512" s="37"/>
      <c r="AN512" s="24"/>
      <c r="AO512" s="24"/>
      <c r="AP512" s="76"/>
      <c r="AQ512" s="37"/>
      <c r="AR512" s="37"/>
      <c r="AS512" s="24"/>
      <c r="AT512" s="37"/>
      <c r="AU512">
        <f>E512 +F512</f>
        <v>1</v>
      </c>
    </row>
    <row r="513" spans="1:47" x14ac:dyDescent="0.25">
      <c r="A513" t="str">
        <f>B513 &amp; " - " &amp;D513</f>
        <v>ASM - Mbappe-Lottin</v>
      </c>
      <c r="B513" t="s">
        <v>974</v>
      </c>
      <c r="C513" s="29" t="s">
        <v>665</v>
      </c>
      <c r="D513" s="176" t="s">
        <v>972</v>
      </c>
      <c r="E513" s="31">
        <v>2</v>
      </c>
      <c r="F513" s="99">
        <v>9</v>
      </c>
      <c r="G513" s="114">
        <v>1</v>
      </c>
      <c r="H513" s="34">
        <f>AVERAGE(AJ513,AM513)</f>
        <v>4.5</v>
      </c>
      <c r="I513" s="87"/>
      <c r="J513" s="21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77"/>
      <c r="V513" s="24"/>
      <c r="W513" s="37"/>
      <c r="X513" s="37" t="s">
        <v>644</v>
      </c>
      <c r="Y513" s="37"/>
      <c r="Z513" s="37" t="s">
        <v>644</v>
      </c>
      <c r="AA513" s="37"/>
      <c r="AB513" s="37"/>
      <c r="AC513" s="26"/>
      <c r="AD513" s="37" t="s">
        <v>644</v>
      </c>
      <c r="AE513" s="37"/>
      <c r="AF513" s="24"/>
      <c r="AG513" s="37"/>
      <c r="AH513" s="37" t="s">
        <v>644</v>
      </c>
      <c r="AI513" s="77" t="s">
        <v>644</v>
      </c>
      <c r="AJ513" s="37">
        <v>4</v>
      </c>
      <c r="AK513" s="76" t="s">
        <v>644</v>
      </c>
      <c r="AL513" s="37" t="s">
        <v>644</v>
      </c>
      <c r="AM513" s="37">
        <v>5</v>
      </c>
      <c r="AN513" s="37" t="s">
        <v>644</v>
      </c>
      <c r="AO513" s="37" t="s">
        <v>644</v>
      </c>
      <c r="AP513" s="76"/>
      <c r="AQ513" s="37"/>
      <c r="AR513" s="37"/>
      <c r="AS513" s="24"/>
      <c r="AT513" s="37"/>
      <c r="AU513">
        <f>E513 +F513</f>
        <v>11</v>
      </c>
    </row>
    <row r="514" spans="1:47" ht="15.75" thickBot="1" x14ac:dyDescent="0.3">
      <c r="A514" t="str">
        <f>B514 &amp; " - " &amp;D514</f>
        <v>ASM - El Shaarawy</v>
      </c>
      <c r="B514" t="s">
        <v>974</v>
      </c>
      <c r="C514" s="259" t="s">
        <v>665</v>
      </c>
      <c r="D514" s="266" t="s">
        <v>973</v>
      </c>
      <c r="E514" s="214">
        <v>8</v>
      </c>
      <c r="F514" s="215">
        <v>7</v>
      </c>
      <c r="G514" s="254"/>
      <c r="H514" s="260">
        <f>AVERAGE(K514,L514,I514,N514,P514,Q514,T514,X514)</f>
        <v>4.5</v>
      </c>
      <c r="I514" s="64">
        <v>5</v>
      </c>
      <c r="J514" s="272" t="s">
        <v>644</v>
      </c>
      <c r="K514" s="61">
        <v>5</v>
      </c>
      <c r="L514" s="53">
        <v>5</v>
      </c>
      <c r="M514" s="61"/>
      <c r="N514" s="61">
        <v>5</v>
      </c>
      <c r="O514" s="61" t="s">
        <v>644</v>
      </c>
      <c r="P514" s="61">
        <v>4</v>
      </c>
      <c r="Q514" s="61">
        <v>4</v>
      </c>
      <c r="R514" s="61" t="s">
        <v>644</v>
      </c>
      <c r="S514" s="61"/>
      <c r="T514" s="53">
        <v>4</v>
      </c>
      <c r="U514" s="61" t="s">
        <v>644</v>
      </c>
      <c r="V514" s="61" t="s">
        <v>644</v>
      </c>
      <c r="W514" s="61" t="s">
        <v>644</v>
      </c>
      <c r="X514" s="61">
        <v>4</v>
      </c>
      <c r="Y514" s="61"/>
      <c r="Z514" s="61"/>
      <c r="AA514" s="61" t="s">
        <v>644</v>
      </c>
      <c r="AB514" s="61"/>
      <c r="AC514" s="62"/>
      <c r="AD514" s="53"/>
      <c r="AE514" s="61"/>
      <c r="AF514" s="53"/>
      <c r="AG514" s="61"/>
      <c r="AH514" s="53"/>
      <c r="AI514" s="61"/>
      <c r="AJ514" s="61"/>
      <c r="AK514" s="59"/>
      <c r="AL514" s="61"/>
      <c r="AM514" s="61"/>
      <c r="AN514" s="53"/>
      <c r="AO514" s="53"/>
      <c r="AP514" s="61"/>
      <c r="AQ514" s="61"/>
      <c r="AR514" s="61"/>
      <c r="AS514" s="53"/>
      <c r="AT514" s="61"/>
      <c r="AU514">
        <f>E514 +F514</f>
        <v>15</v>
      </c>
    </row>
    <row r="515" spans="1:47" x14ac:dyDescent="0.25">
      <c r="A515" t="str">
        <f>B515 &amp; " - " &amp;D515</f>
        <v>EAG - Guivarch</v>
      </c>
      <c r="B515" t="s">
        <v>999</v>
      </c>
      <c r="C515" s="16" t="s">
        <v>638</v>
      </c>
      <c r="D515" s="220" t="s">
        <v>628</v>
      </c>
      <c r="E515" s="18"/>
      <c r="F515" s="95"/>
      <c r="G515" s="158"/>
      <c r="H515" s="235"/>
      <c r="I515" s="173"/>
      <c r="J515" s="24"/>
      <c r="K515" s="37"/>
      <c r="L515" s="24"/>
      <c r="M515" s="37"/>
      <c r="N515" s="37"/>
      <c r="O515" s="27"/>
      <c r="P515" s="37"/>
      <c r="Q515" s="24"/>
      <c r="R515" s="23"/>
      <c r="S515" s="24"/>
      <c r="T515" s="24"/>
      <c r="U515" s="24"/>
      <c r="V515" s="37"/>
      <c r="W515" s="24"/>
      <c r="X515" s="24"/>
      <c r="Y515" s="37"/>
      <c r="Z515" s="24"/>
      <c r="AA515" s="24"/>
      <c r="AB515" s="24"/>
      <c r="AC515" s="37"/>
      <c r="AD515" s="24"/>
      <c r="AE515" s="24"/>
      <c r="AF515" s="24"/>
      <c r="AG515" s="27"/>
      <c r="AH515" s="24"/>
      <c r="AI515" s="24"/>
      <c r="AJ515" s="27"/>
      <c r="AK515" s="24"/>
      <c r="AL515" s="26"/>
      <c r="AM515" s="27"/>
      <c r="AN515" s="27"/>
      <c r="AO515" s="37"/>
      <c r="AP515" s="27"/>
      <c r="AQ515" s="27"/>
      <c r="AR515" s="27"/>
      <c r="AS515" s="27"/>
      <c r="AT515" s="24"/>
      <c r="AU515">
        <f>E515 +F515</f>
        <v>0</v>
      </c>
    </row>
    <row r="516" spans="1:47" x14ac:dyDescent="0.25">
      <c r="A516" t="str">
        <f>B516 &amp; " - " &amp;D516</f>
        <v>FCL - Bellugou</v>
      </c>
      <c r="B516" t="s">
        <v>816</v>
      </c>
      <c r="C516" s="29" t="s">
        <v>641</v>
      </c>
      <c r="D516" s="60" t="s">
        <v>799</v>
      </c>
      <c r="E516" s="31">
        <v>27</v>
      </c>
      <c r="F516" s="99">
        <v>6</v>
      </c>
      <c r="G516" s="73"/>
      <c r="H516" s="204">
        <f>AVERAGE(Z516,J516,K516,L516,I516,O516,Q516,R516,S516,T516,U516,V516,W516,Y516,AB516,AC516,AD516,AE516,AJ516,AK516,AM516,AN516,AQ516,AR516,AS516,AT516)</f>
        <v>4.8461538461538458</v>
      </c>
      <c r="I516" s="87">
        <v>5</v>
      </c>
      <c r="J516" s="37">
        <v>4</v>
      </c>
      <c r="K516" s="37">
        <v>5</v>
      </c>
      <c r="L516" s="37">
        <v>5</v>
      </c>
      <c r="M516" s="24"/>
      <c r="N516" s="37" t="s">
        <v>644</v>
      </c>
      <c r="O516" s="27">
        <v>5</v>
      </c>
      <c r="P516" s="37"/>
      <c r="Q516" s="24">
        <v>5</v>
      </c>
      <c r="R516" s="37">
        <v>5</v>
      </c>
      <c r="S516" s="24">
        <v>5</v>
      </c>
      <c r="T516" s="24">
        <v>5</v>
      </c>
      <c r="U516" s="24">
        <v>5</v>
      </c>
      <c r="V516" s="24">
        <v>4</v>
      </c>
      <c r="W516" s="24">
        <v>5</v>
      </c>
      <c r="X516" s="37" t="s">
        <v>644</v>
      </c>
      <c r="Y516" s="24">
        <v>5</v>
      </c>
      <c r="Z516" s="24">
        <v>5</v>
      </c>
      <c r="AA516" s="37" t="s">
        <v>644</v>
      </c>
      <c r="AB516" s="24">
        <v>6</v>
      </c>
      <c r="AC516" s="24">
        <v>5</v>
      </c>
      <c r="AD516" s="24">
        <v>5</v>
      </c>
      <c r="AE516" s="24">
        <v>6</v>
      </c>
      <c r="AF516" s="24"/>
      <c r="AG516" s="27" t="s">
        <v>655</v>
      </c>
      <c r="AH516" s="24"/>
      <c r="AI516" s="76" t="s">
        <v>644</v>
      </c>
      <c r="AJ516" s="27">
        <v>6</v>
      </c>
      <c r="AK516" s="37">
        <v>5</v>
      </c>
      <c r="AL516" s="26" t="s">
        <v>644</v>
      </c>
      <c r="AM516" s="237">
        <v>3</v>
      </c>
      <c r="AN516" s="27">
        <v>5</v>
      </c>
      <c r="AO516" s="37" t="s">
        <v>644</v>
      </c>
      <c r="AP516" s="28"/>
      <c r="AQ516" s="27">
        <v>5</v>
      </c>
      <c r="AR516" s="27">
        <v>4</v>
      </c>
      <c r="AS516" s="252">
        <v>3</v>
      </c>
      <c r="AT516" s="37">
        <v>5</v>
      </c>
      <c r="AU516">
        <f>E516 +F516</f>
        <v>33</v>
      </c>
    </row>
    <row r="517" spans="1:47" x14ac:dyDescent="0.25">
      <c r="A517" t="str">
        <f>B517 &amp; " - " &amp;D517</f>
        <v>EAG - Samassa</v>
      </c>
      <c r="B517" t="s">
        <v>999</v>
      </c>
      <c r="C517" s="67" t="s">
        <v>638</v>
      </c>
      <c r="D517" s="85" t="s">
        <v>576</v>
      </c>
      <c r="E517" s="69">
        <v>1</v>
      </c>
      <c r="F517" s="115"/>
      <c r="G517" s="68"/>
      <c r="H517" s="236">
        <f>AVERAGE(J517)</f>
        <v>5</v>
      </c>
      <c r="I517" s="173"/>
      <c r="J517" s="23">
        <v>5</v>
      </c>
      <c r="K517" s="37"/>
      <c r="L517" s="24"/>
      <c r="M517" s="37"/>
      <c r="N517" s="37"/>
      <c r="O517" s="27"/>
      <c r="P517" s="37"/>
      <c r="Q517" s="24"/>
      <c r="R517" s="23"/>
      <c r="S517" s="24"/>
      <c r="T517" s="24"/>
      <c r="U517" s="24"/>
      <c r="V517" s="37"/>
      <c r="W517" s="24"/>
      <c r="X517" s="24"/>
      <c r="Y517" s="37"/>
      <c r="Z517" s="24"/>
      <c r="AA517" s="24"/>
      <c r="AB517" s="24"/>
      <c r="AC517" s="37"/>
      <c r="AD517" s="24"/>
      <c r="AE517" s="24"/>
      <c r="AF517" s="24"/>
      <c r="AG517" s="27"/>
      <c r="AH517" s="24"/>
      <c r="AI517" s="24"/>
      <c r="AJ517" s="27"/>
      <c r="AK517" s="24"/>
      <c r="AL517" s="26"/>
      <c r="AM517" s="27"/>
      <c r="AN517" s="27"/>
      <c r="AO517" s="37"/>
      <c r="AP517" s="27"/>
      <c r="AQ517" s="27"/>
      <c r="AR517" s="27"/>
      <c r="AS517" s="26"/>
      <c r="AT517" s="24"/>
      <c r="AU517">
        <f>E517 +F517</f>
        <v>1</v>
      </c>
    </row>
    <row r="518" spans="1:47" x14ac:dyDescent="0.25">
      <c r="A518" t="str">
        <f>B518 &amp; " - " &amp;D518</f>
        <v>EAG - Lemaître</v>
      </c>
      <c r="B518" t="s">
        <v>999</v>
      </c>
      <c r="C518" s="29" t="s">
        <v>641</v>
      </c>
      <c r="D518" s="30" t="s">
        <v>623</v>
      </c>
      <c r="E518" s="31">
        <v>5</v>
      </c>
      <c r="F518" s="99">
        <v>1</v>
      </c>
      <c r="G518" s="114" t="s">
        <v>679</v>
      </c>
      <c r="H518" s="204">
        <f>AVERAGE(L518,M518,X518,Z518,AC518,AK518)</f>
        <v>4.166666666666667</v>
      </c>
      <c r="I518" s="173"/>
      <c r="J518" s="24"/>
      <c r="K518" s="79"/>
      <c r="L518" s="24">
        <v>5</v>
      </c>
      <c r="M518" s="37">
        <v>5</v>
      </c>
      <c r="N518" s="37"/>
      <c r="O518" s="27"/>
      <c r="P518" s="37"/>
      <c r="Q518" s="24"/>
      <c r="R518" s="37"/>
      <c r="S518" s="24"/>
      <c r="T518" s="24"/>
      <c r="U518" s="24"/>
      <c r="V518" s="37"/>
      <c r="W518" s="24"/>
      <c r="X518" s="24">
        <v>5</v>
      </c>
      <c r="Y518" s="37"/>
      <c r="Z518" s="24">
        <v>4</v>
      </c>
      <c r="AA518" s="24"/>
      <c r="AB518" s="24"/>
      <c r="AC518" s="166">
        <v>3</v>
      </c>
      <c r="AD518" s="24"/>
      <c r="AE518" s="24"/>
      <c r="AF518" s="24"/>
      <c r="AG518" s="27"/>
      <c r="AH518" s="24"/>
      <c r="AI518" s="24"/>
      <c r="AJ518" s="27"/>
      <c r="AK518" s="166">
        <v>3</v>
      </c>
      <c r="AL518" s="26"/>
      <c r="AM518" s="27"/>
      <c r="AN518" s="27"/>
      <c r="AO518" s="37"/>
      <c r="AP518" s="27"/>
      <c r="AQ518" s="27"/>
      <c r="AR518" s="27"/>
      <c r="AS518" s="27"/>
      <c r="AT518" s="24"/>
      <c r="AU518">
        <f>E518 +F518</f>
        <v>6</v>
      </c>
    </row>
    <row r="519" spans="1:47" x14ac:dyDescent="0.25">
      <c r="A519" t="str">
        <f>B519 &amp; " - " &amp;D519</f>
        <v>ESTAC - Darbion</v>
      </c>
      <c r="B519" t="s">
        <v>1034</v>
      </c>
      <c r="C519" s="29" t="s">
        <v>654</v>
      </c>
      <c r="D519" s="154" t="s">
        <v>1022</v>
      </c>
      <c r="E519" s="31">
        <v>18</v>
      </c>
      <c r="F519" s="99">
        <v>8</v>
      </c>
      <c r="G519" s="73">
        <v>1</v>
      </c>
      <c r="H519" s="204">
        <f>AVERAGE(J519,K519,L519,O519,P519,S519,T519,V519,W519,X519,AA519,AE519,AG519,AJ519,AM519,AP519,AQ519,AR519)</f>
        <v>4.833333333333333</v>
      </c>
      <c r="I519" s="175"/>
      <c r="J519" s="76">
        <v>5</v>
      </c>
      <c r="K519" s="234">
        <v>3</v>
      </c>
      <c r="L519" s="24">
        <v>4</v>
      </c>
      <c r="M519" s="37"/>
      <c r="N519" s="37" t="s">
        <v>644</v>
      </c>
      <c r="O519" s="27">
        <v>5</v>
      </c>
      <c r="P519" s="37">
        <v>5</v>
      </c>
      <c r="Q519" s="24"/>
      <c r="R519" s="23"/>
      <c r="S519" s="24">
        <v>5</v>
      </c>
      <c r="T519" s="24">
        <v>5</v>
      </c>
      <c r="U519" s="37" t="s">
        <v>644</v>
      </c>
      <c r="V519" s="37">
        <v>4</v>
      </c>
      <c r="W519" s="24">
        <v>5</v>
      </c>
      <c r="X519" s="37">
        <v>5</v>
      </c>
      <c r="Y519" s="37"/>
      <c r="Z519" s="24"/>
      <c r="AA519" s="24">
        <v>5</v>
      </c>
      <c r="AB519" s="24"/>
      <c r="AC519" s="37"/>
      <c r="AD519" s="37" t="s">
        <v>644</v>
      </c>
      <c r="AE519" s="24">
        <v>4</v>
      </c>
      <c r="AF519" s="76" t="s">
        <v>644</v>
      </c>
      <c r="AG519" s="27">
        <v>4</v>
      </c>
      <c r="AH519" s="24"/>
      <c r="AI519" s="37" t="s">
        <v>644</v>
      </c>
      <c r="AJ519" s="27">
        <v>6</v>
      </c>
      <c r="AK519" s="37" t="s">
        <v>644</v>
      </c>
      <c r="AL519" s="26"/>
      <c r="AM519" s="27">
        <v>4</v>
      </c>
      <c r="AN519" s="26" t="s">
        <v>644</v>
      </c>
      <c r="AO519" s="37" t="s">
        <v>644</v>
      </c>
      <c r="AP519" s="163">
        <v>7</v>
      </c>
      <c r="AQ519" s="28">
        <v>5</v>
      </c>
      <c r="AR519" s="27">
        <v>6</v>
      </c>
      <c r="AS519" s="27"/>
      <c r="AT519" s="24"/>
      <c r="AU519">
        <f>E519 +F519</f>
        <v>26</v>
      </c>
    </row>
    <row r="520" spans="1:47" x14ac:dyDescent="0.25">
      <c r="A520" t="str">
        <f>B520 &amp; " - " &amp;D520</f>
        <v>EAG - Lévêque</v>
      </c>
      <c r="B520" t="s">
        <v>999</v>
      </c>
      <c r="C520" s="29" t="s">
        <v>641</v>
      </c>
      <c r="D520" s="30" t="s">
        <v>977</v>
      </c>
      <c r="E520" s="31">
        <v>13</v>
      </c>
      <c r="F520" s="99">
        <v>1</v>
      </c>
      <c r="G520" s="114">
        <v>1</v>
      </c>
      <c r="H520" s="204">
        <f>AVERAGE(J520,K520,I520,R520,S520,T520,U520,V520,W520,AD520,AE520,AF520,AS520)</f>
        <v>5.384615384615385</v>
      </c>
      <c r="I520" s="87">
        <v>5</v>
      </c>
      <c r="J520" s="24">
        <v>5</v>
      </c>
      <c r="K520" s="37">
        <v>5</v>
      </c>
      <c r="L520" s="24"/>
      <c r="M520" s="37"/>
      <c r="N520" s="37"/>
      <c r="O520" s="27"/>
      <c r="P520" s="37"/>
      <c r="Q520" s="24"/>
      <c r="R520" s="23">
        <v>5</v>
      </c>
      <c r="S520" s="24">
        <v>5</v>
      </c>
      <c r="T520" s="24">
        <v>5</v>
      </c>
      <c r="U520" s="22">
        <v>6</v>
      </c>
      <c r="V520" s="37">
        <v>6</v>
      </c>
      <c r="W520" s="24">
        <v>4</v>
      </c>
      <c r="X520" s="37" t="s">
        <v>644</v>
      </c>
      <c r="Y520" s="37"/>
      <c r="Z520" s="24"/>
      <c r="AA520" s="24"/>
      <c r="AB520" s="24"/>
      <c r="AC520" s="37"/>
      <c r="AD520" s="24">
        <v>6</v>
      </c>
      <c r="AE520" s="24">
        <v>5</v>
      </c>
      <c r="AF520" s="83">
        <v>7</v>
      </c>
      <c r="AG520" s="27"/>
      <c r="AH520" s="24"/>
      <c r="AI520" s="24"/>
      <c r="AJ520" s="27"/>
      <c r="AK520" s="24"/>
      <c r="AL520" s="26"/>
      <c r="AM520" s="27"/>
      <c r="AN520" s="27"/>
      <c r="AO520" s="37"/>
      <c r="AP520" s="27"/>
      <c r="AQ520" s="27"/>
      <c r="AR520" s="27"/>
      <c r="AS520" s="27">
        <v>6</v>
      </c>
      <c r="AT520" s="24"/>
      <c r="AU520">
        <f>E520 +F520</f>
        <v>14</v>
      </c>
    </row>
    <row r="521" spans="1:47" x14ac:dyDescent="0.25">
      <c r="A521" t="str">
        <f>B521 &amp; " - " &amp;D521</f>
        <v>EAG - Angoua</v>
      </c>
      <c r="B521" t="s">
        <v>999</v>
      </c>
      <c r="C521" s="29" t="s">
        <v>641</v>
      </c>
      <c r="D521" s="30" t="s">
        <v>978</v>
      </c>
      <c r="E521" s="31">
        <v>14</v>
      </c>
      <c r="F521" s="99">
        <v>5</v>
      </c>
      <c r="G521" s="73">
        <v>1</v>
      </c>
      <c r="H521" s="204">
        <f>AVERAGE(J521,N521,O521,P521,Q521,R521,S521,T521,Y521,AI521,AJ521,AK521,AR521)</f>
        <v>4.615384615384615</v>
      </c>
      <c r="I521" s="87"/>
      <c r="J521" s="24">
        <v>4</v>
      </c>
      <c r="K521" s="37"/>
      <c r="L521" s="24"/>
      <c r="M521" s="37" t="s">
        <v>644</v>
      </c>
      <c r="N521" s="37">
        <v>5</v>
      </c>
      <c r="O521" s="237">
        <v>3</v>
      </c>
      <c r="P521" s="37">
        <v>5</v>
      </c>
      <c r="Q521" s="66">
        <v>7</v>
      </c>
      <c r="R521" s="23">
        <v>5</v>
      </c>
      <c r="S521" s="24">
        <v>5</v>
      </c>
      <c r="T521" s="24">
        <v>5</v>
      </c>
      <c r="U521" s="24"/>
      <c r="V521" s="37"/>
      <c r="W521" s="24"/>
      <c r="X521" s="24"/>
      <c r="Y521" s="37">
        <v>4</v>
      </c>
      <c r="Z521" s="24"/>
      <c r="AA521" s="24"/>
      <c r="AB521" s="24"/>
      <c r="AC521" s="37"/>
      <c r="AD521" s="37"/>
      <c r="AE521" s="24"/>
      <c r="AF521" s="24"/>
      <c r="AG521" s="27"/>
      <c r="AH521" s="37" t="s">
        <v>644</v>
      </c>
      <c r="AI521" s="24">
        <v>4</v>
      </c>
      <c r="AJ521" s="27">
        <v>5</v>
      </c>
      <c r="AK521" s="82">
        <v>3</v>
      </c>
      <c r="AL521" s="26"/>
      <c r="AM521" s="26" t="s">
        <v>644</v>
      </c>
      <c r="AN521" s="27"/>
      <c r="AO521" s="37"/>
      <c r="AP521" s="26" t="s">
        <v>644</v>
      </c>
      <c r="AQ521" s="27"/>
      <c r="AR521" s="28">
        <v>5</v>
      </c>
      <c r="AS521" s="26" t="s">
        <v>644</v>
      </c>
      <c r="AT521" s="24"/>
      <c r="AU521">
        <f>E521 +F521</f>
        <v>19</v>
      </c>
    </row>
    <row r="522" spans="1:47" x14ac:dyDescent="0.25">
      <c r="A522" t="str">
        <f>B522 &amp; " - " &amp;D522</f>
        <v>EAG - Baca</v>
      </c>
      <c r="B522" t="s">
        <v>999</v>
      </c>
      <c r="C522" s="29" t="s">
        <v>641</v>
      </c>
      <c r="D522" s="30" t="s">
        <v>979</v>
      </c>
      <c r="E522" s="31">
        <v>2</v>
      </c>
      <c r="F522" s="99"/>
      <c r="G522" s="114" t="s">
        <v>679</v>
      </c>
      <c r="H522" s="204">
        <f>AVERAGE(K522,AI522)</f>
        <v>3.5</v>
      </c>
      <c r="I522" s="173"/>
      <c r="J522" s="24"/>
      <c r="K522" s="74">
        <v>4</v>
      </c>
      <c r="L522" s="37"/>
      <c r="M522" s="37"/>
      <c r="N522" s="37"/>
      <c r="O522" s="27"/>
      <c r="P522" s="37"/>
      <c r="Q522" s="24"/>
      <c r="R522" s="23"/>
      <c r="S522" s="24"/>
      <c r="T522" s="24"/>
      <c r="U522" s="24"/>
      <c r="V522" s="37"/>
      <c r="W522" s="24"/>
      <c r="X522" s="24"/>
      <c r="Y522" s="37"/>
      <c r="Z522" s="24"/>
      <c r="AA522" s="24"/>
      <c r="AB522" s="24"/>
      <c r="AC522" s="37"/>
      <c r="AD522" s="24"/>
      <c r="AE522" s="24"/>
      <c r="AF522" s="24"/>
      <c r="AG522" s="27"/>
      <c r="AH522" s="24"/>
      <c r="AI522" s="82">
        <v>3</v>
      </c>
      <c r="AJ522" s="27"/>
      <c r="AK522" s="24"/>
      <c r="AL522" s="26"/>
      <c r="AM522" s="27"/>
      <c r="AN522" s="27"/>
      <c r="AO522" s="37"/>
      <c r="AP522" s="26"/>
      <c r="AQ522" s="27"/>
      <c r="AR522" s="27"/>
      <c r="AS522" s="27"/>
      <c r="AT522" s="24"/>
      <c r="AU522">
        <f>E522 +F522</f>
        <v>2</v>
      </c>
    </row>
    <row r="523" spans="1:47" x14ac:dyDescent="0.25">
      <c r="A523" t="str">
        <f>B523 &amp; " - " &amp;D523</f>
        <v>EAG - Sankoh</v>
      </c>
      <c r="B523" t="s">
        <v>999</v>
      </c>
      <c r="C523" s="131" t="s">
        <v>641</v>
      </c>
      <c r="D523" s="131" t="s">
        <v>980</v>
      </c>
      <c r="E523" s="132"/>
      <c r="F523" s="133"/>
      <c r="G523" s="134"/>
      <c r="H523" s="204"/>
      <c r="I523" s="135"/>
      <c r="J523" s="133"/>
      <c r="K523" s="138"/>
      <c r="L523" s="138"/>
      <c r="M523" s="138"/>
      <c r="N523" s="138"/>
      <c r="O523" s="138"/>
      <c r="P523" s="138"/>
      <c r="Q523" s="138"/>
      <c r="R523" s="138"/>
      <c r="S523" s="138"/>
      <c r="T523" s="138"/>
      <c r="U523" s="138"/>
      <c r="V523" s="138"/>
      <c r="W523" s="138"/>
      <c r="X523" s="138"/>
      <c r="Y523" s="138"/>
      <c r="Z523" s="138"/>
      <c r="AA523" s="138"/>
      <c r="AB523" s="138"/>
      <c r="AC523" s="138"/>
      <c r="AD523" s="133"/>
      <c r="AE523" s="138"/>
      <c r="AF523" s="133"/>
      <c r="AG523" s="138"/>
      <c r="AH523" s="133"/>
      <c r="AI523" s="133"/>
      <c r="AJ523" s="138"/>
      <c r="AK523" s="138"/>
      <c r="AL523" s="138"/>
      <c r="AM523" s="138"/>
      <c r="AN523" s="133"/>
      <c r="AO523" s="138"/>
      <c r="AP523" s="138"/>
      <c r="AQ523" s="133"/>
      <c r="AR523" s="133"/>
      <c r="AS523" s="133"/>
      <c r="AT523" s="138"/>
      <c r="AU523">
        <f>E523 +F523</f>
        <v>0</v>
      </c>
    </row>
    <row r="524" spans="1:47" x14ac:dyDescent="0.25">
      <c r="A524" t="str">
        <f>B524 &amp; " - " &amp;D524</f>
        <v>FCN - Audel</v>
      </c>
      <c r="B524" t="s">
        <v>955</v>
      </c>
      <c r="C524" s="29" t="s">
        <v>654</v>
      </c>
      <c r="D524" s="154" t="s">
        <v>949</v>
      </c>
      <c r="E524" s="31">
        <v>11</v>
      </c>
      <c r="F524" s="99">
        <v>18</v>
      </c>
      <c r="G524" s="73">
        <v>2</v>
      </c>
      <c r="H524" s="204">
        <f>AVERAGE(K524,L524,N524,S524,T524,U524,Z524,AA524,AB524,AC524,AO524)</f>
        <v>4.8181818181818183</v>
      </c>
      <c r="I524" s="87" t="s">
        <v>644</v>
      </c>
      <c r="J524" s="37" t="s">
        <v>644</v>
      </c>
      <c r="K524" s="37">
        <v>6</v>
      </c>
      <c r="L524" s="24">
        <v>5</v>
      </c>
      <c r="M524" s="37" t="s">
        <v>644</v>
      </c>
      <c r="N524" s="82">
        <v>3</v>
      </c>
      <c r="O524" s="26" t="s">
        <v>644</v>
      </c>
      <c r="P524" s="37" t="s">
        <v>644</v>
      </c>
      <c r="Q524" s="37" t="s">
        <v>644</v>
      </c>
      <c r="R524" s="76" t="s">
        <v>644</v>
      </c>
      <c r="S524" s="24">
        <v>4</v>
      </c>
      <c r="T524" s="24">
        <v>4</v>
      </c>
      <c r="U524" s="24">
        <v>5</v>
      </c>
      <c r="V524" s="37"/>
      <c r="W524" s="37"/>
      <c r="X524" s="37" t="s">
        <v>644</v>
      </c>
      <c r="Y524" s="24"/>
      <c r="Z524" s="24">
        <v>5</v>
      </c>
      <c r="AA524" s="76">
        <v>5</v>
      </c>
      <c r="AB524" s="25">
        <v>7</v>
      </c>
      <c r="AC524" s="37">
        <v>4</v>
      </c>
      <c r="AD524" s="24"/>
      <c r="AE524" s="37" t="s">
        <v>644</v>
      </c>
      <c r="AF524" s="24"/>
      <c r="AG524" s="26" t="s">
        <v>644</v>
      </c>
      <c r="AH524" s="37" t="s">
        <v>644</v>
      </c>
      <c r="AI524" s="37" t="s">
        <v>644</v>
      </c>
      <c r="AJ524" s="26" t="s">
        <v>644</v>
      </c>
      <c r="AK524" s="37" t="s">
        <v>644</v>
      </c>
      <c r="AL524" s="27"/>
      <c r="AM524" s="26" t="s">
        <v>644</v>
      </c>
      <c r="AN524" s="26" t="s">
        <v>644</v>
      </c>
      <c r="AO524" s="22">
        <v>5</v>
      </c>
      <c r="AP524" s="27"/>
      <c r="AQ524" s="27"/>
      <c r="AR524" s="27"/>
      <c r="AS524" s="139" t="s">
        <v>644</v>
      </c>
      <c r="AT524" s="37" t="s">
        <v>644</v>
      </c>
      <c r="AU524">
        <f>E524 +F524</f>
        <v>29</v>
      </c>
    </row>
    <row r="525" spans="1:47" x14ac:dyDescent="0.25">
      <c r="A525" t="str">
        <f>B525 &amp; " - " &amp;D525</f>
        <v>EAG - Héry</v>
      </c>
      <c r="B525" t="s">
        <v>999</v>
      </c>
      <c r="C525" s="29" t="s">
        <v>641</v>
      </c>
      <c r="D525" s="65" t="s">
        <v>982</v>
      </c>
      <c r="E525" s="31">
        <v>4</v>
      </c>
      <c r="F525" s="99"/>
      <c r="G525" s="114"/>
      <c r="H525" s="204">
        <f>AVERAGE(Q525,U525,AI525)</f>
        <v>4.666666666666667</v>
      </c>
      <c r="I525" s="87"/>
      <c r="J525" s="36"/>
      <c r="K525" s="74"/>
      <c r="L525" s="24"/>
      <c r="M525" s="37"/>
      <c r="N525" s="37"/>
      <c r="O525" s="27"/>
      <c r="P525" s="37"/>
      <c r="Q525" s="24">
        <v>5</v>
      </c>
      <c r="R525" s="23"/>
      <c r="S525" s="24"/>
      <c r="T525" s="24"/>
      <c r="U525" s="24">
        <v>5</v>
      </c>
      <c r="V525" s="37"/>
      <c r="W525" s="24"/>
      <c r="X525" s="24"/>
      <c r="Y525" s="37"/>
      <c r="Z525" s="24"/>
      <c r="AA525" s="24"/>
      <c r="AB525" s="24"/>
      <c r="AC525" s="37"/>
      <c r="AD525" s="24"/>
      <c r="AE525" s="24"/>
      <c r="AF525" s="24"/>
      <c r="AG525" s="27"/>
      <c r="AH525" s="24"/>
      <c r="AI525" s="24">
        <v>4</v>
      </c>
      <c r="AJ525" s="27"/>
      <c r="AK525" s="24"/>
      <c r="AL525" s="26"/>
      <c r="AM525" s="27"/>
      <c r="AN525" s="27"/>
      <c r="AO525" s="37"/>
      <c r="AP525" s="26"/>
      <c r="AQ525" s="27"/>
      <c r="AR525" s="27"/>
      <c r="AS525" s="27"/>
      <c r="AT525" s="24"/>
      <c r="AU525">
        <f>E525 +F525</f>
        <v>4</v>
      </c>
    </row>
    <row r="526" spans="1:47" x14ac:dyDescent="0.25">
      <c r="A526" t="str">
        <f>B526 &amp; " - " &amp;D526</f>
        <v>EAG - Martins-Pereira</v>
      </c>
      <c r="B526" t="s">
        <v>999</v>
      </c>
      <c r="C526" s="29" t="s">
        <v>641</v>
      </c>
      <c r="D526" s="154" t="s">
        <v>983</v>
      </c>
      <c r="E526" s="31">
        <v>16</v>
      </c>
      <c r="F526" s="99"/>
      <c r="G526" s="114"/>
      <c r="H526" s="204">
        <f>AVERAGE(AA526,AB526,AC526,AD526,AJ526,AK526,AL526,AM526,AN526,AO526,AP526,AQ526,AR526,AS526,AT526)</f>
        <v>4.9333333333333336</v>
      </c>
      <c r="I526" s="87"/>
      <c r="J526" s="36"/>
      <c r="K526" s="74"/>
      <c r="L526" s="24"/>
      <c r="M526" s="37"/>
      <c r="N526" s="37"/>
      <c r="O526" s="27"/>
      <c r="P526" s="37"/>
      <c r="Q526" s="24"/>
      <c r="R526" s="23"/>
      <c r="S526" s="24"/>
      <c r="T526" s="24"/>
      <c r="U526" s="24"/>
      <c r="V526" s="37"/>
      <c r="W526" s="24"/>
      <c r="X526" s="24"/>
      <c r="Y526" s="37"/>
      <c r="Z526" s="24"/>
      <c r="AA526" s="24">
        <v>5</v>
      </c>
      <c r="AB526" s="24">
        <v>5</v>
      </c>
      <c r="AC526" s="37">
        <v>4</v>
      </c>
      <c r="AD526" s="24">
        <v>6</v>
      </c>
      <c r="AE526" s="24"/>
      <c r="AF526" s="24" t="s">
        <v>673</v>
      </c>
      <c r="AG526" s="27"/>
      <c r="AH526" s="24"/>
      <c r="AI526" s="24"/>
      <c r="AJ526" s="27">
        <v>4</v>
      </c>
      <c r="AK526" s="82">
        <v>3</v>
      </c>
      <c r="AL526" s="193">
        <v>7</v>
      </c>
      <c r="AM526" s="27">
        <v>6</v>
      </c>
      <c r="AN526" s="27">
        <v>5</v>
      </c>
      <c r="AO526" s="37">
        <v>5</v>
      </c>
      <c r="AP526" s="26">
        <v>5</v>
      </c>
      <c r="AQ526" s="27">
        <v>6</v>
      </c>
      <c r="AR526" s="27">
        <v>4</v>
      </c>
      <c r="AS526" s="27">
        <v>5</v>
      </c>
      <c r="AT526" s="24">
        <v>4</v>
      </c>
      <c r="AU526">
        <f>E526 +F526</f>
        <v>16</v>
      </c>
    </row>
    <row r="527" spans="1:47" x14ac:dyDescent="0.25">
      <c r="A527" t="str">
        <f>B527 &amp; " - " &amp;D527</f>
        <v>OM - Sarr</v>
      </c>
      <c r="B527" t="s">
        <v>703</v>
      </c>
      <c r="C527" s="67" t="s">
        <v>654</v>
      </c>
      <c r="D527" s="86" t="s">
        <v>660</v>
      </c>
      <c r="E527" s="69">
        <v>9</v>
      </c>
      <c r="F527" s="115">
        <v>16</v>
      </c>
      <c r="G527" s="68">
        <v>2</v>
      </c>
      <c r="H527" s="72">
        <f>AVERAGE(P527,Y527,AA527,AC527,AD527,AE527,AF527,AO527,AP527,AQ527)</f>
        <v>4.8</v>
      </c>
      <c r="I527" s="101" t="s">
        <v>644</v>
      </c>
      <c r="J527" s="37" t="s">
        <v>644</v>
      </c>
      <c r="K527" s="37" t="s">
        <v>644</v>
      </c>
      <c r="L527" s="37" t="s">
        <v>644</v>
      </c>
      <c r="M527" s="37"/>
      <c r="N527" s="24"/>
      <c r="O527" s="26" t="s">
        <v>644</v>
      </c>
      <c r="P527" s="37">
        <v>5</v>
      </c>
      <c r="Q527" s="37" t="s">
        <v>644</v>
      </c>
      <c r="R527" s="37" t="s">
        <v>644</v>
      </c>
      <c r="S527" s="24"/>
      <c r="T527" s="24"/>
      <c r="U527" s="37" t="s">
        <v>644</v>
      </c>
      <c r="V527" s="22"/>
      <c r="W527" s="24"/>
      <c r="X527" s="24"/>
      <c r="Y527" s="77">
        <v>6</v>
      </c>
      <c r="Z527" s="24"/>
      <c r="AA527" s="24">
        <v>4</v>
      </c>
      <c r="AB527" s="37"/>
      <c r="AC527" s="77">
        <v>5</v>
      </c>
      <c r="AD527" s="24">
        <v>4</v>
      </c>
      <c r="AE527" s="24">
        <v>5</v>
      </c>
      <c r="AF527" s="24">
        <v>5</v>
      </c>
      <c r="AG527" s="26" t="s">
        <v>644</v>
      </c>
      <c r="AH527" s="24"/>
      <c r="AI527" s="24"/>
      <c r="AJ527" s="26" t="s">
        <v>644</v>
      </c>
      <c r="AK527" s="24"/>
      <c r="AL527" s="26" t="s">
        <v>644</v>
      </c>
      <c r="AM527" s="139" t="s">
        <v>644</v>
      </c>
      <c r="AN527" s="27"/>
      <c r="AO527" s="37">
        <v>5</v>
      </c>
      <c r="AP527" s="27">
        <v>5</v>
      </c>
      <c r="AQ527" s="27">
        <v>4</v>
      </c>
      <c r="AR527" s="26" t="s">
        <v>644</v>
      </c>
      <c r="AS527" s="26" t="s">
        <v>644</v>
      </c>
      <c r="AT527" s="37" t="s">
        <v>644</v>
      </c>
      <c r="AU527">
        <f>E527 +F527</f>
        <v>25</v>
      </c>
    </row>
    <row r="528" spans="1:47" x14ac:dyDescent="0.25">
      <c r="A528" t="str">
        <f>B528 &amp; " - " &amp;D528</f>
        <v>FCL - Le Goff</v>
      </c>
      <c r="B528" t="s">
        <v>816</v>
      </c>
      <c r="C528" s="29" t="s">
        <v>641</v>
      </c>
      <c r="D528" s="60" t="s">
        <v>800</v>
      </c>
      <c r="E528" s="31">
        <v>19</v>
      </c>
      <c r="F528" s="99">
        <v>8</v>
      </c>
      <c r="G528" s="73"/>
      <c r="H528" s="204">
        <f>AVERAGE(Z528,X528,J528,K528,L528,I528,M528,O528,P528,Q528,R528,S528,T528,V528,Y528,AG528,AH528,AK528,AM528)</f>
        <v>4.7894736842105265</v>
      </c>
      <c r="I528" s="87">
        <v>6</v>
      </c>
      <c r="J528" s="37">
        <v>5</v>
      </c>
      <c r="K528" s="37">
        <v>5</v>
      </c>
      <c r="L528" s="37">
        <v>5</v>
      </c>
      <c r="M528" s="24">
        <v>5</v>
      </c>
      <c r="N528" s="37"/>
      <c r="O528" s="27">
        <v>5</v>
      </c>
      <c r="P528" s="166">
        <v>3</v>
      </c>
      <c r="Q528" s="24">
        <v>5</v>
      </c>
      <c r="R528" s="37">
        <v>6</v>
      </c>
      <c r="S528" s="24">
        <v>5</v>
      </c>
      <c r="T528" s="24">
        <v>4</v>
      </c>
      <c r="U528" s="37" t="s">
        <v>644</v>
      </c>
      <c r="V528" s="24">
        <v>5</v>
      </c>
      <c r="W528" s="37" t="s">
        <v>644</v>
      </c>
      <c r="X528" s="84">
        <v>7</v>
      </c>
      <c r="Y528" s="23">
        <v>4</v>
      </c>
      <c r="Z528" s="24">
        <v>5</v>
      </c>
      <c r="AA528" s="37" t="s">
        <v>644</v>
      </c>
      <c r="AB528" s="76" t="s">
        <v>644</v>
      </c>
      <c r="AC528" s="24"/>
      <c r="AD528" s="24"/>
      <c r="AE528" s="37" t="s">
        <v>644</v>
      </c>
      <c r="AF528" s="24"/>
      <c r="AG528" s="27">
        <v>5</v>
      </c>
      <c r="AH528" s="24">
        <v>4</v>
      </c>
      <c r="AI528" s="76" t="s">
        <v>644</v>
      </c>
      <c r="AJ528" s="26" t="s">
        <v>644</v>
      </c>
      <c r="AK528" s="37">
        <v>5</v>
      </c>
      <c r="AL528" s="26" t="s">
        <v>644</v>
      </c>
      <c r="AM528" s="237">
        <v>2</v>
      </c>
      <c r="AN528" s="27"/>
      <c r="AO528" s="24"/>
      <c r="AP528" s="27"/>
      <c r="AQ528" s="27"/>
      <c r="AR528" s="27"/>
      <c r="AS528" s="26"/>
      <c r="AT528" s="37"/>
      <c r="AU528">
        <f>E528 +F528</f>
        <v>27</v>
      </c>
    </row>
    <row r="529" spans="1:47" x14ac:dyDescent="0.25">
      <c r="A529" t="str">
        <f>B529 &amp; " - " &amp;D529</f>
        <v>EAG - Cardy</v>
      </c>
      <c r="B529" t="s">
        <v>999</v>
      </c>
      <c r="C529" s="29" t="s">
        <v>654</v>
      </c>
      <c r="D529" s="30" t="s">
        <v>986</v>
      </c>
      <c r="E529" s="31">
        <v>4</v>
      </c>
      <c r="F529" s="99">
        <v>10</v>
      </c>
      <c r="G529" s="73"/>
      <c r="H529" s="204">
        <f>AVERAGE(R529,Y529,Z529,AR529)</f>
        <v>4.5</v>
      </c>
      <c r="I529" s="173"/>
      <c r="J529" s="24"/>
      <c r="K529" s="37"/>
      <c r="L529" s="24"/>
      <c r="M529" s="37"/>
      <c r="N529" s="37"/>
      <c r="O529" s="27"/>
      <c r="P529" s="37"/>
      <c r="Q529" s="24"/>
      <c r="R529" s="23">
        <v>5</v>
      </c>
      <c r="S529" s="24"/>
      <c r="T529" s="24"/>
      <c r="U529" s="37" t="s">
        <v>644</v>
      </c>
      <c r="V529" s="37" t="s">
        <v>644</v>
      </c>
      <c r="W529" s="24"/>
      <c r="X529" s="24"/>
      <c r="Y529" s="37">
        <v>4</v>
      </c>
      <c r="Z529" s="24">
        <v>5</v>
      </c>
      <c r="AA529" s="24"/>
      <c r="AB529" s="24"/>
      <c r="AC529" s="37"/>
      <c r="AD529" s="24"/>
      <c r="AE529" s="37" t="s">
        <v>644</v>
      </c>
      <c r="AF529" s="37" t="s">
        <v>644</v>
      </c>
      <c r="AG529" s="26" t="s">
        <v>644</v>
      </c>
      <c r="AH529" s="24"/>
      <c r="AI529" s="37" t="s">
        <v>644</v>
      </c>
      <c r="AJ529" s="27"/>
      <c r="AK529" s="24"/>
      <c r="AL529" s="26" t="s">
        <v>644</v>
      </c>
      <c r="AM529" s="27"/>
      <c r="AN529" s="27"/>
      <c r="AO529" s="37" t="s">
        <v>644</v>
      </c>
      <c r="AP529" s="26" t="s">
        <v>644</v>
      </c>
      <c r="AQ529" s="26"/>
      <c r="AR529" s="26">
        <v>4</v>
      </c>
      <c r="AS529" s="27"/>
      <c r="AT529" s="37" t="s">
        <v>644</v>
      </c>
      <c r="AU529">
        <f>E529 +F529</f>
        <v>14</v>
      </c>
    </row>
    <row r="530" spans="1:47" x14ac:dyDescent="0.25">
      <c r="A530" t="str">
        <f>B530 &amp; " - " &amp;D530</f>
        <v>GFCA - Le Moigne</v>
      </c>
      <c r="B530" t="s">
        <v>1047</v>
      </c>
      <c r="C530" s="29" t="s">
        <v>654</v>
      </c>
      <c r="D530" s="154" t="s">
        <v>600</v>
      </c>
      <c r="E530" s="31">
        <v>27</v>
      </c>
      <c r="F530" s="99">
        <v>4</v>
      </c>
      <c r="G530" s="73"/>
      <c r="H530" s="204">
        <f>AVERAGE(AB530,Z530,X530,J530,K530,L530,I530,N530,O530,P530,R530,U530,V530,W530,AA530,AC530,AD530,AE530,AF530,AG530,AH530,AJ530,AL530,AM530,AO530,AP530,AQ530,AS530)</f>
        <v>4.7857142857142856</v>
      </c>
      <c r="I530" s="173">
        <v>5</v>
      </c>
      <c r="J530" s="76">
        <v>5</v>
      </c>
      <c r="K530" s="76">
        <v>4</v>
      </c>
      <c r="L530" s="37">
        <v>5</v>
      </c>
      <c r="M530" s="37"/>
      <c r="N530" s="37">
        <v>4</v>
      </c>
      <c r="O530" s="27">
        <v>5</v>
      </c>
      <c r="P530" s="37">
        <v>5</v>
      </c>
      <c r="Q530" s="24"/>
      <c r="R530" s="23">
        <v>5</v>
      </c>
      <c r="S530" s="37" t="s">
        <v>644</v>
      </c>
      <c r="T530" s="24"/>
      <c r="U530" s="24">
        <v>4</v>
      </c>
      <c r="V530" s="37">
        <v>5</v>
      </c>
      <c r="W530" s="24">
        <v>5</v>
      </c>
      <c r="X530" s="37">
        <v>5</v>
      </c>
      <c r="Y530" s="37"/>
      <c r="Z530" s="24">
        <v>5</v>
      </c>
      <c r="AA530" s="24">
        <v>6</v>
      </c>
      <c r="AB530" s="24">
        <v>5</v>
      </c>
      <c r="AC530" s="37">
        <v>6</v>
      </c>
      <c r="AD530" s="24">
        <v>6</v>
      </c>
      <c r="AE530" s="82">
        <v>3</v>
      </c>
      <c r="AF530" s="24">
        <v>4</v>
      </c>
      <c r="AG530" s="27">
        <v>4</v>
      </c>
      <c r="AH530" s="24">
        <v>5</v>
      </c>
      <c r="AI530" s="37" t="s">
        <v>644</v>
      </c>
      <c r="AJ530" s="99">
        <v>5</v>
      </c>
      <c r="AK530" s="37" t="s">
        <v>644</v>
      </c>
      <c r="AL530" s="26">
        <v>5</v>
      </c>
      <c r="AM530" s="27">
        <v>4</v>
      </c>
      <c r="AN530" s="27"/>
      <c r="AO530" s="37">
        <v>6</v>
      </c>
      <c r="AP530" s="26">
        <v>4</v>
      </c>
      <c r="AQ530" s="27">
        <v>5</v>
      </c>
      <c r="AR530" s="27"/>
      <c r="AS530" s="27">
        <v>4</v>
      </c>
      <c r="AT530" s="24"/>
      <c r="AU530">
        <f>E530 +F530</f>
        <v>31</v>
      </c>
    </row>
    <row r="531" spans="1:47" x14ac:dyDescent="0.25">
      <c r="A531" t="str">
        <f>B531 &amp; " - " &amp;D531</f>
        <v>EAG - Mathis</v>
      </c>
      <c r="B531" t="s">
        <v>999</v>
      </c>
      <c r="C531" s="98" t="s">
        <v>654</v>
      </c>
      <c r="D531" s="30" t="s">
        <v>988</v>
      </c>
      <c r="E531" s="239">
        <v>17</v>
      </c>
      <c r="F531" s="240">
        <v>3</v>
      </c>
      <c r="G531" s="78"/>
      <c r="H531" s="204">
        <f>AVERAGE(M531,N531,O531,P531,Q531,S531,T531,U531,AA531,AB531,AC531,AD531,AE531,AF531,AK531)</f>
        <v>4.8666666666666663</v>
      </c>
      <c r="I531" s="173" t="s">
        <v>673</v>
      </c>
      <c r="J531" s="24"/>
      <c r="K531" s="37"/>
      <c r="L531" s="37" t="s">
        <v>644</v>
      </c>
      <c r="M531" s="37">
        <v>5</v>
      </c>
      <c r="N531" s="37">
        <v>5</v>
      </c>
      <c r="O531" s="27">
        <v>5</v>
      </c>
      <c r="P531" s="166">
        <v>3</v>
      </c>
      <c r="Q531" s="24">
        <v>5</v>
      </c>
      <c r="R531" s="23"/>
      <c r="S531" s="24">
        <v>5</v>
      </c>
      <c r="T531" s="24">
        <v>5</v>
      </c>
      <c r="U531" s="24">
        <v>5</v>
      </c>
      <c r="V531" s="37"/>
      <c r="W531" s="24"/>
      <c r="X531" s="24"/>
      <c r="Y531" s="37"/>
      <c r="Z531" s="24"/>
      <c r="AA531" s="24">
        <v>5</v>
      </c>
      <c r="AB531" s="24">
        <v>5</v>
      </c>
      <c r="AC531" s="37">
        <v>5</v>
      </c>
      <c r="AD531" s="24">
        <v>5</v>
      </c>
      <c r="AE531" s="37">
        <v>5</v>
      </c>
      <c r="AF531" s="37">
        <v>6</v>
      </c>
      <c r="AG531" s="27" t="s">
        <v>655</v>
      </c>
      <c r="AH531" s="24"/>
      <c r="AI531" s="37"/>
      <c r="AJ531" s="27"/>
      <c r="AK531" s="24">
        <v>4</v>
      </c>
      <c r="AL531" s="26"/>
      <c r="AM531" s="27"/>
      <c r="AN531" s="27"/>
      <c r="AO531" s="37"/>
      <c r="AP531" s="27"/>
      <c r="AQ531" s="26"/>
      <c r="AR531" s="27"/>
      <c r="AS531" s="26" t="s">
        <v>644</v>
      </c>
      <c r="AT531" s="37" t="s">
        <v>644</v>
      </c>
      <c r="AU531">
        <f>E531 +F531</f>
        <v>20</v>
      </c>
    </row>
    <row r="532" spans="1:47" x14ac:dyDescent="0.25">
      <c r="A532" t="str">
        <f>B532 &amp; " - " &amp;D532</f>
        <v>EAG - Dos Santos</v>
      </c>
      <c r="B532" t="s">
        <v>999</v>
      </c>
      <c r="C532" s="146" t="s">
        <v>654</v>
      </c>
      <c r="D532" s="38" t="s">
        <v>989</v>
      </c>
      <c r="E532" s="239">
        <v>6</v>
      </c>
      <c r="F532" s="240">
        <v>3</v>
      </c>
      <c r="G532" s="78"/>
      <c r="H532" s="204">
        <f>AVERAGE(O532,P532,Y532,AA532,AG532,AH532,AR532)</f>
        <v>4.1428571428571432</v>
      </c>
      <c r="I532" s="173"/>
      <c r="J532" s="24"/>
      <c r="K532" s="37"/>
      <c r="L532" s="37" t="s">
        <v>644</v>
      </c>
      <c r="M532" s="37"/>
      <c r="N532" s="37"/>
      <c r="O532" s="27">
        <v>4</v>
      </c>
      <c r="P532" s="37">
        <v>4</v>
      </c>
      <c r="Q532" s="24"/>
      <c r="R532" s="37" t="s">
        <v>644</v>
      </c>
      <c r="S532" s="24"/>
      <c r="T532" s="37" t="s">
        <v>644</v>
      </c>
      <c r="U532" s="24"/>
      <c r="V532" s="37"/>
      <c r="W532" s="24"/>
      <c r="X532" s="24"/>
      <c r="Y532" s="37">
        <v>4</v>
      </c>
      <c r="Z532" s="37"/>
      <c r="AA532" s="37">
        <v>5</v>
      </c>
      <c r="AB532" s="37"/>
      <c r="AC532" s="37"/>
      <c r="AD532" s="37"/>
      <c r="AE532" s="24"/>
      <c r="AF532" s="24"/>
      <c r="AG532" s="27">
        <v>5</v>
      </c>
      <c r="AH532" s="82">
        <v>2</v>
      </c>
      <c r="AI532" s="24"/>
      <c r="AJ532" s="27"/>
      <c r="AK532" s="24"/>
      <c r="AL532" s="26"/>
      <c r="AM532" s="27"/>
      <c r="AN532" s="27"/>
      <c r="AO532" s="37"/>
      <c r="AP532" s="27"/>
      <c r="AQ532" s="27"/>
      <c r="AR532" s="26">
        <v>5</v>
      </c>
      <c r="AS532" s="27"/>
      <c r="AT532" s="24"/>
      <c r="AU532">
        <f>E532 +F532</f>
        <v>9</v>
      </c>
    </row>
    <row r="533" spans="1:47" x14ac:dyDescent="0.25">
      <c r="A533" t="str">
        <f>B533 &amp; " - " &amp;D533</f>
        <v>SR - Oniangue</v>
      </c>
      <c r="B533" t="s">
        <v>933</v>
      </c>
      <c r="C533" s="29" t="s">
        <v>654</v>
      </c>
      <c r="D533" s="30" t="s">
        <v>531</v>
      </c>
      <c r="E533" s="31">
        <v>23</v>
      </c>
      <c r="F533" s="99">
        <v>4</v>
      </c>
      <c r="G533" s="114" t="s">
        <v>1123</v>
      </c>
      <c r="H533" s="204">
        <f>AVERAGE(Y533,X533,J533,K533,I533,M533,N533,P533,Q533,R533,S533,T533,W533,AB533,AC533,AD533,AE533,AH533,AI533,AO533,AP533,AR533,AS533)</f>
        <v>4.7826086956521738</v>
      </c>
      <c r="I533" s="154">
        <v>4</v>
      </c>
      <c r="J533" s="37">
        <v>5</v>
      </c>
      <c r="K533" s="37">
        <v>4</v>
      </c>
      <c r="L533" s="79"/>
      <c r="M533" s="24">
        <v>4</v>
      </c>
      <c r="N533" s="24">
        <v>4</v>
      </c>
      <c r="O533" s="27"/>
      <c r="P533" s="24">
        <v>5</v>
      </c>
      <c r="Q533" s="24">
        <v>4</v>
      </c>
      <c r="R533" s="24">
        <v>5</v>
      </c>
      <c r="S533" s="24">
        <v>6</v>
      </c>
      <c r="T533" s="24">
        <v>4</v>
      </c>
      <c r="U533" s="24"/>
      <c r="V533" s="24"/>
      <c r="W533" s="37">
        <v>6</v>
      </c>
      <c r="X533" s="24">
        <v>4</v>
      </c>
      <c r="Y533" s="23">
        <v>5</v>
      </c>
      <c r="Z533" s="24"/>
      <c r="AA533" s="24"/>
      <c r="AB533" s="24">
        <v>4</v>
      </c>
      <c r="AC533" s="24">
        <v>5</v>
      </c>
      <c r="AD533" s="24">
        <v>5</v>
      </c>
      <c r="AE533" s="24">
        <v>4</v>
      </c>
      <c r="AF533" s="37" t="s">
        <v>644</v>
      </c>
      <c r="AG533" s="94" t="s">
        <v>644</v>
      </c>
      <c r="AH533" s="24">
        <v>4</v>
      </c>
      <c r="AI533" s="22">
        <v>5</v>
      </c>
      <c r="AJ533" s="27"/>
      <c r="AK533" s="77"/>
      <c r="AL533" s="27"/>
      <c r="AM533" s="27"/>
      <c r="AN533" s="27"/>
      <c r="AO533" s="25">
        <v>7</v>
      </c>
      <c r="AP533" s="27">
        <v>5</v>
      </c>
      <c r="AQ533" s="26" t="s">
        <v>644</v>
      </c>
      <c r="AR533" s="28">
        <v>6</v>
      </c>
      <c r="AS533" s="27">
        <v>5</v>
      </c>
      <c r="AT533" s="37" t="s">
        <v>644</v>
      </c>
      <c r="AU533">
        <f>E533 +F533</f>
        <v>27</v>
      </c>
    </row>
    <row r="534" spans="1:47" x14ac:dyDescent="0.25">
      <c r="A534" t="str">
        <f>B534 &amp; " - " &amp;D534</f>
        <v>EAG - Benezet</v>
      </c>
      <c r="B534" t="s">
        <v>999</v>
      </c>
      <c r="C534" s="146" t="s">
        <v>654</v>
      </c>
      <c r="D534" s="154" t="s">
        <v>178</v>
      </c>
      <c r="E534" s="239">
        <v>14</v>
      </c>
      <c r="F534" s="240">
        <v>5</v>
      </c>
      <c r="G534" s="78">
        <v>4</v>
      </c>
      <c r="H534" s="204">
        <f>AVERAGE(J534,L534,I534,M534,N534,P534,S534,T534,U534,X534,Y534,AC534,AD534,AI534)</f>
        <v>5.7857142857142856</v>
      </c>
      <c r="I534" s="173">
        <v>5</v>
      </c>
      <c r="J534" s="66">
        <v>7</v>
      </c>
      <c r="K534" s="37"/>
      <c r="L534" s="75">
        <v>7</v>
      </c>
      <c r="M534" s="37">
        <v>5</v>
      </c>
      <c r="N534" s="37">
        <v>6</v>
      </c>
      <c r="O534" s="26" t="s">
        <v>644</v>
      </c>
      <c r="P534" s="75">
        <v>10</v>
      </c>
      <c r="Q534" s="24"/>
      <c r="R534" s="37" t="s">
        <v>644</v>
      </c>
      <c r="S534" s="24">
        <v>5</v>
      </c>
      <c r="T534" s="24">
        <v>4</v>
      </c>
      <c r="U534" s="24">
        <v>5</v>
      </c>
      <c r="V534" s="37"/>
      <c r="W534" s="37" t="s">
        <v>644</v>
      </c>
      <c r="X534" s="37">
        <v>5</v>
      </c>
      <c r="Y534" s="37">
        <v>4</v>
      </c>
      <c r="Z534" s="37" t="s">
        <v>655</v>
      </c>
      <c r="AA534" s="37" t="s">
        <v>644</v>
      </c>
      <c r="AB534" s="37"/>
      <c r="AC534" s="75">
        <v>7</v>
      </c>
      <c r="AD534" s="37">
        <v>5</v>
      </c>
      <c r="AE534" s="24"/>
      <c r="AF534" s="24"/>
      <c r="AG534" s="26"/>
      <c r="AH534" s="24"/>
      <c r="AI534" s="24">
        <v>6</v>
      </c>
      <c r="AJ534" s="27"/>
      <c r="AK534" s="24"/>
      <c r="AL534" s="26"/>
      <c r="AM534" s="27"/>
      <c r="AN534" s="27"/>
      <c r="AO534" s="37"/>
      <c r="AP534" s="27"/>
      <c r="AQ534" s="27"/>
      <c r="AR534" s="26"/>
      <c r="AS534" s="27"/>
      <c r="AT534" s="24"/>
      <c r="AU534">
        <f>E534 +F534</f>
        <v>19</v>
      </c>
    </row>
    <row r="535" spans="1:47" x14ac:dyDescent="0.25">
      <c r="A535" t="str">
        <f>B535 &amp; " - " &amp;D535</f>
        <v>FCN - Sala</v>
      </c>
      <c r="B535" t="s">
        <v>955</v>
      </c>
      <c r="C535" s="29" t="s">
        <v>665</v>
      </c>
      <c r="D535" s="154" t="s">
        <v>468</v>
      </c>
      <c r="E535" s="31">
        <v>22</v>
      </c>
      <c r="F535" s="99">
        <v>9</v>
      </c>
      <c r="G535" s="73">
        <v>6</v>
      </c>
      <c r="H535" s="204">
        <f>AVERAGE(AA535,L535,M535,I535,N535,R535,S535,T535,X535,Y535,Z535,AF535,AG535,AH535,AJ535,AL535,AM535,AN535,AP535,AQ535,AR535,AS535,AT535)</f>
        <v>4.7826086956521738</v>
      </c>
      <c r="I535" s="101">
        <v>5</v>
      </c>
      <c r="J535" s="24"/>
      <c r="K535" s="37"/>
      <c r="L535" s="24">
        <v>4</v>
      </c>
      <c r="M535" s="37">
        <v>4</v>
      </c>
      <c r="N535" s="24">
        <v>4</v>
      </c>
      <c r="O535" s="26"/>
      <c r="P535" s="24"/>
      <c r="Q535" s="37" t="s">
        <v>644</v>
      </c>
      <c r="R535" s="23">
        <v>4</v>
      </c>
      <c r="S535" s="37">
        <v>6</v>
      </c>
      <c r="T535" s="37">
        <v>4</v>
      </c>
      <c r="U535" s="37" t="s">
        <v>644</v>
      </c>
      <c r="V535" s="37" t="s">
        <v>644</v>
      </c>
      <c r="W535" s="37" t="s">
        <v>644</v>
      </c>
      <c r="X535" s="24">
        <v>4</v>
      </c>
      <c r="Y535" s="22">
        <v>6</v>
      </c>
      <c r="Z535" s="25">
        <v>7</v>
      </c>
      <c r="AA535" s="24">
        <v>4</v>
      </c>
      <c r="AB535" s="24"/>
      <c r="AC535" s="24"/>
      <c r="AD535" s="37" t="s">
        <v>644</v>
      </c>
      <c r="AE535" s="37"/>
      <c r="AF535" s="25">
        <v>8</v>
      </c>
      <c r="AG535" s="26">
        <v>4</v>
      </c>
      <c r="AH535" s="75">
        <v>7</v>
      </c>
      <c r="AI535" s="37" t="s">
        <v>644</v>
      </c>
      <c r="AJ535" s="26">
        <v>4</v>
      </c>
      <c r="AK535" s="37" t="s">
        <v>644</v>
      </c>
      <c r="AL535" s="247">
        <v>8</v>
      </c>
      <c r="AM535" s="27">
        <v>4</v>
      </c>
      <c r="AN535" s="27">
        <v>4</v>
      </c>
      <c r="AO535" s="37" t="s">
        <v>644</v>
      </c>
      <c r="AP535" s="237">
        <v>3</v>
      </c>
      <c r="AQ535" s="27">
        <v>4</v>
      </c>
      <c r="AR535" s="27">
        <v>4</v>
      </c>
      <c r="AS535" s="27">
        <v>4</v>
      </c>
      <c r="AT535" s="24">
        <v>4</v>
      </c>
      <c r="AU535">
        <f>E535 +F535</f>
        <v>31</v>
      </c>
    </row>
    <row r="536" spans="1:47" x14ac:dyDescent="0.25">
      <c r="A536" t="str">
        <f>B536 &amp; " - " &amp;D536</f>
        <v>EAG - Blas</v>
      </c>
      <c r="B536" t="s">
        <v>999</v>
      </c>
      <c r="C536" s="29" t="s">
        <v>654</v>
      </c>
      <c r="D536" s="65" t="s">
        <v>991</v>
      </c>
      <c r="E536" s="31">
        <v>6</v>
      </c>
      <c r="F536" s="27">
        <v>8</v>
      </c>
      <c r="G536" s="73">
        <v>1</v>
      </c>
      <c r="H536" s="204">
        <f>AVERAGE(Y536,Z536,AJ536,AL536,AP536,AQ536,AR536,AT536)</f>
        <v>4.875</v>
      </c>
      <c r="I536" s="87"/>
      <c r="J536" s="24"/>
      <c r="K536" s="37"/>
      <c r="L536" s="37"/>
      <c r="M536" s="37"/>
      <c r="N536" s="37"/>
      <c r="O536" s="27"/>
      <c r="P536" s="37"/>
      <c r="Q536" s="24"/>
      <c r="R536" s="23"/>
      <c r="S536" s="37"/>
      <c r="T536" s="24"/>
      <c r="U536" s="24"/>
      <c r="V536" s="37"/>
      <c r="W536" s="24"/>
      <c r="X536" s="37"/>
      <c r="Y536" s="37">
        <v>4</v>
      </c>
      <c r="Z536" s="24">
        <v>5</v>
      </c>
      <c r="AA536" s="24"/>
      <c r="AB536" s="24"/>
      <c r="AC536" s="37"/>
      <c r="AD536" s="24"/>
      <c r="AE536" s="24"/>
      <c r="AF536" s="77" t="s">
        <v>644</v>
      </c>
      <c r="AG536" s="27"/>
      <c r="AH536" s="37" t="s">
        <v>644</v>
      </c>
      <c r="AI536" s="24"/>
      <c r="AJ536" s="27">
        <v>6</v>
      </c>
      <c r="AK536" s="37" t="s">
        <v>644</v>
      </c>
      <c r="AL536" s="26">
        <v>4</v>
      </c>
      <c r="AM536" s="27"/>
      <c r="AN536" s="26" t="s">
        <v>644</v>
      </c>
      <c r="AO536" s="37" t="s">
        <v>644</v>
      </c>
      <c r="AP536" s="27">
        <v>6</v>
      </c>
      <c r="AQ536" s="27">
        <v>4</v>
      </c>
      <c r="AR536" s="26">
        <v>6</v>
      </c>
      <c r="AS536" s="26" t="s">
        <v>644</v>
      </c>
      <c r="AT536" s="24">
        <v>4</v>
      </c>
      <c r="AU536">
        <f>E536 +F536</f>
        <v>14</v>
      </c>
    </row>
    <row r="537" spans="1:47" x14ac:dyDescent="0.25">
      <c r="A537" t="str">
        <f>B537 &amp; " - " &amp;D537</f>
        <v>EAG - Livolant</v>
      </c>
      <c r="B537" t="s">
        <v>999</v>
      </c>
      <c r="C537" s="29" t="s">
        <v>654</v>
      </c>
      <c r="D537" s="65" t="s">
        <v>992</v>
      </c>
      <c r="E537" s="31"/>
      <c r="F537" s="27">
        <v>1</v>
      </c>
      <c r="G537" s="73"/>
      <c r="H537" s="204"/>
      <c r="I537" s="87"/>
      <c r="J537" s="24"/>
      <c r="K537" s="37"/>
      <c r="L537" s="37"/>
      <c r="M537" s="37"/>
      <c r="N537" s="37"/>
      <c r="O537" s="27"/>
      <c r="P537" s="37"/>
      <c r="Q537" s="24"/>
      <c r="R537" s="23"/>
      <c r="S537" s="37"/>
      <c r="T537" s="24"/>
      <c r="U537" s="24"/>
      <c r="V537" s="37"/>
      <c r="W537" s="24"/>
      <c r="X537" s="37"/>
      <c r="Y537" s="37" t="s">
        <v>644</v>
      </c>
      <c r="Z537" s="24"/>
      <c r="AA537" s="24"/>
      <c r="AB537" s="24"/>
      <c r="AC537" s="37"/>
      <c r="AD537" s="24"/>
      <c r="AE537" s="24"/>
      <c r="AF537" s="24"/>
      <c r="AG537" s="27"/>
      <c r="AH537" s="24"/>
      <c r="AI537" s="24"/>
      <c r="AJ537" s="27"/>
      <c r="AK537" s="24"/>
      <c r="AL537" s="26"/>
      <c r="AM537" s="27"/>
      <c r="AN537" s="27"/>
      <c r="AO537" s="37"/>
      <c r="AP537" s="27"/>
      <c r="AQ537" s="27"/>
      <c r="AR537" s="27"/>
      <c r="AS537" s="27"/>
      <c r="AT537" s="24"/>
      <c r="AU537">
        <f>E537 +F537</f>
        <v>1</v>
      </c>
    </row>
    <row r="538" spans="1:47" x14ac:dyDescent="0.25">
      <c r="A538" t="str">
        <f>B538 &amp; " - " &amp;D538</f>
        <v>EAG - De Pauw</v>
      </c>
      <c r="B538" t="s">
        <v>999</v>
      </c>
      <c r="C538" s="29" t="s">
        <v>654</v>
      </c>
      <c r="D538" s="65" t="s">
        <v>997</v>
      </c>
      <c r="E538" s="31">
        <v>3</v>
      </c>
      <c r="F538" s="38">
        <v>10</v>
      </c>
      <c r="G538" s="33"/>
      <c r="H538" s="204">
        <f>AVERAGE(J538,I538,O538)</f>
        <v>4.333333333333333</v>
      </c>
      <c r="I538" s="87">
        <v>4</v>
      </c>
      <c r="J538" s="24">
        <v>4</v>
      </c>
      <c r="K538" s="37" t="s">
        <v>644</v>
      </c>
      <c r="L538" s="37" t="s">
        <v>644</v>
      </c>
      <c r="M538" s="37" t="s">
        <v>644</v>
      </c>
      <c r="N538" s="37" t="s">
        <v>644</v>
      </c>
      <c r="O538" s="27">
        <v>5</v>
      </c>
      <c r="P538" s="37"/>
      <c r="Q538" s="24"/>
      <c r="R538" s="22"/>
      <c r="S538" s="24"/>
      <c r="T538" s="37" t="s">
        <v>644</v>
      </c>
      <c r="U538" s="24"/>
      <c r="V538" s="37"/>
      <c r="W538" s="37" t="s">
        <v>644</v>
      </c>
      <c r="X538" s="24"/>
      <c r="Y538" s="37" t="s">
        <v>644</v>
      </c>
      <c r="Z538" s="37" t="s">
        <v>644</v>
      </c>
      <c r="AA538" s="24"/>
      <c r="AB538" s="24"/>
      <c r="AC538" s="37"/>
      <c r="AD538" s="24"/>
      <c r="AE538" s="24"/>
      <c r="AF538" s="24"/>
      <c r="AG538" s="27"/>
      <c r="AH538" s="24"/>
      <c r="AI538" s="24"/>
      <c r="AJ538" s="27"/>
      <c r="AK538" s="24"/>
      <c r="AL538" s="26"/>
      <c r="AM538" s="27"/>
      <c r="AN538" s="27"/>
      <c r="AO538" s="37"/>
      <c r="AP538" s="26" t="s">
        <v>644</v>
      </c>
      <c r="AQ538" s="26" t="s">
        <v>644</v>
      </c>
      <c r="AR538" s="27"/>
      <c r="AS538" s="27"/>
      <c r="AT538" s="24"/>
      <c r="AU538">
        <f>E538 +F538</f>
        <v>13</v>
      </c>
    </row>
    <row r="539" spans="1:47" x14ac:dyDescent="0.25">
      <c r="A539" t="str">
        <f>B539 &amp; " - " &amp;D539</f>
        <v>ESTAC - Saunier</v>
      </c>
      <c r="B539" t="s">
        <v>1034</v>
      </c>
      <c r="C539" s="67" t="s">
        <v>641</v>
      </c>
      <c r="D539" s="156" t="s">
        <v>475</v>
      </c>
      <c r="E539" s="69">
        <v>28</v>
      </c>
      <c r="F539" s="115"/>
      <c r="G539" s="122" t="s">
        <v>1137</v>
      </c>
      <c r="H539" s="236">
        <f>AVERAGE(AA539,Z539,J539,K539,L539,M539,I539,N539,O539,P539,V539,W539,X539,Y539,AB539,AC539,AD539,AE539,AL539,AM539,AN539,AO539,AP539,AQ539,AR539,AS539,AT539)</f>
        <v>4.7777777777777777</v>
      </c>
      <c r="I539" s="116">
        <v>6</v>
      </c>
      <c r="J539" s="24">
        <v>4</v>
      </c>
      <c r="K539" s="166">
        <v>3</v>
      </c>
      <c r="L539" s="24">
        <v>5</v>
      </c>
      <c r="M539" s="37">
        <v>5</v>
      </c>
      <c r="N539" s="37">
        <v>4</v>
      </c>
      <c r="O539" s="27">
        <v>6</v>
      </c>
      <c r="P539" s="37">
        <v>5</v>
      </c>
      <c r="Q539" s="24" t="s">
        <v>673</v>
      </c>
      <c r="R539" s="23"/>
      <c r="S539" s="37"/>
      <c r="T539" s="24"/>
      <c r="U539" s="24"/>
      <c r="V539" s="37">
        <v>5</v>
      </c>
      <c r="W539" s="37">
        <v>6</v>
      </c>
      <c r="X539" s="24">
        <v>5</v>
      </c>
      <c r="Y539" s="37">
        <v>5</v>
      </c>
      <c r="Z539" s="37">
        <v>5</v>
      </c>
      <c r="AA539" s="24">
        <v>6</v>
      </c>
      <c r="AB539" s="82">
        <v>3</v>
      </c>
      <c r="AC539" s="37">
        <v>5</v>
      </c>
      <c r="AD539" s="84">
        <v>7</v>
      </c>
      <c r="AE539" s="37">
        <v>5</v>
      </c>
      <c r="AF539" s="37"/>
      <c r="AG539" s="26"/>
      <c r="AH539" s="37"/>
      <c r="AI539" s="24"/>
      <c r="AJ539" s="26"/>
      <c r="AK539" s="24"/>
      <c r="AL539" s="252">
        <v>1</v>
      </c>
      <c r="AM539" s="27">
        <v>5</v>
      </c>
      <c r="AN539" s="27">
        <v>5</v>
      </c>
      <c r="AO539" s="37">
        <v>6</v>
      </c>
      <c r="AP539" s="27">
        <v>5</v>
      </c>
      <c r="AQ539" s="237">
        <v>3</v>
      </c>
      <c r="AR539" s="237">
        <v>3</v>
      </c>
      <c r="AS539" s="27">
        <v>5</v>
      </c>
      <c r="AT539" s="24">
        <v>6</v>
      </c>
      <c r="AU539">
        <f>E539 +F539</f>
        <v>28</v>
      </c>
    </row>
    <row r="540" spans="1:47" x14ac:dyDescent="0.25">
      <c r="A540" t="str">
        <f>B540 &amp; " - " &amp;D540</f>
        <v>EAG - Alioui</v>
      </c>
      <c r="B540" t="s">
        <v>999</v>
      </c>
      <c r="C540" s="131" t="s">
        <v>665</v>
      </c>
      <c r="D540" s="131" t="s">
        <v>994</v>
      </c>
      <c r="E540" s="132"/>
      <c r="F540" s="133"/>
      <c r="G540" s="134"/>
      <c r="H540" s="204"/>
      <c r="I540" s="135"/>
      <c r="J540" s="133"/>
      <c r="K540" s="137"/>
      <c r="L540" s="137"/>
      <c r="M540" s="138"/>
      <c r="N540" s="138"/>
      <c r="O540" s="138"/>
      <c r="P540" s="138"/>
      <c r="Q540" s="138"/>
      <c r="R540" s="138"/>
      <c r="S540" s="138"/>
      <c r="T540" s="138"/>
      <c r="U540" s="138"/>
      <c r="V540" s="138"/>
      <c r="W540" s="138"/>
      <c r="X540" s="138"/>
      <c r="Y540" s="138"/>
      <c r="Z540" s="138"/>
      <c r="AA540" s="138"/>
      <c r="AB540" s="138"/>
      <c r="AC540" s="138"/>
      <c r="AD540" s="133"/>
      <c r="AE540" s="138"/>
      <c r="AF540" s="133"/>
      <c r="AG540" s="138"/>
      <c r="AH540" s="133"/>
      <c r="AI540" s="133"/>
      <c r="AJ540" s="138"/>
      <c r="AK540" s="138"/>
      <c r="AL540" s="138"/>
      <c r="AM540" s="138"/>
      <c r="AN540" s="133"/>
      <c r="AO540" s="138"/>
      <c r="AP540" s="138"/>
      <c r="AQ540" s="133"/>
      <c r="AR540" s="133"/>
      <c r="AS540" s="133"/>
      <c r="AT540" s="138"/>
      <c r="AU540">
        <f>E540 +F540</f>
        <v>0</v>
      </c>
    </row>
    <row r="541" spans="1:47" x14ac:dyDescent="0.25">
      <c r="A541" t="str">
        <f>B541 &amp; " - " &amp;D541</f>
        <v>EAG - Achahbar</v>
      </c>
      <c r="B541" t="s">
        <v>999</v>
      </c>
      <c r="C541" s="131" t="s">
        <v>665</v>
      </c>
      <c r="D541" s="131" t="s">
        <v>995</v>
      </c>
      <c r="E541" s="132"/>
      <c r="F541" s="133"/>
      <c r="G541" s="134"/>
      <c r="H541" s="204"/>
      <c r="I541" s="135"/>
      <c r="J541" s="133"/>
      <c r="K541" s="137"/>
      <c r="L541" s="137"/>
      <c r="M541" s="138"/>
      <c r="N541" s="138"/>
      <c r="O541" s="138"/>
      <c r="P541" s="138"/>
      <c r="Q541" s="138"/>
      <c r="R541" s="138"/>
      <c r="S541" s="138"/>
      <c r="T541" s="137"/>
      <c r="U541" s="138"/>
      <c r="V541" s="138"/>
      <c r="W541" s="138"/>
      <c r="X541" s="138"/>
      <c r="Y541" s="138"/>
      <c r="Z541" s="138"/>
      <c r="AA541" s="138"/>
      <c r="AB541" s="138"/>
      <c r="AC541" s="138"/>
      <c r="AD541" s="133"/>
      <c r="AE541" s="138"/>
      <c r="AF541" s="133"/>
      <c r="AG541" s="138"/>
      <c r="AH541" s="133"/>
      <c r="AI541" s="133"/>
      <c r="AJ541" s="138"/>
      <c r="AK541" s="138"/>
      <c r="AL541" s="138"/>
      <c r="AM541" s="138"/>
      <c r="AN541" s="133"/>
      <c r="AO541" s="138"/>
      <c r="AP541" s="138"/>
      <c r="AQ541" s="133"/>
      <c r="AR541" s="133"/>
      <c r="AS541" s="133"/>
      <c r="AT541" s="138"/>
      <c r="AU541">
        <f>E541 +F541</f>
        <v>0</v>
      </c>
    </row>
    <row r="542" spans="1:47" x14ac:dyDescent="0.25">
      <c r="A542" t="str">
        <f>B542 &amp; " - " &amp;D542</f>
        <v>EAG - Schwartz</v>
      </c>
      <c r="B542" t="s">
        <v>999</v>
      </c>
      <c r="C542" s="131" t="s">
        <v>665</v>
      </c>
      <c r="D542" s="131" t="s">
        <v>996</v>
      </c>
      <c r="E542" s="132"/>
      <c r="F542" s="133"/>
      <c r="G542" s="134"/>
      <c r="H542" s="204"/>
      <c r="I542" s="135"/>
      <c r="J542" s="133"/>
      <c r="K542" s="137"/>
      <c r="L542" s="137"/>
      <c r="M542" s="138"/>
      <c r="N542" s="138"/>
      <c r="O542" s="138"/>
      <c r="P542" s="138"/>
      <c r="Q542" s="138"/>
      <c r="R542" s="138"/>
      <c r="S542" s="138"/>
      <c r="T542" s="137"/>
      <c r="U542" s="138"/>
      <c r="V542" s="138"/>
      <c r="W542" s="138"/>
      <c r="X542" s="138"/>
      <c r="Y542" s="138"/>
      <c r="Z542" s="138"/>
      <c r="AA542" s="138"/>
      <c r="AB542" s="138"/>
      <c r="AC542" s="138"/>
      <c r="AD542" s="133"/>
      <c r="AE542" s="138"/>
      <c r="AF542" s="133"/>
      <c r="AG542" s="138"/>
      <c r="AH542" s="133"/>
      <c r="AI542" s="133"/>
      <c r="AJ542" s="138"/>
      <c r="AK542" s="138"/>
      <c r="AL542" s="138"/>
      <c r="AM542" s="138"/>
      <c r="AN542" s="133"/>
      <c r="AO542" s="138"/>
      <c r="AP542" s="138"/>
      <c r="AQ542" s="133"/>
      <c r="AR542" s="133"/>
      <c r="AS542" s="133"/>
      <c r="AT542" s="138"/>
      <c r="AU542">
        <f>E542 +F542</f>
        <v>0</v>
      </c>
    </row>
    <row r="543" spans="1:47" x14ac:dyDescent="0.25">
      <c r="A543" t="str">
        <f>B543 &amp; " - " &amp;D543</f>
        <v>EAG - Dembélé</v>
      </c>
      <c r="B543" t="s">
        <v>999</v>
      </c>
      <c r="C543" s="29" t="s">
        <v>665</v>
      </c>
      <c r="D543" s="154" t="s">
        <v>909</v>
      </c>
      <c r="E543" s="31">
        <v>4</v>
      </c>
      <c r="F543" s="38">
        <v>9</v>
      </c>
      <c r="G543" s="33"/>
      <c r="H543" s="204">
        <f>AVERAGE(K543,M543,W543,Y543)</f>
        <v>4</v>
      </c>
      <c r="I543" s="87" t="s">
        <v>644</v>
      </c>
      <c r="J543" s="37" t="s">
        <v>644</v>
      </c>
      <c r="K543" s="37">
        <v>4</v>
      </c>
      <c r="L543" s="37" t="s">
        <v>644</v>
      </c>
      <c r="M543" s="37">
        <v>4</v>
      </c>
      <c r="N543" s="37"/>
      <c r="O543" s="26" t="s">
        <v>644</v>
      </c>
      <c r="P543" s="37"/>
      <c r="Q543" s="24"/>
      <c r="R543" s="22"/>
      <c r="S543" s="24"/>
      <c r="T543" s="24"/>
      <c r="U543" s="24"/>
      <c r="V543" s="37" t="s">
        <v>644</v>
      </c>
      <c r="W543" s="24">
        <v>4</v>
      </c>
      <c r="X543" s="37" t="s">
        <v>644</v>
      </c>
      <c r="Y543" s="37">
        <v>4</v>
      </c>
      <c r="Z543" s="37" t="s">
        <v>644</v>
      </c>
      <c r="AA543" s="24"/>
      <c r="AB543" s="24"/>
      <c r="AC543" s="37"/>
      <c r="AD543" s="24"/>
      <c r="AE543" s="24"/>
      <c r="AF543" s="24"/>
      <c r="AG543" s="27"/>
      <c r="AH543" s="24"/>
      <c r="AI543" s="24"/>
      <c r="AJ543" s="27"/>
      <c r="AK543" s="24"/>
      <c r="AL543" s="26"/>
      <c r="AM543" s="26" t="s">
        <v>644</v>
      </c>
      <c r="AN543" s="27"/>
      <c r="AO543" s="37" t="s">
        <v>644</v>
      </c>
      <c r="AP543" s="27"/>
      <c r="AQ543" s="27"/>
      <c r="AR543" s="27"/>
      <c r="AS543" s="27"/>
      <c r="AT543" s="24"/>
      <c r="AU543">
        <f>E543 +F543</f>
        <v>13</v>
      </c>
    </row>
    <row r="544" spans="1:47" x14ac:dyDescent="0.25">
      <c r="A544" t="str">
        <f>B544 &amp; " - " &amp;D544</f>
        <v>ESTAC - Pi</v>
      </c>
      <c r="B544" t="s">
        <v>1034</v>
      </c>
      <c r="C544" s="29" t="s">
        <v>654</v>
      </c>
      <c r="D544" s="154" t="s">
        <v>1027</v>
      </c>
      <c r="E544" s="31">
        <v>35</v>
      </c>
      <c r="F544" s="30">
        <v>2</v>
      </c>
      <c r="G544" s="33">
        <v>3</v>
      </c>
      <c r="H544" s="204">
        <f>AVERAGE(AT544,AS544,AA544,Z544,W544,V544,J544,K544,L544,M544,I544,N544,O544,P544,Q544,R544,S544,T544,U544,X544,Y544,AB544,AC544,AD544,AE544,AG544,AI544,AJ544,AK544,AL544,AM544,AN544,AO544,AP544,AQ544,AR544)</f>
        <v>4.7777777777777777</v>
      </c>
      <c r="I544" s="173">
        <v>5</v>
      </c>
      <c r="J544" s="24">
        <v>5</v>
      </c>
      <c r="K544" s="37">
        <v>4</v>
      </c>
      <c r="L544" s="24">
        <v>5</v>
      </c>
      <c r="M544" s="37">
        <v>4</v>
      </c>
      <c r="N544" s="37">
        <v>5</v>
      </c>
      <c r="O544" s="27">
        <v>5</v>
      </c>
      <c r="P544" s="77">
        <v>6</v>
      </c>
      <c r="Q544" s="24">
        <v>4</v>
      </c>
      <c r="R544" s="23">
        <v>4</v>
      </c>
      <c r="S544" s="24">
        <v>5</v>
      </c>
      <c r="T544" s="24">
        <v>5</v>
      </c>
      <c r="U544" s="24">
        <v>5</v>
      </c>
      <c r="V544" s="37">
        <v>5</v>
      </c>
      <c r="W544" s="24">
        <v>5</v>
      </c>
      <c r="X544" s="24">
        <v>5</v>
      </c>
      <c r="Y544" s="77">
        <v>6</v>
      </c>
      <c r="Z544" s="24">
        <v>5</v>
      </c>
      <c r="AA544" s="24">
        <v>5</v>
      </c>
      <c r="AB544" s="24">
        <v>4</v>
      </c>
      <c r="AC544" s="37">
        <v>4</v>
      </c>
      <c r="AD544" s="25">
        <v>7</v>
      </c>
      <c r="AE544" s="82">
        <v>3</v>
      </c>
      <c r="AF544" s="24"/>
      <c r="AG544" s="27">
        <v>4</v>
      </c>
      <c r="AH544" s="76" t="s">
        <v>644</v>
      </c>
      <c r="AI544" s="24">
        <v>4</v>
      </c>
      <c r="AJ544" s="27">
        <v>5</v>
      </c>
      <c r="AK544" s="24">
        <v>5</v>
      </c>
      <c r="AL544" s="26">
        <v>4</v>
      </c>
      <c r="AM544" s="26">
        <v>4</v>
      </c>
      <c r="AN544" s="27">
        <v>6</v>
      </c>
      <c r="AO544" s="37">
        <v>5</v>
      </c>
      <c r="AP544" s="27">
        <v>6</v>
      </c>
      <c r="AQ544" s="27">
        <v>4</v>
      </c>
      <c r="AR544" s="27">
        <v>4</v>
      </c>
      <c r="AS544" s="27">
        <v>4</v>
      </c>
      <c r="AT544" s="24">
        <v>6</v>
      </c>
      <c r="AU544">
        <f>E544 +F544</f>
        <v>37</v>
      </c>
    </row>
    <row r="545" spans="1:47" x14ac:dyDescent="0.25">
      <c r="A545" t="str">
        <f>B545 &amp; " - " &amp;D545</f>
        <v>EAG - Bègue</v>
      </c>
      <c r="B545" t="s">
        <v>999</v>
      </c>
      <c r="C545" s="131" t="s">
        <v>665</v>
      </c>
      <c r="D545" s="131" t="s">
        <v>998</v>
      </c>
      <c r="E545" s="132"/>
      <c r="F545" s="133">
        <v>3</v>
      </c>
      <c r="G545" s="134"/>
      <c r="H545" s="204"/>
      <c r="I545" s="135"/>
      <c r="J545" s="133"/>
      <c r="K545" s="137" t="s">
        <v>644</v>
      </c>
      <c r="L545" s="137"/>
      <c r="M545" s="138"/>
      <c r="N545" s="138"/>
      <c r="O545" s="138"/>
      <c r="P545" s="138" t="s">
        <v>644</v>
      </c>
      <c r="Q545" s="138" t="s">
        <v>644</v>
      </c>
      <c r="R545" s="138"/>
      <c r="S545" s="138"/>
      <c r="T545" s="137"/>
      <c r="U545" s="138"/>
      <c r="V545" s="138"/>
      <c r="W545" s="138"/>
      <c r="X545" s="138"/>
      <c r="Y545" s="138"/>
      <c r="Z545" s="138"/>
      <c r="AA545" s="138"/>
      <c r="AB545" s="138"/>
      <c r="AC545" s="138"/>
      <c r="AD545" s="133"/>
      <c r="AE545" s="138"/>
      <c r="AF545" s="133"/>
      <c r="AG545" s="138"/>
      <c r="AH545" s="133"/>
      <c r="AI545" s="133"/>
      <c r="AJ545" s="138"/>
      <c r="AK545" s="138"/>
      <c r="AL545" s="138"/>
      <c r="AM545" s="138"/>
      <c r="AN545" s="133"/>
      <c r="AO545" s="138"/>
      <c r="AP545" s="138"/>
      <c r="AQ545" s="133"/>
      <c r="AR545" s="133"/>
      <c r="AS545" s="133"/>
      <c r="AT545" s="138"/>
      <c r="AU545">
        <f>E545 +F545</f>
        <v>3</v>
      </c>
    </row>
    <row r="546" spans="1:47" x14ac:dyDescent="0.25">
      <c r="A546" t="str">
        <f>B546 &amp; " - " &amp;D546</f>
        <v>EAG - Erding</v>
      </c>
      <c r="B546" t="s">
        <v>999</v>
      </c>
      <c r="C546" s="29" t="s">
        <v>665</v>
      </c>
      <c r="D546" s="154" t="s">
        <v>1079</v>
      </c>
      <c r="E546" s="31">
        <v>11</v>
      </c>
      <c r="F546" s="38">
        <v>4</v>
      </c>
      <c r="G546" s="33">
        <v>4</v>
      </c>
      <c r="H546" s="204">
        <f>AVERAGE(AC546,AD546,AF546,AG546,AH546,AI546,AK546,AO546,AR546,AS546,AT546)</f>
        <v>4.5454545454545459</v>
      </c>
      <c r="I546" s="87"/>
      <c r="J546" s="24"/>
      <c r="K546" s="37"/>
      <c r="L546" s="37"/>
      <c r="M546" s="37"/>
      <c r="N546" s="37"/>
      <c r="O546" s="27"/>
      <c r="P546" s="37"/>
      <c r="Q546" s="37"/>
      <c r="R546" s="22"/>
      <c r="S546" s="24"/>
      <c r="T546" s="24"/>
      <c r="U546" s="24"/>
      <c r="V546" s="37"/>
      <c r="W546" s="24"/>
      <c r="X546" s="24"/>
      <c r="Y546" s="37"/>
      <c r="Z546" s="24"/>
      <c r="AA546" s="24"/>
      <c r="AB546" s="37" t="s">
        <v>644</v>
      </c>
      <c r="AC546" s="37">
        <v>4</v>
      </c>
      <c r="AD546" s="24">
        <v>4</v>
      </c>
      <c r="AE546" s="37" t="s">
        <v>644</v>
      </c>
      <c r="AF546" s="25">
        <v>7</v>
      </c>
      <c r="AG546" s="27">
        <v>4</v>
      </c>
      <c r="AH546" s="82">
        <v>3</v>
      </c>
      <c r="AI546" s="24">
        <v>4</v>
      </c>
      <c r="AJ546" s="27"/>
      <c r="AK546" s="22">
        <v>5</v>
      </c>
      <c r="AL546" s="26"/>
      <c r="AM546" s="27"/>
      <c r="AN546" s="26" t="s">
        <v>644</v>
      </c>
      <c r="AO546" s="166">
        <v>3</v>
      </c>
      <c r="AP546" s="27"/>
      <c r="AQ546" s="26" t="s">
        <v>644</v>
      </c>
      <c r="AR546" s="28">
        <v>6</v>
      </c>
      <c r="AS546" s="27">
        <v>4</v>
      </c>
      <c r="AT546" s="22">
        <v>6</v>
      </c>
      <c r="AU546">
        <f>E546 +F546</f>
        <v>15</v>
      </c>
    </row>
    <row r="547" spans="1:47" ht="15.75" thickBot="1" x14ac:dyDescent="0.3">
      <c r="A547" t="str">
        <f>B547 &amp; " - " &amp;D547</f>
        <v>SMC - Appiah</v>
      </c>
      <c r="B547" t="s">
        <v>1010</v>
      </c>
      <c r="C547" s="88" t="s">
        <v>641</v>
      </c>
      <c r="D547" s="165" t="s">
        <v>501</v>
      </c>
      <c r="E547" s="90">
        <v>38</v>
      </c>
      <c r="F547" s="140"/>
      <c r="G547" s="92">
        <v>1</v>
      </c>
      <c r="H547" s="242">
        <f>AVERAGE(AT547,AS547,AR547,AQ547,AA547,X547,W547,V547,J547,K547,L547,I547,M547,N547,O547,P547,Q547,R547,S547,T547,U547,Y547,Z547,AB547,AC547,AD547,AE547,AF547,AG547,AH547,AI547,AJ547,AK547,AL547,AM547,AN547,AO547,AP547)</f>
        <v>4.7631578947368425</v>
      </c>
      <c r="I547" s="173">
        <v>5</v>
      </c>
      <c r="J547" s="24">
        <v>5</v>
      </c>
      <c r="K547" s="32">
        <v>5</v>
      </c>
      <c r="L547" s="82">
        <v>3</v>
      </c>
      <c r="M547" s="37">
        <v>4</v>
      </c>
      <c r="N547" s="37">
        <v>5</v>
      </c>
      <c r="O547" s="27">
        <v>4</v>
      </c>
      <c r="P547" s="84">
        <v>7</v>
      </c>
      <c r="Q547" s="24">
        <v>5</v>
      </c>
      <c r="R547" s="23">
        <v>5</v>
      </c>
      <c r="S547" s="24">
        <v>5</v>
      </c>
      <c r="T547" s="24">
        <v>5</v>
      </c>
      <c r="U547" s="37">
        <v>5</v>
      </c>
      <c r="V547" s="37">
        <v>5</v>
      </c>
      <c r="W547" s="24">
        <v>5</v>
      </c>
      <c r="X547" s="24">
        <v>5</v>
      </c>
      <c r="Y547" s="37">
        <v>5</v>
      </c>
      <c r="Z547" s="24">
        <v>5</v>
      </c>
      <c r="AA547" s="24">
        <v>4</v>
      </c>
      <c r="AB547" s="24">
        <v>4</v>
      </c>
      <c r="AC547" s="37">
        <v>4</v>
      </c>
      <c r="AD547" s="24">
        <v>5</v>
      </c>
      <c r="AE547" s="24">
        <v>5</v>
      </c>
      <c r="AF547" s="24">
        <v>4</v>
      </c>
      <c r="AG547" s="27">
        <v>4</v>
      </c>
      <c r="AH547" s="82">
        <v>3</v>
      </c>
      <c r="AI547" s="24">
        <v>6</v>
      </c>
      <c r="AJ547" s="27">
        <v>5</v>
      </c>
      <c r="AK547" s="24">
        <v>5</v>
      </c>
      <c r="AL547" s="26">
        <v>5</v>
      </c>
      <c r="AM547" s="27">
        <v>5</v>
      </c>
      <c r="AN547" s="27">
        <v>4</v>
      </c>
      <c r="AO547" s="77">
        <v>6</v>
      </c>
      <c r="AP547" s="237">
        <v>2</v>
      </c>
      <c r="AQ547" s="27">
        <v>6</v>
      </c>
      <c r="AR547" s="27">
        <v>6</v>
      </c>
      <c r="AS547" s="27">
        <v>5</v>
      </c>
      <c r="AT547" s="24">
        <v>5</v>
      </c>
      <c r="AU547">
        <f>E547 +F547</f>
        <v>38</v>
      </c>
    </row>
    <row r="548" spans="1:47" x14ac:dyDescent="0.25">
      <c r="A548" t="str">
        <f>B548 &amp; " - " &amp;D548</f>
        <v>SMC - Reulet</v>
      </c>
      <c r="B548" t="s">
        <v>1010</v>
      </c>
      <c r="C548" s="29" t="s">
        <v>638</v>
      </c>
      <c r="D548" s="176" t="s">
        <v>524</v>
      </c>
      <c r="E548" s="31"/>
      <c r="F548" s="99"/>
      <c r="G548" s="73"/>
      <c r="H548" s="100"/>
      <c r="I548" s="175"/>
      <c r="J548" s="24"/>
      <c r="K548" s="37"/>
      <c r="L548" s="24"/>
      <c r="M548" s="37"/>
      <c r="N548" s="37"/>
      <c r="O548" s="27"/>
      <c r="P548" s="37"/>
      <c r="Q548" s="24"/>
      <c r="R548" s="23"/>
      <c r="S548" s="24"/>
      <c r="T548" s="24"/>
      <c r="U548" s="24"/>
      <c r="V548" s="37"/>
      <c r="W548" s="24"/>
      <c r="X548" s="24"/>
      <c r="Y548" s="37"/>
      <c r="Z548" s="24"/>
      <c r="AA548" s="24"/>
      <c r="AB548" s="24"/>
      <c r="AC548" s="37"/>
      <c r="AD548" s="24"/>
      <c r="AE548" s="24"/>
      <c r="AF548" s="24"/>
      <c r="AG548" s="27"/>
      <c r="AH548" s="24"/>
      <c r="AI548" s="24"/>
      <c r="AJ548" s="27"/>
      <c r="AK548" s="24"/>
      <c r="AL548" s="26"/>
      <c r="AM548" s="27"/>
      <c r="AN548" s="26"/>
      <c r="AO548" s="37"/>
      <c r="AP548" s="27"/>
      <c r="AQ548" s="27"/>
      <c r="AR548" s="27"/>
      <c r="AS548" s="27"/>
      <c r="AT548" s="27"/>
      <c r="AU548">
        <f>E548 +F548</f>
        <v>0</v>
      </c>
    </row>
    <row r="549" spans="1:47" x14ac:dyDescent="0.25">
      <c r="A549" t="str">
        <f>B549 &amp; " - " &amp;D549</f>
        <v>FCGB - B. Poko</v>
      </c>
      <c r="B549" t="s">
        <v>796</v>
      </c>
      <c r="C549" s="67" t="s">
        <v>654</v>
      </c>
      <c r="D549" s="85" t="s">
        <v>785</v>
      </c>
      <c r="E549" s="69">
        <v>19</v>
      </c>
      <c r="F549" s="115">
        <v>6</v>
      </c>
      <c r="G549" s="68"/>
      <c r="H549" s="72">
        <f>AVERAGE(J549,I549,M549,N549,P549,Q549,T549,U549,W549,Z549,AA549,AB549,AC549,AD549,AE549,AH549,AJ549,AL549,AN549,AO549,AQ549)</f>
        <v>4.7619047619047619</v>
      </c>
      <c r="I549" s="38">
        <v>4</v>
      </c>
      <c r="J549" s="24">
        <v>4</v>
      </c>
      <c r="K549" s="37" t="s">
        <v>644</v>
      </c>
      <c r="L549" s="37" t="s">
        <v>644</v>
      </c>
      <c r="M549" s="24">
        <v>4</v>
      </c>
      <c r="N549" s="24">
        <v>5</v>
      </c>
      <c r="O549" s="26" t="s">
        <v>644</v>
      </c>
      <c r="P549" s="24">
        <v>5</v>
      </c>
      <c r="Q549" s="24">
        <v>4</v>
      </c>
      <c r="R549" s="24"/>
      <c r="S549" s="24"/>
      <c r="T549" s="24">
        <v>4</v>
      </c>
      <c r="U549" s="37">
        <v>5</v>
      </c>
      <c r="V549" s="24"/>
      <c r="W549" s="24">
        <v>4</v>
      </c>
      <c r="X549" s="24"/>
      <c r="Y549" s="37" t="s">
        <v>644</v>
      </c>
      <c r="Z549" s="24">
        <v>5</v>
      </c>
      <c r="AA549" s="37">
        <v>6</v>
      </c>
      <c r="AB549" s="24">
        <v>6</v>
      </c>
      <c r="AC549" s="24">
        <v>5</v>
      </c>
      <c r="AD549" s="24">
        <v>4</v>
      </c>
      <c r="AE549" s="84">
        <v>7</v>
      </c>
      <c r="AF549" s="24"/>
      <c r="AG549" s="27"/>
      <c r="AH549" s="66">
        <v>7</v>
      </c>
      <c r="AI549" s="24"/>
      <c r="AJ549" s="237">
        <v>3</v>
      </c>
      <c r="AK549" s="24"/>
      <c r="AL549" s="27">
        <v>4</v>
      </c>
      <c r="AM549" s="27"/>
      <c r="AN549" s="26">
        <v>5</v>
      </c>
      <c r="AO549" s="24">
        <v>5</v>
      </c>
      <c r="AP549" s="26"/>
      <c r="AQ549" s="26">
        <v>4</v>
      </c>
      <c r="AR549" s="27"/>
      <c r="AS549" s="27"/>
      <c r="AT549" s="27"/>
      <c r="AU549">
        <f>E549 +F549</f>
        <v>25</v>
      </c>
    </row>
    <row r="550" spans="1:47" x14ac:dyDescent="0.25">
      <c r="A550" t="str">
        <f>B550 &amp; " - " &amp;D550</f>
        <v>ASSE - Monnet-Paquet</v>
      </c>
      <c r="B550" t="s">
        <v>746</v>
      </c>
      <c r="C550" s="29" t="s">
        <v>665</v>
      </c>
      <c r="D550" s="154" t="s">
        <v>132</v>
      </c>
      <c r="E550" s="31">
        <v>25</v>
      </c>
      <c r="F550" s="99">
        <v>6</v>
      </c>
      <c r="G550" s="73">
        <v>2</v>
      </c>
      <c r="H550" s="125">
        <f>AVERAGE(Y550,K550,I550,M550,O550,Q550,R550,S550,T550,V550,W550,X550,Z550,AC550,AD550,AE550,AF550,AH550,AK550,AM550,AN550,AO550,AP550,AQ550,AT550)</f>
        <v>4.76</v>
      </c>
      <c r="I550" s="38">
        <v>5</v>
      </c>
      <c r="J550" s="76" t="s">
        <v>644</v>
      </c>
      <c r="K550" s="37">
        <v>5</v>
      </c>
      <c r="L550" s="37" t="s">
        <v>644</v>
      </c>
      <c r="M550" s="24">
        <v>5</v>
      </c>
      <c r="N550" s="37"/>
      <c r="O550" s="27">
        <v>5</v>
      </c>
      <c r="P550" s="24"/>
      <c r="Q550" s="24">
        <v>4</v>
      </c>
      <c r="R550" s="25">
        <v>7</v>
      </c>
      <c r="S550" s="24">
        <v>4</v>
      </c>
      <c r="T550" s="24">
        <v>5</v>
      </c>
      <c r="U550" s="37" t="s">
        <v>644</v>
      </c>
      <c r="V550" s="24">
        <v>5</v>
      </c>
      <c r="W550" s="37">
        <v>5</v>
      </c>
      <c r="X550" s="24">
        <v>4</v>
      </c>
      <c r="Y550" s="24">
        <v>5</v>
      </c>
      <c r="Z550" s="37">
        <v>4</v>
      </c>
      <c r="AA550" s="37"/>
      <c r="AB550" s="37"/>
      <c r="AC550" s="24">
        <v>5</v>
      </c>
      <c r="AD550" s="24">
        <v>4</v>
      </c>
      <c r="AE550" s="24">
        <v>4</v>
      </c>
      <c r="AF550" s="24">
        <v>4</v>
      </c>
      <c r="AG550" s="27"/>
      <c r="AH550" s="37">
        <v>6</v>
      </c>
      <c r="AI550" s="77" t="s">
        <v>644</v>
      </c>
      <c r="AJ550" s="26" t="s">
        <v>644</v>
      </c>
      <c r="AK550" s="37">
        <v>4</v>
      </c>
      <c r="AL550" s="26" t="s">
        <v>644</v>
      </c>
      <c r="AM550" s="27">
        <v>6</v>
      </c>
      <c r="AN550" s="27">
        <v>5</v>
      </c>
      <c r="AO550" s="37">
        <v>4</v>
      </c>
      <c r="AP550" s="27">
        <v>5</v>
      </c>
      <c r="AQ550" s="26">
        <v>4</v>
      </c>
      <c r="AR550" s="94"/>
      <c r="AS550" s="27"/>
      <c r="AT550" s="27">
        <v>5</v>
      </c>
      <c r="AU550">
        <f>E550 +F550</f>
        <v>31</v>
      </c>
    </row>
    <row r="551" spans="1:47" x14ac:dyDescent="0.25">
      <c r="A551" t="str">
        <f>B551 &amp; " - " &amp;D551</f>
        <v>SMC - Seube</v>
      </c>
      <c r="B551" t="s">
        <v>1010</v>
      </c>
      <c r="C551" s="29" t="s">
        <v>654</v>
      </c>
      <c r="D551" s="154" t="s">
        <v>605</v>
      </c>
      <c r="E551" s="31">
        <v>24</v>
      </c>
      <c r="F551" s="99">
        <v>9</v>
      </c>
      <c r="G551" s="73"/>
      <c r="H551" s="34">
        <f>AVERAGE(AA551,K551,M551,N551,P551,Q551,R551,S551,U551,V551,W551,X551,Y551,Z551,AB551,AC551,AF551,AH551,AI551,AK551,AM551,AP551,AQ551,AS551,AT551)</f>
        <v>4.76</v>
      </c>
      <c r="I551" s="173" t="s">
        <v>644</v>
      </c>
      <c r="J551" s="37" t="s">
        <v>644</v>
      </c>
      <c r="K551" s="26">
        <v>4</v>
      </c>
      <c r="L551" s="37" t="s">
        <v>644</v>
      </c>
      <c r="M551" s="37">
        <v>5</v>
      </c>
      <c r="N551" s="37">
        <v>5</v>
      </c>
      <c r="O551" s="27"/>
      <c r="P551" s="37">
        <v>5</v>
      </c>
      <c r="Q551" s="24">
        <v>5</v>
      </c>
      <c r="R551" s="23">
        <v>5</v>
      </c>
      <c r="S551" s="24">
        <v>4</v>
      </c>
      <c r="T551" s="24"/>
      <c r="U551" s="24">
        <v>6</v>
      </c>
      <c r="V551" s="84">
        <v>7</v>
      </c>
      <c r="W551" s="24">
        <v>4</v>
      </c>
      <c r="X551" s="24">
        <v>4</v>
      </c>
      <c r="Y551" s="37">
        <v>4</v>
      </c>
      <c r="Z551" s="24">
        <v>5</v>
      </c>
      <c r="AA551" s="82">
        <v>3</v>
      </c>
      <c r="AB551" s="24">
        <v>5</v>
      </c>
      <c r="AC551" s="37">
        <v>4</v>
      </c>
      <c r="AD551" s="37" t="s">
        <v>644</v>
      </c>
      <c r="AE551" s="37" t="s">
        <v>644</v>
      </c>
      <c r="AF551" s="24">
        <v>5</v>
      </c>
      <c r="AG551" s="26" t="s">
        <v>644</v>
      </c>
      <c r="AH551" s="82">
        <v>3</v>
      </c>
      <c r="AI551" s="23">
        <v>6</v>
      </c>
      <c r="AJ551" s="27"/>
      <c r="AK551" s="24">
        <v>5</v>
      </c>
      <c r="AL551" s="26"/>
      <c r="AM551" s="27">
        <v>6</v>
      </c>
      <c r="AN551" s="26" t="s">
        <v>644</v>
      </c>
      <c r="AO551" s="37" t="s">
        <v>644</v>
      </c>
      <c r="AP551" s="237">
        <v>3</v>
      </c>
      <c r="AQ551" s="27">
        <v>5</v>
      </c>
      <c r="AR551" s="27"/>
      <c r="AS551" s="27">
        <v>5</v>
      </c>
      <c r="AT551" s="27">
        <v>6</v>
      </c>
      <c r="AU551">
        <f>E551 +F551</f>
        <v>33</v>
      </c>
    </row>
    <row r="552" spans="1:47" x14ac:dyDescent="0.25">
      <c r="A552" t="str">
        <f>B552 &amp; " - " &amp;D552</f>
        <v>SCO - I. Traoré</v>
      </c>
      <c r="B552" t="s">
        <v>1066</v>
      </c>
      <c r="C552" s="29" t="s">
        <v>641</v>
      </c>
      <c r="D552" s="154" t="s">
        <v>1052</v>
      </c>
      <c r="E552" s="31">
        <v>34</v>
      </c>
      <c r="F552" s="99"/>
      <c r="G552" s="73">
        <v>1</v>
      </c>
      <c r="H552" s="34">
        <f>AVERAGE(Z552,V552,J552,K552,I552,M552,N552,O552,P552,Q552,R552,S552,T552,U552,W552,X552,Y552,AA552,AB552,AC552,AD552,AE552,AG552,AH552,AI552,AJ552,AK552,AL552,AM552,AN552,AO552,AS552,AT552)</f>
        <v>4.7575757575757578</v>
      </c>
      <c r="I552" s="173">
        <v>5</v>
      </c>
      <c r="J552" s="27">
        <v>5</v>
      </c>
      <c r="K552" s="26">
        <v>4</v>
      </c>
      <c r="L552" s="24"/>
      <c r="M552" s="166">
        <v>3</v>
      </c>
      <c r="N552" s="37">
        <v>6</v>
      </c>
      <c r="O552" s="27">
        <v>5</v>
      </c>
      <c r="P552" s="37">
        <v>5</v>
      </c>
      <c r="Q552" s="24">
        <v>5</v>
      </c>
      <c r="R552" s="23">
        <v>4</v>
      </c>
      <c r="S552" s="24">
        <v>5</v>
      </c>
      <c r="T552" s="24">
        <v>4</v>
      </c>
      <c r="U552" s="24">
        <v>4</v>
      </c>
      <c r="V552" s="37">
        <v>5</v>
      </c>
      <c r="W552" s="25">
        <v>7</v>
      </c>
      <c r="X552" s="23">
        <v>5</v>
      </c>
      <c r="Y552" s="37">
        <v>5</v>
      </c>
      <c r="Z552" s="24">
        <v>5</v>
      </c>
      <c r="AA552" s="24">
        <v>5</v>
      </c>
      <c r="AB552" s="24">
        <v>6</v>
      </c>
      <c r="AC552" s="76">
        <v>5</v>
      </c>
      <c r="AD552" s="82">
        <v>3</v>
      </c>
      <c r="AE552" s="24">
        <v>6</v>
      </c>
      <c r="AF552" s="24"/>
      <c r="AG552" s="237">
        <v>3</v>
      </c>
      <c r="AH552" s="24">
        <v>5</v>
      </c>
      <c r="AI552" s="24">
        <v>4</v>
      </c>
      <c r="AJ552" s="26">
        <v>4</v>
      </c>
      <c r="AK552" s="24">
        <v>5</v>
      </c>
      <c r="AL552" s="252">
        <v>3</v>
      </c>
      <c r="AM552" s="27">
        <v>6</v>
      </c>
      <c r="AN552" s="26">
        <v>6</v>
      </c>
      <c r="AO552" s="37">
        <v>5</v>
      </c>
      <c r="AP552" s="27" t="s">
        <v>655</v>
      </c>
      <c r="AQ552" s="27"/>
      <c r="AR552" s="27"/>
      <c r="AS552" s="27">
        <v>5</v>
      </c>
      <c r="AT552" s="27">
        <v>4</v>
      </c>
      <c r="AU552">
        <f>E552 +F552</f>
        <v>34</v>
      </c>
    </row>
    <row r="553" spans="1:47" x14ac:dyDescent="0.25">
      <c r="A553" t="str">
        <f>B553 &amp; " - " &amp;D553</f>
        <v>TFC - Somalia</v>
      </c>
      <c r="B553" t="s">
        <v>868</v>
      </c>
      <c r="C553" s="302" t="s">
        <v>654</v>
      </c>
      <c r="D553" s="176" t="s">
        <v>863</v>
      </c>
      <c r="E553" s="31">
        <v>24</v>
      </c>
      <c r="F553" s="99">
        <v>5</v>
      </c>
      <c r="G553" s="114" t="s">
        <v>679</v>
      </c>
      <c r="H553" s="34">
        <f>AVERAGE(AA553,L553,M553,S553,T553,U553,V553,W553,X553,Y553,Z553,AB553,AC553,AD553,AE553,AF553,AG553,AI553,AJ553,AK553,AM553,AR553,AS553,AT553)</f>
        <v>4.75</v>
      </c>
      <c r="I553" s="87"/>
      <c r="J553" s="37" t="s">
        <v>644</v>
      </c>
      <c r="K553" s="79" t="s">
        <v>644</v>
      </c>
      <c r="L553" s="74">
        <v>4</v>
      </c>
      <c r="M553" s="37">
        <v>5</v>
      </c>
      <c r="N553" s="37" t="s">
        <v>673</v>
      </c>
      <c r="O553" s="26"/>
      <c r="P553" s="37"/>
      <c r="Q553" s="24"/>
      <c r="R553" s="24"/>
      <c r="S553" s="24">
        <v>5</v>
      </c>
      <c r="T553" s="37">
        <v>5</v>
      </c>
      <c r="U553" s="166">
        <v>3</v>
      </c>
      <c r="V553" s="24">
        <v>6</v>
      </c>
      <c r="W553" s="24">
        <v>6</v>
      </c>
      <c r="X553" s="24">
        <v>5</v>
      </c>
      <c r="Y553" s="24">
        <v>5</v>
      </c>
      <c r="Z553" s="24">
        <v>5</v>
      </c>
      <c r="AA553" s="24">
        <v>5</v>
      </c>
      <c r="AB553" s="24">
        <v>6</v>
      </c>
      <c r="AC553" s="24">
        <v>5</v>
      </c>
      <c r="AD553" s="82">
        <v>3</v>
      </c>
      <c r="AE553" s="24">
        <v>4</v>
      </c>
      <c r="AF553" s="24">
        <v>4</v>
      </c>
      <c r="AG553" s="26">
        <v>6</v>
      </c>
      <c r="AH553" s="37" t="s">
        <v>644</v>
      </c>
      <c r="AI553" s="24">
        <v>5</v>
      </c>
      <c r="AJ553" s="27">
        <v>5</v>
      </c>
      <c r="AK553" s="24">
        <v>4</v>
      </c>
      <c r="AL553" s="26" t="s">
        <v>644</v>
      </c>
      <c r="AM553" s="27">
        <v>4</v>
      </c>
      <c r="AN553" s="27"/>
      <c r="AO553" s="24"/>
      <c r="AP553" s="26"/>
      <c r="AQ553" s="27"/>
      <c r="AR553" s="27">
        <v>4</v>
      </c>
      <c r="AS553" s="27">
        <v>6</v>
      </c>
      <c r="AT553" s="26">
        <v>4</v>
      </c>
      <c r="AU553">
        <f>E553 +F553</f>
        <v>29</v>
      </c>
    </row>
    <row r="554" spans="1:47" x14ac:dyDescent="0.25">
      <c r="A554" t="str">
        <f>B554 &amp; " - " &amp;D554</f>
        <v>SMC - Alhadhur</v>
      </c>
      <c r="B554" t="s">
        <v>1010</v>
      </c>
      <c r="C554" s="29" t="s">
        <v>641</v>
      </c>
      <c r="D554" s="154" t="s">
        <v>1001</v>
      </c>
      <c r="E554" s="31">
        <v>8</v>
      </c>
      <c r="F554" s="99">
        <v>2</v>
      </c>
      <c r="G554" s="73"/>
      <c r="H554" s="34">
        <f>AVERAGE(K554,L554,U554,V554,W554,X554,Z554,AA554,AB554)</f>
        <v>4.8888888888888893</v>
      </c>
      <c r="I554" s="173"/>
      <c r="J554" s="37" t="s">
        <v>644</v>
      </c>
      <c r="K554" s="37">
        <v>5</v>
      </c>
      <c r="L554" s="24">
        <v>5</v>
      </c>
      <c r="M554" s="37"/>
      <c r="N554" s="37"/>
      <c r="O554" s="27"/>
      <c r="P554" s="37"/>
      <c r="Q554" s="24"/>
      <c r="R554" s="23"/>
      <c r="S554" s="24"/>
      <c r="T554" s="24"/>
      <c r="U554" s="24">
        <v>5</v>
      </c>
      <c r="V554" s="37">
        <v>5</v>
      </c>
      <c r="W554" s="24">
        <v>5</v>
      </c>
      <c r="X554" s="23">
        <v>5</v>
      </c>
      <c r="Y554" s="37"/>
      <c r="Z554" s="37">
        <v>5</v>
      </c>
      <c r="AA554" s="24">
        <v>5</v>
      </c>
      <c r="AB554" s="24">
        <v>4</v>
      </c>
      <c r="AC554" s="77"/>
      <c r="AD554" s="24"/>
      <c r="AE554" s="24"/>
      <c r="AF554" s="24"/>
      <c r="AG554" s="27"/>
      <c r="AH554" s="24"/>
      <c r="AI554" s="24"/>
      <c r="AJ554" s="26"/>
      <c r="AK554" s="24"/>
      <c r="AL554" s="26"/>
      <c r="AM554" s="27"/>
      <c r="AN554" s="26"/>
      <c r="AO554" s="37"/>
      <c r="AP554" s="27"/>
      <c r="AQ554" s="27"/>
      <c r="AR554" s="27"/>
      <c r="AS554" s="27"/>
      <c r="AT554" s="27"/>
      <c r="AU554">
        <f>E554 +F554</f>
        <v>10</v>
      </c>
    </row>
    <row r="555" spans="1:47" x14ac:dyDescent="0.25">
      <c r="A555" t="str">
        <f>B555 &amp; " - " &amp;D555</f>
        <v>SMC - Le Joncour</v>
      </c>
      <c r="B555" t="s">
        <v>1010</v>
      </c>
      <c r="C555" s="29" t="s">
        <v>641</v>
      </c>
      <c r="D555" s="65" t="s">
        <v>1002</v>
      </c>
      <c r="E555" s="31"/>
      <c r="F555" s="99"/>
      <c r="G555" s="73"/>
      <c r="H555" s="34"/>
      <c r="I555" s="173"/>
      <c r="J555" s="24"/>
      <c r="K555" s="37"/>
      <c r="L555" s="24"/>
      <c r="M555" s="37"/>
      <c r="N555" s="37"/>
      <c r="O555" s="27"/>
      <c r="P555" s="37"/>
      <c r="Q555" s="24"/>
      <c r="R555" s="23"/>
      <c r="S555" s="24"/>
      <c r="T555" s="24"/>
      <c r="U555" s="24"/>
      <c r="V555" s="37"/>
      <c r="W555" s="24"/>
      <c r="X555" s="22"/>
      <c r="Y555" s="37"/>
      <c r="Z555" s="24"/>
      <c r="AA555" s="24"/>
      <c r="AB555" s="24"/>
      <c r="AC555" s="77"/>
      <c r="AD555" s="24"/>
      <c r="AE555" s="24"/>
      <c r="AF555" s="24"/>
      <c r="AG555" s="27"/>
      <c r="AH555" s="24"/>
      <c r="AI555" s="24"/>
      <c r="AJ555" s="26"/>
      <c r="AK555" s="24"/>
      <c r="AL555" s="26"/>
      <c r="AM555" s="27"/>
      <c r="AN555" s="26"/>
      <c r="AO555" s="37"/>
      <c r="AP555" s="27"/>
      <c r="AQ555" s="27"/>
      <c r="AR555" s="27"/>
      <c r="AS555" s="27"/>
      <c r="AT555" s="27"/>
      <c r="AU555">
        <f>E555 +F555</f>
        <v>0</v>
      </c>
    </row>
    <row r="556" spans="1:47" x14ac:dyDescent="0.25">
      <c r="A556" t="str">
        <f>B556 &amp; " - " &amp;D556</f>
        <v>SMC - Ben Youssef</v>
      </c>
      <c r="B556" t="s">
        <v>1010</v>
      </c>
      <c r="C556" s="29" t="s">
        <v>641</v>
      </c>
      <c r="D556" s="65" t="s">
        <v>608</v>
      </c>
      <c r="E556" s="31">
        <v>16</v>
      </c>
      <c r="F556" s="99">
        <v>2</v>
      </c>
      <c r="G556" s="73">
        <v>3</v>
      </c>
      <c r="H556" s="34">
        <f>AVERAGE(K556,L556,M556,O556,V556,W556,X556,Z556,AA556,AC556,AD556,AE556,AF556,AJ556,AQ556,AR556,AS556)</f>
        <v>5.117647058823529</v>
      </c>
      <c r="I556" s="173"/>
      <c r="J556" s="24"/>
      <c r="K556" s="37">
        <v>5</v>
      </c>
      <c r="L556" s="24">
        <v>5</v>
      </c>
      <c r="M556" s="77">
        <v>5</v>
      </c>
      <c r="N556" s="37"/>
      <c r="O556" s="27">
        <v>4</v>
      </c>
      <c r="P556" s="37"/>
      <c r="Q556" s="24"/>
      <c r="R556" s="23"/>
      <c r="S556" s="24"/>
      <c r="T556" s="24"/>
      <c r="U556" s="37" t="s">
        <v>644</v>
      </c>
      <c r="V556" s="37">
        <v>5</v>
      </c>
      <c r="W556" s="83">
        <v>7</v>
      </c>
      <c r="X556" s="23">
        <v>5</v>
      </c>
      <c r="Y556" s="37"/>
      <c r="Z556" s="22">
        <v>6</v>
      </c>
      <c r="AA556" s="24">
        <v>5</v>
      </c>
      <c r="AB556" s="24"/>
      <c r="AC556" s="234">
        <v>3</v>
      </c>
      <c r="AD556" s="24">
        <v>5</v>
      </c>
      <c r="AE556" s="24">
        <v>6</v>
      </c>
      <c r="AF556" s="24">
        <v>4</v>
      </c>
      <c r="AG556" s="27"/>
      <c r="AH556" s="24"/>
      <c r="AI556" s="24"/>
      <c r="AJ556" s="26">
        <v>5</v>
      </c>
      <c r="AK556" s="24"/>
      <c r="AL556" s="26"/>
      <c r="AM556" s="27"/>
      <c r="AN556" s="26"/>
      <c r="AO556" s="37"/>
      <c r="AP556" s="27"/>
      <c r="AQ556" s="27">
        <v>6</v>
      </c>
      <c r="AR556" s="27">
        <v>6</v>
      </c>
      <c r="AS556" s="27">
        <v>5</v>
      </c>
      <c r="AT556" s="27"/>
      <c r="AU556">
        <f>E556 +F556</f>
        <v>18</v>
      </c>
    </row>
    <row r="557" spans="1:47" x14ac:dyDescent="0.25">
      <c r="A557" t="str">
        <f>B557 &amp; " - " &amp;D557</f>
        <v>SMC - Imorou</v>
      </c>
      <c r="B557" t="s">
        <v>1010</v>
      </c>
      <c r="C557" s="67" t="s">
        <v>641</v>
      </c>
      <c r="D557" s="156" t="s">
        <v>1003</v>
      </c>
      <c r="E557" s="69">
        <v>15</v>
      </c>
      <c r="F557" s="115"/>
      <c r="G557" s="122">
        <v>1</v>
      </c>
      <c r="H557" s="72">
        <f>AVERAGE(J557,I557,M557,N557,O557,P557,Q557,S557,Y557,AC557,AD557,AF557,AG557,AO557)</f>
        <v>5.2142857142857144</v>
      </c>
      <c r="I557" s="241">
        <v>7</v>
      </c>
      <c r="J557" s="24">
        <v>5</v>
      </c>
      <c r="K557" s="37"/>
      <c r="L557" s="24"/>
      <c r="M557" s="37">
        <v>5</v>
      </c>
      <c r="N557" s="37">
        <v>5</v>
      </c>
      <c r="O557" s="27">
        <v>4</v>
      </c>
      <c r="P557" s="75">
        <v>7</v>
      </c>
      <c r="Q557" s="24">
        <v>5</v>
      </c>
      <c r="R557" s="23"/>
      <c r="S557" s="24">
        <v>5</v>
      </c>
      <c r="T557" s="24"/>
      <c r="U557" s="24"/>
      <c r="V557" s="37"/>
      <c r="W557" s="24"/>
      <c r="X557" s="24"/>
      <c r="Y557" s="37">
        <v>5</v>
      </c>
      <c r="Z557" s="24" t="s">
        <v>655</v>
      </c>
      <c r="AA557" s="24"/>
      <c r="AB557" s="24"/>
      <c r="AC557" s="37">
        <v>4</v>
      </c>
      <c r="AD557" s="66">
        <v>7</v>
      </c>
      <c r="AE557" s="24"/>
      <c r="AF557" s="24">
        <v>5</v>
      </c>
      <c r="AG557" s="27">
        <v>4</v>
      </c>
      <c r="AH557" s="24"/>
      <c r="AI557" s="24"/>
      <c r="AJ557" s="27"/>
      <c r="AK557" s="24"/>
      <c r="AL557" s="26"/>
      <c r="AM557" s="27"/>
      <c r="AN557" s="27"/>
      <c r="AO557" s="37">
        <v>5</v>
      </c>
      <c r="AP557" s="27"/>
      <c r="AQ557" s="27"/>
      <c r="AR557" s="27"/>
      <c r="AS557" s="27"/>
      <c r="AT557" s="27"/>
      <c r="AU557">
        <f>E557 +F557</f>
        <v>15</v>
      </c>
    </row>
    <row r="558" spans="1:47" x14ac:dyDescent="0.25">
      <c r="A558" t="str">
        <f>B558 &amp; " - " &amp;D558</f>
        <v>SMC - Beaulieu</v>
      </c>
      <c r="B558" t="s">
        <v>1010</v>
      </c>
      <c r="C558" s="29" t="s">
        <v>654</v>
      </c>
      <c r="D558" s="154" t="s">
        <v>1004</v>
      </c>
      <c r="E558" s="31"/>
      <c r="F558" s="99"/>
      <c r="G558" s="73"/>
      <c r="H558" s="34"/>
      <c r="I558" s="173"/>
      <c r="J558" s="24"/>
      <c r="K558" s="37"/>
      <c r="L558" s="24"/>
      <c r="M558" s="37"/>
      <c r="N558" s="37"/>
      <c r="O558" s="27"/>
      <c r="P558" s="37"/>
      <c r="Q558" s="24"/>
      <c r="R558" s="23"/>
      <c r="S558" s="24"/>
      <c r="T558" s="24"/>
      <c r="U558" s="24"/>
      <c r="V558" s="37"/>
      <c r="W558" s="24"/>
      <c r="X558" s="24"/>
      <c r="Y558" s="37"/>
      <c r="Z558" s="24"/>
      <c r="AA558" s="24"/>
      <c r="AB558" s="24"/>
      <c r="AC558" s="37"/>
      <c r="AD558" s="24"/>
      <c r="AE558" s="24"/>
      <c r="AF558" s="24"/>
      <c r="AG558" s="27"/>
      <c r="AH558" s="24"/>
      <c r="AI558" s="24"/>
      <c r="AJ558" s="27"/>
      <c r="AK558" s="24"/>
      <c r="AL558" s="26"/>
      <c r="AM558" s="27"/>
      <c r="AN558" s="27"/>
      <c r="AO558" s="37"/>
      <c r="AP558" s="27"/>
      <c r="AQ558" s="27"/>
      <c r="AR558" s="27"/>
      <c r="AS558" s="27"/>
      <c r="AT558" s="27"/>
      <c r="AU558">
        <f>E558 +F558</f>
        <v>0</v>
      </c>
    </row>
    <row r="559" spans="1:47" x14ac:dyDescent="0.25">
      <c r="A559" t="str">
        <f>B559 &amp; " - " &amp;D559</f>
        <v>FCN - Bammou</v>
      </c>
      <c r="B559" t="s">
        <v>955</v>
      </c>
      <c r="C559" s="29" t="s">
        <v>665</v>
      </c>
      <c r="D559" s="154" t="s">
        <v>559</v>
      </c>
      <c r="E559" s="31">
        <v>17</v>
      </c>
      <c r="F559" s="99">
        <v>15</v>
      </c>
      <c r="G559" s="73">
        <v>4</v>
      </c>
      <c r="H559" s="34">
        <f>AVERAGE(AA559,J559,I559,N559,P559,R559,S559,T559,Q559,U559,V559,W559,AB559,AI559,AO559,AQ559)</f>
        <v>4.75</v>
      </c>
      <c r="I559" s="116">
        <v>4</v>
      </c>
      <c r="J559" s="37">
        <v>4</v>
      </c>
      <c r="K559" s="79" t="s">
        <v>644</v>
      </c>
      <c r="L559" s="79" t="s">
        <v>644</v>
      </c>
      <c r="M559" s="37" t="s">
        <v>644</v>
      </c>
      <c r="N559" s="24">
        <v>4</v>
      </c>
      <c r="O559" s="27"/>
      <c r="P559" s="25">
        <v>7</v>
      </c>
      <c r="Q559" s="24">
        <v>6</v>
      </c>
      <c r="R559" s="22">
        <v>6</v>
      </c>
      <c r="S559" s="22">
        <v>6</v>
      </c>
      <c r="T559" s="24">
        <v>4</v>
      </c>
      <c r="U559" s="22">
        <v>5</v>
      </c>
      <c r="V559" s="24">
        <v>4</v>
      </c>
      <c r="W559" s="24">
        <v>5</v>
      </c>
      <c r="X559" s="37" t="s">
        <v>644</v>
      </c>
      <c r="Y559" s="37" t="s">
        <v>644</v>
      </c>
      <c r="Z559" s="24"/>
      <c r="AA559" s="23">
        <v>4</v>
      </c>
      <c r="AB559" s="24">
        <v>5</v>
      </c>
      <c r="AC559" s="37" t="s">
        <v>644</v>
      </c>
      <c r="AD559" s="37" t="s">
        <v>644</v>
      </c>
      <c r="AE559" s="37" t="s">
        <v>644</v>
      </c>
      <c r="AF559" s="37" t="s">
        <v>644</v>
      </c>
      <c r="AG559" s="26" t="s">
        <v>644</v>
      </c>
      <c r="AH559" s="37" t="s">
        <v>644</v>
      </c>
      <c r="AI559" s="76">
        <v>5</v>
      </c>
      <c r="AJ559" s="26" t="s">
        <v>644</v>
      </c>
      <c r="AK559" s="37" t="s">
        <v>644</v>
      </c>
      <c r="AL559" s="26" t="s">
        <v>644</v>
      </c>
      <c r="AM559" s="139" t="s">
        <v>644</v>
      </c>
      <c r="AN559" s="27"/>
      <c r="AO559" s="166">
        <v>3</v>
      </c>
      <c r="AP559" s="26"/>
      <c r="AQ559" s="26">
        <v>4</v>
      </c>
      <c r="AR559" s="26" t="s">
        <v>673</v>
      </c>
      <c r="AS559" s="27"/>
      <c r="AT559" s="27"/>
      <c r="AU559">
        <f>E559 +F559</f>
        <v>32</v>
      </c>
    </row>
    <row r="560" spans="1:47" x14ac:dyDescent="0.25">
      <c r="A560" t="str">
        <f>B560 &amp; " - " &amp;D560</f>
        <v>SMC - Raineau</v>
      </c>
      <c r="B560" t="s">
        <v>1010</v>
      </c>
      <c r="C560" s="29" t="s">
        <v>654</v>
      </c>
      <c r="D560" s="154" t="s">
        <v>1005</v>
      </c>
      <c r="E560" s="31">
        <v>3</v>
      </c>
      <c r="F560" s="99">
        <v>4</v>
      </c>
      <c r="G560" s="73"/>
      <c r="H560" s="34">
        <f>AVERAGE(R560,T560,AM560,AN560)</f>
        <v>4.25</v>
      </c>
      <c r="I560" s="173"/>
      <c r="J560" s="24"/>
      <c r="K560" s="37"/>
      <c r="L560" s="24"/>
      <c r="M560" s="37"/>
      <c r="N560" s="37"/>
      <c r="O560" s="27"/>
      <c r="P560" s="37"/>
      <c r="Q560" s="24"/>
      <c r="R560" s="23">
        <v>4</v>
      </c>
      <c r="S560" s="24"/>
      <c r="T560" s="24">
        <v>5</v>
      </c>
      <c r="U560" s="24"/>
      <c r="V560" s="37"/>
      <c r="W560" s="24"/>
      <c r="X560" s="24"/>
      <c r="Y560" s="37"/>
      <c r="Z560" s="24"/>
      <c r="AA560" s="24"/>
      <c r="AB560" s="24"/>
      <c r="AC560" s="37"/>
      <c r="AD560" s="24"/>
      <c r="AE560" s="24"/>
      <c r="AF560" s="24"/>
      <c r="AG560" s="27"/>
      <c r="AH560" s="24"/>
      <c r="AI560" s="24"/>
      <c r="AJ560" s="26" t="s">
        <v>644</v>
      </c>
      <c r="AK560" s="37" t="s">
        <v>644</v>
      </c>
      <c r="AL560" s="26"/>
      <c r="AM560" s="27">
        <v>5</v>
      </c>
      <c r="AN560" s="237">
        <v>3</v>
      </c>
      <c r="AO560" s="37"/>
      <c r="AP560" s="27"/>
      <c r="AQ560" s="27"/>
      <c r="AR560" s="27"/>
      <c r="AS560" s="27"/>
      <c r="AT560" s="26" t="s">
        <v>644</v>
      </c>
      <c r="AU560">
        <f>E560 +F560</f>
        <v>7</v>
      </c>
    </row>
    <row r="561" spans="1:47" x14ac:dyDescent="0.25">
      <c r="A561" t="str">
        <f>B561 &amp; " - " &amp;D561</f>
        <v>SMC - Delaplace</v>
      </c>
      <c r="B561" t="s">
        <v>1010</v>
      </c>
      <c r="C561" s="29" t="s">
        <v>654</v>
      </c>
      <c r="D561" s="154" t="s">
        <v>1006</v>
      </c>
      <c r="E561" s="31">
        <v>21</v>
      </c>
      <c r="F561" s="99">
        <v>1</v>
      </c>
      <c r="G561" s="73"/>
      <c r="H561" s="34">
        <f>AVERAGE(J561,K561,L561,I561,U561,W561,X561,Y561,AA561,AB561,AD561,AN561,AO561,AP561,AQ561,AR561,AS561,AT561)</f>
        <v>4.6111111111111107</v>
      </c>
      <c r="I561" s="173">
        <v>4</v>
      </c>
      <c r="J561" s="24">
        <v>5</v>
      </c>
      <c r="K561" s="37">
        <v>5</v>
      </c>
      <c r="L561" s="24">
        <v>4</v>
      </c>
      <c r="M561" s="37" t="s">
        <v>673</v>
      </c>
      <c r="N561" s="37"/>
      <c r="O561" s="27"/>
      <c r="P561" s="37"/>
      <c r="Q561" s="24"/>
      <c r="R561" s="23"/>
      <c r="S561" s="24"/>
      <c r="T561" s="37" t="s">
        <v>644</v>
      </c>
      <c r="U561" s="24">
        <v>4</v>
      </c>
      <c r="V561" s="37" t="s">
        <v>677</v>
      </c>
      <c r="W561" s="24">
        <v>5</v>
      </c>
      <c r="X561" s="24">
        <v>4</v>
      </c>
      <c r="Y561" s="37">
        <v>4</v>
      </c>
      <c r="Z561" s="37" t="s">
        <v>677</v>
      </c>
      <c r="AA561" s="24">
        <v>4</v>
      </c>
      <c r="AB561" s="24">
        <v>4</v>
      </c>
      <c r="AC561" s="37"/>
      <c r="AD561" s="24">
        <v>5</v>
      </c>
      <c r="AE561" s="24"/>
      <c r="AF561" s="24"/>
      <c r="AG561" s="27"/>
      <c r="AH561" s="24"/>
      <c r="AI561" s="24"/>
      <c r="AJ561" s="27"/>
      <c r="AK561" s="24"/>
      <c r="AL561" s="26"/>
      <c r="AM561" s="27"/>
      <c r="AN561" s="27">
        <v>4</v>
      </c>
      <c r="AO561" s="37">
        <v>5</v>
      </c>
      <c r="AP561" s="237">
        <v>3</v>
      </c>
      <c r="AQ561" s="27">
        <v>5</v>
      </c>
      <c r="AR561" s="27">
        <v>6</v>
      </c>
      <c r="AS561" s="163">
        <v>7</v>
      </c>
      <c r="AT561" s="27">
        <v>5</v>
      </c>
      <c r="AU561">
        <f>E561 +F561</f>
        <v>22</v>
      </c>
    </row>
    <row r="562" spans="1:47" x14ac:dyDescent="0.25">
      <c r="A562" t="str">
        <f>B562 &amp; " - " &amp;D562</f>
        <v>GFCA - Mangane</v>
      </c>
      <c r="B562" t="s">
        <v>1047</v>
      </c>
      <c r="C562" s="29" t="s">
        <v>641</v>
      </c>
      <c r="D562" s="154" t="s">
        <v>504</v>
      </c>
      <c r="E562" s="31">
        <v>28</v>
      </c>
      <c r="F562" s="99">
        <v>3</v>
      </c>
      <c r="G562" s="73">
        <v>1</v>
      </c>
      <c r="H562" s="34">
        <f>AVERAGE(AB562,Z562,L562,M562,N562,O562,P562,Q562,R562,U562,V562,X562,Y562,AA562,AC562,AD562,AF562,AG562,AH562,AK562,AJ562,AL562,AM562,AN562,AP562,AQ562,AR562,AS562)</f>
        <v>4.75</v>
      </c>
      <c r="I562" s="173"/>
      <c r="J562" s="24"/>
      <c r="K562" s="37"/>
      <c r="L562" s="24">
        <v>5</v>
      </c>
      <c r="M562" s="37">
        <v>5</v>
      </c>
      <c r="N562" s="77">
        <v>6</v>
      </c>
      <c r="O562" s="27">
        <v>5</v>
      </c>
      <c r="P562" s="37">
        <v>4</v>
      </c>
      <c r="Q562" s="24">
        <v>5</v>
      </c>
      <c r="R562" s="23">
        <v>4</v>
      </c>
      <c r="S562" s="37" t="s">
        <v>644</v>
      </c>
      <c r="T562" s="37" t="s">
        <v>644</v>
      </c>
      <c r="U562" s="24">
        <v>6</v>
      </c>
      <c r="V562" s="37">
        <v>5</v>
      </c>
      <c r="W562" s="24"/>
      <c r="X562" s="23">
        <v>6</v>
      </c>
      <c r="Y562" s="37">
        <v>5</v>
      </c>
      <c r="Z562" s="24">
        <v>5</v>
      </c>
      <c r="AA562" s="24">
        <v>5</v>
      </c>
      <c r="AB562" s="24">
        <v>5</v>
      </c>
      <c r="AC562" s="76">
        <v>5</v>
      </c>
      <c r="AD562" s="24">
        <v>4</v>
      </c>
      <c r="AE562" s="24"/>
      <c r="AF562" s="82">
        <v>3</v>
      </c>
      <c r="AG562" s="27">
        <v>5</v>
      </c>
      <c r="AH562" s="24">
        <v>4</v>
      </c>
      <c r="AI562" s="24"/>
      <c r="AJ562" s="99">
        <v>5</v>
      </c>
      <c r="AK562" s="37">
        <v>6</v>
      </c>
      <c r="AL562" s="26">
        <v>5</v>
      </c>
      <c r="AM562" s="237">
        <v>3</v>
      </c>
      <c r="AN562" s="26">
        <v>5</v>
      </c>
      <c r="AO562" s="37"/>
      <c r="AP562" s="27">
        <v>4</v>
      </c>
      <c r="AQ562" s="27">
        <v>5</v>
      </c>
      <c r="AR562" s="27">
        <v>5</v>
      </c>
      <c r="AS562" s="237">
        <v>3</v>
      </c>
      <c r="AT562" s="26" t="s">
        <v>644</v>
      </c>
      <c r="AU562">
        <f>E562 +F562</f>
        <v>31</v>
      </c>
    </row>
    <row r="563" spans="1:47" x14ac:dyDescent="0.25">
      <c r="A563" t="str">
        <f>B563 &amp; " - " &amp;D563</f>
        <v>SMC - Nkololo</v>
      </c>
      <c r="B563" t="s">
        <v>1010</v>
      </c>
      <c r="C563" s="29" t="s">
        <v>654</v>
      </c>
      <c r="D563" s="65" t="s">
        <v>1007</v>
      </c>
      <c r="E563" s="31">
        <v>5</v>
      </c>
      <c r="F563" s="99">
        <v>11</v>
      </c>
      <c r="G563" s="73"/>
      <c r="H563" s="34">
        <f>AVERAGE(T563,AF563,AH563,AK563,AL563,AP563)</f>
        <v>4</v>
      </c>
      <c r="I563" s="173" t="s">
        <v>644</v>
      </c>
      <c r="J563" s="24"/>
      <c r="K563" s="37"/>
      <c r="L563" s="24"/>
      <c r="M563" s="37"/>
      <c r="N563" s="37" t="s">
        <v>644</v>
      </c>
      <c r="O563" s="26" t="s">
        <v>644</v>
      </c>
      <c r="P563" s="37"/>
      <c r="Q563" s="24"/>
      <c r="R563" s="23"/>
      <c r="S563" s="37" t="s">
        <v>644</v>
      </c>
      <c r="T563" s="24">
        <v>4</v>
      </c>
      <c r="U563" s="24"/>
      <c r="V563" s="37"/>
      <c r="W563" s="24"/>
      <c r="X563" s="24"/>
      <c r="Y563" s="37"/>
      <c r="Z563" s="24"/>
      <c r="AA563" s="24"/>
      <c r="AB563" s="24"/>
      <c r="AC563" s="37"/>
      <c r="AD563" s="24"/>
      <c r="AE563" s="37" t="s">
        <v>644</v>
      </c>
      <c r="AF563" s="24">
        <v>4</v>
      </c>
      <c r="AG563" s="27"/>
      <c r="AH563" s="37">
        <v>4</v>
      </c>
      <c r="AI563" s="37" t="s">
        <v>644</v>
      </c>
      <c r="AJ563" s="27"/>
      <c r="AK563" s="24">
        <v>5</v>
      </c>
      <c r="AL563" s="26">
        <v>4</v>
      </c>
      <c r="AM563" s="26" t="s">
        <v>644</v>
      </c>
      <c r="AN563" s="26"/>
      <c r="AO563" s="37" t="s">
        <v>644</v>
      </c>
      <c r="AP563" s="237">
        <v>3</v>
      </c>
      <c r="AQ563" s="27"/>
      <c r="AR563" s="27"/>
      <c r="AS563" s="26" t="s">
        <v>644</v>
      </c>
      <c r="AT563" s="26" t="s">
        <v>644</v>
      </c>
      <c r="AU563">
        <f>E563 +F563</f>
        <v>16</v>
      </c>
    </row>
    <row r="564" spans="1:47" x14ac:dyDescent="0.25">
      <c r="A564" t="str">
        <f>B564 &amp; " - " &amp;D564</f>
        <v>SMC - Louis</v>
      </c>
      <c r="B564" t="s">
        <v>1010</v>
      </c>
      <c r="C564" s="29" t="s">
        <v>654</v>
      </c>
      <c r="D564" s="154" t="s">
        <v>523</v>
      </c>
      <c r="E564" s="31">
        <v>7</v>
      </c>
      <c r="F564" s="99">
        <v>11</v>
      </c>
      <c r="G564" s="73">
        <v>1</v>
      </c>
      <c r="H564" s="34">
        <f>AVERAGE(L564,O564,S564,AQ564,AR564,AS564,AT564)</f>
        <v>5</v>
      </c>
      <c r="I564" s="173"/>
      <c r="J564" s="24"/>
      <c r="K564" s="37" t="s">
        <v>644</v>
      </c>
      <c r="L564" s="24">
        <v>5</v>
      </c>
      <c r="M564" s="37"/>
      <c r="N564" s="77" t="s">
        <v>644</v>
      </c>
      <c r="O564" s="27">
        <v>5</v>
      </c>
      <c r="P564" s="37" t="s">
        <v>644</v>
      </c>
      <c r="Q564" s="24"/>
      <c r="R564" s="76" t="s">
        <v>644</v>
      </c>
      <c r="S564" s="24">
        <v>4</v>
      </c>
      <c r="T564" s="37" t="s">
        <v>644</v>
      </c>
      <c r="U564" s="37" t="s">
        <v>644</v>
      </c>
      <c r="V564" s="37"/>
      <c r="W564" s="24"/>
      <c r="X564" s="24"/>
      <c r="Y564" s="37"/>
      <c r="Z564" s="24"/>
      <c r="AA564" s="24"/>
      <c r="AB564" s="24"/>
      <c r="AC564" s="37" t="s">
        <v>644</v>
      </c>
      <c r="AD564" s="37" t="s">
        <v>644</v>
      </c>
      <c r="AE564" s="24"/>
      <c r="AF564" s="37" t="s">
        <v>644</v>
      </c>
      <c r="AG564" s="27"/>
      <c r="AH564" s="24"/>
      <c r="AI564" s="24"/>
      <c r="AJ564" s="27"/>
      <c r="AK564" s="37" t="s">
        <v>644</v>
      </c>
      <c r="AL564" s="26" t="s">
        <v>644</v>
      </c>
      <c r="AM564" s="27"/>
      <c r="AN564" s="27"/>
      <c r="AO564" s="37"/>
      <c r="AP564" s="27"/>
      <c r="AQ564" s="27">
        <v>5</v>
      </c>
      <c r="AR564" s="27">
        <v>6</v>
      </c>
      <c r="AS564" s="27">
        <v>5</v>
      </c>
      <c r="AT564" s="27">
        <v>5</v>
      </c>
      <c r="AU564">
        <f>E564 +F564</f>
        <v>18</v>
      </c>
    </row>
    <row r="565" spans="1:47" x14ac:dyDescent="0.25">
      <c r="A565" t="str">
        <f>B565 &amp; " - " &amp;D565</f>
        <v>SMC - Leborgne</v>
      </c>
      <c r="B565" t="s">
        <v>1010</v>
      </c>
      <c r="C565" s="29" t="s">
        <v>654</v>
      </c>
      <c r="D565" s="65" t="s">
        <v>1008</v>
      </c>
      <c r="E565" s="31">
        <v>7</v>
      </c>
      <c r="F565" s="99">
        <v>6</v>
      </c>
      <c r="G565" s="73"/>
      <c r="H565" s="34">
        <f>AVERAGE(P565,Q565,R565,AF565,AJ565,AM565,AP565)</f>
        <v>4.8571428571428568</v>
      </c>
      <c r="I565" s="173"/>
      <c r="J565" s="24"/>
      <c r="K565" s="37"/>
      <c r="L565" s="24"/>
      <c r="M565" s="37" t="s">
        <v>644</v>
      </c>
      <c r="N565" s="37"/>
      <c r="O565" s="26" t="s">
        <v>644</v>
      </c>
      <c r="P565" s="37">
        <v>5</v>
      </c>
      <c r="Q565" s="24">
        <v>5</v>
      </c>
      <c r="R565" s="23">
        <v>4</v>
      </c>
      <c r="S565" s="24"/>
      <c r="T565" s="24"/>
      <c r="U565" s="37" t="s">
        <v>644</v>
      </c>
      <c r="V565" s="37"/>
      <c r="W565" s="24"/>
      <c r="X565" s="37" t="s">
        <v>644</v>
      </c>
      <c r="Y565" s="37"/>
      <c r="Z565" s="24"/>
      <c r="AA565" s="24"/>
      <c r="AB565" s="24"/>
      <c r="AC565" s="37"/>
      <c r="AD565" s="24"/>
      <c r="AE565" s="37" t="s">
        <v>644</v>
      </c>
      <c r="AF565" s="24">
        <v>5</v>
      </c>
      <c r="AG565" s="27"/>
      <c r="AH565" s="24"/>
      <c r="AI565" s="37" t="s">
        <v>644</v>
      </c>
      <c r="AJ565" s="27">
        <v>5</v>
      </c>
      <c r="AK565" s="24"/>
      <c r="AL565" s="26"/>
      <c r="AM565" s="163">
        <v>7</v>
      </c>
      <c r="AN565" s="26" t="s">
        <v>644</v>
      </c>
      <c r="AO565" s="37"/>
      <c r="AP565" s="237">
        <v>3</v>
      </c>
      <c r="AQ565" s="27"/>
      <c r="AR565" s="27"/>
      <c r="AS565" s="27"/>
      <c r="AT565" s="27"/>
      <c r="AU565">
        <f>E565 +F565</f>
        <v>13</v>
      </c>
    </row>
    <row r="566" spans="1:47" x14ac:dyDescent="0.25">
      <c r="A566" t="str">
        <f>B566 &amp; " - " &amp;D566</f>
        <v>SMC - Ntibazonkiza</v>
      </c>
      <c r="B566" t="s">
        <v>1010</v>
      </c>
      <c r="C566" s="29" t="s">
        <v>654</v>
      </c>
      <c r="D566" s="65" t="s">
        <v>1009</v>
      </c>
      <c r="E566" s="31">
        <v>6</v>
      </c>
      <c r="F566" s="99">
        <v>8</v>
      </c>
      <c r="G566" s="73">
        <v>1</v>
      </c>
      <c r="H566" s="34">
        <f>AVERAGE(AE566,AG566,AH566,AI566,AJ566,AP566)</f>
        <v>4.833333333333333</v>
      </c>
      <c r="I566" s="173"/>
      <c r="J566" s="24"/>
      <c r="K566" s="37"/>
      <c r="L566" s="24"/>
      <c r="M566" s="37"/>
      <c r="N566" s="37"/>
      <c r="O566" s="26"/>
      <c r="P566" s="37"/>
      <c r="Q566" s="37" t="s">
        <v>644</v>
      </c>
      <c r="R566" s="23"/>
      <c r="S566" s="37" t="s">
        <v>644</v>
      </c>
      <c r="T566" s="24"/>
      <c r="U566" s="24"/>
      <c r="V566" s="37"/>
      <c r="W566" s="24"/>
      <c r="X566" s="24"/>
      <c r="Y566" s="37"/>
      <c r="Z566" s="24"/>
      <c r="AA566" s="24"/>
      <c r="AB566" s="37" t="s">
        <v>644</v>
      </c>
      <c r="AC566" s="37"/>
      <c r="AD566" s="37" t="s">
        <v>644</v>
      </c>
      <c r="AE566" s="24">
        <v>6</v>
      </c>
      <c r="AF566" s="37" t="s">
        <v>644</v>
      </c>
      <c r="AG566" s="27">
        <v>4</v>
      </c>
      <c r="AH566" s="82">
        <v>3</v>
      </c>
      <c r="AI566" s="25">
        <v>7</v>
      </c>
      <c r="AJ566" s="27">
        <v>6</v>
      </c>
      <c r="AK566" s="24"/>
      <c r="AL566" s="26"/>
      <c r="AM566" s="27"/>
      <c r="AN566" s="27"/>
      <c r="AO566" s="37"/>
      <c r="AP566" s="237">
        <v>3</v>
      </c>
      <c r="AQ566" s="26" t="s">
        <v>644</v>
      </c>
      <c r="AR566" s="26" t="s">
        <v>644</v>
      </c>
      <c r="AS566" s="26" t="s">
        <v>644</v>
      </c>
      <c r="AT566" s="27"/>
      <c r="AU566">
        <f>E566 +F566</f>
        <v>14</v>
      </c>
    </row>
    <row r="567" spans="1:47" x14ac:dyDescent="0.25">
      <c r="A567" t="str">
        <f>B567 &amp; " - " &amp;D567</f>
        <v>SMC - Makengo</v>
      </c>
      <c r="B567" t="s">
        <v>1010</v>
      </c>
      <c r="C567" s="29" t="s">
        <v>654</v>
      </c>
      <c r="D567" s="65" t="s">
        <v>602</v>
      </c>
      <c r="E567" s="31">
        <v>5</v>
      </c>
      <c r="F567" s="99">
        <v>5</v>
      </c>
      <c r="G567" s="73"/>
      <c r="H567" s="34">
        <f>AVERAGE(AC567,AD567,AE567,AG567,AH567)</f>
        <v>4.8</v>
      </c>
      <c r="I567" s="173"/>
      <c r="J567" s="24"/>
      <c r="K567" s="37"/>
      <c r="L567" s="24"/>
      <c r="M567" s="37"/>
      <c r="N567" s="37"/>
      <c r="O567" s="26"/>
      <c r="P567" s="37"/>
      <c r="Q567" s="37"/>
      <c r="R567" s="23"/>
      <c r="S567" s="37"/>
      <c r="T567" s="24"/>
      <c r="U567" s="24"/>
      <c r="V567" s="37"/>
      <c r="W567" s="37" t="s">
        <v>644</v>
      </c>
      <c r="X567" s="24"/>
      <c r="Y567" s="37"/>
      <c r="Z567" s="37" t="s">
        <v>644</v>
      </c>
      <c r="AA567" s="37" t="s">
        <v>644</v>
      </c>
      <c r="AB567" s="37" t="s">
        <v>644</v>
      </c>
      <c r="AC567" s="37">
        <v>4</v>
      </c>
      <c r="AD567" s="24">
        <v>6</v>
      </c>
      <c r="AE567" s="24">
        <v>5</v>
      </c>
      <c r="AF567" s="24"/>
      <c r="AG567" s="27">
        <v>5</v>
      </c>
      <c r="AH567" s="24">
        <v>4</v>
      </c>
      <c r="AI567" s="24"/>
      <c r="AJ567" s="27"/>
      <c r="AK567" s="24"/>
      <c r="AL567" s="26"/>
      <c r="AM567" s="27"/>
      <c r="AN567" s="27"/>
      <c r="AO567" s="37"/>
      <c r="AP567" s="26" t="s">
        <v>644</v>
      </c>
      <c r="AQ567" s="27"/>
      <c r="AR567" s="27"/>
      <c r="AS567" s="27"/>
      <c r="AT567" s="27"/>
      <c r="AU567">
        <f>E567 +F567</f>
        <v>10</v>
      </c>
    </row>
    <row r="568" spans="1:47" x14ac:dyDescent="0.25">
      <c r="A568" t="str">
        <f>B568 &amp; " - " &amp;D568</f>
        <v>SMC - Diomandé</v>
      </c>
      <c r="B568" t="s">
        <v>1010</v>
      </c>
      <c r="C568" s="29" t="s">
        <v>654</v>
      </c>
      <c r="D568" s="154" t="s">
        <v>739</v>
      </c>
      <c r="E568" s="31">
        <v>5</v>
      </c>
      <c r="F568" s="99">
        <v>1</v>
      </c>
      <c r="G568" s="73"/>
      <c r="H568" s="34">
        <f>AVERAGE(AE568,AG568,AN568,AO568,AR568)</f>
        <v>4.8</v>
      </c>
      <c r="I568" s="173"/>
      <c r="J568" s="24"/>
      <c r="K568" s="37"/>
      <c r="L568" s="24"/>
      <c r="M568" s="37"/>
      <c r="N568" s="37"/>
      <c r="O568" s="26"/>
      <c r="P568" s="37"/>
      <c r="Q568" s="37"/>
      <c r="R568" s="23"/>
      <c r="S568" s="37"/>
      <c r="T568" s="24"/>
      <c r="U568" s="24"/>
      <c r="V568" s="37"/>
      <c r="W568" s="37"/>
      <c r="X568" s="24"/>
      <c r="Y568" s="37"/>
      <c r="Z568" s="37"/>
      <c r="AA568" s="37"/>
      <c r="AB568" s="37"/>
      <c r="AC568" s="37"/>
      <c r="AD568" s="24"/>
      <c r="AE568" s="24">
        <v>6</v>
      </c>
      <c r="AF568" s="24"/>
      <c r="AG568" s="27">
        <v>4</v>
      </c>
      <c r="AH568" s="24"/>
      <c r="AI568" s="24"/>
      <c r="AJ568" s="27"/>
      <c r="AK568" s="24"/>
      <c r="AL568" s="26"/>
      <c r="AM568" s="27"/>
      <c r="AN568" s="27">
        <v>4</v>
      </c>
      <c r="AO568" s="37">
        <v>5</v>
      </c>
      <c r="AP568" s="27"/>
      <c r="AQ568" s="27"/>
      <c r="AR568" s="27">
        <v>5</v>
      </c>
      <c r="AS568" s="27"/>
      <c r="AT568" s="26" t="s">
        <v>644</v>
      </c>
      <c r="AU568">
        <f>E568 +F568</f>
        <v>6</v>
      </c>
    </row>
    <row r="569" spans="1:47" x14ac:dyDescent="0.25">
      <c r="A569" t="str">
        <f>B569 &amp; " - " &amp;D569</f>
        <v>FCL - Gassama</v>
      </c>
      <c r="B569" t="s">
        <v>816</v>
      </c>
      <c r="C569" s="67" t="s">
        <v>641</v>
      </c>
      <c r="D569" s="85" t="s">
        <v>518</v>
      </c>
      <c r="E569" s="69">
        <v>31</v>
      </c>
      <c r="F569" s="115"/>
      <c r="G569" s="68"/>
      <c r="H569" s="72">
        <f>AVERAGE(Z569,W569,J569,K569,L569,I569,M569,N569,O569,P569,Q569,S569,T569,U569,V569,Y569,AB569,AC569,AD569,AE569,AF569,AG569,AH569,AK569,AL569,AM569,AN569,AO569,AP569,AR569,AS569)</f>
        <v>4.741935483870968</v>
      </c>
      <c r="I569" s="87">
        <v>6</v>
      </c>
      <c r="J569" s="37">
        <v>5</v>
      </c>
      <c r="K569" s="37">
        <v>6</v>
      </c>
      <c r="L569" s="37">
        <v>4</v>
      </c>
      <c r="M569" s="24">
        <v>6</v>
      </c>
      <c r="N569" s="24">
        <v>5</v>
      </c>
      <c r="O569" s="27">
        <v>6</v>
      </c>
      <c r="P569" s="166">
        <v>3</v>
      </c>
      <c r="Q569" s="24">
        <v>5</v>
      </c>
      <c r="R569" s="37"/>
      <c r="S569" s="24">
        <v>5</v>
      </c>
      <c r="T569" s="24">
        <v>4</v>
      </c>
      <c r="U569" s="24">
        <v>4</v>
      </c>
      <c r="V569" s="24">
        <v>5</v>
      </c>
      <c r="W569" s="24">
        <v>5</v>
      </c>
      <c r="X569" s="37"/>
      <c r="Y569" s="24">
        <v>5</v>
      </c>
      <c r="Z569" s="24">
        <v>4</v>
      </c>
      <c r="AA569" s="24"/>
      <c r="AB569" s="24">
        <v>5</v>
      </c>
      <c r="AC569" s="24">
        <v>4</v>
      </c>
      <c r="AD569" s="24">
        <v>5</v>
      </c>
      <c r="AE569" s="24">
        <v>6</v>
      </c>
      <c r="AF569" s="23">
        <v>4</v>
      </c>
      <c r="AG569" s="27">
        <v>5</v>
      </c>
      <c r="AH569" s="24">
        <v>4</v>
      </c>
      <c r="AI569" s="24"/>
      <c r="AJ569" s="27"/>
      <c r="AK569" s="37">
        <v>5</v>
      </c>
      <c r="AL569" s="27">
        <v>5</v>
      </c>
      <c r="AM569" s="27">
        <v>4</v>
      </c>
      <c r="AN569" s="237">
        <v>3</v>
      </c>
      <c r="AO569" s="24">
        <v>5</v>
      </c>
      <c r="AP569" s="27">
        <v>5</v>
      </c>
      <c r="AQ569" s="27"/>
      <c r="AR569" s="27">
        <v>5</v>
      </c>
      <c r="AS569" s="26">
        <v>4</v>
      </c>
      <c r="AT569" s="26"/>
      <c r="AU569">
        <f>E569 +F569</f>
        <v>31</v>
      </c>
    </row>
    <row r="570" spans="1:47" x14ac:dyDescent="0.25">
      <c r="A570" t="str">
        <f>B570 &amp; " - " &amp;D570</f>
        <v>SMC - Nangis</v>
      </c>
      <c r="B570" t="s">
        <v>1010</v>
      </c>
      <c r="C570" s="243" t="s">
        <v>665</v>
      </c>
      <c r="D570" s="145" t="s">
        <v>769</v>
      </c>
      <c r="E570" s="52">
        <v>3</v>
      </c>
      <c r="F570" s="232"/>
      <c r="G570" s="244"/>
      <c r="H570" s="80">
        <f>AVERAGE(I570,J570,K570)</f>
        <v>4.666666666666667</v>
      </c>
      <c r="I570" s="149">
        <v>5</v>
      </c>
      <c r="J570" s="53">
        <v>4</v>
      </c>
      <c r="K570" s="61">
        <v>5</v>
      </c>
      <c r="L570" s="61"/>
      <c r="M570" s="61"/>
      <c r="N570" s="81"/>
      <c r="O570" s="63"/>
      <c r="P570" s="61"/>
      <c r="Q570" s="61"/>
      <c r="R570" s="53"/>
      <c r="S570" s="53"/>
      <c r="T570" s="61"/>
      <c r="U570" s="53"/>
      <c r="V570" s="61"/>
      <c r="W570" s="53"/>
      <c r="X570" s="53"/>
      <c r="Y570" s="61"/>
      <c r="Z570" s="61"/>
      <c r="AA570" s="53"/>
      <c r="AB570" s="61"/>
      <c r="AC570" s="61"/>
      <c r="AD570" s="53"/>
      <c r="AE570" s="53"/>
      <c r="AF570" s="53"/>
      <c r="AG570" s="63"/>
      <c r="AH570" s="53"/>
      <c r="AI570" s="53"/>
      <c r="AJ570" s="63"/>
      <c r="AK570" s="53"/>
      <c r="AL570" s="62"/>
      <c r="AM570" s="63"/>
      <c r="AN570" s="63"/>
      <c r="AO570" s="61"/>
      <c r="AP570" s="63"/>
      <c r="AQ570" s="63"/>
      <c r="AR570" s="63"/>
      <c r="AS570" s="63"/>
      <c r="AT570" s="63"/>
      <c r="AU570">
        <f>E570 +F570</f>
        <v>3</v>
      </c>
    </row>
    <row r="571" spans="1:47" x14ac:dyDescent="0.25">
      <c r="A571" t="str">
        <f>B571 &amp; " - " &amp;D571</f>
        <v>FCGB - Guilbert</v>
      </c>
      <c r="B571" t="s">
        <v>796</v>
      </c>
      <c r="C571" s="29" t="s">
        <v>654</v>
      </c>
      <c r="D571" s="78" t="s">
        <v>779</v>
      </c>
      <c r="E571" s="31">
        <v>29</v>
      </c>
      <c r="F571" s="99">
        <v>1</v>
      </c>
      <c r="G571" s="114" t="s">
        <v>679</v>
      </c>
      <c r="H571" s="34">
        <f>AVERAGE(J571,I571,M571,O571,R571,V571,X571,Y571,Z571,AA571,AC571,AD571,AE571,AF571,AG571,AH571,AI571,AJ571,AK571,AL571,AM571,AN571,AO571,AP571,AR571,AS571,AT571)</f>
        <v>4.7407407407407405</v>
      </c>
      <c r="I571" s="38">
        <v>4</v>
      </c>
      <c r="J571" s="24">
        <v>5</v>
      </c>
      <c r="K571" s="37" t="s">
        <v>644</v>
      </c>
      <c r="L571" s="24"/>
      <c r="M571" s="24">
        <v>5</v>
      </c>
      <c r="N571" s="24"/>
      <c r="O571" s="27">
        <v>4</v>
      </c>
      <c r="P571" s="24"/>
      <c r="Q571" s="24"/>
      <c r="R571" s="24">
        <v>6</v>
      </c>
      <c r="S571" s="24" t="s">
        <v>673</v>
      </c>
      <c r="T571" s="24"/>
      <c r="U571" s="24"/>
      <c r="V571" s="24">
        <v>5</v>
      </c>
      <c r="W571" s="37" t="s">
        <v>677</v>
      </c>
      <c r="X571" s="24">
        <v>6</v>
      </c>
      <c r="Y571" s="24">
        <v>5</v>
      </c>
      <c r="Z571" s="24">
        <v>5</v>
      </c>
      <c r="AA571" s="24">
        <v>5</v>
      </c>
      <c r="AB571" s="37"/>
      <c r="AC571" s="24">
        <v>6</v>
      </c>
      <c r="AD571" s="24">
        <v>4</v>
      </c>
      <c r="AE571" s="24">
        <v>6</v>
      </c>
      <c r="AF571" s="24">
        <v>4</v>
      </c>
      <c r="AG571" s="237">
        <v>3</v>
      </c>
      <c r="AH571" s="24">
        <v>5</v>
      </c>
      <c r="AI571" s="24">
        <v>6</v>
      </c>
      <c r="AJ571" s="237">
        <v>3</v>
      </c>
      <c r="AK571" s="24">
        <v>4</v>
      </c>
      <c r="AL571" s="237">
        <v>3</v>
      </c>
      <c r="AM571" s="26">
        <v>5</v>
      </c>
      <c r="AN571" s="27">
        <v>4</v>
      </c>
      <c r="AO571" s="24">
        <v>5</v>
      </c>
      <c r="AP571" s="27">
        <v>4</v>
      </c>
      <c r="AQ571" s="27"/>
      <c r="AR571" s="27">
        <v>5</v>
      </c>
      <c r="AS571" s="27">
        <v>6</v>
      </c>
      <c r="AT571" s="27">
        <v>5</v>
      </c>
      <c r="AU571">
        <f>E571 +F571</f>
        <v>30</v>
      </c>
    </row>
    <row r="572" spans="1:47" x14ac:dyDescent="0.25">
      <c r="A572" t="str">
        <f>B572 &amp; " - " &amp;D572</f>
        <v>ESTAC - Karaboué</v>
      </c>
      <c r="B572" t="s">
        <v>1034</v>
      </c>
      <c r="C572" s="29" t="s">
        <v>654</v>
      </c>
      <c r="D572" s="154" t="s">
        <v>1019</v>
      </c>
      <c r="E572" s="31">
        <v>24</v>
      </c>
      <c r="F572" s="99">
        <v>8</v>
      </c>
      <c r="G572" s="73"/>
      <c r="H572" s="34">
        <f>AVERAGE(J572,K572,L572,M572,I572,N572,O572,P572,Q572,R572,T572,U572,X572,AB572,AC572,AD572,AE572,AF572,AG572,AH572,AI572,AJ572,AN572,AO572,AR572,AS572,AT572)</f>
        <v>4.7407407407407405</v>
      </c>
      <c r="I572" s="87">
        <v>6</v>
      </c>
      <c r="J572" s="66">
        <v>7</v>
      </c>
      <c r="K572" s="76">
        <v>5</v>
      </c>
      <c r="L572" s="24">
        <v>4</v>
      </c>
      <c r="M572" s="37">
        <v>5</v>
      </c>
      <c r="N572" s="37">
        <v>4</v>
      </c>
      <c r="O572" s="27">
        <v>5</v>
      </c>
      <c r="P572" s="37">
        <v>5</v>
      </c>
      <c r="Q572" s="37">
        <v>5</v>
      </c>
      <c r="R572" s="23">
        <v>4</v>
      </c>
      <c r="S572" s="76" t="s">
        <v>644</v>
      </c>
      <c r="T572" s="24">
        <v>5</v>
      </c>
      <c r="U572" s="24">
        <v>5</v>
      </c>
      <c r="V572" s="37" t="s">
        <v>644</v>
      </c>
      <c r="W572" s="24"/>
      <c r="X572" s="24">
        <v>4</v>
      </c>
      <c r="Y572" s="37"/>
      <c r="Z572" s="37"/>
      <c r="AA572" s="76" t="s">
        <v>644</v>
      </c>
      <c r="AB572" s="37">
        <v>4</v>
      </c>
      <c r="AC572" s="37">
        <v>5</v>
      </c>
      <c r="AD572" s="24">
        <v>5</v>
      </c>
      <c r="AE572" s="24">
        <v>5</v>
      </c>
      <c r="AF572" s="82">
        <v>3</v>
      </c>
      <c r="AG572" s="142">
        <v>5</v>
      </c>
      <c r="AH572" s="23">
        <v>4</v>
      </c>
      <c r="AI572" s="24">
        <v>4</v>
      </c>
      <c r="AJ572" s="27">
        <v>5</v>
      </c>
      <c r="AK572" s="22"/>
      <c r="AL572" s="26" t="s">
        <v>644</v>
      </c>
      <c r="AM572" s="27"/>
      <c r="AN572" s="26">
        <v>6</v>
      </c>
      <c r="AO572" s="37">
        <v>4</v>
      </c>
      <c r="AP572" s="27"/>
      <c r="AQ572" s="26" t="s">
        <v>644</v>
      </c>
      <c r="AR572" s="26">
        <v>5</v>
      </c>
      <c r="AS572" s="26">
        <v>4</v>
      </c>
      <c r="AT572" s="142">
        <v>5</v>
      </c>
      <c r="AU572">
        <f>E572 +F572</f>
        <v>32</v>
      </c>
    </row>
    <row r="573" spans="1:47" x14ac:dyDescent="0.25">
      <c r="A573" t="str">
        <f>B573 &amp; " - " &amp;D573</f>
        <v>SMC - Koukaou</v>
      </c>
      <c r="B573" t="s">
        <v>1010</v>
      </c>
      <c r="C573" s="29" t="s">
        <v>665</v>
      </c>
      <c r="D573" s="65" t="s">
        <v>1102</v>
      </c>
      <c r="E573" s="31"/>
      <c r="F573" s="99">
        <v>6</v>
      </c>
      <c r="G573" s="73">
        <v>1</v>
      </c>
      <c r="H573" s="34">
        <f>AVERAGE(AG573)</f>
        <v>3</v>
      </c>
      <c r="I573" s="173"/>
      <c r="J573" s="24"/>
      <c r="K573" s="37"/>
      <c r="L573" s="24"/>
      <c r="M573" s="37"/>
      <c r="N573" s="37"/>
      <c r="O573" s="26"/>
      <c r="P573" s="37"/>
      <c r="Q573" s="37"/>
      <c r="R573" s="23"/>
      <c r="S573" s="37"/>
      <c r="T573" s="24"/>
      <c r="U573" s="24"/>
      <c r="V573" s="37"/>
      <c r="W573" s="37"/>
      <c r="X573" s="24"/>
      <c r="Y573" s="37"/>
      <c r="Z573" s="37"/>
      <c r="AA573" s="37"/>
      <c r="AB573" s="37"/>
      <c r="AC573" s="37"/>
      <c r="AD573" s="24"/>
      <c r="AE573" s="24"/>
      <c r="AF573" s="24"/>
      <c r="AG573" s="252">
        <v>3</v>
      </c>
      <c r="AH573" s="24"/>
      <c r="AI573" s="24"/>
      <c r="AJ573" s="26" t="s">
        <v>644</v>
      </c>
      <c r="AK573" s="77" t="s">
        <v>644</v>
      </c>
      <c r="AL573" s="26" t="s">
        <v>644</v>
      </c>
      <c r="AM573" s="26" t="s">
        <v>644</v>
      </c>
      <c r="AN573" s="26" t="s">
        <v>644</v>
      </c>
      <c r="AO573" s="37"/>
      <c r="AP573" s="27"/>
      <c r="AQ573" s="27"/>
      <c r="AR573" s="27"/>
      <c r="AS573" s="27"/>
      <c r="AT573" s="27"/>
      <c r="AU573">
        <f>E573 +F573</f>
        <v>6</v>
      </c>
    </row>
    <row r="574" spans="1:47" ht="15.75" thickBot="1" x14ac:dyDescent="0.3">
      <c r="A574" t="str">
        <f>B574 &amp; " - " &amp;D574</f>
        <v>Losc - Benzia</v>
      </c>
      <c r="B574" t="s">
        <v>771</v>
      </c>
      <c r="C574" s="307" t="s">
        <v>665</v>
      </c>
      <c r="D574" s="89" t="s">
        <v>515</v>
      </c>
      <c r="E574" s="90">
        <v>17</v>
      </c>
      <c r="F574" s="119">
        <v>8</v>
      </c>
      <c r="G574" s="89">
        <v>5</v>
      </c>
      <c r="H574" s="120">
        <f>AVERAGE(M574,N574,P574,O574,S574,V574,X574,Y574,Z574,AA574,AB574,AE574,AF574,AG574,AH574,AI574,AK574,AP574)</f>
        <v>4.7222222222222223</v>
      </c>
      <c r="I574" s="48"/>
      <c r="J574" s="24"/>
      <c r="K574" s="24"/>
      <c r="L574" s="24"/>
      <c r="M574" s="24">
        <v>4</v>
      </c>
      <c r="N574" s="24">
        <v>5</v>
      </c>
      <c r="O574" s="27">
        <v>4</v>
      </c>
      <c r="P574" s="24">
        <v>4</v>
      </c>
      <c r="Q574" s="37" t="s">
        <v>644</v>
      </c>
      <c r="R574" s="24"/>
      <c r="S574" s="24">
        <v>5</v>
      </c>
      <c r="T574" s="24"/>
      <c r="U574" s="24"/>
      <c r="V574" s="22">
        <v>6</v>
      </c>
      <c r="W574" s="37" t="s">
        <v>644</v>
      </c>
      <c r="X574" s="25">
        <v>7</v>
      </c>
      <c r="Y574" s="25">
        <v>7</v>
      </c>
      <c r="Z574" s="24">
        <v>4</v>
      </c>
      <c r="AA574" s="24">
        <v>4</v>
      </c>
      <c r="AB574" s="25">
        <v>7</v>
      </c>
      <c r="AC574" s="37" t="s">
        <v>644</v>
      </c>
      <c r="AD574" s="37" t="s">
        <v>644</v>
      </c>
      <c r="AE574" s="24">
        <v>4</v>
      </c>
      <c r="AF574" s="24">
        <v>4</v>
      </c>
      <c r="AG574" s="26">
        <v>4</v>
      </c>
      <c r="AH574" s="24">
        <v>4</v>
      </c>
      <c r="AI574" s="24">
        <v>4</v>
      </c>
      <c r="AJ574" s="27"/>
      <c r="AK574" s="24">
        <v>4</v>
      </c>
      <c r="AL574" s="27"/>
      <c r="AM574" s="26" t="s">
        <v>644</v>
      </c>
      <c r="AN574" s="27"/>
      <c r="AO574" s="24"/>
      <c r="AP574" s="27">
        <v>4</v>
      </c>
      <c r="AQ574" s="26" t="s">
        <v>644</v>
      </c>
      <c r="AR574" s="26" t="s">
        <v>644</v>
      </c>
      <c r="AS574" s="27"/>
      <c r="AT574" s="27"/>
      <c r="AU574">
        <f>E574 +F574</f>
        <v>25</v>
      </c>
    </row>
    <row r="575" spans="1:47" x14ac:dyDescent="0.25">
      <c r="A575" t="str">
        <f>B575 &amp; " - " &amp;D575</f>
        <v>ESTAC - Petric</v>
      </c>
      <c r="B575" t="s">
        <v>1034</v>
      </c>
      <c r="C575" s="50" t="s">
        <v>638</v>
      </c>
      <c r="D575" s="51" t="s">
        <v>1011</v>
      </c>
      <c r="E575" s="255">
        <v>9</v>
      </c>
      <c r="F575" s="256"/>
      <c r="G575" s="257"/>
      <c r="H575" s="80">
        <f>AVERAGE(J575,K575,L575,M575,N575,O575,P575,Q575,R575)</f>
        <v>5.333333333333333</v>
      </c>
      <c r="I575" s="258"/>
      <c r="J575" s="53">
        <v>5</v>
      </c>
      <c r="K575" s="61">
        <v>3</v>
      </c>
      <c r="L575" s="59">
        <v>7</v>
      </c>
      <c r="M575" s="61">
        <v>5</v>
      </c>
      <c r="N575" s="61">
        <v>6</v>
      </c>
      <c r="O575" s="63">
        <v>6</v>
      </c>
      <c r="P575" s="61">
        <v>5</v>
      </c>
      <c r="Q575" s="53">
        <v>6</v>
      </c>
      <c r="R575" s="53">
        <v>5</v>
      </c>
      <c r="S575" s="53"/>
      <c r="T575" s="53"/>
      <c r="U575" s="53"/>
      <c r="V575" s="61"/>
      <c r="W575" s="53"/>
      <c r="X575" s="53"/>
      <c r="Y575" s="61"/>
      <c r="Z575" s="53"/>
      <c r="AA575" s="53"/>
      <c r="AB575" s="53"/>
      <c r="AC575" s="61"/>
      <c r="AD575" s="53"/>
      <c r="AE575" s="53"/>
      <c r="AF575" s="53"/>
      <c r="AG575" s="63"/>
      <c r="AH575" s="53"/>
      <c r="AI575" s="53"/>
      <c r="AJ575" s="63"/>
      <c r="AK575" s="53"/>
      <c r="AL575" s="62"/>
      <c r="AM575" s="63"/>
      <c r="AN575" s="63"/>
      <c r="AO575" s="61"/>
      <c r="AP575" s="63"/>
      <c r="AQ575" s="63"/>
      <c r="AR575" s="63"/>
      <c r="AS575" s="63"/>
      <c r="AT575" s="63"/>
      <c r="AU575">
        <f>E575 +F575</f>
        <v>9</v>
      </c>
    </row>
    <row r="576" spans="1:47" x14ac:dyDescent="0.25">
      <c r="A576" t="str">
        <f>B576 &amp; " - " &amp;D576</f>
        <v>ESTAC - Dreyer</v>
      </c>
      <c r="B576" t="s">
        <v>1034</v>
      </c>
      <c r="C576" s="29" t="s">
        <v>638</v>
      </c>
      <c r="D576" s="30" t="s">
        <v>1012</v>
      </c>
      <c r="E576" s="31">
        <v>15</v>
      </c>
      <c r="F576" s="99"/>
      <c r="G576" s="73"/>
      <c r="H576" s="34">
        <f>AVERAGE(AF576,AG576,AH576,AI576,AJ576,AK576,AL576,AM576,AN576,AO576,AP576,AQ576,AR576,AS576,AT576)</f>
        <v>5.2666666666666666</v>
      </c>
      <c r="I576" s="175"/>
      <c r="J576" s="24"/>
      <c r="K576" s="37"/>
      <c r="L576" s="24"/>
      <c r="M576" s="37"/>
      <c r="N576" s="37"/>
      <c r="O576" s="27"/>
      <c r="P576" s="37"/>
      <c r="Q576" s="24"/>
      <c r="R576" s="23"/>
      <c r="S576" s="24"/>
      <c r="T576" s="24"/>
      <c r="U576" s="24"/>
      <c r="V576" s="37"/>
      <c r="W576" s="24"/>
      <c r="X576" s="24"/>
      <c r="Y576" s="37"/>
      <c r="Z576" s="24"/>
      <c r="AA576" s="24"/>
      <c r="AB576" s="24"/>
      <c r="AC576" s="37"/>
      <c r="AD576" s="24"/>
      <c r="AE576" s="24"/>
      <c r="AF576" s="82">
        <v>3</v>
      </c>
      <c r="AG576" s="27">
        <v>5</v>
      </c>
      <c r="AH576" s="24">
        <v>6</v>
      </c>
      <c r="AI576" s="24">
        <v>5</v>
      </c>
      <c r="AJ576" s="27">
        <v>6</v>
      </c>
      <c r="AK576" s="24">
        <v>6</v>
      </c>
      <c r="AL576" s="26">
        <v>4</v>
      </c>
      <c r="AM576" s="27">
        <v>5</v>
      </c>
      <c r="AN576" s="27">
        <v>6</v>
      </c>
      <c r="AO576" s="37">
        <v>6</v>
      </c>
      <c r="AP576" s="27">
        <v>6</v>
      </c>
      <c r="AQ576" s="27">
        <v>4</v>
      </c>
      <c r="AR576" s="27">
        <v>5</v>
      </c>
      <c r="AS576" s="27">
        <v>5</v>
      </c>
      <c r="AT576" s="163">
        <v>7</v>
      </c>
      <c r="AU576">
        <f>E576 +F576</f>
        <v>15</v>
      </c>
    </row>
    <row r="577" spans="1:47" x14ac:dyDescent="0.25">
      <c r="A577" t="str">
        <f>B577 &amp; " - " &amp;D577</f>
        <v>ESTAC - Bernardoni</v>
      </c>
      <c r="B577" t="s">
        <v>1034</v>
      </c>
      <c r="C577" s="50" t="s">
        <v>638</v>
      </c>
      <c r="D577" s="51" t="s">
        <v>1013</v>
      </c>
      <c r="E577" s="52">
        <v>14</v>
      </c>
      <c r="F577" s="63"/>
      <c r="G577" s="145"/>
      <c r="H577" s="80">
        <f>AVERAGE(AA577,I577,S577,T577,U577,V577,W577,X577,Y577,Z577,AB577,AC577,AD577,AE577)</f>
        <v>5.7857142857142856</v>
      </c>
      <c r="I577" s="258">
        <v>5</v>
      </c>
      <c r="J577" s="53"/>
      <c r="K577" s="61"/>
      <c r="L577" s="53"/>
      <c r="M577" s="61"/>
      <c r="N577" s="61"/>
      <c r="O577" s="63"/>
      <c r="P577" s="61"/>
      <c r="Q577" s="53"/>
      <c r="R577" s="53"/>
      <c r="S577" s="53">
        <v>5</v>
      </c>
      <c r="T577" s="53">
        <v>6</v>
      </c>
      <c r="U577" s="53">
        <v>6</v>
      </c>
      <c r="V577" s="61">
        <v>7</v>
      </c>
      <c r="W577" s="53">
        <v>6</v>
      </c>
      <c r="X577" s="53">
        <v>6</v>
      </c>
      <c r="Y577" s="61">
        <v>5</v>
      </c>
      <c r="Z577" s="53">
        <v>5</v>
      </c>
      <c r="AA577" s="59">
        <v>7</v>
      </c>
      <c r="AB577" s="53">
        <v>4</v>
      </c>
      <c r="AC577" s="61">
        <v>7</v>
      </c>
      <c r="AD577" s="53">
        <v>7</v>
      </c>
      <c r="AE577" s="53">
        <v>5</v>
      </c>
      <c r="AF577" s="53"/>
      <c r="AG577" s="63"/>
      <c r="AH577" s="53"/>
      <c r="AI577" s="53"/>
      <c r="AJ577" s="63"/>
      <c r="AK577" s="53"/>
      <c r="AL577" s="62"/>
      <c r="AM577" s="63"/>
      <c r="AN577" s="63"/>
      <c r="AO577" s="61"/>
      <c r="AP577" s="63"/>
      <c r="AQ577" s="63"/>
      <c r="AR577" s="63"/>
      <c r="AS577" s="63"/>
      <c r="AT577" s="63"/>
      <c r="AU577">
        <f>E577 +F577</f>
        <v>14</v>
      </c>
    </row>
    <row r="578" spans="1:47" x14ac:dyDescent="0.25">
      <c r="A578" t="str">
        <f>B578 &amp; " - " &amp;D578</f>
        <v>ESTAC - Grandel</v>
      </c>
      <c r="B578" t="s">
        <v>1034</v>
      </c>
      <c r="C578" s="67" t="s">
        <v>638</v>
      </c>
      <c r="D578" s="153" t="s">
        <v>1014</v>
      </c>
      <c r="E578" s="69"/>
      <c r="F578" s="115"/>
      <c r="G578" s="68"/>
      <c r="H578" s="72"/>
      <c r="I578" s="175"/>
      <c r="J578" s="24"/>
      <c r="K578" s="77"/>
      <c r="L578" s="24"/>
      <c r="M578" s="37"/>
      <c r="N578" s="37"/>
      <c r="O578" s="27"/>
      <c r="P578" s="77"/>
      <c r="Q578" s="24"/>
      <c r="R578" s="23"/>
      <c r="S578" s="24"/>
      <c r="T578" s="24"/>
      <c r="U578" s="24"/>
      <c r="V578" s="37"/>
      <c r="W578" s="24"/>
      <c r="X578" s="24"/>
      <c r="Y578" s="37"/>
      <c r="Z578" s="24"/>
      <c r="AA578" s="24"/>
      <c r="AB578" s="24"/>
      <c r="AC578" s="37"/>
      <c r="AD578" s="24"/>
      <c r="AE578" s="22"/>
      <c r="AF578" s="22"/>
      <c r="AG578" s="27"/>
      <c r="AH578" s="24"/>
      <c r="AI578" s="24"/>
      <c r="AJ578" s="27"/>
      <c r="AK578" s="24"/>
      <c r="AL578" s="94"/>
      <c r="AM578" s="27"/>
      <c r="AN578" s="27"/>
      <c r="AO578" s="37"/>
      <c r="AP578" s="27"/>
      <c r="AQ578" s="27"/>
      <c r="AR578" s="28"/>
      <c r="AS578" s="27"/>
      <c r="AT578" s="27"/>
      <c r="AU578">
        <f>E578 +F578</f>
        <v>0</v>
      </c>
    </row>
    <row r="579" spans="1:47" x14ac:dyDescent="0.25">
      <c r="A579" t="str">
        <f>B579 &amp; " - " &amp;D579</f>
        <v>Losc - Bauthéac</v>
      </c>
      <c r="B579" t="s">
        <v>771</v>
      </c>
      <c r="C579" s="302" t="s">
        <v>654</v>
      </c>
      <c r="D579" s="123" t="s">
        <v>201</v>
      </c>
      <c r="E579" s="31">
        <v>25</v>
      </c>
      <c r="F579" s="99">
        <v>3</v>
      </c>
      <c r="G579" s="73">
        <v>2</v>
      </c>
      <c r="H579" s="125">
        <f>AVERAGE(X579,J579,K579,L579,I579,M579,N579,P579,O579,T579,U579,V579,W579,Y579,Z579,AA579,AB579,AC579,AD579,AE579,AF579,AG579,AH579,AI579,AJ579)</f>
        <v>4.72</v>
      </c>
      <c r="I579" s="48">
        <v>4</v>
      </c>
      <c r="J579" s="24">
        <v>5</v>
      </c>
      <c r="K579" s="24">
        <v>5</v>
      </c>
      <c r="L579" s="24">
        <v>4</v>
      </c>
      <c r="M579" s="24">
        <v>5</v>
      </c>
      <c r="N579" s="24">
        <v>4</v>
      </c>
      <c r="O579" s="27">
        <v>5</v>
      </c>
      <c r="P579" s="24">
        <v>4</v>
      </c>
      <c r="Q579" s="37" t="s">
        <v>644</v>
      </c>
      <c r="R579" s="24"/>
      <c r="S579" s="24"/>
      <c r="T579" s="24">
        <v>5</v>
      </c>
      <c r="U579" s="37">
        <v>4</v>
      </c>
      <c r="V579" s="24">
        <v>4</v>
      </c>
      <c r="W579" s="24">
        <v>4</v>
      </c>
      <c r="X579" s="24">
        <v>6</v>
      </c>
      <c r="Y579" s="37">
        <v>5</v>
      </c>
      <c r="Z579" s="75">
        <v>7</v>
      </c>
      <c r="AA579" s="37">
        <v>5</v>
      </c>
      <c r="AB579" s="24">
        <v>4</v>
      </c>
      <c r="AC579" s="24">
        <v>4</v>
      </c>
      <c r="AD579" s="37">
        <v>4</v>
      </c>
      <c r="AE579" s="24">
        <v>4</v>
      </c>
      <c r="AF579" s="24">
        <v>6</v>
      </c>
      <c r="AG579" s="27">
        <v>6</v>
      </c>
      <c r="AH579" s="24">
        <v>5</v>
      </c>
      <c r="AI579" s="24">
        <v>5</v>
      </c>
      <c r="AJ579" s="27">
        <v>4</v>
      </c>
      <c r="AK579" s="24"/>
      <c r="AL579" s="26" t="s">
        <v>644</v>
      </c>
      <c r="AM579" s="26" t="s">
        <v>644</v>
      </c>
      <c r="AN579" s="28"/>
      <c r="AO579" s="24"/>
      <c r="AP579" s="27"/>
      <c r="AQ579" s="28"/>
      <c r="AR579" s="28"/>
      <c r="AS579" s="27"/>
      <c r="AT579" s="27"/>
      <c r="AU579">
        <f>E579 +F579</f>
        <v>28</v>
      </c>
    </row>
    <row r="580" spans="1:47" x14ac:dyDescent="0.25">
      <c r="A580" t="str">
        <f>B580 &amp; " - " &amp;D580</f>
        <v>ESTAC - Rincon</v>
      </c>
      <c r="B580" t="s">
        <v>1034</v>
      </c>
      <c r="C580" s="29" t="s">
        <v>641</v>
      </c>
      <c r="D580" s="154" t="s">
        <v>1015</v>
      </c>
      <c r="E580" s="31">
        <v>8</v>
      </c>
      <c r="F580" s="99"/>
      <c r="G580" s="73"/>
      <c r="H580" s="34">
        <f>AVERAGE(AK580,AL580,AM580,AN580,AO580,AP580,AQ580,AR580)</f>
        <v>4.125</v>
      </c>
      <c r="I580" s="173"/>
      <c r="J580" s="24"/>
      <c r="K580" s="37"/>
      <c r="L580" s="24"/>
      <c r="M580" s="37"/>
      <c r="N580" s="37"/>
      <c r="O580" s="27"/>
      <c r="P580" s="37"/>
      <c r="Q580" s="24"/>
      <c r="R580" s="23"/>
      <c r="S580" s="24"/>
      <c r="T580" s="24"/>
      <c r="U580" s="37"/>
      <c r="V580" s="37"/>
      <c r="W580" s="24"/>
      <c r="X580" s="24"/>
      <c r="Y580" s="37"/>
      <c r="Z580" s="24"/>
      <c r="AA580" s="24"/>
      <c r="AB580" s="24"/>
      <c r="AC580" s="37"/>
      <c r="AD580" s="24"/>
      <c r="AE580" s="24"/>
      <c r="AF580" s="24"/>
      <c r="AG580" s="27"/>
      <c r="AH580" s="24"/>
      <c r="AI580" s="24"/>
      <c r="AJ580" s="27"/>
      <c r="AK580" s="24">
        <v>5</v>
      </c>
      <c r="AL580" s="252">
        <v>1</v>
      </c>
      <c r="AM580" s="27">
        <v>4</v>
      </c>
      <c r="AN580" s="27">
        <v>5</v>
      </c>
      <c r="AO580" s="37">
        <v>6</v>
      </c>
      <c r="AP580" s="27">
        <v>6</v>
      </c>
      <c r="AQ580" s="237">
        <v>3</v>
      </c>
      <c r="AR580" s="237">
        <v>3</v>
      </c>
      <c r="AS580" s="27"/>
      <c r="AT580" s="27"/>
      <c r="AU580">
        <f>E580 +F580</f>
        <v>8</v>
      </c>
    </row>
    <row r="581" spans="1:47" x14ac:dyDescent="0.25">
      <c r="A581" t="str">
        <f>B581 &amp; " - " &amp;D581</f>
        <v>ESTAC - Lacour</v>
      </c>
      <c r="B581" t="s">
        <v>1034</v>
      </c>
      <c r="C581" s="29" t="s">
        <v>641</v>
      </c>
      <c r="D581" s="154" t="s">
        <v>1016</v>
      </c>
      <c r="E581" s="31"/>
      <c r="F581" s="99"/>
      <c r="G581" s="73"/>
      <c r="H581" s="34"/>
      <c r="I581" s="173"/>
      <c r="J581" s="24"/>
      <c r="K581" s="37"/>
      <c r="L581" s="24"/>
      <c r="M581" s="37"/>
      <c r="N581" s="77"/>
      <c r="O581" s="27"/>
      <c r="P581" s="37"/>
      <c r="Q581" s="24"/>
      <c r="R581" s="23"/>
      <c r="S581" s="24"/>
      <c r="T581" s="22"/>
      <c r="U581" s="24"/>
      <c r="V581" s="37"/>
      <c r="W581" s="24"/>
      <c r="X581" s="24"/>
      <c r="Y581" s="37"/>
      <c r="Z581" s="24"/>
      <c r="AA581" s="24"/>
      <c r="AB581" s="24"/>
      <c r="AC581" s="37"/>
      <c r="AD581" s="24"/>
      <c r="AE581" s="24"/>
      <c r="AF581" s="24"/>
      <c r="AG581" s="27"/>
      <c r="AH581" s="24"/>
      <c r="AI581" s="24"/>
      <c r="AJ581" s="27"/>
      <c r="AK581" s="24"/>
      <c r="AL581" s="26"/>
      <c r="AM581" s="27"/>
      <c r="AN581" s="27"/>
      <c r="AO581" s="37"/>
      <c r="AP581" s="27"/>
      <c r="AQ581" s="27"/>
      <c r="AR581" s="27"/>
      <c r="AS581" s="27"/>
      <c r="AT581" s="26"/>
      <c r="AU581">
        <f>E581 +F581</f>
        <v>0</v>
      </c>
    </row>
    <row r="582" spans="1:47" x14ac:dyDescent="0.25">
      <c r="A582" t="str">
        <f>B582 &amp; " - " &amp;D582</f>
        <v>ESTAC - N'Diaye</v>
      </c>
      <c r="B582" t="s">
        <v>1034</v>
      </c>
      <c r="C582" s="29" t="s">
        <v>641</v>
      </c>
      <c r="D582" s="65" t="s">
        <v>823</v>
      </c>
      <c r="E582" s="31"/>
      <c r="F582" s="99">
        <v>1</v>
      </c>
      <c r="G582" s="73"/>
      <c r="H582" s="34"/>
      <c r="I582" s="173"/>
      <c r="J582" s="24"/>
      <c r="K582" s="37"/>
      <c r="L582" s="24"/>
      <c r="M582" s="37"/>
      <c r="N582" s="37"/>
      <c r="O582" s="27"/>
      <c r="P582" s="37"/>
      <c r="Q582" s="22"/>
      <c r="R582" s="23"/>
      <c r="S582" s="24"/>
      <c r="T582" s="24"/>
      <c r="U582" s="24"/>
      <c r="V582" s="37"/>
      <c r="W582" s="24"/>
      <c r="X582" s="24"/>
      <c r="Y582" s="37"/>
      <c r="Z582" s="24"/>
      <c r="AA582" s="24"/>
      <c r="AB582" s="24"/>
      <c r="AC582" s="37"/>
      <c r="AD582" s="24"/>
      <c r="AE582" s="24"/>
      <c r="AF582" s="24"/>
      <c r="AG582" s="27"/>
      <c r="AH582" s="24"/>
      <c r="AI582" s="24"/>
      <c r="AJ582" s="27"/>
      <c r="AK582" s="24"/>
      <c r="AL582" s="26"/>
      <c r="AM582" s="27"/>
      <c r="AN582" s="27"/>
      <c r="AO582" s="37"/>
      <c r="AP582" s="27"/>
      <c r="AQ582" s="27"/>
      <c r="AR582" s="27"/>
      <c r="AS582" s="27"/>
      <c r="AT582" s="26" t="s">
        <v>644</v>
      </c>
      <c r="AU582">
        <f>E582 +F582</f>
        <v>1</v>
      </c>
    </row>
    <row r="583" spans="1:47" x14ac:dyDescent="0.25">
      <c r="A583" t="str">
        <f>B583 &amp; " - " &amp;D583</f>
        <v>ESTAC - Koné</v>
      </c>
      <c r="B583" t="s">
        <v>1034</v>
      </c>
      <c r="C583" s="29" t="s">
        <v>641</v>
      </c>
      <c r="D583" s="65" t="s">
        <v>885</v>
      </c>
      <c r="E583" s="31">
        <v>3</v>
      </c>
      <c r="F583" s="99"/>
      <c r="G583" s="73"/>
      <c r="H583" s="34">
        <f>AVERAGE(J583,K583,I583)</f>
        <v>4.666666666666667</v>
      </c>
      <c r="I583" s="173">
        <v>5</v>
      </c>
      <c r="J583" s="139">
        <v>5</v>
      </c>
      <c r="K583" s="139">
        <v>4</v>
      </c>
      <c r="L583" s="24"/>
      <c r="M583" s="37"/>
      <c r="N583" s="37"/>
      <c r="O583" s="27"/>
      <c r="P583" s="37"/>
      <c r="Q583" s="24"/>
      <c r="R583" s="23"/>
      <c r="S583" s="24"/>
      <c r="T583" s="24"/>
      <c r="U583" s="24"/>
      <c r="V583" s="37"/>
      <c r="W583" s="24"/>
      <c r="X583" s="24"/>
      <c r="Y583" s="37"/>
      <c r="Z583" s="24"/>
      <c r="AA583" s="24"/>
      <c r="AB583" s="24"/>
      <c r="AC583" s="37"/>
      <c r="AD583" s="22"/>
      <c r="AE583" s="24"/>
      <c r="AF583" s="24"/>
      <c r="AG583" s="27"/>
      <c r="AH583" s="24"/>
      <c r="AI583" s="24"/>
      <c r="AJ583" s="27"/>
      <c r="AK583" s="24"/>
      <c r="AL583" s="26"/>
      <c r="AM583" s="27"/>
      <c r="AN583" s="27"/>
      <c r="AO583" s="37"/>
      <c r="AP583" s="27"/>
      <c r="AQ583" s="27"/>
      <c r="AR583" s="27"/>
      <c r="AS583" s="27"/>
      <c r="AT583" s="27"/>
      <c r="AU583">
        <f>E583 +F583</f>
        <v>3</v>
      </c>
    </row>
    <row r="584" spans="1:47" x14ac:dyDescent="0.25">
      <c r="A584" t="str">
        <f>B584 &amp; " - " &amp;D584</f>
        <v>ESTAC - Martins-Pereira</v>
      </c>
      <c r="B584" t="s">
        <v>1034</v>
      </c>
      <c r="C584" s="50" t="s">
        <v>641</v>
      </c>
      <c r="D584" s="57" t="s">
        <v>983</v>
      </c>
      <c r="E584" s="52">
        <v>11</v>
      </c>
      <c r="F584" s="63"/>
      <c r="G584" s="145"/>
      <c r="H584" s="80">
        <f>AVERAGE(J584,K584,L584,I584,R584,S584,V584,W584,X584,Z584)</f>
        <v>5.2</v>
      </c>
      <c r="I584" s="149">
        <v>5</v>
      </c>
      <c r="J584" s="53">
        <v>4</v>
      </c>
      <c r="K584" s="61">
        <v>3</v>
      </c>
      <c r="L584" s="53">
        <v>6</v>
      </c>
      <c r="M584" s="61"/>
      <c r="N584" s="61"/>
      <c r="O584" s="63"/>
      <c r="P584" s="61"/>
      <c r="Q584" s="53"/>
      <c r="R584" s="53">
        <v>5</v>
      </c>
      <c r="S584" s="53">
        <v>5</v>
      </c>
      <c r="T584" s="53" t="s">
        <v>673</v>
      </c>
      <c r="U584" s="53"/>
      <c r="V584" s="61">
        <v>6</v>
      </c>
      <c r="W584" s="53">
        <v>5</v>
      </c>
      <c r="X584" s="53">
        <v>6</v>
      </c>
      <c r="Y584" s="61"/>
      <c r="Z584" s="53">
        <v>7</v>
      </c>
      <c r="AA584" s="53"/>
      <c r="AB584" s="46"/>
      <c r="AC584" s="81"/>
      <c r="AD584" s="46"/>
      <c r="AE584" s="46"/>
      <c r="AF584" s="46"/>
      <c r="AG584" s="47"/>
      <c r="AH584" s="46"/>
      <c r="AI584" s="46"/>
      <c r="AJ584" s="56"/>
      <c r="AK584" s="46"/>
      <c r="AL584" s="56"/>
      <c r="AM584" s="47"/>
      <c r="AN584" s="56"/>
      <c r="AO584" s="55"/>
      <c r="AP584" s="47"/>
      <c r="AQ584" s="47"/>
      <c r="AR584" s="47"/>
      <c r="AS584" s="47"/>
      <c r="AT584" s="47"/>
      <c r="AU584">
        <f>E584 +F584</f>
        <v>11</v>
      </c>
    </row>
    <row r="585" spans="1:47" x14ac:dyDescent="0.25">
      <c r="A585" t="str">
        <f>B585 &amp; " - " &amp;D585</f>
        <v>ESTAC - Mavinga</v>
      </c>
      <c r="B585" t="s">
        <v>1034</v>
      </c>
      <c r="C585" s="29" t="s">
        <v>641</v>
      </c>
      <c r="D585" s="154" t="s">
        <v>1017</v>
      </c>
      <c r="E585" s="31">
        <v>19</v>
      </c>
      <c r="F585" s="99">
        <v>1</v>
      </c>
      <c r="G585" s="114" t="s">
        <v>679</v>
      </c>
      <c r="H585" s="34">
        <f>AVERAGE(L585,N585,O585,P585,R585,S585,T585,W585,Y585,AA585,AC585,AG585,AI585,AO585,AP585,AQ585,AR585)</f>
        <v>4.3529411764705879</v>
      </c>
      <c r="I585" s="173"/>
      <c r="J585" s="24" t="s">
        <v>655</v>
      </c>
      <c r="K585" s="37"/>
      <c r="L585" s="24">
        <v>6</v>
      </c>
      <c r="M585" s="37" t="s">
        <v>677</v>
      </c>
      <c r="N585" s="37">
        <v>5</v>
      </c>
      <c r="O585" s="27">
        <v>5</v>
      </c>
      <c r="P585" s="37">
        <v>5</v>
      </c>
      <c r="Q585" s="24"/>
      <c r="R585" s="161">
        <v>3</v>
      </c>
      <c r="S585" s="82">
        <v>3</v>
      </c>
      <c r="T585" s="24">
        <v>4</v>
      </c>
      <c r="U585" s="24"/>
      <c r="V585" s="37"/>
      <c r="W585" s="24">
        <v>4</v>
      </c>
      <c r="X585" s="22"/>
      <c r="Y585" s="37">
        <v>5</v>
      </c>
      <c r="Z585" s="24"/>
      <c r="AA585" s="24">
        <v>6</v>
      </c>
      <c r="AB585" s="24"/>
      <c r="AC585" s="76">
        <v>4</v>
      </c>
      <c r="AD585" s="24"/>
      <c r="AE585" s="24"/>
      <c r="AF585" s="24"/>
      <c r="AG585" s="27">
        <v>5</v>
      </c>
      <c r="AH585" s="24"/>
      <c r="AI585" s="82">
        <v>3</v>
      </c>
      <c r="AJ585" s="26"/>
      <c r="AK585" s="37" t="s">
        <v>644</v>
      </c>
      <c r="AL585" s="26"/>
      <c r="AM585" s="27"/>
      <c r="AN585" s="26"/>
      <c r="AO585" s="37">
        <v>5</v>
      </c>
      <c r="AP585" s="27">
        <v>5</v>
      </c>
      <c r="AQ585" s="237">
        <v>3</v>
      </c>
      <c r="AR585" s="237">
        <v>3</v>
      </c>
      <c r="AS585" s="27"/>
      <c r="AT585" s="27"/>
      <c r="AU585">
        <f>E585 +F585</f>
        <v>20</v>
      </c>
    </row>
    <row r="586" spans="1:47" x14ac:dyDescent="0.25">
      <c r="A586" t="str">
        <f>B586 &amp; " - " &amp;D586</f>
        <v>ESTAC - Veskovac</v>
      </c>
      <c r="B586" t="s">
        <v>1034</v>
      </c>
      <c r="C586" s="29" t="s">
        <v>641</v>
      </c>
      <c r="D586" s="154" t="s">
        <v>849</v>
      </c>
      <c r="E586" s="31">
        <v>12</v>
      </c>
      <c r="F586" s="99">
        <v>2</v>
      </c>
      <c r="G586" s="73"/>
      <c r="H586" s="34">
        <f>AVERAGE(M586,N586,P586,Q586,R586,S586,U586,V586,Y586,AF586,AI586,AJ586)</f>
        <v>4.333333333333333</v>
      </c>
      <c r="I586" s="173"/>
      <c r="J586" s="24"/>
      <c r="K586" s="37"/>
      <c r="L586" s="24"/>
      <c r="M586" s="166">
        <v>3</v>
      </c>
      <c r="N586" s="37">
        <v>5</v>
      </c>
      <c r="O586" s="27"/>
      <c r="P586" s="37">
        <v>5</v>
      </c>
      <c r="Q586" s="24">
        <v>5</v>
      </c>
      <c r="R586" s="23">
        <v>4</v>
      </c>
      <c r="S586" s="24">
        <v>4</v>
      </c>
      <c r="T586" s="24"/>
      <c r="U586" s="24">
        <v>4</v>
      </c>
      <c r="V586" s="37">
        <v>5</v>
      </c>
      <c r="W586" s="24"/>
      <c r="X586" s="22"/>
      <c r="Y586" s="37">
        <v>5</v>
      </c>
      <c r="Z586" s="24"/>
      <c r="AA586" s="24"/>
      <c r="AB586" s="24"/>
      <c r="AC586" s="77"/>
      <c r="AD586" s="24"/>
      <c r="AE586" s="24"/>
      <c r="AF586" s="82">
        <v>3</v>
      </c>
      <c r="AG586" s="27"/>
      <c r="AH586" s="76" t="s">
        <v>644</v>
      </c>
      <c r="AI586" s="24">
        <v>4</v>
      </c>
      <c r="AJ586" s="26">
        <v>5</v>
      </c>
      <c r="AK586" s="24"/>
      <c r="AL586" s="26"/>
      <c r="AM586" s="27"/>
      <c r="AN586" s="26"/>
      <c r="AO586" s="37"/>
      <c r="AP586" s="27"/>
      <c r="AQ586" s="27"/>
      <c r="AR586" s="27"/>
      <c r="AS586" s="27"/>
      <c r="AT586" s="27"/>
      <c r="AU586">
        <f>E586 +F586</f>
        <v>14</v>
      </c>
    </row>
    <row r="587" spans="1:47" x14ac:dyDescent="0.25">
      <c r="A587" t="str">
        <f>B587 &amp; " - " &amp;D587</f>
        <v>ESTAC - Ngcongca</v>
      </c>
      <c r="B587" t="s">
        <v>1034</v>
      </c>
      <c r="C587" s="29" t="s">
        <v>641</v>
      </c>
      <c r="D587" s="65" t="s">
        <v>275</v>
      </c>
      <c r="E587" s="31">
        <v>18</v>
      </c>
      <c r="F587" s="99">
        <v>2</v>
      </c>
      <c r="G587" s="73"/>
      <c r="H587" s="34">
        <f>AVERAGE(N587,O587,Q587,T587,U587,Y587,Z587,AA587,AB587,AC587,AD587,AE587,AF587,AG587,AH587,AI587,AJ587,AK587,AL587)</f>
        <v>4.4736842105263159</v>
      </c>
      <c r="I587" s="173"/>
      <c r="J587" s="24"/>
      <c r="K587" s="37"/>
      <c r="L587" s="24"/>
      <c r="M587" s="37"/>
      <c r="N587" s="37">
        <v>4</v>
      </c>
      <c r="O587" s="27">
        <v>5</v>
      </c>
      <c r="P587" s="37"/>
      <c r="Q587" s="24">
        <v>4</v>
      </c>
      <c r="R587" s="23"/>
      <c r="S587" s="76" t="s">
        <v>644</v>
      </c>
      <c r="T587" s="24">
        <v>5</v>
      </c>
      <c r="U587" s="24">
        <v>5</v>
      </c>
      <c r="V587" s="37"/>
      <c r="W587" s="24"/>
      <c r="X587" s="22"/>
      <c r="Y587" s="37">
        <v>5</v>
      </c>
      <c r="Z587" s="24">
        <v>4</v>
      </c>
      <c r="AA587" s="66">
        <v>7</v>
      </c>
      <c r="AB587" s="82">
        <v>3</v>
      </c>
      <c r="AC587" s="234">
        <v>3</v>
      </c>
      <c r="AD587" s="66">
        <v>7</v>
      </c>
      <c r="AE587" s="24">
        <v>5</v>
      </c>
      <c r="AF587" s="82">
        <v>3</v>
      </c>
      <c r="AG587" s="27">
        <v>4</v>
      </c>
      <c r="AH587" s="24">
        <v>5</v>
      </c>
      <c r="AI587" s="24">
        <v>4</v>
      </c>
      <c r="AJ587" s="26">
        <v>5</v>
      </c>
      <c r="AK587" s="24">
        <v>4</v>
      </c>
      <c r="AL587" s="252">
        <v>3</v>
      </c>
      <c r="AM587" s="27"/>
      <c r="AN587" s="26"/>
      <c r="AO587" s="37"/>
      <c r="AP587" s="27"/>
      <c r="AQ587" s="27"/>
      <c r="AR587" s="27"/>
      <c r="AS587" s="27"/>
      <c r="AT587" s="27"/>
      <c r="AU587">
        <f>E587 +F587</f>
        <v>20</v>
      </c>
    </row>
    <row r="588" spans="1:47" x14ac:dyDescent="0.25">
      <c r="A588" t="str">
        <f>B588 &amp; " - " &amp;D588</f>
        <v>ESTAC - Dabo</v>
      </c>
      <c r="B588" t="s">
        <v>1034</v>
      </c>
      <c r="C588" s="29" t="s">
        <v>641</v>
      </c>
      <c r="D588" s="154" t="s">
        <v>822</v>
      </c>
      <c r="E588" s="31">
        <v>13</v>
      </c>
      <c r="F588" s="99">
        <v>3</v>
      </c>
      <c r="G588" s="73"/>
      <c r="H588" s="34">
        <f>AVERAGE(S588,T588,U588,V588,X588,Z588,AB588,AC588,AF588,AH588,AJ588,AK588,AL588)</f>
        <v>4.384615384615385</v>
      </c>
      <c r="I588" s="173"/>
      <c r="J588" s="24"/>
      <c r="K588" s="37"/>
      <c r="L588" s="24"/>
      <c r="M588" s="37"/>
      <c r="N588" s="37"/>
      <c r="O588" s="27"/>
      <c r="P588" s="37"/>
      <c r="Q588" s="24"/>
      <c r="R588" s="23"/>
      <c r="S588" s="24">
        <v>5</v>
      </c>
      <c r="T588" s="24">
        <v>5</v>
      </c>
      <c r="U588" s="24">
        <v>4</v>
      </c>
      <c r="V588" s="37">
        <v>5</v>
      </c>
      <c r="W588" s="37" t="s">
        <v>644</v>
      </c>
      <c r="X588" s="23">
        <v>5</v>
      </c>
      <c r="Y588" s="37" t="s">
        <v>644</v>
      </c>
      <c r="Z588" s="24">
        <v>5</v>
      </c>
      <c r="AA588" s="24" t="s">
        <v>655</v>
      </c>
      <c r="AB588" s="82">
        <v>3</v>
      </c>
      <c r="AC588" s="234">
        <v>3</v>
      </c>
      <c r="AD588" s="24"/>
      <c r="AE588" s="24"/>
      <c r="AF588" s="24">
        <v>4</v>
      </c>
      <c r="AG588" s="27"/>
      <c r="AH588" s="24">
        <v>5</v>
      </c>
      <c r="AI588" s="24"/>
      <c r="AJ588" s="26">
        <v>5</v>
      </c>
      <c r="AK588" s="24">
        <v>5</v>
      </c>
      <c r="AL588" s="252">
        <v>3</v>
      </c>
      <c r="AM588" s="27"/>
      <c r="AN588" s="26"/>
      <c r="AO588" s="37"/>
      <c r="AP588" s="26" t="s">
        <v>644</v>
      </c>
      <c r="AQ588" s="27"/>
      <c r="AR588" s="27"/>
      <c r="AS588" s="27"/>
      <c r="AT588" s="27"/>
      <c r="AU588">
        <f>E588 +F588</f>
        <v>16</v>
      </c>
    </row>
    <row r="589" spans="1:47" x14ac:dyDescent="0.25">
      <c r="A589" t="str">
        <f>B589 &amp; " - " &amp;D589</f>
        <v>ESTAC - Martial</v>
      </c>
      <c r="B589" t="s">
        <v>1034</v>
      </c>
      <c r="C589" s="29" t="s">
        <v>641</v>
      </c>
      <c r="D589" s="154" t="s">
        <v>1018</v>
      </c>
      <c r="E589" s="31">
        <v>7</v>
      </c>
      <c r="F589" s="99">
        <v>1</v>
      </c>
      <c r="G589" s="73"/>
      <c r="H589" s="34">
        <f>AVERAGE(W589,X589,AG589,AH589,AS589,AT589)</f>
        <v>4.666666666666667</v>
      </c>
      <c r="I589" s="173"/>
      <c r="J589" s="24"/>
      <c r="K589" s="37"/>
      <c r="L589" s="24"/>
      <c r="M589" s="37"/>
      <c r="N589" s="37"/>
      <c r="O589" s="27"/>
      <c r="P589" s="37"/>
      <c r="Q589" s="24"/>
      <c r="R589" s="23"/>
      <c r="S589" s="24"/>
      <c r="T589" s="24"/>
      <c r="U589" s="24"/>
      <c r="V589" s="37"/>
      <c r="W589" s="24">
        <v>5</v>
      </c>
      <c r="X589" s="23">
        <v>5</v>
      </c>
      <c r="Y589" s="37" t="s">
        <v>673</v>
      </c>
      <c r="Z589" s="24"/>
      <c r="AA589" s="24"/>
      <c r="AB589" s="24"/>
      <c r="AC589" s="77"/>
      <c r="AD589" s="24"/>
      <c r="AE589" s="24"/>
      <c r="AF589" s="24"/>
      <c r="AG589" s="27">
        <v>5</v>
      </c>
      <c r="AH589" s="24">
        <v>4</v>
      </c>
      <c r="AI589" s="24"/>
      <c r="AJ589" s="26"/>
      <c r="AK589" s="24"/>
      <c r="AL589" s="26" t="s">
        <v>644</v>
      </c>
      <c r="AM589" s="27"/>
      <c r="AN589" s="26"/>
      <c r="AO589" s="37"/>
      <c r="AP589" s="27"/>
      <c r="AQ589" s="27"/>
      <c r="AR589" s="27"/>
      <c r="AS589" s="27">
        <v>5</v>
      </c>
      <c r="AT589" s="27">
        <v>4</v>
      </c>
      <c r="AU589">
        <f>E589 +F589</f>
        <v>8</v>
      </c>
    </row>
    <row r="590" spans="1:47" x14ac:dyDescent="0.25">
      <c r="A590" t="str">
        <f>B590 &amp; " - " &amp;D590</f>
        <v>ESTAC - Traoré</v>
      </c>
      <c r="B590" t="s">
        <v>1034</v>
      </c>
      <c r="C590" s="67" t="s">
        <v>641</v>
      </c>
      <c r="D590" s="121" t="s">
        <v>788</v>
      </c>
      <c r="E590" s="69">
        <v>5</v>
      </c>
      <c r="F590" s="115"/>
      <c r="G590" s="68"/>
      <c r="H590" s="34">
        <f>AVERAGE(AD590,AE590,AF590,AS590,AT590)</f>
        <v>4.4000000000000004</v>
      </c>
      <c r="I590" s="173"/>
      <c r="J590" s="24"/>
      <c r="K590" s="37"/>
      <c r="L590" s="24"/>
      <c r="M590" s="37"/>
      <c r="N590" s="37"/>
      <c r="O590" s="27"/>
      <c r="P590" s="37"/>
      <c r="Q590" s="24"/>
      <c r="R590" s="23"/>
      <c r="S590" s="24"/>
      <c r="T590" s="24"/>
      <c r="U590" s="24"/>
      <c r="V590" s="37"/>
      <c r="W590" s="24"/>
      <c r="X590" s="23"/>
      <c r="Y590" s="37"/>
      <c r="Z590" s="24"/>
      <c r="AA590" s="24"/>
      <c r="AB590" s="24"/>
      <c r="AC590" s="77"/>
      <c r="AD590" s="66">
        <v>7</v>
      </c>
      <c r="AE590" s="24">
        <v>4</v>
      </c>
      <c r="AF590" s="82">
        <v>2</v>
      </c>
      <c r="AG590" s="27"/>
      <c r="AH590" s="24"/>
      <c r="AI590" s="24"/>
      <c r="AJ590" s="26"/>
      <c r="AK590" s="24"/>
      <c r="AL590" s="26"/>
      <c r="AM590" s="27"/>
      <c r="AN590" s="26"/>
      <c r="AO590" s="37"/>
      <c r="AP590" s="27"/>
      <c r="AQ590" s="27"/>
      <c r="AR590" s="27"/>
      <c r="AS590" s="27">
        <v>4</v>
      </c>
      <c r="AT590" s="27">
        <v>5</v>
      </c>
      <c r="AU590">
        <f>E590 +F590</f>
        <v>5</v>
      </c>
    </row>
    <row r="591" spans="1:47" x14ac:dyDescent="0.25">
      <c r="A591" t="str">
        <f>B591 &amp; " - " &amp;D591</f>
        <v>MHSC - Yatabaré</v>
      </c>
      <c r="B591" t="s">
        <v>838</v>
      </c>
      <c r="C591" s="146" t="s">
        <v>665</v>
      </c>
      <c r="D591" s="154" t="s">
        <v>536</v>
      </c>
      <c r="E591" s="148">
        <v>15</v>
      </c>
      <c r="F591" s="142">
        <v>13</v>
      </c>
      <c r="G591" s="49">
        <v>4</v>
      </c>
      <c r="H591" s="125">
        <f>AVERAGE(M591,N591,O591,P591,V591,X591,Z591,AB591,AE591,AF591,AH591,AI591,AJ591,AK591,AL591,AN591,AO591)</f>
        <v>4.7058823529411766</v>
      </c>
      <c r="I591" s="112"/>
      <c r="J591" s="37"/>
      <c r="K591" s="77"/>
      <c r="L591" s="37"/>
      <c r="M591" s="37">
        <v>4</v>
      </c>
      <c r="N591" s="37">
        <v>4</v>
      </c>
      <c r="O591" s="26">
        <v>5</v>
      </c>
      <c r="P591" s="23">
        <v>4</v>
      </c>
      <c r="Q591" s="24"/>
      <c r="R591" s="24"/>
      <c r="S591" s="37" t="s">
        <v>644</v>
      </c>
      <c r="T591" s="37" t="s">
        <v>644</v>
      </c>
      <c r="U591" s="37" t="s">
        <v>644</v>
      </c>
      <c r="V591" s="22">
        <v>6</v>
      </c>
      <c r="W591" s="37" t="s">
        <v>644</v>
      </c>
      <c r="X591" s="24">
        <v>4</v>
      </c>
      <c r="Y591" s="37"/>
      <c r="Z591" s="24">
        <v>5</v>
      </c>
      <c r="AA591" s="37"/>
      <c r="AB591" s="37">
        <v>4</v>
      </c>
      <c r="AC591" s="37" t="s">
        <v>644</v>
      </c>
      <c r="AD591" s="37" t="s">
        <v>644</v>
      </c>
      <c r="AE591" s="22">
        <v>6</v>
      </c>
      <c r="AF591" s="166">
        <v>3</v>
      </c>
      <c r="AG591" s="26" t="s">
        <v>644</v>
      </c>
      <c r="AH591" s="25">
        <v>7</v>
      </c>
      <c r="AI591" s="75">
        <v>7</v>
      </c>
      <c r="AJ591" s="26">
        <v>5</v>
      </c>
      <c r="AK591" s="37">
        <v>4</v>
      </c>
      <c r="AL591" s="26">
        <v>4</v>
      </c>
      <c r="AM591" s="139" t="s">
        <v>644</v>
      </c>
      <c r="AN591" s="26">
        <v>4</v>
      </c>
      <c r="AO591" s="37">
        <v>4</v>
      </c>
      <c r="AP591" s="26" t="s">
        <v>644</v>
      </c>
      <c r="AQ591" s="26"/>
      <c r="AR591" s="26" t="s">
        <v>644</v>
      </c>
      <c r="AS591" s="26" t="s">
        <v>644</v>
      </c>
      <c r="AT591" s="26"/>
      <c r="AU591">
        <f>E591 +F591</f>
        <v>28</v>
      </c>
    </row>
    <row r="592" spans="1:47" x14ac:dyDescent="0.25">
      <c r="A592" t="str">
        <f>B592 &amp; " - " &amp;D592</f>
        <v>ESTAC - Ayasse</v>
      </c>
      <c r="B592" t="s">
        <v>1034</v>
      </c>
      <c r="C592" s="50" t="s">
        <v>654</v>
      </c>
      <c r="D592" s="57" t="s">
        <v>1020</v>
      </c>
      <c r="E592" s="52">
        <v>13</v>
      </c>
      <c r="F592" s="63">
        <v>2</v>
      </c>
      <c r="G592" s="271" t="s">
        <v>970</v>
      </c>
      <c r="H592" s="80">
        <f>AVERAGE(J592,K592,I592,N592,O592,P592,Q592,S592,T592,V592,W592,X592,Z592)</f>
        <v>4.7692307692307692</v>
      </c>
      <c r="I592" s="149">
        <v>5</v>
      </c>
      <c r="J592" s="53">
        <v>4</v>
      </c>
      <c r="K592" s="61">
        <v>4</v>
      </c>
      <c r="L592" s="53"/>
      <c r="M592" s="61"/>
      <c r="N592" s="61">
        <v>5</v>
      </c>
      <c r="O592" s="63">
        <v>4</v>
      </c>
      <c r="P592" s="61">
        <v>4</v>
      </c>
      <c r="Q592" s="53">
        <v>5</v>
      </c>
      <c r="R592" s="53"/>
      <c r="S592" s="53">
        <v>5</v>
      </c>
      <c r="T592" s="53">
        <v>5</v>
      </c>
      <c r="U592" s="53"/>
      <c r="V592" s="61">
        <v>5</v>
      </c>
      <c r="W592" s="53">
        <v>7</v>
      </c>
      <c r="X592" s="53">
        <v>5</v>
      </c>
      <c r="Y592" s="61"/>
      <c r="Z592" s="53">
        <v>4</v>
      </c>
      <c r="AA592" s="53" t="s">
        <v>644</v>
      </c>
      <c r="AB592" s="46"/>
      <c r="AC592" s="81"/>
      <c r="AD592" s="46"/>
      <c r="AE592" s="46"/>
      <c r="AF592" s="46"/>
      <c r="AG592" s="47"/>
      <c r="AH592" s="46"/>
      <c r="AI592" s="46"/>
      <c r="AJ592" s="56"/>
      <c r="AK592" s="46"/>
      <c r="AL592" s="56"/>
      <c r="AM592" s="47"/>
      <c r="AN592" s="56"/>
      <c r="AO592" s="55"/>
      <c r="AP592" s="47"/>
      <c r="AQ592" s="47"/>
      <c r="AR592" s="47"/>
      <c r="AS592" s="47"/>
      <c r="AT592" s="47"/>
      <c r="AU592">
        <f>E592 +F592</f>
        <v>15</v>
      </c>
    </row>
    <row r="593" spans="1:47" x14ac:dyDescent="0.25">
      <c r="A593" t="str">
        <f>B593 &amp; " - " &amp;D593</f>
        <v>GFCA - Ducourtioux</v>
      </c>
      <c r="B593" t="s">
        <v>1047</v>
      </c>
      <c r="C593" s="29" t="s">
        <v>641</v>
      </c>
      <c r="D593" s="154" t="s">
        <v>1037</v>
      </c>
      <c r="E593" s="31">
        <v>29</v>
      </c>
      <c r="F593" s="99">
        <v>4</v>
      </c>
      <c r="G593" s="73"/>
      <c r="H593" s="34">
        <f>AVERAGE(AB593,Z593,Y593,W593,J593,K593,L593,M593,I593,N593,O593,Q593,S593,T593,U593,V593,AA593,AD593,AE593,AF593,AH593,AI593,AK593,AJ593,AL593,AM593,AN593,AQ593,AS593,AT593)</f>
        <v>4.7</v>
      </c>
      <c r="I593" s="173">
        <v>5</v>
      </c>
      <c r="J593" s="76">
        <v>5</v>
      </c>
      <c r="K593" s="76">
        <v>5</v>
      </c>
      <c r="L593" s="24">
        <v>4</v>
      </c>
      <c r="M593" s="37">
        <v>4</v>
      </c>
      <c r="N593" s="37">
        <v>5</v>
      </c>
      <c r="O593" s="27">
        <v>5</v>
      </c>
      <c r="P593" s="37" t="s">
        <v>644</v>
      </c>
      <c r="Q593" s="24">
        <v>4</v>
      </c>
      <c r="R593" s="23"/>
      <c r="S593" s="24">
        <v>4</v>
      </c>
      <c r="T593" s="24">
        <v>5</v>
      </c>
      <c r="U593" s="24">
        <v>5</v>
      </c>
      <c r="V593" s="37">
        <v>6</v>
      </c>
      <c r="W593" s="24">
        <v>5</v>
      </c>
      <c r="X593" s="24"/>
      <c r="Y593" s="37">
        <v>6</v>
      </c>
      <c r="Z593" s="24">
        <v>4</v>
      </c>
      <c r="AA593" s="24">
        <v>5</v>
      </c>
      <c r="AB593" s="24">
        <v>5</v>
      </c>
      <c r="AC593" s="37" t="s">
        <v>644</v>
      </c>
      <c r="AD593" s="23">
        <v>4</v>
      </c>
      <c r="AE593" s="24">
        <v>4</v>
      </c>
      <c r="AF593" s="24">
        <v>4</v>
      </c>
      <c r="AG593" s="139" t="s">
        <v>644</v>
      </c>
      <c r="AH593" s="76">
        <v>4</v>
      </c>
      <c r="AI593" s="24">
        <v>5</v>
      </c>
      <c r="AJ593" s="99">
        <v>5</v>
      </c>
      <c r="AK593" s="24">
        <v>5</v>
      </c>
      <c r="AL593" s="193">
        <v>7</v>
      </c>
      <c r="AM593" s="27">
        <v>4</v>
      </c>
      <c r="AN593" s="27">
        <v>4</v>
      </c>
      <c r="AO593" s="37"/>
      <c r="AP593" s="27"/>
      <c r="AQ593" s="27">
        <v>5</v>
      </c>
      <c r="AR593" s="27"/>
      <c r="AS593" s="237">
        <v>3</v>
      </c>
      <c r="AT593" s="27">
        <v>5</v>
      </c>
      <c r="AU593">
        <f>E593 +F593</f>
        <v>33</v>
      </c>
    </row>
    <row r="594" spans="1:47" x14ac:dyDescent="0.25">
      <c r="A594" t="str">
        <f>B594 &amp; " - " &amp;D594</f>
        <v>SRFC - Sio</v>
      </c>
      <c r="B594" t="s">
        <v>913</v>
      </c>
      <c r="C594" s="29" t="s">
        <v>665</v>
      </c>
      <c r="D594" t="s">
        <v>278</v>
      </c>
      <c r="E594" s="31">
        <v>28</v>
      </c>
      <c r="F594" s="99">
        <v>6</v>
      </c>
      <c r="G594" s="73">
        <v>7</v>
      </c>
      <c r="H594" s="34">
        <f>AVERAGE(Y594,J594,L594,I594,M594,N594,O594,P594,R594,S594,T594,U594,V594,Z594,AA594,AB594,AD594,AE594,AH594,AJ594,AK594,AM594,AN594,AO594,AP594,AQ594,AR594,AS594,AT594)</f>
        <v>4.6896551724137927</v>
      </c>
      <c r="I594" s="87">
        <v>5</v>
      </c>
      <c r="J594" s="26">
        <v>4</v>
      </c>
      <c r="K594" s="26" t="s">
        <v>644</v>
      </c>
      <c r="L594" s="77">
        <v>6</v>
      </c>
      <c r="M594" s="22">
        <v>6</v>
      </c>
      <c r="N594" s="24">
        <v>5</v>
      </c>
      <c r="O594" s="28">
        <v>6</v>
      </c>
      <c r="P594" s="37">
        <v>5</v>
      </c>
      <c r="Q594" s="24"/>
      <c r="R594" s="24">
        <v>4</v>
      </c>
      <c r="S594" s="82">
        <v>3</v>
      </c>
      <c r="T594" s="37">
        <v>4</v>
      </c>
      <c r="U594" s="24">
        <v>5</v>
      </c>
      <c r="V594" s="82">
        <v>2</v>
      </c>
      <c r="W594" s="37" t="s">
        <v>644</v>
      </c>
      <c r="X594" s="24"/>
      <c r="Y594" s="24">
        <v>5</v>
      </c>
      <c r="Z594" s="24">
        <v>4</v>
      </c>
      <c r="AA594" s="25">
        <v>7</v>
      </c>
      <c r="AB594" s="24">
        <v>5</v>
      </c>
      <c r="AC594" s="24"/>
      <c r="AD594" s="24">
        <v>5</v>
      </c>
      <c r="AE594" s="82">
        <v>3</v>
      </c>
      <c r="AF594" s="37" t="s">
        <v>644</v>
      </c>
      <c r="AG594" s="26" t="s">
        <v>644</v>
      </c>
      <c r="AH594" s="24">
        <v>4</v>
      </c>
      <c r="AI594" s="24"/>
      <c r="AJ594" s="27">
        <v>6</v>
      </c>
      <c r="AK594" s="37">
        <v>5</v>
      </c>
      <c r="AL594" s="26"/>
      <c r="AM594" s="129">
        <v>7</v>
      </c>
      <c r="AN594" s="26">
        <v>6</v>
      </c>
      <c r="AO594" s="37">
        <v>4</v>
      </c>
      <c r="AP594" s="237">
        <v>3</v>
      </c>
      <c r="AQ594" s="94">
        <v>6</v>
      </c>
      <c r="AR594" s="237">
        <v>3</v>
      </c>
      <c r="AS594" s="252">
        <v>3</v>
      </c>
      <c r="AT594" s="27">
        <v>5</v>
      </c>
      <c r="AU594">
        <f>E594 +F594</f>
        <v>34</v>
      </c>
    </row>
    <row r="595" spans="1:47" x14ac:dyDescent="0.25">
      <c r="A595" t="str">
        <f>B595 &amp; " - " &amp;D595</f>
        <v>ESTAC - Othon</v>
      </c>
      <c r="B595" t="s">
        <v>1034</v>
      </c>
      <c r="C595" s="29" t="s">
        <v>654</v>
      </c>
      <c r="D595" s="154" t="s">
        <v>1023</v>
      </c>
      <c r="E595" s="31">
        <v>6</v>
      </c>
      <c r="F595" s="99">
        <v>2</v>
      </c>
      <c r="G595" s="73">
        <v>1</v>
      </c>
      <c r="H595" s="34">
        <f>AVERAGE(K595,L595,M595,O595,Q595,R595,AM595,AN595)</f>
        <v>4.5714285714285712</v>
      </c>
      <c r="I595" s="175"/>
      <c r="J595" s="76"/>
      <c r="K595" s="76">
        <v>4</v>
      </c>
      <c r="L595" s="24">
        <v>5</v>
      </c>
      <c r="M595" s="77">
        <v>6</v>
      </c>
      <c r="N595" s="37"/>
      <c r="O595" s="27">
        <v>5</v>
      </c>
      <c r="P595" s="37"/>
      <c r="Q595" s="24">
        <v>4</v>
      </c>
      <c r="R595" s="23">
        <v>4</v>
      </c>
      <c r="S595" s="24"/>
      <c r="T595" s="24"/>
      <c r="U595" s="24"/>
      <c r="V595" s="37"/>
      <c r="W595" s="24"/>
      <c r="X595" s="37"/>
      <c r="Y595" s="37"/>
      <c r="Z595" s="24"/>
      <c r="AA595" s="24"/>
      <c r="AB595" s="24"/>
      <c r="AC595" s="37"/>
      <c r="AD595" s="24"/>
      <c r="AE595" s="24"/>
      <c r="AF595" s="24"/>
      <c r="AG595" s="27"/>
      <c r="AH595" s="24"/>
      <c r="AI595" s="24"/>
      <c r="AJ595" s="27"/>
      <c r="AK595" s="24"/>
      <c r="AL595" s="26"/>
      <c r="AM595" s="27">
        <v>4</v>
      </c>
      <c r="AN595" s="27" t="s">
        <v>673</v>
      </c>
      <c r="AO595" s="37"/>
      <c r="AP595" s="27"/>
      <c r="AQ595" s="27"/>
      <c r="AR595" s="27"/>
      <c r="AS595" s="27"/>
      <c r="AT595" s="27"/>
      <c r="AU595">
        <f>E595 +F595</f>
        <v>8</v>
      </c>
    </row>
    <row r="596" spans="1:47" x14ac:dyDescent="0.25">
      <c r="A596" t="str">
        <f>B596 &amp; " - " &amp;D596</f>
        <v>FCN - Bedoya</v>
      </c>
      <c r="B596" t="s">
        <v>955</v>
      </c>
      <c r="C596" s="29" t="s">
        <v>654</v>
      </c>
      <c r="D596" s="30" t="s">
        <v>940</v>
      </c>
      <c r="E596" s="31">
        <v>22</v>
      </c>
      <c r="F596" s="99">
        <v>6</v>
      </c>
      <c r="G596" s="73">
        <v>3</v>
      </c>
      <c r="H596" s="34">
        <f>AVERAGE(L596,N596,P596,O596,W596,Y596,Z596,AA596,AC596,AD596,AE596,AF596,AG596,AH596,AJ596,AK596,AL596,AM596,AP596,AR596,AS596,AT596)</f>
        <v>4.6818181818181817</v>
      </c>
      <c r="I596" s="87" t="s">
        <v>644</v>
      </c>
      <c r="J596" s="37"/>
      <c r="K596" s="37" t="s">
        <v>644</v>
      </c>
      <c r="L596" s="24">
        <v>4</v>
      </c>
      <c r="M596" s="37" t="s">
        <v>644</v>
      </c>
      <c r="N596" s="24">
        <v>4</v>
      </c>
      <c r="O596" s="27">
        <v>4</v>
      </c>
      <c r="P596" s="24">
        <v>4</v>
      </c>
      <c r="Q596" s="24"/>
      <c r="R596" s="24"/>
      <c r="S596" s="24"/>
      <c r="T596" s="37"/>
      <c r="U596" s="37"/>
      <c r="V596" s="37" t="s">
        <v>644</v>
      </c>
      <c r="W596" s="24">
        <v>4</v>
      </c>
      <c r="X596" s="37"/>
      <c r="Y596" s="23">
        <v>6</v>
      </c>
      <c r="Z596" s="24">
        <v>5</v>
      </c>
      <c r="AA596" s="24">
        <v>5</v>
      </c>
      <c r="AB596" s="37" t="s">
        <v>644</v>
      </c>
      <c r="AC596" s="24">
        <v>4</v>
      </c>
      <c r="AD596" s="22">
        <v>5</v>
      </c>
      <c r="AE596" s="37">
        <v>5</v>
      </c>
      <c r="AF596" s="25">
        <v>7</v>
      </c>
      <c r="AG596" s="26">
        <v>5</v>
      </c>
      <c r="AH596" s="37">
        <v>6</v>
      </c>
      <c r="AI596" s="24"/>
      <c r="AJ596" s="26">
        <v>6</v>
      </c>
      <c r="AK596" s="82">
        <v>3</v>
      </c>
      <c r="AL596" s="26">
        <v>6</v>
      </c>
      <c r="AM596" s="142">
        <v>4</v>
      </c>
      <c r="AN596" s="27"/>
      <c r="AO596" s="24"/>
      <c r="AP596" s="142">
        <v>4</v>
      </c>
      <c r="AQ596" s="26" t="s">
        <v>644</v>
      </c>
      <c r="AR596" s="26">
        <v>4</v>
      </c>
      <c r="AS596" s="28">
        <v>5</v>
      </c>
      <c r="AT596" s="237">
        <v>3</v>
      </c>
      <c r="AU596">
        <f>E596 +F596</f>
        <v>28</v>
      </c>
    </row>
    <row r="597" spans="1:47" x14ac:dyDescent="0.25">
      <c r="A597" t="str">
        <f>B597 &amp; " - " &amp;D597</f>
        <v>ESTAC - Thiago</v>
      </c>
      <c r="B597" t="s">
        <v>1034</v>
      </c>
      <c r="C597" s="29" t="s">
        <v>654</v>
      </c>
      <c r="D597" s="154" t="s">
        <v>1025</v>
      </c>
      <c r="E597" s="31">
        <v>13</v>
      </c>
      <c r="F597" s="99">
        <v>3</v>
      </c>
      <c r="G597" s="73">
        <v>2</v>
      </c>
      <c r="H597" s="34">
        <f>AVERAGE(Y597,AA597,AB597,AF597,AG597,AK597,AL597,AM597,AO597,AP597,AQ597,AS597,AT597)</f>
        <v>4.6923076923076925</v>
      </c>
      <c r="I597" s="173"/>
      <c r="J597" s="77" t="s">
        <v>644</v>
      </c>
      <c r="K597" s="37"/>
      <c r="L597" s="24"/>
      <c r="M597" s="37"/>
      <c r="N597" s="37"/>
      <c r="O597" s="27"/>
      <c r="P597" s="37" t="s">
        <v>644</v>
      </c>
      <c r="Q597" s="24"/>
      <c r="R597" s="23"/>
      <c r="S597" s="24"/>
      <c r="T597" s="24"/>
      <c r="U597" s="24"/>
      <c r="V597" s="37"/>
      <c r="W597" s="24"/>
      <c r="X597" s="24"/>
      <c r="Y597" s="37">
        <v>5</v>
      </c>
      <c r="Z597" s="24"/>
      <c r="AA597" s="24">
        <v>6</v>
      </c>
      <c r="AB597" s="24">
        <v>4</v>
      </c>
      <c r="AC597" s="37"/>
      <c r="AD597" s="24"/>
      <c r="AE597" s="37" t="s">
        <v>644</v>
      </c>
      <c r="AF597" s="24">
        <v>4</v>
      </c>
      <c r="AG597" s="27">
        <v>5</v>
      </c>
      <c r="AH597" s="24"/>
      <c r="AI597" s="24"/>
      <c r="AJ597" s="27"/>
      <c r="AK597" s="82">
        <v>3</v>
      </c>
      <c r="AL597" s="252">
        <v>3</v>
      </c>
      <c r="AM597" s="247">
        <v>7</v>
      </c>
      <c r="AN597" s="27"/>
      <c r="AO597" s="37">
        <v>5</v>
      </c>
      <c r="AP597" s="27">
        <v>6</v>
      </c>
      <c r="AQ597" s="237">
        <v>3</v>
      </c>
      <c r="AR597" s="27"/>
      <c r="AS597" s="27">
        <v>5</v>
      </c>
      <c r="AT597" s="27">
        <v>5</v>
      </c>
      <c r="AU597">
        <f>E597 +F597</f>
        <v>16</v>
      </c>
    </row>
    <row r="598" spans="1:47" x14ac:dyDescent="0.25">
      <c r="A598" t="str">
        <f>B598 &amp; " - " &amp;D598</f>
        <v>ESTAC - Ben Saada</v>
      </c>
      <c r="B598" t="s">
        <v>1034</v>
      </c>
      <c r="C598" s="29" t="s">
        <v>654</v>
      </c>
      <c r="D598" s="154" t="s">
        <v>1026</v>
      </c>
      <c r="E598" s="31">
        <v>8</v>
      </c>
      <c r="F598" s="99">
        <v>10</v>
      </c>
      <c r="G598" s="73">
        <v>1</v>
      </c>
      <c r="H598" s="34">
        <f>AVERAGE(M598,AH598,AI598,AJ598,AM598,AN598,AQ598,AT598)</f>
        <v>4.375</v>
      </c>
      <c r="I598" s="173" t="s">
        <v>644</v>
      </c>
      <c r="J598" s="77"/>
      <c r="K598" s="37"/>
      <c r="L598" s="24"/>
      <c r="M598" s="37">
        <v>4</v>
      </c>
      <c r="N598" s="37"/>
      <c r="O598" s="26" t="s">
        <v>644</v>
      </c>
      <c r="P598" s="37"/>
      <c r="Q598" s="24"/>
      <c r="R598" s="76" t="s">
        <v>644</v>
      </c>
      <c r="S598" s="24"/>
      <c r="T598" s="24"/>
      <c r="U598" s="24"/>
      <c r="V598" s="37"/>
      <c r="W598" s="24"/>
      <c r="X598" s="24"/>
      <c r="Y598" s="37"/>
      <c r="Z598" s="37" t="s">
        <v>644</v>
      </c>
      <c r="AA598" s="24"/>
      <c r="AB598" s="24"/>
      <c r="AC598" s="37"/>
      <c r="AD598" s="24"/>
      <c r="AE598" s="37" t="s">
        <v>644</v>
      </c>
      <c r="AF598" s="24"/>
      <c r="AG598" s="139" t="s">
        <v>644</v>
      </c>
      <c r="AH598" s="22">
        <v>6</v>
      </c>
      <c r="AI598" s="24">
        <v>5</v>
      </c>
      <c r="AJ598" s="27">
        <v>4</v>
      </c>
      <c r="AK598" s="37" t="s">
        <v>644</v>
      </c>
      <c r="AL598" s="26"/>
      <c r="AM598" s="27">
        <v>4</v>
      </c>
      <c r="AN598" s="27">
        <v>4</v>
      </c>
      <c r="AO598" s="37"/>
      <c r="AP598" s="26" t="s">
        <v>644</v>
      </c>
      <c r="AQ598" s="237">
        <v>3</v>
      </c>
      <c r="AR598" s="26" t="s">
        <v>644</v>
      </c>
      <c r="AS598" s="26" t="s">
        <v>644</v>
      </c>
      <c r="AT598" s="27">
        <v>5</v>
      </c>
      <c r="AU598">
        <f>E598 +F598</f>
        <v>18</v>
      </c>
    </row>
    <row r="599" spans="1:47" x14ac:dyDescent="0.25">
      <c r="A599" t="str">
        <f>B599 &amp; " - " &amp;D599</f>
        <v>FCN - Dubois</v>
      </c>
      <c r="B599" t="s">
        <v>955</v>
      </c>
      <c r="C599" s="29" t="s">
        <v>641</v>
      </c>
      <c r="D599" s="60" t="s">
        <v>937</v>
      </c>
      <c r="E599" s="31">
        <v>22</v>
      </c>
      <c r="F599" s="99">
        <v>2</v>
      </c>
      <c r="G599" s="73"/>
      <c r="H599" s="34">
        <f>AVERAGE(AA599,J599,K599,L599,I599,M599,N599,P599,O599,V599,X599,Y599,Z599,AD599,AI599,AM599,AO599,AP599,AQ599,AR599,AS599,AT599)</f>
        <v>4.6818181818181817</v>
      </c>
      <c r="I599" s="171">
        <v>5</v>
      </c>
      <c r="J599" s="21">
        <v>5</v>
      </c>
      <c r="K599" s="191">
        <v>7</v>
      </c>
      <c r="L599" s="21">
        <v>4</v>
      </c>
      <c r="M599" s="24">
        <v>4</v>
      </c>
      <c r="N599" s="24">
        <v>5</v>
      </c>
      <c r="O599" s="27">
        <v>6</v>
      </c>
      <c r="P599" s="82">
        <v>3</v>
      </c>
      <c r="Q599" s="24"/>
      <c r="R599" s="24"/>
      <c r="S599" s="24"/>
      <c r="T599" s="24"/>
      <c r="U599" s="24"/>
      <c r="V599" s="24">
        <v>5</v>
      </c>
      <c r="W599" s="24"/>
      <c r="X599" s="24">
        <v>6</v>
      </c>
      <c r="Y599" s="24">
        <v>5</v>
      </c>
      <c r="Z599" s="24">
        <v>5</v>
      </c>
      <c r="AA599" s="24">
        <v>5</v>
      </c>
      <c r="AB599" s="24"/>
      <c r="AC599" s="24"/>
      <c r="AD599" s="24">
        <v>4</v>
      </c>
      <c r="AE599" s="24"/>
      <c r="AF599" s="37" t="s">
        <v>644</v>
      </c>
      <c r="AG599" s="26" t="s">
        <v>644</v>
      </c>
      <c r="AH599" s="24"/>
      <c r="AI599" s="24">
        <v>4</v>
      </c>
      <c r="AJ599" s="27"/>
      <c r="AK599" s="24"/>
      <c r="AL599" s="27"/>
      <c r="AM599" s="27">
        <v>4</v>
      </c>
      <c r="AN599" s="27"/>
      <c r="AO599" s="24">
        <v>4</v>
      </c>
      <c r="AP599" s="27">
        <v>4</v>
      </c>
      <c r="AQ599" s="27">
        <v>5</v>
      </c>
      <c r="AR599" s="26">
        <v>5</v>
      </c>
      <c r="AS599" s="27">
        <v>4</v>
      </c>
      <c r="AT599" s="27">
        <v>4</v>
      </c>
      <c r="AU599">
        <f>E599 +F599</f>
        <v>24</v>
      </c>
    </row>
    <row r="600" spans="1:47" x14ac:dyDescent="0.25">
      <c r="A600" t="str">
        <f>B600 &amp; " - " &amp;D600</f>
        <v>SR - Signorino</v>
      </c>
      <c r="B600" t="s">
        <v>933</v>
      </c>
      <c r="C600" s="29" t="s">
        <v>641</v>
      </c>
      <c r="D600" s="30" t="s">
        <v>205</v>
      </c>
      <c r="E600" s="31">
        <v>29</v>
      </c>
      <c r="F600" s="99"/>
      <c r="G600" s="73"/>
      <c r="H600" s="34">
        <f>AVERAGE(Y600,X600,W600,V600,J600,K600,L600,I600,M600,N600,P600,Q600,R600,S600,T600,U600,AA600,AB600,AC600,AD600,AE600,AF600,AG600,AH600,AI600,AM600,AO600,AP600,AR600)</f>
        <v>4.6551724137931032</v>
      </c>
      <c r="I600" s="48">
        <v>5</v>
      </c>
      <c r="J600" s="74">
        <v>6</v>
      </c>
      <c r="K600" s="74">
        <v>5</v>
      </c>
      <c r="L600" s="37">
        <v>5</v>
      </c>
      <c r="M600" s="24">
        <v>4</v>
      </c>
      <c r="N600" s="24">
        <v>5</v>
      </c>
      <c r="O600" s="27"/>
      <c r="P600" s="24">
        <v>6</v>
      </c>
      <c r="Q600" s="24">
        <v>5</v>
      </c>
      <c r="R600" s="24">
        <v>5</v>
      </c>
      <c r="S600" s="24">
        <v>5</v>
      </c>
      <c r="T600" s="24">
        <v>5</v>
      </c>
      <c r="U600" s="24">
        <v>4</v>
      </c>
      <c r="V600" s="24">
        <v>5</v>
      </c>
      <c r="W600" s="24">
        <v>4</v>
      </c>
      <c r="X600" s="24">
        <v>5</v>
      </c>
      <c r="Y600" s="24">
        <v>5</v>
      </c>
      <c r="Z600" s="24"/>
      <c r="AA600" s="24">
        <v>4</v>
      </c>
      <c r="AB600" s="24">
        <v>4</v>
      </c>
      <c r="AC600" s="24">
        <v>4</v>
      </c>
      <c r="AD600" s="24">
        <v>5</v>
      </c>
      <c r="AE600" s="24">
        <v>4</v>
      </c>
      <c r="AF600" s="24">
        <v>5</v>
      </c>
      <c r="AG600" s="27">
        <v>5</v>
      </c>
      <c r="AH600" s="24">
        <v>5</v>
      </c>
      <c r="AI600" s="82">
        <v>3</v>
      </c>
      <c r="AJ600" s="27"/>
      <c r="AK600" s="37"/>
      <c r="AL600" s="27"/>
      <c r="AM600" s="27">
        <v>5</v>
      </c>
      <c r="AN600" s="27"/>
      <c r="AO600" s="24">
        <v>5</v>
      </c>
      <c r="AP600" s="27">
        <v>4</v>
      </c>
      <c r="AQ600" s="27"/>
      <c r="AR600" s="237">
        <v>3</v>
      </c>
      <c r="AS600" s="27"/>
      <c r="AT600" s="27"/>
      <c r="AU600">
        <f>E600 +F600</f>
        <v>29</v>
      </c>
    </row>
    <row r="601" spans="1:47" x14ac:dyDescent="0.25">
      <c r="A601" t="str">
        <f>B601 &amp; " - " &amp;D601</f>
        <v>ESTAC - Confais</v>
      </c>
      <c r="B601" t="s">
        <v>1034</v>
      </c>
      <c r="C601" s="29" t="s">
        <v>654</v>
      </c>
      <c r="D601" s="65" t="s">
        <v>1080</v>
      </c>
      <c r="E601" s="31">
        <v>13</v>
      </c>
      <c r="F601" s="99">
        <v>2</v>
      </c>
      <c r="G601" s="73"/>
      <c r="H601" s="34">
        <f>AVERAGE(AB601,AC601,AD601,AE601,AF601,AH601,AK601,AL601,AM601,AN601,AO601,AP601,AQ601,AR601)</f>
        <v>4.3571428571428568</v>
      </c>
      <c r="I601" s="173"/>
      <c r="J601" s="77"/>
      <c r="K601" s="37"/>
      <c r="L601" s="37"/>
      <c r="M601" s="37"/>
      <c r="N601" s="37"/>
      <c r="O601" s="27"/>
      <c r="P601" s="37"/>
      <c r="Q601" s="24"/>
      <c r="R601" s="23"/>
      <c r="S601" s="24"/>
      <c r="T601" s="24"/>
      <c r="U601" s="24"/>
      <c r="V601" s="37"/>
      <c r="W601" s="24"/>
      <c r="X601" s="24"/>
      <c r="Y601" s="37"/>
      <c r="Z601" s="24"/>
      <c r="AA601" s="24"/>
      <c r="AB601" s="24">
        <v>4</v>
      </c>
      <c r="AC601" s="37">
        <v>4</v>
      </c>
      <c r="AD601" s="24">
        <v>5</v>
      </c>
      <c r="AE601" s="24">
        <v>5</v>
      </c>
      <c r="AF601" s="24">
        <v>4</v>
      </c>
      <c r="AG601" s="27"/>
      <c r="AH601" s="24">
        <v>6</v>
      </c>
      <c r="AI601" s="24"/>
      <c r="AJ601" s="27"/>
      <c r="AK601" s="24">
        <v>4</v>
      </c>
      <c r="AL601" s="26">
        <v>4</v>
      </c>
      <c r="AM601" s="27">
        <v>4</v>
      </c>
      <c r="AN601" s="27">
        <v>5</v>
      </c>
      <c r="AO601" s="37">
        <v>4</v>
      </c>
      <c r="AP601" s="27">
        <v>5</v>
      </c>
      <c r="AQ601" s="237">
        <v>3</v>
      </c>
      <c r="AR601" s="27">
        <v>4</v>
      </c>
      <c r="AS601" s="27"/>
      <c r="AT601" s="26" t="s">
        <v>644</v>
      </c>
      <c r="AU601">
        <f>E601 +F601</f>
        <v>15</v>
      </c>
    </row>
    <row r="602" spans="1:47" x14ac:dyDescent="0.25">
      <c r="A602" t="str">
        <f>B602 &amp; " - " &amp;D602</f>
        <v>ESTAC - Cabot</v>
      </c>
      <c r="B602" t="s">
        <v>1034</v>
      </c>
      <c r="C602" s="50" t="s">
        <v>654</v>
      </c>
      <c r="D602" s="57" t="s">
        <v>512</v>
      </c>
      <c r="E602" s="52">
        <v>7</v>
      </c>
      <c r="F602" s="63">
        <v>8</v>
      </c>
      <c r="G602" s="271">
        <v>3</v>
      </c>
      <c r="H602" s="80">
        <f>AVERAGE(U602,Y602,Z602,AA602,AB602,AC602,AD602)</f>
        <v>5.8571428571428568</v>
      </c>
      <c r="I602" s="149" t="s">
        <v>644</v>
      </c>
      <c r="J602" s="53" t="s">
        <v>644</v>
      </c>
      <c r="K602" s="61"/>
      <c r="L602" s="53" t="s">
        <v>644</v>
      </c>
      <c r="M602" s="61"/>
      <c r="N602" s="61"/>
      <c r="O602" s="63"/>
      <c r="P602" s="61"/>
      <c r="Q602" s="53" t="s">
        <v>644</v>
      </c>
      <c r="R602" s="53" t="s">
        <v>644</v>
      </c>
      <c r="S602" s="53"/>
      <c r="T602" s="53"/>
      <c r="U602" s="53">
        <v>5</v>
      </c>
      <c r="V602" s="61" t="s">
        <v>644</v>
      </c>
      <c r="W602" s="53" t="s">
        <v>644</v>
      </c>
      <c r="X602" s="53" t="s">
        <v>644</v>
      </c>
      <c r="Y602" s="61">
        <v>7</v>
      </c>
      <c r="Z602" s="53">
        <v>7</v>
      </c>
      <c r="AA602" s="53">
        <v>6</v>
      </c>
      <c r="AB602" s="53">
        <v>4</v>
      </c>
      <c r="AC602" s="81">
        <v>4</v>
      </c>
      <c r="AD602" s="53">
        <v>8</v>
      </c>
      <c r="AE602" s="46"/>
      <c r="AF602" s="46"/>
      <c r="AG602" s="47"/>
      <c r="AH602" s="46"/>
      <c r="AI602" s="46"/>
      <c r="AJ602" s="56"/>
      <c r="AK602" s="46"/>
      <c r="AL602" s="56"/>
      <c r="AM602" s="47"/>
      <c r="AN602" s="56"/>
      <c r="AO602" s="55"/>
      <c r="AP602" s="47"/>
      <c r="AQ602" s="47"/>
      <c r="AR602" s="47"/>
      <c r="AS602" s="47"/>
      <c r="AT602" s="47"/>
      <c r="AU602">
        <f>E602 +F602</f>
        <v>15</v>
      </c>
    </row>
    <row r="603" spans="1:47" x14ac:dyDescent="0.25">
      <c r="A603" t="str">
        <f>B603 &amp; " - " &amp;D603</f>
        <v>ESTAC - Azamoum</v>
      </c>
      <c r="B603" t="s">
        <v>1034</v>
      </c>
      <c r="C603" s="67" t="s">
        <v>654</v>
      </c>
      <c r="D603" s="121" t="s">
        <v>1029</v>
      </c>
      <c r="E603" s="69">
        <v>9</v>
      </c>
      <c r="F603" s="115">
        <v>5</v>
      </c>
      <c r="G603" s="68">
        <v>2</v>
      </c>
      <c r="H603" s="72">
        <f>AVERAGE(AA603,AD603,AF603,AH603,AI603,AJ603,AK603,AS603,AT603)</f>
        <v>4.8888888888888893</v>
      </c>
      <c r="I603" s="173"/>
      <c r="J603" s="24"/>
      <c r="K603" s="37"/>
      <c r="L603" s="24"/>
      <c r="M603" s="37"/>
      <c r="N603" s="37"/>
      <c r="O603" s="27"/>
      <c r="P603" s="37"/>
      <c r="Q603" s="24"/>
      <c r="R603" s="23"/>
      <c r="S603" s="24"/>
      <c r="T603" s="24"/>
      <c r="U603" s="37" t="s">
        <v>644</v>
      </c>
      <c r="V603" s="37"/>
      <c r="W603" s="24"/>
      <c r="X603" s="24"/>
      <c r="Y603" s="37"/>
      <c r="Z603" s="24"/>
      <c r="AA603" s="24">
        <v>4</v>
      </c>
      <c r="AB603" s="24"/>
      <c r="AC603" s="37"/>
      <c r="AD603" s="24">
        <v>5</v>
      </c>
      <c r="AE603" s="24"/>
      <c r="AF603" s="24">
        <v>4</v>
      </c>
      <c r="AG603" s="27"/>
      <c r="AH603" s="25">
        <v>8</v>
      </c>
      <c r="AI603" s="24">
        <v>5</v>
      </c>
      <c r="AJ603" s="27">
        <v>4</v>
      </c>
      <c r="AK603" s="24">
        <v>5</v>
      </c>
      <c r="AL603" s="26"/>
      <c r="AM603" s="27"/>
      <c r="AN603" s="26" t="s">
        <v>644</v>
      </c>
      <c r="AO603" s="37" t="s">
        <v>644</v>
      </c>
      <c r="AP603" s="26" t="s">
        <v>644</v>
      </c>
      <c r="AQ603" s="27"/>
      <c r="AR603" s="26" t="s">
        <v>644</v>
      </c>
      <c r="AS603" s="27">
        <v>4</v>
      </c>
      <c r="AT603" s="27">
        <v>5</v>
      </c>
      <c r="AU603">
        <f>E603 +F603</f>
        <v>14</v>
      </c>
    </row>
    <row r="604" spans="1:47" x14ac:dyDescent="0.25">
      <c r="A604" t="str">
        <f>B604 &amp; " - " &amp;D604</f>
        <v>ESTAC - Hümmet</v>
      </c>
      <c r="B604" t="s">
        <v>1034</v>
      </c>
      <c r="C604" s="146" t="s">
        <v>665</v>
      </c>
      <c r="D604" s="118" t="s">
        <v>1030</v>
      </c>
      <c r="E604" s="148">
        <v>2</v>
      </c>
      <c r="F604" s="142">
        <v>3</v>
      </c>
      <c r="G604" s="49"/>
      <c r="H604" s="34">
        <f>AVERAGE(AN604,AO604)</f>
        <v>4</v>
      </c>
      <c r="I604" s="175"/>
      <c r="J604" s="24"/>
      <c r="K604" s="37"/>
      <c r="L604" s="24"/>
      <c r="M604" s="37"/>
      <c r="N604" s="76"/>
      <c r="O604" s="27"/>
      <c r="P604" s="37"/>
      <c r="Q604" s="24"/>
      <c r="R604" s="23"/>
      <c r="S604" s="22"/>
      <c r="T604" s="24"/>
      <c r="U604" s="22"/>
      <c r="V604" s="37"/>
      <c r="W604" s="22"/>
      <c r="X604" s="37"/>
      <c r="Y604" s="77"/>
      <c r="Z604" s="24"/>
      <c r="AA604" s="24"/>
      <c r="AB604" s="24"/>
      <c r="AC604" s="37"/>
      <c r="AD604" s="37"/>
      <c r="AE604" s="24"/>
      <c r="AF604" s="24"/>
      <c r="AG604" s="27"/>
      <c r="AH604" s="24"/>
      <c r="AI604" s="37" t="s">
        <v>644</v>
      </c>
      <c r="AJ604" s="27"/>
      <c r="AK604" s="24"/>
      <c r="AL604" s="26"/>
      <c r="AM604" s="27"/>
      <c r="AN604" s="27">
        <v>4</v>
      </c>
      <c r="AO604" s="37">
        <v>4</v>
      </c>
      <c r="AP604" s="27"/>
      <c r="AQ604" s="26" t="s">
        <v>644</v>
      </c>
      <c r="AR604" s="26"/>
      <c r="AS604" s="27"/>
      <c r="AT604" s="26" t="s">
        <v>644</v>
      </c>
      <c r="AU604">
        <f>E604 +F604</f>
        <v>5</v>
      </c>
    </row>
    <row r="605" spans="1:47" x14ac:dyDescent="0.25">
      <c r="A605" t="str">
        <f>B605 &amp; " - " &amp;D605</f>
        <v>ESTAC - Gueye</v>
      </c>
      <c r="B605" t="s">
        <v>1034</v>
      </c>
      <c r="C605" s="146" t="s">
        <v>665</v>
      </c>
      <c r="D605" s="118" t="s">
        <v>1031</v>
      </c>
      <c r="E605" s="148">
        <v>6</v>
      </c>
      <c r="F605" s="142">
        <v>5</v>
      </c>
      <c r="G605" s="49">
        <v>1</v>
      </c>
      <c r="H605" s="34">
        <f>AVERAGE(AF605,AH605,AI605,AJ605,AK605,AL605)</f>
        <v>4.166666666666667</v>
      </c>
      <c r="I605" s="87"/>
      <c r="J605" s="37"/>
      <c r="K605" s="37"/>
      <c r="L605" s="24"/>
      <c r="M605" s="76" t="s">
        <v>644</v>
      </c>
      <c r="N605" s="76"/>
      <c r="O605" s="26"/>
      <c r="P605" s="37"/>
      <c r="Q605" s="24"/>
      <c r="R605" s="23"/>
      <c r="S605" s="24"/>
      <c r="T605" s="77"/>
      <c r="U605" s="24"/>
      <c r="V605" s="77"/>
      <c r="W605" s="24"/>
      <c r="X605" s="37"/>
      <c r="Y605" s="37"/>
      <c r="Z605" s="24"/>
      <c r="AA605" s="24"/>
      <c r="AB605" s="37" t="s">
        <v>644</v>
      </c>
      <c r="AC605" s="76" t="s">
        <v>644</v>
      </c>
      <c r="AD605" s="37" t="s">
        <v>644</v>
      </c>
      <c r="AE605" s="37" t="s">
        <v>644</v>
      </c>
      <c r="AF605" s="82">
        <v>3</v>
      </c>
      <c r="AG605" s="27"/>
      <c r="AH605" s="24">
        <v>4</v>
      </c>
      <c r="AI605" s="25">
        <v>7</v>
      </c>
      <c r="AJ605" s="27">
        <v>4</v>
      </c>
      <c r="AK605" s="24">
        <v>4</v>
      </c>
      <c r="AL605" s="252">
        <v>3</v>
      </c>
      <c r="AM605" s="26" t="s">
        <v>644</v>
      </c>
      <c r="AN605" s="27"/>
      <c r="AO605" s="37"/>
      <c r="AP605" s="27"/>
      <c r="AQ605" s="27"/>
      <c r="AR605" s="27"/>
      <c r="AS605" s="27"/>
      <c r="AT605" s="27"/>
      <c r="AU605">
        <f>E605 +F605</f>
        <v>11</v>
      </c>
    </row>
    <row r="606" spans="1:47" x14ac:dyDescent="0.25">
      <c r="A606" t="str">
        <f>B606 &amp; " - " &amp;D606</f>
        <v>ESTAC - Bienvenu</v>
      </c>
      <c r="B606" t="s">
        <v>1034</v>
      </c>
      <c r="C606" s="146" t="s">
        <v>665</v>
      </c>
      <c r="D606" s="118" t="s">
        <v>1032</v>
      </c>
      <c r="E606" s="148">
        <v>1</v>
      </c>
      <c r="F606" s="142">
        <v>5</v>
      </c>
      <c r="G606" s="49"/>
      <c r="H606" s="34">
        <f>AVERAGE(N606)</f>
        <v>4</v>
      </c>
      <c r="I606" s="173" t="s">
        <v>644</v>
      </c>
      <c r="J606" s="109"/>
      <c r="K606" s="108"/>
      <c r="L606" s="108"/>
      <c r="M606" s="76" t="s">
        <v>644</v>
      </c>
      <c r="N606" s="76">
        <v>4</v>
      </c>
      <c r="O606" s="110"/>
      <c r="P606" s="108"/>
      <c r="Q606" s="108"/>
      <c r="R606" s="76" t="s">
        <v>644</v>
      </c>
      <c r="S606" s="109"/>
      <c r="T606" s="108"/>
      <c r="U606" s="76" t="s">
        <v>644</v>
      </c>
      <c r="V606" s="108"/>
      <c r="W606" s="109"/>
      <c r="X606" s="76" t="s">
        <v>644</v>
      </c>
      <c r="Y606" s="108"/>
      <c r="Z606" s="108"/>
      <c r="AA606" s="109"/>
      <c r="AB606" s="108"/>
      <c r="AC606" s="108"/>
      <c r="AD606" s="109"/>
      <c r="AE606" s="109"/>
      <c r="AF606" s="109"/>
      <c r="AG606" s="110"/>
      <c r="AH606" s="109"/>
      <c r="AI606" s="109"/>
      <c r="AJ606" s="110"/>
      <c r="AK606" s="109"/>
      <c r="AL606" s="174"/>
      <c r="AM606" s="110"/>
      <c r="AN606" s="110"/>
      <c r="AO606" s="108"/>
      <c r="AP606" s="110"/>
      <c r="AQ606" s="110"/>
      <c r="AR606" s="110"/>
      <c r="AS606" s="139" t="s">
        <v>644</v>
      </c>
      <c r="AT606" s="110"/>
      <c r="AU606">
        <f>E606 +F606</f>
        <v>6</v>
      </c>
    </row>
    <row r="607" spans="1:47" x14ac:dyDescent="0.25">
      <c r="A607" t="str">
        <f>B607 &amp; " - " &amp;D607</f>
        <v>ESTAC - Perea</v>
      </c>
      <c r="B607" t="s">
        <v>1034</v>
      </c>
      <c r="C607" s="29" t="s">
        <v>665</v>
      </c>
      <c r="D607" s="118" t="s">
        <v>1033</v>
      </c>
      <c r="E607" s="31">
        <v>6</v>
      </c>
      <c r="F607" s="99">
        <v>5</v>
      </c>
      <c r="G607" s="73"/>
      <c r="H607" s="34">
        <f>AVERAGE(L607,P607,U607,Y607,Z607,AG607)</f>
        <v>3.6666666666666665</v>
      </c>
      <c r="I607" s="173"/>
      <c r="J607" s="24"/>
      <c r="K607" s="37" t="s">
        <v>644</v>
      </c>
      <c r="L607" s="24">
        <v>4</v>
      </c>
      <c r="M607" s="37"/>
      <c r="N607" s="76"/>
      <c r="O607" s="26" t="s">
        <v>644</v>
      </c>
      <c r="P607" s="37">
        <v>4</v>
      </c>
      <c r="Q607" s="37" t="s">
        <v>644</v>
      </c>
      <c r="R607" s="23"/>
      <c r="S607" s="76" t="s">
        <v>644</v>
      </c>
      <c r="T607" s="37" t="s">
        <v>644</v>
      </c>
      <c r="U607" s="37">
        <v>4</v>
      </c>
      <c r="V607" s="37"/>
      <c r="W607" s="24"/>
      <c r="X607" s="24"/>
      <c r="Y607" s="76">
        <v>4</v>
      </c>
      <c r="Z607" s="24">
        <v>4</v>
      </c>
      <c r="AA607" s="37"/>
      <c r="AB607" s="24"/>
      <c r="AC607" s="37"/>
      <c r="AD607" s="22"/>
      <c r="AE607" s="24"/>
      <c r="AF607" s="24"/>
      <c r="AG607" s="237">
        <v>2</v>
      </c>
      <c r="AH607" s="24"/>
      <c r="AI607" s="24"/>
      <c r="AJ607" s="26" t="s">
        <v>644</v>
      </c>
      <c r="AK607" s="24"/>
      <c r="AL607" s="26"/>
      <c r="AM607" s="27"/>
      <c r="AN607" s="27"/>
      <c r="AO607" s="37"/>
      <c r="AP607" s="27"/>
      <c r="AQ607" s="27"/>
      <c r="AR607" s="27"/>
      <c r="AS607" s="27"/>
      <c r="AT607" s="27"/>
      <c r="AU607">
        <f>E607 +F607</f>
        <v>11</v>
      </c>
    </row>
    <row r="608" spans="1:47" x14ac:dyDescent="0.25">
      <c r="A608" t="str">
        <f>B608 &amp; " - " &amp;D608</f>
        <v>ESTAC - Grandsir</v>
      </c>
      <c r="B608" t="s">
        <v>1034</v>
      </c>
      <c r="C608" s="29" t="s">
        <v>665</v>
      </c>
      <c r="D608" s="118" t="s">
        <v>1138</v>
      </c>
      <c r="E608" s="31"/>
      <c r="F608" s="99">
        <v>1</v>
      </c>
      <c r="G608" s="73"/>
      <c r="H608" s="34"/>
      <c r="I608" s="173"/>
      <c r="J608" s="24"/>
      <c r="K608" s="37"/>
      <c r="L608" s="24"/>
      <c r="M608" s="37"/>
      <c r="N608" s="76"/>
      <c r="O608" s="26"/>
      <c r="P608" s="37"/>
      <c r="Q608" s="37"/>
      <c r="R608" s="23"/>
      <c r="S608" s="76"/>
      <c r="T608" s="37"/>
      <c r="U608" s="37"/>
      <c r="V608" s="37"/>
      <c r="W608" s="24"/>
      <c r="X608" s="24"/>
      <c r="Y608" s="76"/>
      <c r="Z608" s="24"/>
      <c r="AA608" s="37"/>
      <c r="AB608" s="24"/>
      <c r="AC608" s="37"/>
      <c r="AD608" s="22"/>
      <c r="AE608" s="24"/>
      <c r="AF608" s="24"/>
      <c r="AG608" s="26"/>
      <c r="AH608" s="24"/>
      <c r="AI608" s="24"/>
      <c r="AJ608" s="26"/>
      <c r="AK608" s="24"/>
      <c r="AL608" s="26"/>
      <c r="AM608" s="27"/>
      <c r="AN608" s="27"/>
      <c r="AO608" s="37"/>
      <c r="AP608" s="27"/>
      <c r="AQ608" s="26" t="s">
        <v>644</v>
      </c>
      <c r="AR608" s="27"/>
      <c r="AS608" s="27"/>
      <c r="AT608" s="27"/>
      <c r="AU608">
        <f>E608 +F608</f>
        <v>1</v>
      </c>
    </row>
    <row r="609" spans="1:47" ht="15.75" thickBot="1" x14ac:dyDescent="0.3">
      <c r="A609" t="str">
        <f>B609 &amp; " - " &amp;D609</f>
        <v>SCB - Mostefa</v>
      </c>
      <c r="B609" t="s">
        <v>887</v>
      </c>
      <c r="C609" s="88" t="s">
        <v>654</v>
      </c>
      <c r="D609" s="301" t="s">
        <v>805</v>
      </c>
      <c r="E609" s="90">
        <v>20</v>
      </c>
      <c r="F609" s="119">
        <v>5</v>
      </c>
      <c r="G609" s="278"/>
      <c r="H609" s="120">
        <f>AVERAGE(O609,P609,Q609,W609,X609,Y609,Z609,AE609,AF609,AH609,AJ609,AK609,AI609,AL609,AN609,AO609,AP609,AQ609,AS609,AT609)</f>
        <v>4.6500000000000004</v>
      </c>
      <c r="I609" s="87"/>
      <c r="J609" s="37"/>
      <c r="K609" s="37"/>
      <c r="L609" s="77"/>
      <c r="M609" s="24"/>
      <c r="N609" s="37"/>
      <c r="O609" s="27">
        <v>4</v>
      </c>
      <c r="P609" s="24">
        <v>5</v>
      </c>
      <c r="Q609" s="24">
        <v>4</v>
      </c>
      <c r="R609" s="37"/>
      <c r="S609" s="37"/>
      <c r="T609" s="37" t="s">
        <v>644</v>
      </c>
      <c r="U609" s="24"/>
      <c r="V609" s="37"/>
      <c r="W609" s="24">
        <v>4</v>
      </c>
      <c r="X609" s="24">
        <v>4</v>
      </c>
      <c r="Y609" s="24">
        <v>5</v>
      </c>
      <c r="Z609" s="37">
        <v>4</v>
      </c>
      <c r="AA609" s="37" t="s">
        <v>644</v>
      </c>
      <c r="AB609" s="37" t="s">
        <v>644</v>
      </c>
      <c r="AC609" s="37" t="s">
        <v>644</v>
      </c>
      <c r="AD609" s="37" t="s">
        <v>644</v>
      </c>
      <c r="AE609" s="37">
        <v>5</v>
      </c>
      <c r="AF609" s="24">
        <v>4</v>
      </c>
      <c r="AG609" s="27"/>
      <c r="AH609" s="24">
        <v>6</v>
      </c>
      <c r="AI609" s="24">
        <v>5</v>
      </c>
      <c r="AJ609" s="27">
        <v>5</v>
      </c>
      <c r="AK609" s="24">
        <v>5</v>
      </c>
      <c r="AL609" s="27">
        <v>4</v>
      </c>
      <c r="AM609" s="26"/>
      <c r="AN609" s="27">
        <v>5</v>
      </c>
      <c r="AO609" s="82">
        <v>3</v>
      </c>
      <c r="AP609" s="27">
        <v>5</v>
      </c>
      <c r="AQ609" s="27">
        <v>5</v>
      </c>
      <c r="AR609" s="28"/>
      <c r="AS609" s="27">
        <v>6</v>
      </c>
      <c r="AT609" s="27">
        <v>5</v>
      </c>
      <c r="AU609">
        <f>E609 +F609</f>
        <v>25</v>
      </c>
    </row>
    <row r="610" spans="1:47" x14ac:dyDescent="0.25">
      <c r="A610" t="str">
        <f>B610 &amp; " - " &amp;D610</f>
        <v>SCO - Manceau</v>
      </c>
      <c r="B610" t="s">
        <v>1066</v>
      </c>
      <c r="C610" s="16" t="s">
        <v>641</v>
      </c>
      <c r="D610" s="308" t="s">
        <v>514</v>
      </c>
      <c r="E610" s="18">
        <v>27</v>
      </c>
      <c r="F610" s="95"/>
      <c r="G610" s="158"/>
      <c r="H610" s="20">
        <f>AVERAGE(V610,J610,K610,L610,I610,M610,N610,O610,P610,Q610,R610,S610,T610,U610,W610,X610,AA610,AC610,AD610,AE610,AF610,AH610,AI610,AJ610,AK610,AL610,AM610)</f>
        <v>4.6296296296296298</v>
      </c>
      <c r="I610" s="173">
        <v>5</v>
      </c>
      <c r="J610" s="24">
        <v>5</v>
      </c>
      <c r="K610" s="37">
        <v>5</v>
      </c>
      <c r="L610" s="24">
        <v>5</v>
      </c>
      <c r="M610" s="37">
        <v>4</v>
      </c>
      <c r="N610" s="37">
        <v>5</v>
      </c>
      <c r="O610" s="27">
        <v>5</v>
      </c>
      <c r="P610" s="37">
        <v>4</v>
      </c>
      <c r="Q610" s="24">
        <v>5</v>
      </c>
      <c r="R610" s="23">
        <v>5</v>
      </c>
      <c r="S610" s="24">
        <v>5</v>
      </c>
      <c r="T610" s="24">
        <v>5</v>
      </c>
      <c r="U610" s="24">
        <v>5</v>
      </c>
      <c r="V610" s="37">
        <v>5</v>
      </c>
      <c r="W610" s="24">
        <v>5</v>
      </c>
      <c r="X610" s="27">
        <v>5</v>
      </c>
      <c r="Y610" s="37"/>
      <c r="Z610" s="24"/>
      <c r="AA610" s="24">
        <v>4</v>
      </c>
      <c r="AB610" s="24"/>
      <c r="AC610" s="166">
        <v>3</v>
      </c>
      <c r="AD610" s="82">
        <v>2</v>
      </c>
      <c r="AE610" s="24">
        <v>6</v>
      </c>
      <c r="AF610" s="24">
        <v>4</v>
      </c>
      <c r="AG610" s="27"/>
      <c r="AH610" s="24">
        <v>5</v>
      </c>
      <c r="AI610" s="24">
        <v>4</v>
      </c>
      <c r="AJ610" s="27">
        <v>6</v>
      </c>
      <c r="AK610" s="27">
        <v>5</v>
      </c>
      <c r="AL610" s="252">
        <v>3</v>
      </c>
      <c r="AM610" s="27">
        <v>5</v>
      </c>
      <c r="AN610" s="27"/>
      <c r="AO610" s="37"/>
      <c r="AP610" s="27"/>
      <c r="AQ610" s="27"/>
      <c r="AR610" s="27"/>
      <c r="AS610" s="27"/>
      <c r="AT610" s="27"/>
      <c r="AU610">
        <f>E610 +F610</f>
        <v>27</v>
      </c>
    </row>
    <row r="611" spans="1:47" x14ac:dyDescent="0.25">
      <c r="A611" t="str">
        <f>B611 &amp; " - " &amp;D611</f>
        <v>GFCA - Guerin</v>
      </c>
      <c r="B611" t="s">
        <v>1047</v>
      </c>
      <c r="C611" s="29" t="s">
        <v>638</v>
      </c>
      <c r="D611" s="176" t="s">
        <v>1035</v>
      </c>
      <c r="E611" s="31">
        <v>1</v>
      </c>
      <c r="F611" s="99">
        <v>1</v>
      </c>
      <c r="G611" s="73"/>
      <c r="H611" s="34">
        <f>AVERAGE(X611,Y611)</f>
        <v>5.5</v>
      </c>
      <c r="I611" s="175"/>
      <c r="J611" s="24"/>
      <c r="K611" s="37"/>
      <c r="L611" s="24"/>
      <c r="M611" s="94"/>
      <c r="N611" s="24"/>
      <c r="O611" s="37"/>
      <c r="P611" s="24"/>
      <c r="Q611" s="24"/>
      <c r="R611" s="23"/>
      <c r="S611" s="24"/>
      <c r="T611" s="22"/>
      <c r="U611" s="24"/>
      <c r="V611" s="37"/>
      <c r="W611" s="24"/>
      <c r="X611" s="25">
        <v>7</v>
      </c>
      <c r="Y611" s="37">
        <v>4</v>
      </c>
      <c r="Z611" s="24"/>
      <c r="AA611" s="24"/>
      <c r="AB611" s="24"/>
      <c r="AC611" s="37"/>
      <c r="AD611" s="24"/>
      <c r="AE611" s="24"/>
      <c r="AF611" s="24"/>
      <c r="AG611" s="27"/>
      <c r="AH611" s="24"/>
      <c r="AI611" s="24"/>
      <c r="AJ611" s="99"/>
      <c r="AK611" s="27"/>
      <c r="AL611" s="26"/>
      <c r="AM611" s="27"/>
      <c r="AN611" s="27"/>
      <c r="AO611" s="37"/>
      <c r="AP611" s="27"/>
      <c r="AQ611" s="27"/>
      <c r="AR611" s="27"/>
      <c r="AS611" s="27"/>
      <c r="AT611" s="27"/>
      <c r="AU611">
        <f>E611 +F611</f>
        <v>2</v>
      </c>
    </row>
    <row r="612" spans="1:47" x14ac:dyDescent="0.25">
      <c r="A612" t="str">
        <f>B612 &amp; " - " &amp;D612</f>
        <v>GFCA - Goda</v>
      </c>
      <c r="B612" t="s">
        <v>1047</v>
      </c>
      <c r="C612" s="67" t="s">
        <v>638</v>
      </c>
      <c r="D612" s="153" t="s">
        <v>1036</v>
      </c>
      <c r="E612" s="69">
        <v>3</v>
      </c>
      <c r="F612" s="115"/>
      <c r="G612" s="68"/>
      <c r="H612" s="72">
        <f>AVERAGE(I612,W612)</f>
        <v>6</v>
      </c>
      <c r="I612" s="152">
        <v>7</v>
      </c>
      <c r="J612" s="24"/>
      <c r="K612" s="37"/>
      <c r="L612" s="24"/>
      <c r="M612" s="37"/>
      <c r="N612" s="37"/>
      <c r="O612" s="27"/>
      <c r="P612" s="37"/>
      <c r="Q612" s="24"/>
      <c r="R612" s="23"/>
      <c r="S612" s="24"/>
      <c r="T612" s="24"/>
      <c r="U612" s="24"/>
      <c r="V612" s="37"/>
      <c r="W612" s="24">
        <v>5</v>
      </c>
      <c r="X612" s="23" t="s">
        <v>673</v>
      </c>
      <c r="Y612" s="37"/>
      <c r="Z612" s="24"/>
      <c r="AA612" s="24"/>
      <c r="AB612" s="24"/>
      <c r="AC612" s="37"/>
      <c r="AD612" s="24"/>
      <c r="AE612" s="24"/>
      <c r="AF612" s="24"/>
      <c r="AG612" s="27"/>
      <c r="AH612" s="24"/>
      <c r="AI612" s="24"/>
      <c r="AJ612" s="99"/>
      <c r="AK612" s="27"/>
      <c r="AL612" s="26"/>
      <c r="AM612" s="27"/>
      <c r="AN612" s="27"/>
      <c r="AO612" s="37"/>
      <c r="AP612" s="27"/>
      <c r="AQ612" s="27"/>
      <c r="AR612" s="27"/>
      <c r="AS612" s="27"/>
      <c r="AT612" s="27"/>
      <c r="AU612">
        <f>E612 +F612</f>
        <v>3</v>
      </c>
    </row>
    <row r="613" spans="1:47" x14ac:dyDescent="0.25">
      <c r="A613" t="str">
        <f>B613 &amp; " - " &amp;D613</f>
        <v>FCGB - Crivelli</v>
      </c>
      <c r="B613" t="s">
        <v>796</v>
      </c>
      <c r="C613" s="29" t="s">
        <v>665</v>
      </c>
      <c r="D613" s="38" t="s">
        <v>171</v>
      </c>
      <c r="E613" s="31">
        <v>15</v>
      </c>
      <c r="F613" s="99">
        <v>14</v>
      </c>
      <c r="G613" s="73">
        <v>3</v>
      </c>
      <c r="H613" s="34">
        <f>AVERAGE(K613,L613,M613,O613,S613,T613,U613,V613,X613,Z613,AA613,AG613,AJ613,AM613,AN613,AO613)</f>
        <v>4.625</v>
      </c>
      <c r="I613" s="38"/>
      <c r="J613" s="24"/>
      <c r="K613" s="37">
        <v>5</v>
      </c>
      <c r="L613" s="37">
        <v>6</v>
      </c>
      <c r="M613" s="24">
        <v>5</v>
      </c>
      <c r="N613" s="77" t="s">
        <v>644</v>
      </c>
      <c r="O613" s="27">
        <v>5</v>
      </c>
      <c r="P613" s="37"/>
      <c r="Q613" s="24"/>
      <c r="R613" s="37" t="s">
        <v>644</v>
      </c>
      <c r="S613" s="24">
        <v>5</v>
      </c>
      <c r="T613" s="24">
        <v>4</v>
      </c>
      <c r="U613" s="24">
        <v>5</v>
      </c>
      <c r="V613" s="25">
        <v>7</v>
      </c>
      <c r="W613" s="77" t="s">
        <v>644</v>
      </c>
      <c r="X613" s="37">
        <v>4</v>
      </c>
      <c r="Y613" s="24"/>
      <c r="Z613" s="37">
        <v>5</v>
      </c>
      <c r="AA613" s="24">
        <v>5</v>
      </c>
      <c r="AB613" s="37" t="s">
        <v>644</v>
      </c>
      <c r="AC613" s="24"/>
      <c r="AD613" s="37" t="s">
        <v>644</v>
      </c>
      <c r="AE613" s="37" t="s">
        <v>644</v>
      </c>
      <c r="AF613" s="37" t="s">
        <v>644</v>
      </c>
      <c r="AG613" s="237">
        <v>3</v>
      </c>
      <c r="AH613" s="24"/>
      <c r="AI613" s="24"/>
      <c r="AJ613" s="237">
        <v>3</v>
      </c>
      <c r="AK613" s="26"/>
      <c r="AL613" s="26" t="s">
        <v>644</v>
      </c>
      <c r="AM613" s="27">
        <v>4</v>
      </c>
      <c r="AN613" s="27">
        <v>4</v>
      </c>
      <c r="AO613" s="24">
        <v>4</v>
      </c>
      <c r="AP613" s="26" t="s">
        <v>644</v>
      </c>
      <c r="AQ613" s="26" t="s">
        <v>644</v>
      </c>
      <c r="AR613" s="26" t="s">
        <v>644</v>
      </c>
      <c r="AS613" s="139" t="s">
        <v>644</v>
      </c>
      <c r="AT613" s="26" t="s">
        <v>644</v>
      </c>
      <c r="AU613">
        <f>E613 +F613</f>
        <v>29</v>
      </c>
    </row>
    <row r="614" spans="1:47" x14ac:dyDescent="0.25">
      <c r="A614" t="str">
        <f>B614 &amp; " - " &amp;D614</f>
        <v>GFCA - Bréchet</v>
      </c>
      <c r="B614" t="s">
        <v>1047</v>
      </c>
      <c r="C614" s="29" t="s">
        <v>641</v>
      </c>
      <c r="D614" s="154" t="s">
        <v>566</v>
      </c>
      <c r="E614" s="31">
        <v>23</v>
      </c>
      <c r="F614" s="99"/>
      <c r="G614" s="73"/>
      <c r="H614" s="34">
        <f>AVERAGE(AB614,Z614,M614,N614,O614,Q614,R614,S614,T614,U614,V614,W614,Y614,AA614,AC614,AD614,AE614,AF614,AM614,AN614,AO614)</f>
        <v>4.8571428571428568</v>
      </c>
      <c r="I614" s="173"/>
      <c r="J614" s="24"/>
      <c r="K614" s="37"/>
      <c r="L614" s="24"/>
      <c r="M614" s="37">
        <v>5</v>
      </c>
      <c r="N614" s="37">
        <v>4</v>
      </c>
      <c r="O614" s="27">
        <v>5</v>
      </c>
      <c r="P614" s="37"/>
      <c r="Q614" s="23">
        <v>5</v>
      </c>
      <c r="R614" s="23">
        <v>5</v>
      </c>
      <c r="S614" s="24">
        <v>5</v>
      </c>
      <c r="T614" s="24">
        <v>6</v>
      </c>
      <c r="U614" s="24">
        <v>5</v>
      </c>
      <c r="V614" s="37">
        <v>5</v>
      </c>
      <c r="W614" s="24">
        <v>6</v>
      </c>
      <c r="X614" s="24"/>
      <c r="Y614" s="37">
        <v>5</v>
      </c>
      <c r="Z614" s="24">
        <v>5</v>
      </c>
      <c r="AA614" s="24">
        <v>5</v>
      </c>
      <c r="AB614" s="24">
        <v>6</v>
      </c>
      <c r="AC614" s="37">
        <v>5</v>
      </c>
      <c r="AD614" s="24">
        <v>4</v>
      </c>
      <c r="AE614" s="24">
        <v>4</v>
      </c>
      <c r="AF614" s="24">
        <v>4</v>
      </c>
      <c r="AG614" s="27"/>
      <c r="AH614" s="24" t="s">
        <v>673</v>
      </c>
      <c r="AI614" s="24"/>
      <c r="AJ614" s="99"/>
      <c r="AK614" s="27"/>
      <c r="AL614" s="26"/>
      <c r="AM614" s="27">
        <v>4</v>
      </c>
      <c r="AN614" s="27">
        <v>4</v>
      </c>
      <c r="AO614" s="37">
        <v>5</v>
      </c>
      <c r="AP614" s="27" t="s">
        <v>673</v>
      </c>
      <c r="AQ614" s="27"/>
      <c r="AR614" s="27"/>
      <c r="AS614" s="27"/>
      <c r="AT614" s="27"/>
      <c r="AU614">
        <f>E614 +F614</f>
        <v>23</v>
      </c>
    </row>
    <row r="615" spans="1:47" x14ac:dyDescent="0.25">
      <c r="A615" t="str">
        <f>B615 &amp; " - " &amp;D615</f>
        <v>EAG - Jacobsen</v>
      </c>
      <c r="B615" t="s">
        <v>999</v>
      </c>
      <c r="C615" s="29" t="s">
        <v>641</v>
      </c>
      <c r="D615" s="60" t="s">
        <v>976</v>
      </c>
      <c r="E615" s="31">
        <v>30</v>
      </c>
      <c r="F615" s="99">
        <v>1</v>
      </c>
      <c r="G615" s="73"/>
      <c r="H615" s="34">
        <f>AVERAGE(X615,W615,V615,J615,L615,I615,M615,N615,O615,P615,Q615,R615,S615,T615,U615,Z615,AB615,AE615,AG615,AF615,AH615,AI615,AJ615,AK615,AL615,AM615,AN615,AO615,AP615,AQ615,AR615,AT615)</f>
        <v>4.625</v>
      </c>
      <c r="I615" s="173">
        <v>4</v>
      </c>
      <c r="J615" s="223">
        <v>5</v>
      </c>
      <c r="K615" s="155"/>
      <c r="L615" s="24">
        <v>5</v>
      </c>
      <c r="M615" s="37">
        <v>5</v>
      </c>
      <c r="N615" s="37">
        <v>5</v>
      </c>
      <c r="O615" s="27">
        <v>4</v>
      </c>
      <c r="P615" s="37">
        <v>4</v>
      </c>
      <c r="Q615" s="24">
        <v>5</v>
      </c>
      <c r="R615" s="23">
        <v>4</v>
      </c>
      <c r="S615" s="24">
        <v>5</v>
      </c>
      <c r="T615" s="24">
        <v>5</v>
      </c>
      <c r="U615" s="24">
        <v>4</v>
      </c>
      <c r="V615" s="37">
        <v>5</v>
      </c>
      <c r="W615" s="24">
        <v>4</v>
      </c>
      <c r="X615" s="24">
        <v>5</v>
      </c>
      <c r="Y615" s="77"/>
      <c r="Z615" s="24">
        <v>5</v>
      </c>
      <c r="AA615" s="24"/>
      <c r="AB615" s="24">
        <v>5</v>
      </c>
      <c r="AC615" s="37"/>
      <c r="AD615" s="24"/>
      <c r="AE615" s="24">
        <v>5</v>
      </c>
      <c r="AF615" s="37">
        <v>5</v>
      </c>
      <c r="AG615" s="27">
        <v>5</v>
      </c>
      <c r="AH615" s="82">
        <v>3</v>
      </c>
      <c r="AI615" s="82">
        <v>3</v>
      </c>
      <c r="AJ615" s="27">
        <v>6</v>
      </c>
      <c r="AK615" s="237">
        <v>3</v>
      </c>
      <c r="AL615" s="193">
        <v>7</v>
      </c>
      <c r="AM615" s="27">
        <v>5</v>
      </c>
      <c r="AN615" s="27">
        <v>4</v>
      </c>
      <c r="AO615" s="37">
        <v>4</v>
      </c>
      <c r="AP615" s="27">
        <v>6</v>
      </c>
      <c r="AQ615" s="27">
        <v>5</v>
      </c>
      <c r="AR615" s="27">
        <v>4</v>
      </c>
      <c r="AS615" s="27"/>
      <c r="AT615" s="27">
        <v>4</v>
      </c>
      <c r="AU615">
        <f>E615 +F615</f>
        <v>31</v>
      </c>
    </row>
    <row r="616" spans="1:47" x14ac:dyDescent="0.25">
      <c r="A616" t="str">
        <f>B616 &amp; " - " &amp;D616</f>
        <v>GFCA - Touré</v>
      </c>
      <c r="B616" t="s">
        <v>1047</v>
      </c>
      <c r="C616" s="29" t="s">
        <v>641</v>
      </c>
      <c r="D616" s="154" t="s">
        <v>48</v>
      </c>
      <c r="E616" s="31">
        <v>11</v>
      </c>
      <c r="F616" s="99">
        <v>2</v>
      </c>
      <c r="G616" s="73">
        <v>1</v>
      </c>
      <c r="H616" s="34">
        <f>AVERAGE(R616,AE616,AG616,AH616,AI616,AK616,AM616,AQ616,AR616,AS616,AT616)</f>
        <v>4.5454545454545459</v>
      </c>
      <c r="I616" s="173"/>
      <c r="J616" s="24"/>
      <c r="K616" s="37"/>
      <c r="L616" s="24"/>
      <c r="M616" s="37"/>
      <c r="N616" s="37"/>
      <c r="O616" s="27"/>
      <c r="P616" s="37"/>
      <c r="Q616" s="24"/>
      <c r="R616" s="23">
        <v>6</v>
      </c>
      <c r="S616" s="24"/>
      <c r="T616" s="24"/>
      <c r="U616" s="24"/>
      <c r="V616" s="37"/>
      <c r="W616" s="24"/>
      <c r="X616" s="22"/>
      <c r="Y616" s="37"/>
      <c r="Z616" s="24"/>
      <c r="AA616" s="24"/>
      <c r="AB616" s="24"/>
      <c r="AC616" s="77"/>
      <c r="AD616" s="24"/>
      <c r="AE616" s="24">
        <v>4</v>
      </c>
      <c r="AF616" s="24"/>
      <c r="AG616" s="27">
        <v>5</v>
      </c>
      <c r="AH616" s="24">
        <v>4</v>
      </c>
      <c r="AI616" s="24">
        <v>5</v>
      </c>
      <c r="AJ616" s="99"/>
      <c r="AK616" s="26">
        <v>4</v>
      </c>
      <c r="AL616" s="26" t="s">
        <v>644</v>
      </c>
      <c r="AM616" s="27">
        <v>5</v>
      </c>
      <c r="AN616" s="26"/>
      <c r="AO616" s="37"/>
      <c r="AP616" s="94" t="s">
        <v>644</v>
      </c>
      <c r="AQ616" s="27">
        <v>5</v>
      </c>
      <c r="AR616" s="27">
        <v>5</v>
      </c>
      <c r="AS616" s="237">
        <v>3</v>
      </c>
      <c r="AT616" s="27">
        <v>4</v>
      </c>
      <c r="AU616">
        <f>E616 +F616</f>
        <v>13</v>
      </c>
    </row>
    <row r="617" spans="1:47" x14ac:dyDescent="0.25">
      <c r="A617" t="str">
        <f>B617 &amp; " - " &amp;D617</f>
        <v>ESTAC - Jean</v>
      </c>
      <c r="B617" t="s">
        <v>1034</v>
      </c>
      <c r="C617" s="29" t="s">
        <v>665</v>
      </c>
      <c r="D617" s="38" t="s">
        <v>109</v>
      </c>
      <c r="E617" s="31">
        <v>30</v>
      </c>
      <c r="F617" s="99">
        <v>4</v>
      </c>
      <c r="G617" s="73">
        <v>4</v>
      </c>
      <c r="H617" s="34">
        <f>AVERAGE(Z617,J617,K617,L617,M617,I617,N617,O617,Q617,R617,S617,V617,W617,X617,Y617,AB617,AC617,AD617,AE617,AF617,AK617,AL617,AM617,AN617,AO617,AP617,AQ617,AR617,AS617)</f>
        <v>4.6206896551724137</v>
      </c>
      <c r="I617" s="116">
        <v>5</v>
      </c>
      <c r="J617" s="22">
        <v>6</v>
      </c>
      <c r="K617" s="37">
        <v>4</v>
      </c>
      <c r="L617" s="24">
        <v>5</v>
      </c>
      <c r="M617" s="37">
        <v>4</v>
      </c>
      <c r="N617" s="76">
        <v>5</v>
      </c>
      <c r="O617" s="27">
        <v>5</v>
      </c>
      <c r="P617" s="37" t="s">
        <v>644</v>
      </c>
      <c r="Q617" s="24">
        <v>5</v>
      </c>
      <c r="R617" s="23">
        <v>4</v>
      </c>
      <c r="S617" s="23">
        <v>4</v>
      </c>
      <c r="T617" s="24" t="s">
        <v>655</v>
      </c>
      <c r="U617" s="37"/>
      <c r="V617" s="77">
        <v>6</v>
      </c>
      <c r="W617" s="24">
        <v>4</v>
      </c>
      <c r="X617" s="24">
        <v>5</v>
      </c>
      <c r="Y617" s="76">
        <v>5</v>
      </c>
      <c r="Z617" s="24">
        <v>4</v>
      </c>
      <c r="AA617" s="37"/>
      <c r="AB617" s="24">
        <v>4</v>
      </c>
      <c r="AC617" s="77">
        <v>6</v>
      </c>
      <c r="AD617" s="23">
        <v>4</v>
      </c>
      <c r="AE617" s="37">
        <v>6</v>
      </c>
      <c r="AF617" s="82">
        <v>3</v>
      </c>
      <c r="AG617" s="139" t="s">
        <v>644</v>
      </c>
      <c r="AH617" s="76" t="s">
        <v>644</v>
      </c>
      <c r="AI617" s="22"/>
      <c r="AJ617" s="26" t="s">
        <v>644</v>
      </c>
      <c r="AK617" s="139">
        <v>6</v>
      </c>
      <c r="AL617" s="252">
        <v>3</v>
      </c>
      <c r="AM617" s="139">
        <v>4</v>
      </c>
      <c r="AN617" s="27">
        <v>4</v>
      </c>
      <c r="AO617" s="37">
        <v>5</v>
      </c>
      <c r="AP617" s="27">
        <v>6</v>
      </c>
      <c r="AQ617" s="252">
        <v>3</v>
      </c>
      <c r="AR617" s="28">
        <v>6</v>
      </c>
      <c r="AS617" s="237">
        <v>3</v>
      </c>
      <c r="AT617" s="26"/>
      <c r="AU617">
        <f>E617 +F617</f>
        <v>34</v>
      </c>
    </row>
    <row r="618" spans="1:47" x14ac:dyDescent="0.25">
      <c r="A618" t="str">
        <f>B618 &amp; " - " &amp;D618</f>
        <v>FCN - Vizcarrondo</v>
      </c>
      <c r="B618" t="s">
        <v>955</v>
      </c>
      <c r="C618" s="29" t="s">
        <v>641</v>
      </c>
      <c r="D618" s="30" t="s">
        <v>199</v>
      </c>
      <c r="E618" s="31">
        <v>29</v>
      </c>
      <c r="F618" s="99">
        <v>1</v>
      </c>
      <c r="G618" s="73"/>
      <c r="H618" s="34">
        <f>AVERAGE(AA618,P618,O618,S618,T618,Q618,U618,W618,X618,Y618,Z618,AB618,AC618,AD618,AE618,AF618,AG618,AH618,AJ618,AK618,AI618,AL618,AM618,AN618,AO618,AP618,AQ618,AR618,AT618)</f>
        <v>4.6206896551724137</v>
      </c>
      <c r="I618" s="87"/>
      <c r="J618" s="37" t="s">
        <v>644</v>
      </c>
      <c r="K618" s="37"/>
      <c r="L618" s="24"/>
      <c r="M618" s="24"/>
      <c r="N618" s="24"/>
      <c r="O618" s="27">
        <v>5</v>
      </c>
      <c r="P618" s="24">
        <v>4</v>
      </c>
      <c r="Q618" s="24">
        <v>4</v>
      </c>
      <c r="R618" s="24"/>
      <c r="S618" s="24">
        <v>5</v>
      </c>
      <c r="T618" s="24">
        <v>5</v>
      </c>
      <c r="U618" s="23">
        <v>4</v>
      </c>
      <c r="V618" s="24"/>
      <c r="W618" s="24">
        <v>5</v>
      </c>
      <c r="X618" s="24">
        <v>5</v>
      </c>
      <c r="Y618" s="24">
        <v>4</v>
      </c>
      <c r="Z618" s="24">
        <v>5</v>
      </c>
      <c r="AA618" s="24">
        <v>6</v>
      </c>
      <c r="AB618" s="24">
        <v>6</v>
      </c>
      <c r="AC618" s="24">
        <v>4</v>
      </c>
      <c r="AD618" s="24">
        <v>5</v>
      </c>
      <c r="AE618" s="76">
        <v>5</v>
      </c>
      <c r="AF618" s="24">
        <v>6</v>
      </c>
      <c r="AG618" s="26">
        <v>5</v>
      </c>
      <c r="AH618" s="37">
        <v>5</v>
      </c>
      <c r="AI618" s="24">
        <v>5</v>
      </c>
      <c r="AJ618" s="26">
        <v>5</v>
      </c>
      <c r="AK618" s="237">
        <v>3</v>
      </c>
      <c r="AL618" s="27">
        <v>5</v>
      </c>
      <c r="AM618" s="27">
        <v>4</v>
      </c>
      <c r="AN618" s="237">
        <v>3</v>
      </c>
      <c r="AO618" s="24">
        <v>4</v>
      </c>
      <c r="AP618" s="27">
        <v>4</v>
      </c>
      <c r="AQ618" s="27">
        <v>4</v>
      </c>
      <c r="AR618" s="26">
        <v>6</v>
      </c>
      <c r="AS618" s="27"/>
      <c r="AT618" s="237">
        <v>3</v>
      </c>
      <c r="AU618">
        <f>E618 +F618</f>
        <v>30</v>
      </c>
    </row>
    <row r="619" spans="1:47" x14ac:dyDescent="0.25">
      <c r="A619" t="str">
        <f>B619 &amp; " - " &amp;D619</f>
        <v>MHSC - Deplagne</v>
      </c>
      <c r="B619" t="s">
        <v>838</v>
      </c>
      <c r="C619" s="29" t="s">
        <v>641</v>
      </c>
      <c r="D619" s="30" t="s">
        <v>820</v>
      </c>
      <c r="E619" s="31">
        <v>21</v>
      </c>
      <c r="F619" s="99">
        <v>4</v>
      </c>
      <c r="G619" s="73"/>
      <c r="H619" s="34">
        <f>AVERAGE(AA619,J619,I619,M619,N619,O619,R619,S619,T619,U619,W619,Y619,AB619,AC619,AE619,AF619,AM619,AN619,AR619,AS619,AT619)</f>
        <v>4.6190476190476186</v>
      </c>
      <c r="I619" s="171">
        <v>5</v>
      </c>
      <c r="J619" s="37">
        <v>4</v>
      </c>
      <c r="K619" s="37" t="s">
        <v>644</v>
      </c>
      <c r="L619" s="37" t="s">
        <v>644</v>
      </c>
      <c r="M619" s="24">
        <v>5</v>
      </c>
      <c r="N619" s="24">
        <v>5</v>
      </c>
      <c r="O619" s="27">
        <v>5</v>
      </c>
      <c r="P619" s="24"/>
      <c r="Q619" s="24"/>
      <c r="R619" s="24">
        <v>6</v>
      </c>
      <c r="S619" s="24">
        <v>5</v>
      </c>
      <c r="T619" s="24">
        <v>4</v>
      </c>
      <c r="U619" s="24">
        <v>4</v>
      </c>
      <c r="V619" s="37" t="s">
        <v>644</v>
      </c>
      <c r="W619" s="24">
        <v>5</v>
      </c>
      <c r="X619" s="24"/>
      <c r="Y619" s="24">
        <v>5</v>
      </c>
      <c r="Z619" s="37" t="s">
        <v>677</v>
      </c>
      <c r="AA619" s="37">
        <v>4</v>
      </c>
      <c r="AB619" s="37">
        <v>5</v>
      </c>
      <c r="AC619" s="37">
        <v>4</v>
      </c>
      <c r="AD619" s="37"/>
      <c r="AE619" s="37">
        <v>6</v>
      </c>
      <c r="AF619" s="24">
        <v>4</v>
      </c>
      <c r="AG619" s="27"/>
      <c r="AH619" s="24"/>
      <c r="AI619" s="24"/>
      <c r="AJ619" s="27"/>
      <c r="AK619" s="26"/>
      <c r="AL619" s="27"/>
      <c r="AM619" s="252">
        <v>3</v>
      </c>
      <c r="AN619" s="27">
        <v>4</v>
      </c>
      <c r="AO619" s="24"/>
      <c r="AP619" s="27"/>
      <c r="AQ619" s="27"/>
      <c r="AR619" s="27">
        <v>4</v>
      </c>
      <c r="AS619" s="27">
        <v>6</v>
      </c>
      <c r="AT619" s="27">
        <v>4</v>
      </c>
      <c r="AU619">
        <f>E619 +F619</f>
        <v>25</v>
      </c>
    </row>
    <row r="620" spans="1:47" x14ac:dyDescent="0.25">
      <c r="A620" t="str">
        <f>B620 &amp; " - " &amp;D620</f>
        <v>SMC - Bazile</v>
      </c>
      <c r="B620" t="s">
        <v>1010</v>
      </c>
      <c r="C620" s="67" t="s">
        <v>665</v>
      </c>
      <c r="D620" s="156" t="s">
        <v>582</v>
      </c>
      <c r="E620" s="69">
        <v>11</v>
      </c>
      <c r="F620" s="115">
        <v>13</v>
      </c>
      <c r="G620" s="68"/>
      <c r="H620" s="34">
        <f>AVERAGE(J620,M620,N620,O620,T620,Y620,AC620,AI620,AK620,AL620,AM620,AN620,AO620)</f>
        <v>4.615384615384615</v>
      </c>
      <c r="I620" s="87" t="s">
        <v>644</v>
      </c>
      <c r="J620" s="24">
        <v>4</v>
      </c>
      <c r="K620" s="76" t="s">
        <v>644</v>
      </c>
      <c r="L620" s="37" t="s">
        <v>644</v>
      </c>
      <c r="M620" s="37">
        <v>4</v>
      </c>
      <c r="N620" s="37">
        <v>6</v>
      </c>
      <c r="O620" s="27">
        <v>5</v>
      </c>
      <c r="P620" s="37" t="s">
        <v>644</v>
      </c>
      <c r="Q620" s="37" t="s">
        <v>644</v>
      </c>
      <c r="R620" s="22"/>
      <c r="S620" s="24"/>
      <c r="T620" s="24">
        <v>4</v>
      </c>
      <c r="U620" s="24"/>
      <c r="V620" s="37" t="s">
        <v>644</v>
      </c>
      <c r="W620" s="37" t="s">
        <v>644</v>
      </c>
      <c r="X620" s="37" t="s">
        <v>644</v>
      </c>
      <c r="Y620" s="37">
        <v>4</v>
      </c>
      <c r="Z620" s="37"/>
      <c r="AA620" s="37" t="s">
        <v>644</v>
      </c>
      <c r="AB620" s="24"/>
      <c r="AC620" s="37">
        <v>4</v>
      </c>
      <c r="AD620" s="24"/>
      <c r="AE620" s="24"/>
      <c r="AF620" s="24"/>
      <c r="AG620" s="28"/>
      <c r="AH620" s="22"/>
      <c r="AI620" s="66">
        <v>7</v>
      </c>
      <c r="AJ620" s="26" t="s">
        <v>644</v>
      </c>
      <c r="AK620" s="142">
        <v>4</v>
      </c>
      <c r="AL620" s="26">
        <v>4</v>
      </c>
      <c r="AM620" s="27">
        <v>6</v>
      </c>
      <c r="AN620" s="237">
        <v>3</v>
      </c>
      <c r="AO620" s="37">
        <v>5</v>
      </c>
      <c r="AP620" s="26" t="s">
        <v>644</v>
      </c>
      <c r="AQ620" s="27"/>
      <c r="AR620" s="26" t="s">
        <v>644</v>
      </c>
      <c r="AS620" s="26"/>
      <c r="AT620" s="28"/>
      <c r="AU620">
        <f>E620 +F620</f>
        <v>24</v>
      </c>
    </row>
    <row r="621" spans="1:47" x14ac:dyDescent="0.25">
      <c r="A621" t="str">
        <f>B621 &amp; " - " &amp;D621</f>
        <v>GFCA - Poggi</v>
      </c>
      <c r="B621" t="s">
        <v>1047</v>
      </c>
      <c r="C621" s="29" t="s">
        <v>654</v>
      </c>
      <c r="D621" s="65" t="s">
        <v>1038</v>
      </c>
      <c r="E621" s="31">
        <v>9</v>
      </c>
      <c r="F621" s="99">
        <v>6</v>
      </c>
      <c r="G621" s="73"/>
      <c r="H621" s="125">
        <f>AVERAGE(U621,V621,X621,AG621,AI621,AO621,AP621,AQ621,AR621)</f>
        <v>4.4444444444444446</v>
      </c>
      <c r="I621" s="87"/>
      <c r="J621" s="24"/>
      <c r="K621" s="77"/>
      <c r="L621" s="24"/>
      <c r="M621" s="37"/>
      <c r="N621" s="37"/>
      <c r="O621" s="26" t="s">
        <v>644</v>
      </c>
      <c r="P621" s="37"/>
      <c r="Q621" s="37" t="s">
        <v>644</v>
      </c>
      <c r="R621" s="22"/>
      <c r="S621" s="37" t="s">
        <v>644</v>
      </c>
      <c r="T621" s="24"/>
      <c r="U621" s="24">
        <v>5</v>
      </c>
      <c r="V621" s="37">
        <v>4</v>
      </c>
      <c r="W621" s="24"/>
      <c r="X621" s="24">
        <v>4</v>
      </c>
      <c r="Y621" s="37" t="s">
        <v>644</v>
      </c>
      <c r="Z621" s="37" t="s">
        <v>644</v>
      </c>
      <c r="AA621" s="24"/>
      <c r="AB621" s="24"/>
      <c r="AC621" s="37"/>
      <c r="AD621" s="24"/>
      <c r="AE621" s="24"/>
      <c r="AF621" s="24"/>
      <c r="AG621" s="142">
        <v>5</v>
      </c>
      <c r="AH621" s="22"/>
      <c r="AI621" s="24">
        <v>5</v>
      </c>
      <c r="AJ621" s="99"/>
      <c r="AK621" s="27"/>
      <c r="AL621" s="26"/>
      <c r="AM621" s="26" t="s">
        <v>644</v>
      </c>
      <c r="AN621" s="27"/>
      <c r="AO621" s="37">
        <v>4</v>
      </c>
      <c r="AP621" s="27">
        <v>4</v>
      </c>
      <c r="AQ621" s="27">
        <v>5</v>
      </c>
      <c r="AR621" s="26">
        <v>4</v>
      </c>
      <c r="AS621" s="26"/>
      <c r="AT621" s="28"/>
      <c r="AU621">
        <f>E621 +F621</f>
        <v>15</v>
      </c>
    </row>
    <row r="622" spans="1:47" x14ac:dyDescent="0.25">
      <c r="A622" t="str">
        <f>B622 &amp; " - " &amp;D622</f>
        <v>FCN - Sigthorsson</v>
      </c>
      <c r="B622" t="s">
        <v>955</v>
      </c>
      <c r="C622" s="29" t="s">
        <v>665</v>
      </c>
      <c r="D622" s="65" t="s">
        <v>951</v>
      </c>
      <c r="E622" s="31">
        <v>19</v>
      </c>
      <c r="F622" s="99">
        <v>7</v>
      </c>
      <c r="G622" s="73">
        <v>3</v>
      </c>
      <c r="H622" s="34">
        <f>AVERAGE(J622,K622,L622,M622,O622,Q622,U622,V622,W622,Y622,AC622,AD622,AE622,AJ622,AK622,AI622,AL622,AM622,AN622,AO622)</f>
        <v>4.5999999999999996</v>
      </c>
      <c r="I622" s="87" t="s">
        <v>644</v>
      </c>
      <c r="J622" s="24">
        <v>4</v>
      </c>
      <c r="K622" s="37">
        <v>4</v>
      </c>
      <c r="L622" s="24">
        <v>5</v>
      </c>
      <c r="M622" s="37">
        <v>4</v>
      </c>
      <c r="N622" s="24"/>
      <c r="O622" s="26">
        <v>5</v>
      </c>
      <c r="P622" s="24"/>
      <c r="Q622" s="75">
        <v>7</v>
      </c>
      <c r="R622" s="76" t="s">
        <v>644</v>
      </c>
      <c r="S622" s="37"/>
      <c r="T622" s="37" t="s">
        <v>644</v>
      </c>
      <c r="U622" s="24">
        <v>4</v>
      </c>
      <c r="V622" s="24">
        <v>4</v>
      </c>
      <c r="W622" s="24">
        <v>5</v>
      </c>
      <c r="X622" s="37" t="s">
        <v>644</v>
      </c>
      <c r="Y622" s="24">
        <v>4</v>
      </c>
      <c r="Z622" s="24"/>
      <c r="AA622" s="24"/>
      <c r="AB622" s="77" t="s">
        <v>644</v>
      </c>
      <c r="AC622" s="37">
        <v>4</v>
      </c>
      <c r="AD622" s="25">
        <v>7</v>
      </c>
      <c r="AE622" s="37">
        <v>5</v>
      </c>
      <c r="AF622" s="24"/>
      <c r="AG622" s="26"/>
      <c r="AH622" s="37" t="s">
        <v>644</v>
      </c>
      <c r="AI622" s="24">
        <v>4</v>
      </c>
      <c r="AJ622" s="26">
        <v>5</v>
      </c>
      <c r="AK622" s="27">
        <v>4</v>
      </c>
      <c r="AL622" s="27">
        <v>5</v>
      </c>
      <c r="AM622" s="27">
        <v>4</v>
      </c>
      <c r="AN622" s="27">
        <v>4</v>
      </c>
      <c r="AO622" s="24">
        <v>4</v>
      </c>
      <c r="AP622" s="27"/>
      <c r="AQ622" s="27"/>
      <c r="AR622" s="27"/>
      <c r="AS622" s="27"/>
      <c r="AT622" s="27"/>
      <c r="AU622">
        <f>E622 +F622</f>
        <v>26</v>
      </c>
    </row>
    <row r="623" spans="1:47" x14ac:dyDescent="0.25">
      <c r="A623" t="str">
        <f>B623 &amp; " - " &amp;D623</f>
        <v>SCO - Sunu</v>
      </c>
      <c r="B623" t="s">
        <v>1066</v>
      </c>
      <c r="C623" s="29" t="s">
        <v>665</v>
      </c>
      <c r="D623" s="60" t="s">
        <v>191</v>
      </c>
      <c r="E623" s="31">
        <v>32</v>
      </c>
      <c r="F623" s="99"/>
      <c r="G623" s="73">
        <v>2</v>
      </c>
      <c r="H623" s="34">
        <f>AVERAGE(Z623,J623,K623,L623,I623,R623,S623,T623,U623,V623,W623,X623,Y623,AA623,AB623,AC623,AD623,AE623,AF623,AG623,AH623,AJ623,AK623,AL623,AM623,AN623,AO623,AP623,AQ623,AR623,AS623,AT623)</f>
        <v>4.59375</v>
      </c>
      <c r="I623" s="175">
        <v>6</v>
      </c>
      <c r="J623" s="24">
        <v>5</v>
      </c>
      <c r="K623" s="37">
        <v>4</v>
      </c>
      <c r="L623" s="24">
        <v>4</v>
      </c>
      <c r="M623" s="37"/>
      <c r="N623" s="37"/>
      <c r="O623" s="27"/>
      <c r="P623" s="37"/>
      <c r="Q623" s="24"/>
      <c r="R623" s="23">
        <v>5</v>
      </c>
      <c r="S623" s="24">
        <v>5</v>
      </c>
      <c r="T623" s="24">
        <v>5</v>
      </c>
      <c r="U623" s="37">
        <v>4</v>
      </c>
      <c r="V623" s="37">
        <v>4</v>
      </c>
      <c r="W623" s="22">
        <v>6</v>
      </c>
      <c r="X623" s="24">
        <v>4</v>
      </c>
      <c r="Y623" s="37">
        <v>5</v>
      </c>
      <c r="Z623" s="24">
        <v>4</v>
      </c>
      <c r="AA623" s="37">
        <v>4</v>
      </c>
      <c r="AB623" s="24">
        <v>5</v>
      </c>
      <c r="AC623" s="76">
        <v>4</v>
      </c>
      <c r="AD623" s="23">
        <v>4</v>
      </c>
      <c r="AE623" s="24">
        <v>6</v>
      </c>
      <c r="AF623" s="23">
        <v>4</v>
      </c>
      <c r="AG623" s="27">
        <v>4</v>
      </c>
      <c r="AH623" s="24">
        <v>4</v>
      </c>
      <c r="AI623" s="37"/>
      <c r="AJ623" s="142">
        <v>4</v>
      </c>
      <c r="AK623" s="27">
        <v>4</v>
      </c>
      <c r="AL623" s="26">
        <v>4</v>
      </c>
      <c r="AM623" s="27">
        <v>6</v>
      </c>
      <c r="AN623" s="27">
        <v>5</v>
      </c>
      <c r="AO623" s="37">
        <v>5</v>
      </c>
      <c r="AP623" s="26">
        <v>5</v>
      </c>
      <c r="AQ623" s="27">
        <v>5</v>
      </c>
      <c r="AR623" s="142">
        <v>5</v>
      </c>
      <c r="AS623" s="142">
        <v>4</v>
      </c>
      <c r="AT623" s="27">
        <v>4</v>
      </c>
      <c r="AU623">
        <f>E623 +F623</f>
        <v>32</v>
      </c>
    </row>
    <row r="624" spans="1:47" x14ac:dyDescent="0.25">
      <c r="A624" t="str">
        <f>B624 &amp; " - " &amp;D624</f>
        <v>SMC - Yahia</v>
      </c>
      <c r="B624" t="s">
        <v>1010</v>
      </c>
      <c r="C624" s="29" t="s">
        <v>641</v>
      </c>
      <c r="D624" s="154" t="s">
        <v>510</v>
      </c>
      <c r="E624" s="31">
        <v>26</v>
      </c>
      <c r="F624" s="99"/>
      <c r="G624" s="114" t="s">
        <v>970</v>
      </c>
      <c r="H624" s="34">
        <f>AVERAGE(J624,I624,M624,N624,P624,Q624,R624,S624,T624,U624,Y624,AB624,AC624,AD624,AH624,AI624,AJ624,AK624,AL624,AM624,AN624,AO624,AP624,AQ624,AR624)</f>
        <v>4.583333333333333</v>
      </c>
      <c r="I624" s="116">
        <v>5</v>
      </c>
      <c r="J624" s="24">
        <v>6</v>
      </c>
      <c r="K624" s="37"/>
      <c r="L624" s="24"/>
      <c r="M624" s="37">
        <v>5</v>
      </c>
      <c r="N624" s="37">
        <v>5</v>
      </c>
      <c r="O624" s="27"/>
      <c r="P624" s="37">
        <v>5</v>
      </c>
      <c r="Q624" s="24">
        <v>5</v>
      </c>
      <c r="R624" s="23">
        <v>6</v>
      </c>
      <c r="S624" s="24">
        <v>5</v>
      </c>
      <c r="T624" s="24">
        <v>5</v>
      </c>
      <c r="U624" s="24">
        <v>5</v>
      </c>
      <c r="V624" s="37" t="s">
        <v>655</v>
      </c>
      <c r="W624" s="24"/>
      <c r="X624" s="22"/>
      <c r="Y624" s="37">
        <v>4</v>
      </c>
      <c r="Z624" s="24"/>
      <c r="AA624" s="24"/>
      <c r="AB624" s="24">
        <v>4</v>
      </c>
      <c r="AC624" s="234">
        <v>3</v>
      </c>
      <c r="AD624" s="24">
        <v>5</v>
      </c>
      <c r="AE624" s="24"/>
      <c r="AF624" s="24"/>
      <c r="AG624" s="27"/>
      <c r="AH624" s="82">
        <v>3</v>
      </c>
      <c r="AI624" s="24">
        <v>5</v>
      </c>
      <c r="AJ624" s="26">
        <v>5</v>
      </c>
      <c r="AK624" s="237">
        <v>3</v>
      </c>
      <c r="AL624" s="26">
        <v>4</v>
      </c>
      <c r="AM624" s="28">
        <v>6</v>
      </c>
      <c r="AN624" s="26">
        <v>4</v>
      </c>
      <c r="AO624" s="37">
        <v>5</v>
      </c>
      <c r="AP624" s="237">
        <v>2</v>
      </c>
      <c r="AQ624" s="27" t="s">
        <v>673</v>
      </c>
      <c r="AR624" s="27">
        <v>5</v>
      </c>
      <c r="AS624" s="27"/>
      <c r="AT624" s="27"/>
      <c r="AU624">
        <f>E624 +F624</f>
        <v>26</v>
      </c>
    </row>
    <row r="625" spans="1:47" x14ac:dyDescent="0.25">
      <c r="A625" t="str">
        <f>B625 &amp; " - " &amp;D625</f>
        <v>GFCA - Youga</v>
      </c>
      <c r="B625" t="s">
        <v>1047</v>
      </c>
      <c r="C625" s="67" t="s">
        <v>654</v>
      </c>
      <c r="D625" s="121" t="s">
        <v>1040</v>
      </c>
      <c r="E625" s="69">
        <v>14</v>
      </c>
      <c r="F625" s="115">
        <v>4</v>
      </c>
      <c r="G625" s="68"/>
      <c r="H625" s="72">
        <f>AVERAGE(J625,K625,M625,I625,S625,T625,X625,Z625,AA625,AC625,AF625,AH625,AO625,AT625)</f>
        <v>4.5714285714285712</v>
      </c>
      <c r="I625" s="173">
        <v>5</v>
      </c>
      <c r="J625" s="24">
        <v>4</v>
      </c>
      <c r="K625" s="37">
        <v>5</v>
      </c>
      <c r="L625" s="24"/>
      <c r="M625" s="37">
        <v>5</v>
      </c>
      <c r="N625" s="37"/>
      <c r="O625" s="27"/>
      <c r="P625" s="37"/>
      <c r="Q625" s="24"/>
      <c r="R625" s="23"/>
      <c r="S625" s="24">
        <v>5</v>
      </c>
      <c r="T625" s="24">
        <v>4</v>
      </c>
      <c r="U625" s="24"/>
      <c r="V625" s="37"/>
      <c r="W625" s="37" t="s">
        <v>644</v>
      </c>
      <c r="X625" s="66">
        <v>7</v>
      </c>
      <c r="Y625" s="37"/>
      <c r="Z625" s="24">
        <v>4</v>
      </c>
      <c r="AA625" s="24">
        <v>4</v>
      </c>
      <c r="AB625" s="37" t="s">
        <v>644</v>
      </c>
      <c r="AC625" s="37">
        <v>5</v>
      </c>
      <c r="AD625" s="37"/>
      <c r="AE625" s="76" t="s">
        <v>644</v>
      </c>
      <c r="AF625" s="82">
        <v>3</v>
      </c>
      <c r="AG625" s="27"/>
      <c r="AH625" s="24">
        <v>4</v>
      </c>
      <c r="AI625" s="24"/>
      <c r="AJ625" s="99"/>
      <c r="AK625" s="27"/>
      <c r="AL625" s="26"/>
      <c r="AM625" s="27"/>
      <c r="AN625" s="27"/>
      <c r="AO625" s="37">
        <v>5</v>
      </c>
      <c r="AP625" s="27"/>
      <c r="AQ625" s="27"/>
      <c r="AR625" s="27"/>
      <c r="AS625" s="26" t="s">
        <v>644</v>
      </c>
      <c r="AT625" s="27">
        <v>4</v>
      </c>
      <c r="AU625">
        <f>E625 +F625</f>
        <v>18</v>
      </c>
    </row>
    <row r="626" spans="1:47" x14ac:dyDescent="0.25">
      <c r="A626" t="str">
        <f>B626 &amp; " - " &amp;D626</f>
        <v>SMC - Bessat</v>
      </c>
      <c r="B626" t="s">
        <v>1010</v>
      </c>
      <c r="C626" s="29" t="s">
        <v>654</v>
      </c>
      <c r="D626" s="49" t="s">
        <v>503</v>
      </c>
      <c r="E626" s="31">
        <v>32</v>
      </c>
      <c r="F626" s="99">
        <v>3</v>
      </c>
      <c r="G626" s="73">
        <v>1</v>
      </c>
      <c r="H626" s="34">
        <f>AVERAGE(AA626,X626,W626,V626,J626,K626,L626,I626,M626,N626,O626,P626,Q626,R626,S626,T626,U626,Z626,AB626,AD626,AE626,AF626,AG626,AH626,AI626,AJ626,AK626,AL626,AP626,AQ626,AR626,AS626,AT626)</f>
        <v>4.5757575757575761</v>
      </c>
      <c r="I626" s="173">
        <v>4</v>
      </c>
      <c r="J626" s="24">
        <v>5</v>
      </c>
      <c r="K626" s="37">
        <v>4</v>
      </c>
      <c r="L626" s="24">
        <v>5</v>
      </c>
      <c r="M626" s="77">
        <v>6</v>
      </c>
      <c r="N626" s="37">
        <v>4</v>
      </c>
      <c r="O626" s="27">
        <v>4</v>
      </c>
      <c r="P626" s="84">
        <v>7</v>
      </c>
      <c r="Q626" s="24">
        <v>6</v>
      </c>
      <c r="R626" s="23">
        <v>4</v>
      </c>
      <c r="S626" s="24">
        <v>4</v>
      </c>
      <c r="T626" s="24">
        <v>4</v>
      </c>
      <c r="U626" s="24">
        <v>5</v>
      </c>
      <c r="V626" s="37">
        <v>5</v>
      </c>
      <c r="W626" s="24">
        <v>5</v>
      </c>
      <c r="X626" s="82">
        <v>3</v>
      </c>
      <c r="Y626" s="37" t="s">
        <v>644</v>
      </c>
      <c r="Z626" s="24">
        <v>4</v>
      </c>
      <c r="AA626" s="82">
        <v>3</v>
      </c>
      <c r="AB626" s="24">
        <v>4</v>
      </c>
      <c r="AC626" s="37" t="s">
        <v>644</v>
      </c>
      <c r="AD626" s="24">
        <v>5</v>
      </c>
      <c r="AE626" s="24">
        <v>5</v>
      </c>
      <c r="AF626" s="24">
        <v>4</v>
      </c>
      <c r="AG626" s="26">
        <v>5</v>
      </c>
      <c r="AH626" s="82">
        <v>3</v>
      </c>
      <c r="AI626" s="24">
        <v>6</v>
      </c>
      <c r="AJ626" s="27">
        <v>5</v>
      </c>
      <c r="AK626" s="27">
        <v>5</v>
      </c>
      <c r="AL626" s="26">
        <v>5</v>
      </c>
      <c r="AM626" s="27"/>
      <c r="AN626" s="27"/>
      <c r="AO626" s="37"/>
      <c r="AP626" s="237">
        <v>2</v>
      </c>
      <c r="AQ626" s="27">
        <v>5</v>
      </c>
      <c r="AR626" s="27">
        <v>4</v>
      </c>
      <c r="AS626" s="27">
        <v>5</v>
      </c>
      <c r="AT626" s="27">
        <v>6</v>
      </c>
      <c r="AU626">
        <f>E626 +F626</f>
        <v>35</v>
      </c>
    </row>
    <row r="627" spans="1:47" x14ac:dyDescent="0.25">
      <c r="A627" t="str">
        <f>B627 &amp; " - " &amp;D627</f>
        <v>GFCA - Pujol</v>
      </c>
      <c r="B627" t="s">
        <v>1047</v>
      </c>
      <c r="C627" s="146" t="s">
        <v>665</v>
      </c>
      <c r="D627" s="49" t="s">
        <v>1042</v>
      </c>
      <c r="E627" s="148">
        <v>12</v>
      </c>
      <c r="F627" s="142">
        <v>7</v>
      </c>
      <c r="G627" s="49">
        <v>5</v>
      </c>
      <c r="H627" s="34">
        <f>AVERAGE(J627,K627,L627,M627,I627,N627,O627,Q627,S627,T627,AO627,AP627,AQ627,AR627,AT627)</f>
        <v>4.7333333333333334</v>
      </c>
      <c r="I627" s="87">
        <v>4</v>
      </c>
      <c r="J627" s="37">
        <v>4</v>
      </c>
      <c r="K627" s="37">
        <v>5</v>
      </c>
      <c r="L627" s="37">
        <v>4</v>
      </c>
      <c r="M627" s="37">
        <v>4</v>
      </c>
      <c r="N627" s="37">
        <v>4</v>
      </c>
      <c r="O627" s="26">
        <v>4</v>
      </c>
      <c r="P627" s="37" t="s">
        <v>644</v>
      </c>
      <c r="Q627" s="22">
        <v>5</v>
      </c>
      <c r="R627" s="76" t="s">
        <v>644</v>
      </c>
      <c r="S627" s="22">
        <v>6</v>
      </c>
      <c r="T627" s="76">
        <v>5</v>
      </c>
      <c r="U627" s="24"/>
      <c r="V627" s="77"/>
      <c r="W627" s="24"/>
      <c r="X627" s="37"/>
      <c r="Y627" s="37"/>
      <c r="Z627" s="24"/>
      <c r="AA627" s="24"/>
      <c r="AB627" s="24"/>
      <c r="AC627" s="76" t="s">
        <v>644</v>
      </c>
      <c r="AD627" s="24"/>
      <c r="AE627" s="24"/>
      <c r="AF627" s="24"/>
      <c r="AG627" s="27"/>
      <c r="AH627" s="24"/>
      <c r="AI627" s="24"/>
      <c r="AJ627" s="99"/>
      <c r="AK627" s="27"/>
      <c r="AL627" s="26"/>
      <c r="AM627" s="27"/>
      <c r="AN627" s="139" t="s">
        <v>644</v>
      </c>
      <c r="AO627" s="37">
        <v>4</v>
      </c>
      <c r="AP627" s="28">
        <v>6</v>
      </c>
      <c r="AQ627" s="28">
        <v>6</v>
      </c>
      <c r="AR627" s="94">
        <v>6</v>
      </c>
      <c r="AS627" s="27"/>
      <c r="AT627" s="26">
        <v>4</v>
      </c>
      <c r="AU627">
        <f>E627 +F627</f>
        <v>19</v>
      </c>
    </row>
    <row r="628" spans="1:47" x14ac:dyDescent="0.25">
      <c r="A628" t="str">
        <f>B628 &amp; " - " &amp;D628</f>
        <v>GFCA - Mayi</v>
      </c>
      <c r="B628" t="s">
        <v>1047</v>
      </c>
      <c r="C628" s="146" t="s">
        <v>665</v>
      </c>
      <c r="D628" s="49" t="s">
        <v>1043</v>
      </c>
      <c r="E628" s="148">
        <v>8</v>
      </c>
      <c r="F628" s="142">
        <v>15</v>
      </c>
      <c r="G628" s="49">
        <v>3</v>
      </c>
      <c r="H628" s="34">
        <f>AVERAGE(L628,P628,Q628,R628,Y628,AF628,AE628,AI628,AK628,AT628)</f>
        <v>4.8</v>
      </c>
      <c r="I628" s="173" t="s">
        <v>644</v>
      </c>
      <c r="J628" s="76" t="s">
        <v>644</v>
      </c>
      <c r="K628" s="76" t="s">
        <v>644</v>
      </c>
      <c r="L628" s="76">
        <v>4</v>
      </c>
      <c r="M628" s="108"/>
      <c r="N628" s="76" t="s">
        <v>644</v>
      </c>
      <c r="O628" s="139" t="s">
        <v>644</v>
      </c>
      <c r="P628" s="76">
        <v>5</v>
      </c>
      <c r="Q628" s="75">
        <v>7</v>
      </c>
      <c r="R628" s="23">
        <v>5</v>
      </c>
      <c r="S628" s="109"/>
      <c r="T628" s="108"/>
      <c r="U628" s="76" t="s">
        <v>644</v>
      </c>
      <c r="V628" s="108"/>
      <c r="W628" s="109"/>
      <c r="X628" s="109"/>
      <c r="Y628" s="76">
        <v>4</v>
      </c>
      <c r="Z628" s="108"/>
      <c r="AA628" s="109"/>
      <c r="AB628" s="76" t="s">
        <v>644</v>
      </c>
      <c r="AC628" s="76" t="s">
        <v>644</v>
      </c>
      <c r="AD628" s="109"/>
      <c r="AE628" s="234">
        <v>3</v>
      </c>
      <c r="AF628" s="22">
        <v>5</v>
      </c>
      <c r="AG628" s="139" t="s">
        <v>644</v>
      </c>
      <c r="AH628" s="76" t="s">
        <v>644</v>
      </c>
      <c r="AI628" s="22">
        <v>6</v>
      </c>
      <c r="AJ628" s="99"/>
      <c r="AK628" s="142">
        <v>4</v>
      </c>
      <c r="AL628" s="174"/>
      <c r="AM628" s="110"/>
      <c r="AN628" s="139" t="s">
        <v>644</v>
      </c>
      <c r="AO628" s="108"/>
      <c r="AP628" s="110"/>
      <c r="AQ628" s="110"/>
      <c r="AR628" s="139" t="s">
        <v>644</v>
      </c>
      <c r="AS628" s="139" t="s">
        <v>644</v>
      </c>
      <c r="AT628" s="142">
        <v>5</v>
      </c>
      <c r="AU628">
        <f>E628 +F628</f>
        <v>23</v>
      </c>
    </row>
    <row r="629" spans="1:47" x14ac:dyDescent="0.25">
      <c r="A629" t="str">
        <f>B629 &amp; " - " &amp;D629</f>
        <v>GFCA - Tshibumbu</v>
      </c>
      <c r="B629" t="s">
        <v>1047</v>
      </c>
      <c r="C629" s="29" t="s">
        <v>665</v>
      </c>
      <c r="D629" s="118" t="s">
        <v>1044</v>
      </c>
      <c r="E629" s="31">
        <v>11</v>
      </c>
      <c r="F629" s="99">
        <v>12</v>
      </c>
      <c r="G629" s="73">
        <v>3</v>
      </c>
      <c r="H629" s="34">
        <f>AVERAGE(K629,I629,S629,Y629,Z629,AA629,AB629,AC629,AD629,AJ629,AR629,AT629)</f>
        <v>4.5</v>
      </c>
      <c r="I629" s="173">
        <v>4</v>
      </c>
      <c r="J629" s="37" t="s">
        <v>644</v>
      </c>
      <c r="K629" s="37">
        <v>4</v>
      </c>
      <c r="L629" s="37"/>
      <c r="M629" s="37" t="s">
        <v>644</v>
      </c>
      <c r="N629" s="77"/>
      <c r="O629" s="27"/>
      <c r="P629" s="37"/>
      <c r="Q629" s="37"/>
      <c r="R629" s="76" t="s">
        <v>644</v>
      </c>
      <c r="S629" s="23">
        <v>4</v>
      </c>
      <c r="T629" s="24"/>
      <c r="U629" s="37"/>
      <c r="V629" s="37" t="s">
        <v>644</v>
      </c>
      <c r="W629" s="37" t="s">
        <v>644</v>
      </c>
      <c r="X629" s="77" t="s">
        <v>644</v>
      </c>
      <c r="Y629" s="77">
        <v>6</v>
      </c>
      <c r="Z629" s="37">
        <v>4</v>
      </c>
      <c r="AA629" s="37">
        <v>4</v>
      </c>
      <c r="AB629" s="22">
        <v>6</v>
      </c>
      <c r="AC629" s="37">
        <v>4</v>
      </c>
      <c r="AD629" s="23">
        <v>4</v>
      </c>
      <c r="AE629" s="24"/>
      <c r="AF629" s="37" t="s">
        <v>644</v>
      </c>
      <c r="AG629" s="27" t="s">
        <v>673</v>
      </c>
      <c r="AH629" s="24"/>
      <c r="AI629" s="37" t="s">
        <v>644</v>
      </c>
      <c r="AJ629" s="99">
        <v>5</v>
      </c>
      <c r="AK629" s="27"/>
      <c r="AL629" s="26"/>
      <c r="AM629" s="27"/>
      <c r="AN629" s="27"/>
      <c r="AO629" s="37" t="s">
        <v>644</v>
      </c>
      <c r="AP629" s="26" t="s">
        <v>644</v>
      </c>
      <c r="AQ629" s="27"/>
      <c r="AR629" s="27">
        <v>4</v>
      </c>
      <c r="AS629" s="27"/>
      <c r="AT629" s="27">
        <v>5</v>
      </c>
      <c r="AU629">
        <f>E629 +F629</f>
        <v>23</v>
      </c>
    </row>
    <row r="630" spans="1:47" x14ac:dyDescent="0.25">
      <c r="A630" t="str">
        <f>B630 &amp; " - " &amp;D630</f>
        <v>GFCA - Chermiti</v>
      </c>
      <c r="B630" t="s">
        <v>1047</v>
      </c>
      <c r="C630" s="29" t="s">
        <v>665</v>
      </c>
      <c r="D630" s="118" t="s">
        <v>1124</v>
      </c>
      <c r="E630" s="31">
        <v>4</v>
      </c>
      <c r="F630" s="99">
        <v>5</v>
      </c>
      <c r="G630" s="73"/>
      <c r="H630" s="34">
        <f>AVERAGE(AI630,AK630,AN630,AR630)</f>
        <v>4.25</v>
      </c>
      <c r="I630" s="173"/>
      <c r="J630" s="37"/>
      <c r="K630" s="37"/>
      <c r="L630" s="37"/>
      <c r="M630" s="37"/>
      <c r="N630" s="77"/>
      <c r="O630" s="27"/>
      <c r="P630" s="37"/>
      <c r="Q630" s="37"/>
      <c r="R630" s="76"/>
      <c r="S630" s="23"/>
      <c r="T630" s="24"/>
      <c r="U630" s="37"/>
      <c r="V630" s="37"/>
      <c r="W630" s="37"/>
      <c r="X630" s="77"/>
      <c r="Y630" s="77"/>
      <c r="Z630" s="37"/>
      <c r="AA630" s="37"/>
      <c r="AB630" s="22"/>
      <c r="AC630" s="37"/>
      <c r="AD630" s="23"/>
      <c r="AE630" s="24"/>
      <c r="AF630" s="37"/>
      <c r="AG630" s="27"/>
      <c r="AH630" s="24"/>
      <c r="AI630" s="24">
        <v>5</v>
      </c>
      <c r="AJ630" s="189" t="s">
        <v>644</v>
      </c>
      <c r="AK630" s="27">
        <v>4</v>
      </c>
      <c r="AL630" s="26" t="s">
        <v>644</v>
      </c>
      <c r="AM630" s="26" t="s">
        <v>644</v>
      </c>
      <c r="AN630" s="27">
        <v>4</v>
      </c>
      <c r="AO630" s="37" t="s">
        <v>644</v>
      </c>
      <c r="AP630" s="27"/>
      <c r="AQ630" s="26" t="s">
        <v>644</v>
      </c>
      <c r="AR630" s="27">
        <v>4</v>
      </c>
      <c r="AS630" s="27"/>
      <c r="AT630" s="27"/>
      <c r="AU630">
        <f>E630 +F630</f>
        <v>9</v>
      </c>
    </row>
    <row r="631" spans="1:47" x14ac:dyDescent="0.25">
      <c r="A631" t="str">
        <f>B631 &amp; " - " &amp;D631</f>
        <v>FCL - Philippoteaux</v>
      </c>
      <c r="B631" t="s">
        <v>816</v>
      </c>
      <c r="C631" s="29" t="s">
        <v>654</v>
      </c>
      <c r="D631" s="78" t="s">
        <v>253</v>
      </c>
      <c r="E631" s="31">
        <v>16</v>
      </c>
      <c r="F631" s="99">
        <v>15</v>
      </c>
      <c r="G631" s="73"/>
      <c r="H631" s="34">
        <f>AVERAGE(N631,P631,R631,W631,Y631,AA631,AB631,AC631,AD631,AF631,AK631,AM631,AO631,AP631,AQ631,AR631)</f>
        <v>4.5625</v>
      </c>
      <c r="I631" s="170" t="s">
        <v>644</v>
      </c>
      <c r="J631" s="37"/>
      <c r="K631" s="37" t="s">
        <v>644</v>
      </c>
      <c r="L631" s="37"/>
      <c r="M631" s="37" t="s">
        <v>644</v>
      </c>
      <c r="N631" s="66">
        <v>7</v>
      </c>
      <c r="O631" s="26" t="s">
        <v>644</v>
      </c>
      <c r="P631" s="37">
        <v>4</v>
      </c>
      <c r="Q631" s="37" t="s">
        <v>644</v>
      </c>
      <c r="R631" s="37">
        <v>4</v>
      </c>
      <c r="S631" s="37" t="s">
        <v>644</v>
      </c>
      <c r="T631" s="37" t="s">
        <v>644</v>
      </c>
      <c r="U631" s="24"/>
      <c r="V631" s="37" t="s">
        <v>644</v>
      </c>
      <c r="W631" s="24">
        <v>4</v>
      </c>
      <c r="X631" s="37" t="s">
        <v>644</v>
      </c>
      <c r="Y631" s="24">
        <v>5</v>
      </c>
      <c r="Z631" s="37" t="s">
        <v>644</v>
      </c>
      <c r="AA631" s="24">
        <v>4</v>
      </c>
      <c r="AB631" s="24">
        <v>4</v>
      </c>
      <c r="AC631" s="24">
        <v>4</v>
      </c>
      <c r="AD631" s="37">
        <v>4</v>
      </c>
      <c r="AE631" s="24"/>
      <c r="AF631" s="24">
        <v>6</v>
      </c>
      <c r="AG631" s="27"/>
      <c r="AH631" s="37" t="s">
        <v>644</v>
      </c>
      <c r="AI631" s="24"/>
      <c r="AJ631" s="26" t="s">
        <v>644</v>
      </c>
      <c r="AK631" s="26">
        <v>5</v>
      </c>
      <c r="AL631" s="27"/>
      <c r="AM631" s="237">
        <v>3</v>
      </c>
      <c r="AN631" s="26" t="s">
        <v>644</v>
      </c>
      <c r="AO631" s="37">
        <v>5</v>
      </c>
      <c r="AP631" s="142">
        <v>4</v>
      </c>
      <c r="AQ631" s="27">
        <v>5</v>
      </c>
      <c r="AR631" s="142">
        <v>5</v>
      </c>
      <c r="AS631" s="26" t="s">
        <v>644</v>
      </c>
      <c r="AT631" s="26" t="s">
        <v>644</v>
      </c>
      <c r="AU631">
        <f>E631 +F631</f>
        <v>31</v>
      </c>
    </row>
    <row r="632" spans="1:47" ht="15.75" thickBot="1" x14ac:dyDescent="0.3">
      <c r="A632" t="str">
        <f>B632 &amp; " - " &amp;D632</f>
        <v>GFCA - Dia</v>
      </c>
      <c r="B632" t="s">
        <v>1047</v>
      </c>
      <c r="C632" s="259" t="s">
        <v>665</v>
      </c>
      <c r="D632" s="213" t="s">
        <v>1046</v>
      </c>
      <c r="E632" s="214">
        <v>5</v>
      </c>
      <c r="F632" s="215">
        <v>6</v>
      </c>
      <c r="G632" s="254"/>
      <c r="H632" s="260">
        <f>AVERAGE(O632,P632,X632)</f>
        <v>5</v>
      </c>
      <c r="I632" s="149"/>
      <c r="J632" s="61"/>
      <c r="K632" s="61"/>
      <c r="L632" s="61" t="s">
        <v>644</v>
      </c>
      <c r="M632" s="61" t="s">
        <v>644</v>
      </c>
      <c r="N632" s="61" t="s">
        <v>644</v>
      </c>
      <c r="O632" s="63">
        <v>5</v>
      </c>
      <c r="P632" s="61">
        <v>5</v>
      </c>
      <c r="Q632" s="61" t="s">
        <v>677</v>
      </c>
      <c r="R632" s="53"/>
      <c r="S632" s="53"/>
      <c r="T632" s="61" t="s">
        <v>644</v>
      </c>
      <c r="U632" s="61" t="s">
        <v>644</v>
      </c>
      <c r="V632" s="61"/>
      <c r="W632" s="61" t="s">
        <v>644</v>
      </c>
      <c r="X632" s="53">
        <v>5</v>
      </c>
      <c r="Y632" s="61"/>
      <c r="Z632" s="53" t="s">
        <v>673</v>
      </c>
      <c r="AA632" s="61"/>
      <c r="AB632" s="53"/>
      <c r="AC632" s="81"/>
      <c r="AD632" s="59"/>
      <c r="AE632" s="53"/>
      <c r="AF632" s="59"/>
      <c r="AG632" s="63"/>
      <c r="AH632" s="53"/>
      <c r="AI632" s="61"/>
      <c r="AJ632" s="63"/>
      <c r="AK632" s="164"/>
      <c r="AL632" s="62"/>
      <c r="AM632" s="63"/>
      <c r="AN632" s="63"/>
      <c r="AO632" s="61"/>
      <c r="AP632" s="62"/>
      <c r="AQ632" s="63"/>
      <c r="AR632" s="164"/>
      <c r="AS632" s="164"/>
      <c r="AT632" s="63"/>
      <c r="AU632">
        <f>E632 +F632</f>
        <v>11</v>
      </c>
    </row>
    <row r="633" spans="1:47" x14ac:dyDescent="0.25">
      <c r="A633" t="str">
        <f>B633 &amp; " - " &amp;D633</f>
        <v>SCO - Butelle</v>
      </c>
      <c r="B633" t="s">
        <v>1066</v>
      </c>
      <c r="C633" s="64" t="s">
        <v>638</v>
      </c>
      <c r="D633" s="64" t="s">
        <v>1048</v>
      </c>
      <c r="E633" s="52">
        <v>19</v>
      </c>
      <c r="F633" s="63"/>
      <c r="G633" s="145"/>
      <c r="H633" s="80">
        <f>AVERAGE(Z633,J633,K633,L633,I633,M633,N633,O633,P633,Q633,R633,S633,T633,U633,V633,W633,X633,Y633,AA633)</f>
        <v>5.5789473684210522</v>
      </c>
      <c r="I633" s="258">
        <v>7</v>
      </c>
      <c r="J633" s="59">
        <v>6</v>
      </c>
      <c r="K633" s="81">
        <v>6</v>
      </c>
      <c r="L633" s="53">
        <v>5</v>
      </c>
      <c r="M633" s="61">
        <v>5</v>
      </c>
      <c r="N633" s="81">
        <v>6</v>
      </c>
      <c r="O633" s="164">
        <v>6</v>
      </c>
      <c r="P633" s="61">
        <v>6</v>
      </c>
      <c r="Q633" s="59">
        <v>6</v>
      </c>
      <c r="R633" s="53">
        <v>6</v>
      </c>
      <c r="S633" s="59">
        <v>6</v>
      </c>
      <c r="T633" s="53">
        <v>5</v>
      </c>
      <c r="U633" s="53">
        <v>4</v>
      </c>
      <c r="V633" s="81">
        <v>6</v>
      </c>
      <c r="W633" s="59">
        <v>5</v>
      </c>
      <c r="X633" s="59">
        <v>7</v>
      </c>
      <c r="Y633" s="81">
        <v>5</v>
      </c>
      <c r="Z633" s="53">
        <v>5</v>
      </c>
      <c r="AA633" s="53">
        <v>4</v>
      </c>
      <c r="AB633" s="53"/>
      <c r="AC633" s="61"/>
      <c r="AD633" s="53"/>
      <c r="AE633" s="53"/>
      <c r="AF633" s="53"/>
      <c r="AG633" s="63"/>
      <c r="AH633" s="53"/>
      <c r="AI633" s="53"/>
      <c r="AJ633" s="63"/>
      <c r="AK633" s="53"/>
      <c r="AL633" s="62"/>
      <c r="AM633" s="63"/>
      <c r="AN633" s="63"/>
      <c r="AO633" s="61"/>
      <c r="AP633" s="63"/>
      <c r="AQ633" s="63"/>
      <c r="AR633" s="63"/>
      <c r="AS633" s="63"/>
      <c r="AT633" s="63"/>
      <c r="AU633">
        <f>E633 +F633</f>
        <v>19</v>
      </c>
    </row>
    <row r="634" spans="1:47" x14ac:dyDescent="0.25">
      <c r="A634" t="str">
        <f>B634 &amp; " - " &amp;D634</f>
        <v>SCO - Petric</v>
      </c>
      <c r="B634" t="s">
        <v>1066</v>
      </c>
      <c r="C634" s="38" t="s">
        <v>638</v>
      </c>
      <c r="D634" s="126" t="s">
        <v>1011</v>
      </c>
      <c r="E634" s="31">
        <v>2</v>
      </c>
      <c r="F634" s="99"/>
      <c r="G634" s="73"/>
      <c r="H634" s="34">
        <f>AVERAGE(AH634,AI634)</f>
        <v>4.5</v>
      </c>
      <c r="I634" s="175"/>
      <c r="J634" s="22"/>
      <c r="K634" s="77"/>
      <c r="L634" s="24"/>
      <c r="M634" s="37"/>
      <c r="N634" s="77"/>
      <c r="O634" s="28"/>
      <c r="P634" s="37"/>
      <c r="Q634" s="22"/>
      <c r="R634" s="23"/>
      <c r="S634" s="22"/>
      <c r="T634" s="24"/>
      <c r="U634" s="24"/>
      <c r="V634" s="77"/>
      <c r="W634" s="22"/>
      <c r="X634" s="77"/>
      <c r="Y634" s="77"/>
      <c r="Z634" s="24"/>
      <c r="AA634" s="24"/>
      <c r="AB634" s="24"/>
      <c r="AC634" s="37"/>
      <c r="AD634" s="24"/>
      <c r="AE634" s="24"/>
      <c r="AF634" s="24"/>
      <c r="AG634" s="27"/>
      <c r="AH634" s="24">
        <v>5</v>
      </c>
      <c r="AI634" s="24">
        <v>4</v>
      </c>
      <c r="AJ634" s="27"/>
      <c r="AK634" s="22"/>
      <c r="AL634" s="26"/>
      <c r="AM634" s="27"/>
      <c r="AN634" s="27"/>
      <c r="AO634" s="37"/>
      <c r="AP634" s="27"/>
      <c r="AQ634" s="27"/>
      <c r="AR634" s="27"/>
      <c r="AS634" s="27"/>
      <c r="AT634" s="27"/>
      <c r="AU634">
        <f>E634 +F634</f>
        <v>2</v>
      </c>
    </row>
    <row r="635" spans="1:47" x14ac:dyDescent="0.25">
      <c r="A635" t="str">
        <f>B635 &amp; " - " &amp;D635</f>
        <v>SCO - Letellier</v>
      </c>
      <c r="B635" t="s">
        <v>1066</v>
      </c>
      <c r="C635" s="85" t="s">
        <v>638</v>
      </c>
      <c r="D635" s="153" t="s">
        <v>1049</v>
      </c>
      <c r="E635" s="69">
        <v>17</v>
      </c>
      <c r="F635" s="115"/>
      <c r="G635" s="68"/>
      <c r="H635" s="34">
        <f>AVERAGE(AB635,AC635,AD635,AE635,AF635,AG635,AJ635,AK635,AL635,AM635,AN635,AO635,AP635,AQ635,AR635,AS635,AT635)</f>
        <v>5.4117647058823533</v>
      </c>
      <c r="I635" s="175"/>
      <c r="J635" s="24"/>
      <c r="K635" s="37"/>
      <c r="L635" s="24"/>
      <c r="M635" s="37"/>
      <c r="N635" s="37"/>
      <c r="O635" s="27"/>
      <c r="P635" s="37"/>
      <c r="Q635" s="24"/>
      <c r="R635" s="23"/>
      <c r="S635" s="24"/>
      <c r="T635" s="24"/>
      <c r="U635" s="24"/>
      <c r="V635" s="37"/>
      <c r="W635" s="24"/>
      <c r="X635" s="24"/>
      <c r="Y635" s="37"/>
      <c r="Z635" s="24"/>
      <c r="AA635" s="24"/>
      <c r="AB635" s="22">
        <v>6</v>
      </c>
      <c r="AC635" s="37">
        <v>6</v>
      </c>
      <c r="AD635" s="82">
        <v>3</v>
      </c>
      <c r="AE635" s="25">
        <v>7</v>
      </c>
      <c r="AF635" s="24">
        <v>5</v>
      </c>
      <c r="AG635" s="237">
        <v>3</v>
      </c>
      <c r="AH635" s="24"/>
      <c r="AI635" s="24"/>
      <c r="AJ635" s="27">
        <v>5</v>
      </c>
      <c r="AK635" s="22">
        <v>6</v>
      </c>
      <c r="AL635" s="26">
        <v>6</v>
      </c>
      <c r="AM635" s="27">
        <v>4</v>
      </c>
      <c r="AN635" s="247">
        <v>8</v>
      </c>
      <c r="AO635" s="77">
        <v>6</v>
      </c>
      <c r="AP635" s="27">
        <v>6</v>
      </c>
      <c r="AQ635" s="28">
        <v>6</v>
      </c>
      <c r="AR635" s="27">
        <v>5</v>
      </c>
      <c r="AS635" s="27">
        <v>6</v>
      </c>
      <c r="AT635" s="27">
        <v>4</v>
      </c>
      <c r="AU635">
        <f>E635 +F635</f>
        <v>17</v>
      </c>
    </row>
    <row r="636" spans="1:47" x14ac:dyDescent="0.25">
      <c r="A636" t="str">
        <f>B636 &amp; " - " &amp;D636</f>
        <v>SCO - Angoula</v>
      </c>
      <c r="B636" t="s">
        <v>1066</v>
      </c>
      <c r="C636" t="s">
        <v>641</v>
      </c>
      <c r="D636" s="154" t="s">
        <v>538</v>
      </c>
      <c r="E636" s="31">
        <v>10</v>
      </c>
      <c r="F636" s="99">
        <v>3</v>
      </c>
      <c r="G636" s="73"/>
      <c r="H636" s="125">
        <f>AVERAGE(P636,Y636,Z636,AB636,AE636,AG636,AH636,AI636,AL636,AS636,AT636)</f>
        <v>4.6363636363636367</v>
      </c>
      <c r="I636" s="173"/>
      <c r="J636" s="24"/>
      <c r="K636" s="37"/>
      <c r="L636" s="24"/>
      <c r="M636" s="37"/>
      <c r="N636" s="37"/>
      <c r="O636" s="27"/>
      <c r="P636" s="37">
        <v>5</v>
      </c>
      <c r="Q636" s="24"/>
      <c r="R636" s="23"/>
      <c r="S636" s="37"/>
      <c r="T636" s="24"/>
      <c r="U636" s="24"/>
      <c r="V636" s="37"/>
      <c r="W636" s="37"/>
      <c r="X636" s="24"/>
      <c r="Y636" s="37">
        <v>6</v>
      </c>
      <c r="Z636" s="37">
        <v>5</v>
      </c>
      <c r="AA636" s="24"/>
      <c r="AB636" s="24">
        <v>6</v>
      </c>
      <c r="AC636" s="37"/>
      <c r="AD636" s="37" t="s">
        <v>644</v>
      </c>
      <c r="AE636" s="37">
        <v>6</v>
      </c>
      <c r="AF636" s="37"/>
      <c r="AG636" s="252">
        <v>3</v>
      </c>
      <c r="AH636" s="37">
        <v>4</v>
      </c>
      <c r="AI636" s="82">
        <v>3</v>
      </c>
      <c r="AJ636" s="26"/>
      <c r="AK636" s="24"/>
      <c r="AL636" s="26">
        <v>5</v>
      </c>
      <c r="AM636" s="27"/>
      <c r="AN636" s="27"/>
      <c r="AO636" s="37"/>
      <c r="AP636" s="27"/>
      <c r="AQ636" s="27"/>
      <c r="AR636" s="26" t="s">
        <v>644</v>
      </c>
      <c r="AS636" s="27">
        <v>5</v>
      </c>
      <c r="AT636" s="237">
        <v>3</v>
      </c>
      <c r="AU636">
        <f>E636 +F636</f>
        <v>13</v>
      </c>
    </row>
    <row r="637" spans="1:47" x14ac:dyDescent="0.25">
      <c r="A637" t="str">
        <f>B637 &amp; " - " &amp;D637</f>
        <v>SCO - Bouka Moutou</v>
      </c>
      <c r="B637" t="s">
        <v>1066</v>
      </c>
      <c r="C637" t="s">
        <v>641</v>
      </c>
      <c r="D637" s="65" t="s">
        <v>1050</v>
      </c>
      <c r="E637" s="31">
        <v>12</v>
      </c>
      <c r="F637" s="99">
        <v>11</v>
      </c>
      <c r="G637" s="114" t="s">
        <v>1096</v>
      </c>
      <c r="H637" s="34">
        <f>AVERAGE(P637,V637,Y637,AF637,AI637,AK637,AN637,AO637,AP637,AQ637,AR637,AS637,AT637)</f>
        <v>4.6923076923076925</v>
      </c>
      <c r="I637" s="173"/>
      <c r="J637" s="24"/>
      <c r="K637" s="37"/>
      <c r="L637" s="24"/>
      <c r="M637" s="37"/>
      <c r="N637" s="37"/>
      <c r="O637" s="26" t="s">
        <v>644</v>
      </c>
      <c r="P637" s="37">
        <v>5</v>
      </c>
      <c r="Q637" s="24"/>
      <c r="R637" s="76" t="s">
        <v>644</v>
      </c>
      <c r="S637" s="76" t="s">
        <v>644</v>
      </c>
      <c r="T637" s="24"/>
      <c r="U637" s="37"/>
      <c r="V637" s="37">
        <v>4</v>
      </c>
      <c r="W637" s="24"/>
      <c r="X637" s="76" t="s">
        <v>644</v>
      </c>
      <c r="Y637" s="37">
        <v>5</v>
      </c>
      <c r="Z637" s="76" t="s">
        <v>644</v>
      </c>
      <c r="AA637" s="24"/>
      <c r="AB637" s="24"/>
      <c r="AC637" s="37"/>
      <c r="AD637" s="24"/>
      <c r="AE637" s="24"/>
      <c r="AF637" s="22">
        <v>6</v>
      </c>
      <c r="AG637" s="26" t="s">
        <v>644</v>
      </c>
      <c r="AH637" s="76" t="s">
        <v>644</v>
      </c>
      <c r="AI637" s="77">
        <v>5</v>
      </c>
      <c r="AJ637" s="26" t="s">
        <v>644</v>
      </c>
      <c r="AK637" s="24">
        <v>4</v>
      </c>
      <c r="AL637" s="26" t="s">
        <v>644</v>
      </c>
      <c r="AM637" s="139" t="s">
        <v>644</v>
      </c>
      <c r="AN637" s="27">
        <v>6</v>
      </c>
      <c r="AO637" s="37">
        <v>5</v>
      </c>
      <c r="AP637" s="27">
        <v>5</v>
      </c>
      <c r="AQ637" s="27">
        <v>4</v>
      </c>
      <c r="AR637" s="27">
        <v>5</v>
      </c>
      <c r="AS637" s="27">
        <v>4</v>
      </c>
      <c r="AT637" s="237">
        <v>3</v>
      </c>
      <c r="AU637">
        <f>E637 +F637</f>
        <v>23</v>
      </c>
    </row>
    <row r="638" spans="1:47" x14ac:dyDescent="0.25">
      <c r="A638" t="str">
        <f>B638 &amp; " - " &amp;D638</f>
        <v>SCO - Diallo</v>
      </c>
      <c r="B638" t="s">
        <v>1066</v>
      </c>
      <c r="C638" t="s">
        <v>641</v>
      </c>
      <c r="D638" s="65" t="s">
        <v>879</v>
      </c>
      <c r="E638" s="31"/>
      <c r="F638" s="99"/>
      <c r="G638" s="73"/>
      <c r="H638" s="34"/>
      <c r="I638" s="173"/>
      <c r="J638" s="24"/>
      <c r="K638" s="37"/>
      <c r="L638" s="24"/>
      <c r="M638" s="37"/>
      <c r="N638" s="77"/>
      <c r="O638" s="27"/>
      <c r="P638" s="37"/>
      <c r="Q638" s="24"/>
      <c r="R638" s="23"/>
      <c r="S638" s="24"/>
      <c r="T638" s="22"/>
      <c r="U638" s="24"/>
      <c r="V638" s="37"/>
      <c r="W638" s="24"/>
      <c r="X638" s="24"/>
      <c r="Y638" s="37"/>
      <c r="Z638" s="24"/>
      <c r="AA638" s="24"/>
      <c r="AB638" s="24"/>
      <c r="AC638" s="37"/>
      <c r="AD638" s="24"/>
      <c r="AE638" s="24"/>
      <c r="AF638" s="24"/>
      <c r="AG638" s="27"/>
      <c r="AH638" s="24"/>
      <c r="AI638" s="24"/>
      <c r="AJ638" s="27"/>
      <c r="AK638" s="24"/>
      <c r="AL638" s="26"/>
      <c r="AM638" s="27"/>
      <c r="AN638" s="27"/>
      <c r="AO638" s="37"/>
      <c r="AP638" s="27"/>
      <c r="AQ638" s="27"/>
      <c r="AR638" s="27"/>
      <c r="AS638" s="27"/>
      <c r="AT638" s="26"/>
      <c r="AU638">
        <f>E638 +F638</f>
        <v>0</v>
      </c>
    </row>
    <row r="639" spans="1:47" x14ac:dyDescent="0.25">
      <c r="A639" t="str">
        <f>B639 &amp; " - " &amp;D639</f>
        <v>FCL - Jeannot</v>
      </c>
      <c r="B639" t="s">
        <v>816</v>
      </c>
      <c r="C639" s="30" t="s">
        <v>665</v>
      </c>
      <c r="D639" s="30" t="s">
        <v>187</v>
      </c>
      <c r="E639" s="31">
        <v>19</v>
      </c>
      <c r="F639" s="99">
        <v>10</v>
      </c>
      <c r="G639" s="73">
        <v>7</v>
      </c>
      <c r="H639" s="34">
        <f>AVERAGE(J639,L639,I639,U639,V639,X639,Y639,AC639,AD639,AH639,AI639,AJ639,AL639,AM639,AN639,AO639,AP639,AQ639,AR639,AS639,AT639)</f>
        <v>4.5238095238095237</v>
      </c>
      <c r="I639" s="87">
        <v>4</v>
      </c>
      <c r="J639" s="37">
        <v>4</v>
      </c>
      <c r="K639" s="37" t="s">
        <v>644</v>
      </c>
      <c r="L639" s="76">
        <v>4</v>
      </c>
      <c r="M639" s="77" t="s">
        <v>644</v>
      </c>
      <c r="N639" s="77" t="s">
        <v>673</v>
      </c>
      <c r="O639" s="27"/>
      <c r="P639" s="37"/>
      <c r="Q639" s="24"/>
      <c r="R639" s="37"/>
      <c r="S639" s="24"/>
      <c r="T639" s="37"/>
      <c r="U639" s="77">
        <v>6</v>
      </c>
      <c r="V639" s="37">
        <v>5</v>
      </c>
      <c r="W639" s="76" t="s">
        <v>644</v>
      </c>
      <c r="X639" s="37">
        <v>4</v>
      </c>
      <c r="Y639" s="25">
        <v>7</v>
      </c>
      <c r="Z639" s="76" t="s">
        <v>644</v>
      </c>
      <c r="AA639" s="37" t="s">
        <v>644</v>
      </c>
      <c r="AB639" s="76" t="s">
        <v>644</v>
      </c>
      <c r="AC639" s="24">
        <v>4</v>
      </c>
      <c r="AD639" s="23">
        <v>5</v>
      </c>
      <c r="AE639" s="24"/>
      <c r="AF639" s="22"/>
      <c r="AG639" s="26" t="s">
        <v>644</v>
      </c>
      <c r="AH639" s="24">
        <v>4</v>
      </c>
      <c r="AI639" s="22">
        <v>6</v>
      </c>
      <c r="AJ639" s="27">
        <v>5</v>
      </c>
      <c r="AK639" s="37"/>
      <c r="AL639" s="26">
        <v>4</v>
      </c>
      <c r="AM639" s="26">
        <v>4</v>
      </c>
      <c r="AN639" s="27">
        <v>4</v>
      </c>
      <c r="AO639" s="25">
        <v>7</v>
      </c>
      <c r="AP639" s="27">
        <v>4</v>
      </c>
      <c r="AQ639" s="237">
        <v>3</v>
      </c>
      <c r="AR639" s="27">
        <v>4</v>
      </c>
      <c r="AS639" s="252">
        <v>3</v>
      </c>
      <c r="AT639" s="26">
        <v>4</v>
      </c>
      <c r="AU639">
        <f>E639 +F639</f>
        <v>29</v>
      </c>
    </row>
    <row r="640" spans="1:47" x14ac:dyDescent="0.25">
      <c r="A640" t="str">
        <f>B640 &amp; " - " &amp;D640</f>
        <v>SCO - K. Traoré</v>
      </c>
      <c r="B640" t="s">
        <v>1066</v>
      </c>
      <c r="C640" s="64" t="s">
        <v>641</v>
      </c>
      <c r="D640" s="57" t="s">
        <v>1051</v>
      </c>
      <c r="E640" s="52"/>
      <c r="F640" s="63"/>
      <c r="G640" s="145"/>
      <c r="H640" s="80"/>
      <c r="I640" s="258"/>
      <c r="J640" s="53"/>
      <c r="K640" s="61"/>
      <c r="L640" s="53"/>
      <c r="M640" s="61"/>
      <c r="N640" s="61"/>
      <c r="O640" s="63"/>
      <c r="P640" s="61"/>
      <c r="Q640" s="53"/>
      <c r="R640" s="59"/>
      <c r="S640" s="53"/>
      <c r="T640" s="53"/>
      <c r="U640" s="53"/>
      <c r="V640" s="61"/>
      <c r="W640" s="53"/>
      <c r="X640" s="53"/>
      <c r="Y640" s="61"/>
      <c r="Z640" s="53"/>
      <c r="AA640" s="81"/>
      <c r="AB640" s="53"/>
      <c r="AC640" s="61"/>
      <c r="AD640" s="59"/>
      <c r="AE640" s="59"/>
      <c r="AF640" s="59"/>
      <c r="AG640" s="63"/>
      <c r="AH640" s="59"/>
      <c r="AI640" s="53"/>
      <c r="AJ640" s="63"/>
      <c r="AK640" s="53"/>
      <c r="AL640" s="62"/>
      <c r="AM640" s="63"/>
      <c r="AN640" s="63"/>
      <c r="AO640" s="61"/>
      <c r="AP640" s="63"/>
      <c r="AQ640" s="63"/>
      <c r="AR640" s="62"/>
      <c r="AS640" s="62"/>
      <c r="AT640" s="63"/>
      <c r="AU640">
        <f>E640 +F640</f>
        <v>0</v>
      </c>
    </row>
    <row r="641" spans="1:47" x14ac:dyDescent="0.25">
      <c r="A641" t="str">
        <f>B641 &amp; " - " &amp;D641</f>
        <v>GFCA - Martinez</v>
      </c>
      <c r="B641" t="s">
        <v>1047</v>
      </c>
      <c r="C641" s="30" t="s">
        <v>641</v>
      </c>
      <c r="D641" s="65" t="s">
        <v>506</v>
      </c>
      <c r="E641" s="31">
        <v>26</v>
      </c>
      <c r="F641" s="99">
        <v>2</v>
      </c>
      <c r="G641" s="114" t="s">
        <v>679</v>
      </c>
      <c r="H641" s="34">
        <f>AVERAGE(J641,K641,L641,M641,I641,N641,O641,R641,S641,T641,U641,AD641,AE641,AF641,AG641,AJ641,AL641,AM641,AN641,AO641,AP641,AQ641,AR641,AS641,AT641)</f>
        <v>4.5199999999999996</v>
      </c>
      <c r="I641" s="173">
        <v>5</v>
      </c>
      <c r="J641" s="24">
        <v>4</v>
      </c>
      <c r="K641" s="37">
        <v>5</v>
      </c>
      <c r="L641" s="24">
        <v>5</v>
      </c>
      <c r="M641" s="37">
        <v>5</v>
      </c>
      <c r="N641" s="37">
        <v>4</v>
      </c>
      <c r="O641" s="27">
        <v>5</v>
      </c>
      <c r="P641" s="37"/>
      <c r="Q641" s="24"/>
      <c r="R641" s="23">
        <v>5</v>
      </c>
      <c r="S641" s="24">
        <v>5</v>
      </c>
      <c r="T641" s="24">
        <v>5</v>
      </c>
      <c r="U641" s="24">
        <v>5</v>
      </c>
      <c r="V641" s="37" t="s">
        <v>673</v>
      </c>
      <c r="W641" s="24"/>
      <c r="X641" s="24"/>
      <c r="Y641" s="37"/>
      <c r="Z641" s="24"/>
      <c r="AA641" s="24"/>
      <c r="AB641" s="24"/>
      <c r="AC641" s="37"/>
      <c r="AD641" s="24">
        <v>4</v>
      </c>
      <c r="AE641" s="24">
        <v>5</v>
      </c>
      <c r="AF641" s="24">
        <v>5</v>
      </c>
      <c r="AG641" s="27">
        <v>4</v>
      </c>
      <c r="AH641" s="24" t="s">
        <v>673</v>
      </c>
      <c r="AI641" s="24"/>
      <c r="AJ641" s="99">
        <v>5</v>
      </c>
      <c r="AK641" s="37" t="s">
        <v>644</v>
      </c>
      <c r="AL641" s="26">
        <v>5</v>
      </c>
      <c r="AM641" s="27">
        <v>4</v>
      </c>
      <c r="AN641" s="27">
        <v>4</v>
      </c>
      <c r="AO641" s="37">
        <v>5</v>
      </c>
      <c r="AP641" s="237">
        <v>3</v>
      </c>
      <c r="AQ641" s="237">
        <v>3</v>
      </c>
      <c r="AR641" s="27">
        <v>5</v>
      </c>
      <c r="AS641" s="237">
        <v>3</v>
      </c>
      <c r="AT641" s="27">
        <v>5</v>
      </c>
      <c r="AU641">
        <f>E641 +F641</f>
        <v>28</v>
      </c>
    </row>
    <row r="642" spans="1:47" x14ac:dyDescent="0.25">
      <c r="A642" t="str">
        <f>B642 &amp; " - " &amp;D642</f>
        <v>ASM - Carrillo</v>
      </c>
      <c r="B642" t="s">
        <v>974</v>
      </c>
      <c r="C642" s="30" t="s">
        <v>665</v>
      </c>
      <c r="D642" s="176" t="s">
        <v>969</v>
      </c>
      <c r="E642" s="31">
        <v>15</v>
      </c>
      <c r="F642" s="99">
        <v>16</v>
      </c>
      <c r="G642" s="114" t="s">
        <v>1123</v>
      </c>
      <c r="H642" s="34">
        <f>AVERAGE(J642,K642,M642,N642,O642,Q642,S642,U642,V642,W642,X642,AB642,AC642,AD642,AE642,AI642,AJ642,AR642)</f>
        <v>4.4444444444444446</v>
      </c>
      <c r="I642" s="101" t="s">
        <v>644</v>
      </c>
      <c r="J642" s="21">
        <v>4</v>
      </c>
      <c r="K642" s="37">
        <v>4</v>
      </c>
      <c r="L642" s="37" t="s">
        <v>644</v>
      </c>
      <c r="M642" s="37">
        <v>4</v>
      </c>
      <c r="N642" s="37">
        <v>4</v>
      </c>
      <c r="O642" s="246">
        <v>2</v>
      </c>
      <c r="P642" s="37"/>
      <c r="Q642" s="37">
        <v>4</v>
      </c>
      <c r="R642" s="37" t="s">
        <v>644</v>
      </c>
      <c r="S642" s="37">
        <v>4</v>
      </c>
      <c r="T642" s="37" t="s">
        <v>644</v>
      </c>
      <c r="U642" s="37">
        <v>4</v>
      </c>
      <c r="V642" s="24">
        <v>4</v>
      </c>
      <c r="W642" s="37">
        <v>5</v>
      </c>
      <c r="X642" s="77">
        <v>6</v>
      </c>
      <c r="Y642" s="37"/>
      <c r="Z642" s="37"/>
      <c r="AA642" s="37"/>
      <c r="AB642" s="37">
        <v>4</v>
      </c>
      <c r="AC642" s="37">
        <v>5</v>
      </c>
      <c r="AD642" s="25">
        <v>7</v>
      </c>
      <c r="AE642" s="166">
        <v>3</v>
      </c>
      <c r="AF642" s="37" t="s">
        <v>644</v>
      </c>
      <c r="AG642" s="26" t="s">
        <v>644</v>
      </c>
      <c r="AH642" s="37" t="s">
        <v>644</v>
      </c>
      <c r="AI642" s="75">
        <v>8</v>
      </c>
      <c r="AJ642" s="26">
        <v>4</v>
      </c>
      <c r="AK642" s="76" t="s">
        <v>644</v>
      </c>
      <c r="AL642" s="26"/>
      <c r="AM642" s="26"/>
      <c r="AN642" s="26" t="s">
        <v>644</v>
      </c>
      <c r="AO642" s="37" t="s">
        <v>644</v>
      </c>
      <c r="AP642" s="26" t="s">
        <v>644</v>
      </c>
      <c r="AQ642" s="26" t="s">
        <v>644</v>
      </c>
      <c r="AR642" s="26">
        <v>4</v>
      </c>
      <c r="AS642" s="27"/>
      <c r="AT642" s="26" t="s">
        <v>644</v>
      </c>
      <c r="AU642">
        <f>E642 +F642</f>
        <v>31</v>
      </c>
    </row>
    <row r="643" spans="1:47" x14ac:dyDescent="0.25">
      <c r="A643" t="str">
        <f>B643 &amp; " - " &amp;D643</f>
        <v>SMC - Adéoti</v>
      </c>
      <c r="B643" t="s">
        <v>1010</v>
      </c>
      <c r="C643" s="30" t="s">
        <v>641</v>
      </c>
      <c r="D643" s="154" t="s">
        <v>1000</v>
      </c>
      <c r="E643" s="31">
        <v>16</v>
      </c>
      <c r="F643" s="99">
        <v>16</v>
      </c>
      <c r="G643" s="73"/>
      <c r="H643" s="34">
        <f>AVERAGE(J643,L643,I643,M643,N643,O643,R643,T643,Y643,AE643,AF643,AG643,AJ643,AK643,AL643,AP643,AQ643,AT643)</f>
        <v>4.4444444444444446</v>
      </c>
      <c r="I643" s="173">
        <v>5</v>
      </c>
      <c r="J643" s="24">
        <v>5</v>
      </c>
      <c r="K643" s="37" t="s">
        <v>644</v>
      </c>
      <c r="L643" s="24">
        <v>4</v>
      </c>
      <c r="M643" s="37">
        <v>4</v>
      </c>
      <c r="N643" s="37">
        <v>4</v>
      </c>
      <c r="O643" s="27">
        <v>5</v>
      </c>
      <c r="P643" s="37" t="s">
        <v>644</v>
      </c>
      <c r="Q643" s="37" t="s">
        <v>644</v>
      </c>
      <c r="R643" s="23">
        <v>5</v>
      </c>
      <c r="S643" s="37" t="s">
        <v>644</v>
      </c>
      <c r="T643" s="82">
        <v>3</v>
      </c>
      <c r="U643" s="24"/>
      <c r="V643" s="37" t="s">
        <v>644</v>
      </c>
      <c r="W643" s="37" t="s">
        <v>644</v>
      </c>
      <c r="X643" s="24"/>
      <c r="Y643" s="37">
        <v>4</v>
      </c>
      <c r="Z643" s="37" t="s">
        <v>644</v>
      </c>
      <c r="AA643" s="37" t="s">
        <v>644</v>
      </c>
      <c r="AB643" s="37" t="s">
        <v>644</v>
      </c>
      <c r="AC643" s="37"/>
      <c r="AD643" s="37"/>
      <c r="AE643" s="37">
        <v>6</v>
      </c>
      <c r="AF643" s="37">
        <v>5</v>
      </c>
      <c r="AG643" s="26">
        <v>4</v>
      </c>
      <c r="AH643" s="37" t="s">
        <v>644</v>
      </c>
      <c r="AI643" s="37" t="s">
        <v>644</v>
      </c>
      <c r="AJ643" s="26">
        <v>5</v>
      </c>
      <c r="AK643" s="24">
        <v>5</v>
      </c>
      <c r="AL643" s="26">
        <v>4</v>
      </c>
      <c r="AM643" s="26" t="s">
        <v>644</v>
      </c>
      <c r="AN643" s="26"/>
      <c r="AO643" s="37" t="s">
        <v>644</v>
      </c>
      <c r="AP643" s="237">
        <v>2</v>
      </c>
      <c r="AQ643" s="26">
        <v>5</v>
      </c>
      <c r="AR643" s="27"/>
      <c r="AS643" s="26" t="s">
        <v>644</v>
      </c>
      <c r="AT643" s="27">
        <v>5</v>
      </c>
      <c r="AU643">
        <f>E643 +F643</f>
        <v>32</v>
      </c>
    </row>
    <row r="644" spans="1:47" x14ac:dyDescent="0.25">
      <c r="A644" t="str">
        <f>B644 &amp; " - " &amp;D644</f>
        <v>SCO - N'Gosso</v>
      </c>
      <c r="B644" t="s">
        <v>1066</v>
      </c>
      <c r="C644" t="s">
        <v>641</v>
      </c>
      <c r="D644" s="65" t="s">
        <v>1058</v>
      </c>
      <c r="E644" s="31">
        <v>1</v>
      </c>
      <c r="F644" s="99">
        <v>2</v>
      </c>
      <c r="G644" s="73"/>
      <c r="H644" s="34">
        <f>AVERAGE(K644,L644)</f>
        <v>4.5</v>
      </c>
      <c r="I644" s="173"/>
      <c r="J644" s="24"/>
      <c r="K644" s="37">
        <v>4</v>
      </c>
      <c r="L644" s="24">
        <v>5</v>
      </c>
      <c r="M644" s="37"/>
      <c r="N644" s="37"/>
      <c r="O644" s="27"/>
      <c r="P644" s="37"/>
      <c r="Q644" s="24"/>
      <c r="R644" s="76" t="s">
        <v>644</v>
      </c>
      <c r="S644" s="24"/>
      <c r="T644" s="24"/>
      <c r="U644" s="24"/>
      <c r="V644" s="37"/>
      <c r="W644" s="24"/>
      <c r="X644" s="24"/>
      <c r="Y644" s="37"/>
      <c r="Z644" s="24"/>
      <c r="AA644" s="24"/>
      <c r="AB644" s="24"/>
      <c r="AC644" s="37"/>
      <c r="AD644" s="24"/>
      <c r="AE644" s="24"/>
      <c r="AF644" s="24"/>
      <c r="AG644" s="27"/>
      <c r="AH644" s="24"/>
      <c r="AI644" s="24"/>
      <c r="AJ644" s="27"/>
      <c r="AK644" s="24"/>
      <c r="AL644" s="26"/>
      <c r="AM644" s="27"/>
      <c r="AN644" s="27"/>
      <c r="AO644" s="37"/>
      <c r="AP644" s="27"/>
      <c r="AQ644" s="27"/>
      <c r="AR644" s="27"/>
      <c r="AS644" s="27"/>
      <c r="AT644" s="27"/>
      <c r="AU644">
        <f>E644 +F644</f>
        <v>3</v>
      </c>
    </row>
    <row r="645" spans="1:47" x14ac:dyDescent="0.25">
      <c r="A645" t="str">
        <f>B645 &amp; " - " &amp;D645</f>
        <v>SCO - Yahia</v>
      </c>
      <c r="B645" t="s">
        <v>1066</v>
      </c>
      <c r="C645" s="225" t="s">
        <v>641</v>
      </c>
      <c r="D645" s="225" t="s">
        <v>510</v>
      </c>
      <c r="E645" s="41"/>
      <c r="F645" s="226"/>
      <c r="G645" s="261"/>
      <c r="H645" s="34"/>
      <c r="I645" s="262"/>
      <c r="J645" s="46"/>
      <c r="K645" s="55"/>
      <c r="L645" s="46"/>
      <c r="M645" s="55"/>
      <c r="N645" s="55"/>
      <c r="O645" s="47"/>
      <c r="P645" s="55"/>
      <c r="Q645" s="46"/>
      <c r="R645" s="229"/>
      <c r="S645" s="46"/>
      <c r="T645" s="46"/>
      <c r="U645" s="46"/>
      <c r="V645" s="55"/>
      <c r="W645" s="46"/>
      <c r="X645" s="46"/>
      <c r="Y645" s="55"/>
      <c r="Z645" s="46"/>
      <c r="AA645" s="46"/>
      <c r="AB645" s="46"/>
      <c r="AC645" s="55"/>
      <c r="AD645" s="46"/>
      <c r="AE645" s="46"/>
      <c r="AF645" s="46"/>
      <c r="AG645" s="47"/>
      <c r="AH645" s="46"/>
      <c r="AI645" s="46"/>
      <c r="AJ645" s="47"/>
      <c r="AK645" s="46"/>
      <c r="AL645" s="56"/>
      <c r="AM645" s="47"/>
      <c r="AN645" s="47"/>
      <c r="AO645" s="55"/>
      <c r="AP645" s="47"/>
      <c r="AQ645" s="47"/>
      <c r="AR645" s="47"/>
      <c r="AS645" s="47"/>
      <c r="AT645" s="47"/>
      <c r="AU645">
        <f>E645 +F645</f>
        <v>0</v>
      </c>
    </row>
    <row r="646" spans="1:47" x14ac:dyDescent="0.25">
      <c r="A646" t="str">
        <f>B646 &amp; " - " &amp;D646</f>
        <v>SCO - Auriac</v>
      </c>
      <c r="B646" t="s">
        <v>1066</v>
      </c>
      <c r="C646" t="s">
        <v>654</v>
      </c>
      <c r="D646" s="65" t="s">
        <v>1053</v>
      </c>
      <c r="E646" s="31">
        <v>3</v>
      </c>
      <c r="F646" s="99">
        <v>13</v>
      </c>
      <c r="G646" s="73"/>
      <c r="H646" s="125">
        <f>AVERAGE(O646,R646,U646,Y646)</f>
        <v>4.75</v>
      </c>
      <c r="I646" s="87"/>
      <c r="J646" s="24"/>
      <c r="K646" s="77"/>
      <c r="L646" s="24"/>
      <c r="M646" s="37" t="s">
        <v>644</v>
      </c>
      <c r="N646" s="37" t="s">
        <v>644</v>
      </c>
      <c r="O646" s="27">
        <v>5</v>
      </c>
      <c r="P646" s="37" t="s">
        <v>644</v>
      </c>
      <c r="Q646" s="37" t="s">
        <v>644</v>
      </c>
      <c r="R646" s="23">
        <v>4</v>
      </c>
      <c r="S646" s="24"/>
      <c r="T646" s="24"/>
      <c r="U646" s="24">
        <v>5</v>
      </c>
      <c r="V646" s="37"/>
      <c r="W646" s="37" t="s">
        <v>644</v>
      </c>
      <c r="X646" s="24"/>
      <c r="Y646" s="37">
        <v>5</v>
      </c>
      <c r="Z646" s="37"/>
      <c r="AA646" s="37" t="s">
        <v>644</v>
      </c>
      <c r="AB646" s="24"/>
      <c r="AC646" s="37" t="s">
        <v>644</v>
      </c>
      <c r="AD646" s="24"/>
      <c r="AE646" s="24"/>
      <c r="AF646" s="24"/>
      <c r="AG646" s="28"/>
      <c r="AH646" s="22"/>
      <c r="AI646" s="24"/>
      <c r="AJ646" s="27"/>
      <c r="AK646" s="76" t="s">
        <v>644</v>
      </c>
      <c r="AL646" s="26" t="s">
        <v>644</v>
      </c>
      <c r="AM646" s="139" t="s">
        <v>644</v>
      </c>
      <c r="AN646" s="27"/>
      <c r="AO646" s="37"/>
      <c r="AP646" s="27"/>
      <c r="AQ646" s="26" t="s">
        <v>644</v>
      </c>
      <c r="AR646" s="26"/>
      <c r="AS646" s="26"/>
      <c r="AT646" s="139" t="s">
        <v>644</v>
      </c>
      <c r="AU646">
        <f>E646 +F646</f>
        <v>16</v>
      </c>
    </row>
    <row r="647" spans="1:47" x14ac:dyDescent="0.25">
      <c r="A647" t="str">
        <f>B647 &amp; " - " &amp;D647</f>
        <v>SCO - Camara</v>
      </c>
      <c r="B647" t="s">
        <v>1066</v>
      </c>
      <c r="C647" s="64" t="s">
        <v>654</v>
      </c>
      <c r="D647" s="57" t="s">
        <v>130</v>
      </c>
      <c r="E647" s="52">
        <v>17</v>
      </c>
      <c r="F647" s="63"/>
      <c r="G647" s="145">
        <v>2</v>
      </c>
      <c r="H647" s="80">
        <f>AVERAGE(Z647,J647,K647,L647,I647,M647,N647,O647,P647,Q647,R647,S647,T647,U647,W647,X647,Y647)</f>
        <v>4.6470588235294121</v>
      </c>
      <c r="I647" s="258">
        <v>7</v>
      </c>
      <c r="J647" s="53">
        <v>5</v>
      </c>
      <c r="K647" s="61">
        <v>5</v>
      </c>
      <c r="L647" s="53">
        <v>4</v>
      </c>
      <c r="M647" s="61">
        <v>4</v>
      </c>
      <c r="N647" s="61">
        <v>5</v>
      </c>
      <c r="O647" s="63">
        <v>4</v>
      </c>
      <c r="P647" s="61">
        <v>4</v>
      </c>
      <c r="Q647" s="53">
        <v>4</v>
      </c>
      <c r="R647" s="59">
        <v>6</v>
      </c>
      <c r="S647" s="53">
        <v>4</v>
      </c>
      <c r="T647" s="53">
        <v>4</v>
      </c>
      <c r="U647" s="53">
        <v>4</v>
      </c>
      <c r="V647" s="61"/>
      <c r="W647" s="53">
        <v>5</v>
      </c>
      <c r="X647" s="53">
        <v>5</v>
      </c>
      <c r="Y647" s="61">
        <v>5</v>
      </c>
      <c r="Z647" s="53">
        <v>4</v>
      </c>
      <c r="AA647" s="81"/>
      <c r="AB647" s="53"/>
      <c r="AC647" s="61"/>
      <c r="AD647" s="59"/>
      <c r="AE647" s="59"/>
      <c r="AF647" s="59"/>
      <c r="AG647" s="63"/>
      <c r="AH647" s="59"/>
      <c r="AI647" s="53"/>
      <c r="AJ647" s="63"/>
      <c r="AK647" s="53"/>
      <c r="AL647" s="62"/>
      <c r="AM647" s="63"/>
      <c r="AN647" s="63"/>
      <c r="AO647" s="61"/>
      <c r="AP647" s="63"/>
      <c r="AQ647" s="63"/>
      <c r="AR647" s="62"/>
      <c r="AS647" s="62"/>
      <c r="AT647" s="63"/>
      <c r="AU647">
        <f>E647 +F647</f>
        <v>17</v>
      </c>
    </row>
    <row r="648" spans="1:47" x14ac:dyDescent="0.25">
      <c r="A648" t="str">
        <f>B648 &amp; " - " &amp;D648</f>
        <v>SCO - Diers</v>
      </c>
      <c r="B648" t="s">
        <v>1066</v>
      </c>
      <c r="C648" t="s">
        <v>654</v>
      </c>
      <c r="D648" s="65" t="s">
        <v>1054</v>
      </c>
      <c r="E648" s="31">
        <v>5</v>
      </c>
      <c r="F648" s="99">
        <v>10</v>
      </c>
      <c r="G648" s="73">
        <v>1</v>
      </c>
      <c r="H648" s="34">
        <f>AVERAGE(AB648,AC648,AH648,AI648,AK648)</f>
        <v>5.2</v>
      </c>
      <c r="I648" s="175"/>
      <c r="J648" s="139"/>
      <c r="K648" s="94"/>
      <c r="L648" s="24"/>
      <c r="M648" s="37"/>
      <c r="N648" s="37"/>
      <c r="O648" s="26" t="s">
        <v>644</v>
      </c>
      <c r="P648" s="37" t="s">
        <v>644</v>
      </c>
      <c r="Q648" s="24"/>
      <c r="R648" s="23"/>
      <c r="S648" s="24"/>
      <c r="T648" s="37" t="s">
        <v>644</v>
      </c>
      <c r="U648" s="24"/>
      <c r="V648" s="37" t="s">
        <v>644</v>
      </c>
      <c r="W648" s="24"/>
      <c r="X648" s="76" t="s">
        <v>644</v>
      </c>
      <c r="Y648" s="37"/>
      <c r="Z648" s="24"/>
      <c r="AA648" s="24"/>
      <c r="AB648" s="24">
        <v>6</v>
      </c>
      <c r="AC648" s="37">
        <v>5</v>
      </c>
      <c r="AD648" s="37" t="s">
        <v>644</v>
      </c>
      <c r="AE648" s="24"/>
      <c r="AF648" s="24"/>
      <c r="AG648" s="27"/>
      <c r="AH648" s="24">
        <v>6</v>
      </c>
      <c r="AI648" s="24">
        <v>5</v>
      </c>
      <c r="AJ648" s="27"/>
      <c r="AK648" s="24">
        <v>4</v>
      </c>
      <c r="AL648" s="26"/>
      <c r="AM648" s="27"/>
      <c r="AN648" s="94" t="s">
        <v>644</v>
      </c>
      <c r="AO648" s="37" t="s">
        <v>644</v>
      </c>
      <c r="AP648" s="27"/>
      <c r="AQ648" s="27"/>
      <c r="AR648" s="27"/>
      <c r="AS648" s="26" t="s">
        <v>644</v>
      </c>
      <c r="AT648" s="139" t="s">
        <v>644</v>
      </c>
      <c r="AU648">
        <f>E648 +F648</f>
        <v>15</v>
      </c>
    </row>
    <row r="649" spans="1:47" x14ac:dyDescent="0.25">
      <c r="A649" t="str">
        <f>B649 &amp; " - " &amp;D649</f>
        <v>SCO - Eudeline</v>
      </c>
      <c r="B649" t="s">
        <v>1066</v>
      </c>
      <c r="C649" t="s">
        <v>654</v>
      </c>
      <c r="D649" s="154" t="s">
        <v>1055</v>
      </c>
      <c r="E649" s="31"/>
      <c r="F649" s="99"/>
      <c r="G649" s="73"/>
      <c r="H649" s="34"/>
      <c r="I649" s="175"/>
      <c r="J649" s="76"/>
      <c r="K649" s="77"/>
      <c r="L649" s="24"/>
      <c r="M649" s="37"/>
      <c r="N649" s="37"/>
      <c r="O649" s="27"/>
      <c r="P649" s="37"/>
      <c r="Q649" s="24"/>
      <c r="R649" s="23"/>
      <c r="S649" s="24"/>
      <c r="T649" s="24"/>
      <c r="U649" s="24"/>
      <c r="V649" s="37"/>
      <c r="W649" s="24"/>
      <c r="X649" s="37"/>
      <c r="Y649" s="37"/>
      <c r="Z649" s="24"/>
      <c r="AA649" s="24"/>
      <c r="AB649" s="24"/>
      <c r="AC649" s="37"/>
      <c r="AD649" s="24"/>
      <c r="AE649" s="24"/>
      <c r="AF649" s="24"/>
      <c r="AG649" s="27"/>
      <c r="AH649" s="24"/>
      <c r="AI649" s="24"/>
      <c r="AJ649" s="27"/>
      <c r="AK649" s="24"/>
      <c r="AL649" s="26"/>
      <c r="AM649" s="27"/>
      <c r="AN649" s="27"/>
      <c r="AO649" s="37"/>
      <c r="AP649" s="27"/>
      <c r="AQ649" s="27"/>
      <c r="AR649" s="27"/>
      <c r="AS649" s="27"/>
      <c r="AT649" s="27"/>
      <c r="AU649">
        <f>E649 +F649</f>
        <v>0</v>
      </c>
    </row>
    <row r="650" spans="1:47" x14ac:dyDescent="0.25">
      <c r="A650" t="str">
        <f>B650 &amp; " - " &amp;D650</f>
        <v>ESTAC - Camus</v>
      </c>
      <c r="B650" t="s">
        <v>1034</v>
      </c>
      <c r="C650" s="30" t="s">
        <v>654</v>
      </c>
      <c r="D650" s="154" t="s">
        <v>1028</v>
      </c>
      <c r="E650" s="31">
        <v>28</v>
      </c>
      <c r="F650" s="99">
        <v>7</v>
      </c>
      <c r="G650" s="73">
        <v>5</v>
      </c>
      <c r="H650" s="34">
        <f>AVERAGE(AA650,Z650,K650,M650,I650,P650,Q650,R650,S650,T650,U650,W650,X650,AB650,AC650,AD650,AE650,AG650,AH650,AI650,AJ650,AL650,AN650,AO650,AP650,AQ650,AR650,AS650,AT650)</f>
        <v>4.4137931034482758</v>
      </c>
      <c r="I650" s="173">
        <v>5</v>
      </c>
      <c r="J650" s="77" t="s">
        <v>644</v>
      </c>
      <c r="K650" s="37">
        <v>4</v>
      </c>
      <c r="L650" s="37" t="s">
        <v>644</v>
      </c>
      <c r="M650" s="37">
        <v>5</v>
      </c>
      <c r="N650" s="37" t="s">
        <v>644</v>
      </c>
      <c r="O650" s="27"/>
      <c r="P650" s="37">
        <v>5</v>
      </c>
      <c r="Q650" s="24">
        <v>4</v>
      </c>
      <c r="R650" s="23">
        <v>4</v>
      </c>
      <c r="S650" s="24">
        <v>5</v>
      </c>
      <c r="T650" s="24">
        <v>5</v>
      </c>
      <c r="U650" s="24">
        <v>5</v>
      </c>
      <c r="V650" s="37" t="s">
        <v>644</v>
      </c>
      <c r="W650" s="24">
        <v>5</v>
      </c>
      <c r="X650" s="24">
        <v>4</v>
      </c>
      <c r="Y650" s="37" t="s">
        <v>644</v>
      </c>
      <c r="Z650" s="24">
        <v>5</v>
      </c>
      <c r="AA650" s="24">
        <v>4</v>
      </c>
      <c r="AB650" s="22">
        <v>4</v>
      </c>
      <c r="AC650" s="75">
        <v>7</v>
      </c>
      <c r="AD650" s="24">
        <v>4</v>
      </c>
      <c r="AE650" s="24">
        <v>4</v>
      </c>
      <c r="AF650" s="24"/>
      <c r="AG650" s="27">
        <v>4</v>
      </c>
      <c r="AH650" s="24">
        <v>4</v>
      </c>
      <c r="AI650" s="24">
        <v>4</v>
      </c>
      <c r="AJ650" s="27">
        <v>4</v>
      </c>
      <c r="AK650" s="24"/>
      <c r="AL650" s="252">
        <v>3</v>
      </c>
      <c r="AM650" s="26" t="s">
        <v>644</v>
      </c>
      <c r="AN650" s="237">
        <v>3</v>
      </c>
      <c r="AO650" s="37">
        <v>4</v>
      </c>
      <c r="AP650" s="28">
        <v>6</v>
      </c>
      <c r="AQ650" s="237">
        <v>3</v>
      </c>
      <c r="AR650" s="27">
        <v>4</v>
      </c>
      <c r="AS650" s="27">
        <v>4</v>
      </c>
      <c r="AT650" s="28">
        <v>6</v>
      </c>
      <c r="AU650">
        <f>E650 +F650</f>
        <v>35</v>
      </c>
    </row>
    <row r="651" spans="1:47" x14ac:dyDescent="0.25">
      <c r="A651" t="str">
        <f>B651 &amp; " - " &amp;D651</f>
        <v>SCO - Pessalli</v>
      </c>
      <c r="B651" t="s">
        <v>1066</v>
      </c>
      <c r="C651" s="64" t="s">
        <v>654</v>
      </c>
      <c r="D651" s="57" t="s">
        <v>1057</v>
      </c>
      <c r="E651" s="52"/>
      <c r="F651" s="63"/>
      <c r="G651" s="145"/>
      <c r="H651" s="80"/>
      <c r="I651" s="258"/>
      <c r="J651" s="53"/>
      <c r="K651" s="61"/>
      <c r="L651" s="53"/>
      <c r="M651" s="61"/>
      <c r="N651" s="61"/>
      <c r="O651" s="63"/>
      <c r="P651" s="61"/>
      <c r="Q651" s="53"/>
      <c r="R651" s="59"/>
      <c r="S651" s="53"/>
      <c r="T651" s="53"/>
      <c r="U651" s="53"/>
      <c r="V651" s="61"/>
      <c r="W651" s="53"/>
      <c r="X651" s="53"/>
      <c r="Y651" s="61"/>
      <c r="Z651" s="53"/>
      <c r="AA651" s="81"/>
      <c r="AB651" s="53"/>
      <c r="AC651" s="61"/>
      <c r="AD651" s="59"/>
      <c r="AE651" s="59"/>
      <c r="AF651" s="59"/>
      <c r="AG651" s="63"/>
      <c r="AH651" s="59"/>
      <c r="AI651" s="53"/>
      <c r="AJ651" s="63"/>
      <c r="AK651" s="53"/>
      <c r="AL651" s="62"/>
      <c r="AM651" s="63"/>
      <c r="AN651" s="63"/>
      <c r="AO651" s="61"/>
      <c r="AP651" s="63"/>
      <c r="AQ651" s="63"/>
      <c r="AR651" s="62"/>
      <c r="AS651" s="62"/>
      <c r="AT651" s="63"/>
      <c r="AU651">
        <f>E651 +F651</f>
        <v>0</v>
      </c>
    </row>
    <row r="652" spans="1:47" x14ac:dyDescent="0.25">
      <c r="A652" t="str">
        <f>B652 &amp; " - " &amp;D652</f>
        <v>GFCA - Zoua</v>
      </c>
      <c r="B652" t="s">
        <v>1047</v>
      </c>
      <c r="C652" s="30" t="s">
        <v>665</v>
      </c>
      <c r="D652" s="65" t="s">
        <v>1045</v>
      </c>
      <c r="E652" s="31">
        <v>26</v>
      </c>
      <c r="F652" s="99">
        <v>5</v>
      </c>
      <c r="G652" s="73">
        <v>5</v>
      </c>
      <c r="H652" s="34">
        <f>AVERAGE(Z652,X652,J652,K652,L652,M652,N652,O652,P652,R652,T652,U652,V652,W652,AA652,AD652,AE652,AF652,AG652,AH652,AI652,AJ652,AL652,AM652,AN652,AR652,AS652)</f>
        <v>4.4074074074074074</v>
      </c>
      <c r="I652" s="173"/>
      <c r="J652" s="24">
        <v>5</v>
      </c>
      <c r="K652" s="37">
        <v>4</v>
      </c>
      <c r="L652" s="24">
        <v>4</v>
      </c>
      <c r="M652" s="37">
        <v>5</v>
      </c>
      <c r="N652" s="76">
        <v>4</v>
      </c>
      <c r="O652" s="27">
        <v>4</v>
      </c>
      <c r="P652" s="37">
        <v>4</v>
      </c>
      <c r="Q652" s="24"/>
      <c r="R652" s="23">
        <v>4</v>
      </c>
      <c r="S652" s="22"/>
      <c r="T652" s="24">
        <v>5</v>
      </c>
      <c r="U652" s="77">
        <v>6</v>
      </c>
      <c r="V652" s="77">
        <v>6</v>
      </c>
      <c r="W652" s="24">
        <v>5</v>
      </c>
      <c r="X652" s="22">
        <v>6</v>
      </c>
      <c r="Y652" s="76" t="s">
        <v>644</v>
      </c>
      <c r="Z652" s="22">
        <v>6</v>
      </c>
      <c r="AA652" s="37">
        <v>5</v>
      </c>
      <c r="AB652" s="24"/>
      <c r="AC652" s="37"/>
      <c r="AD652" s="161">
        <v>3</v>
      </c>
      <c r="AE652" s="166">
        <v>3</v>
      </c>
      <c r="AF652" s="161">
        <v>2</v>
      </c>
      <c r="AG652" s="139">
        <v>4</v>
      </c>
      <c r="AH652" s="22">
        <v>6</v>
      </c>
      <c r="AI652" s="23">
        <v>4</v>
      </c>
      <c r="AJ652" s="99">
        <v>5</v>
      </c>
      <c r="AK652" s="37" t="s">
        <v>644</v>
      </c>
      <c r="AL652" s="26">
        <v>5</v>
      </c>
      <c r="AM652" s="246">
        <v>3</v>
      </c>
      <c r="AN652" s="27">
        <v>4</v>
      </c>
      <c r="AO652" s="37"/>
      <c r="AP652" s="27"/>
      <c r="AQ652" s="26" t="s">
        <v>644</v>
      </c>
      <c r="AR652" s="237">
        <v>3</v>
      </c>
      <c r="AS652" s="27">
        <v>4</v>
      </c>
      <c r="AT652" s="26" t="s">
        <v>644</v>
      </c>
      <c r="AU652">
        <f>E652 +F652</f>
        <v>31</v>
      </c>
    </row>
    <row r="653" spans="1:47" x14ac:dyDescent="0.25">
      <c r="A653" t="str">
        <f>B653 &amp; " - " &amp;D653</f>
        <v>ESTAC - Court</v>
      </c>
      <c r="B653" t="s">
        <v>1034</v>
      </c>
      <c r="C653" s="30" t="s">
        <v>654</v>
      </c>
      <c r="D653" s="65" t="s">
        <v>1021</v>
      </c>
      <c r="E653" s="31">
        <v>11</v>
      </c>
      <c r="F653" s="99">
        <v>13</v>
      </c>
      <c r="G653" s="73"/>
      <c r="H653" s="34">
        <f>AVERAGE(J653,L653,M653,I653,N653,O653,Q653,R653,U653,V653,AM653)</f>
        <v>4.3636363636363633</v>
      </c>
      <c r="I653" s="173">
        <v>5</v>
      </c>
      <c r="J653" s="24">
        <v>4</v>
      </c>
      <c r="K653" s="37" t="s">
        <v>677</v>
      </c>
      <c r="L653" s="24">
        <v>5</v>
      </c>
      <c r="M653" s="37">
        <v>5</v>
      </c>
      <c r="N653" s="37">
        <v>4</v>
      </c>
      <c r="O653" s="27">
        <v>4</v>
      </c>
      <c r="P653" s="37" t="s">
        <v>644</v>
      </c>
      <c r="Q653" s="24">
        <v>4</v>
      </c>
      <c r="R653" s="23">
        <v>4</v>
      </c>
      <c r="S653" s="24"/>
      <c r="T653" s="37" t="s">
        <v>644</v>
      </c>
      <c r="U653" s="24">
        <v>5</v>
      </c>
      <c r="V653" s="37">
        <v>4</v>
      </c>
      <c r="W653" s="37" t="s">
        <v>644</v>
      </c>
      <c r="X653" s="24"/>
      <c r="Y653" s="37"/>
      <c r="Z653" s="37" t="s">
        <v>644</v>
      </c>
      <c r="AA653" s="76" t="s">
        <v>644</v>
      </c>
      <c r="AB653" s="37" t="s">
        <v>644</v>
      </c>
      <c r="AC653" s="37" t="s">
        <v>644</v>
      </c>
      <c r="AD653" s="22"/>
      <c r="AE653" s="22"/>
      <c r="AF653" s="76" t="s">
        <v>644</v>
      </c>
      <c r="AG653" s="139" t="s">
        <v>644</v>
      </c>
      <c r="AH653" s="22"/>
      <c r="AI653" s="37" t="s">
        <v>644</v>
      </c>
      <c r="AJ653" s="26" t="s">
        <v>644</v>
      </c>
      <c r="AK653" s="24"/>
      <c r="AL653" s="26"/>
      <c r="AM653" s="27">
        <v>4</v>
      </c>
      <c r="AN653" s="27"/>
      <c r="AO653" s="37"/>
      <c r="AP653" s="27"/>
      <c r="AQ653" s="27"/>
      <c r="AR653" s="26" t="s">
        <v>644</v>
      </c>
      <c r="AS653" s="26" t="s">
        <v>644</v>
      </c>
      <c r="AT653" s="27"/>
      <c r="AU653">
        <f>E653 +F653</f>
        <v>24</v>
      </c>
    </row>
    <row r="654" spans="1:47" x14ac:dyDescent="0.25">
      <c r="A654" t="str">
        <f>B654 &amp; " - " &amp;D654</f>
        <v>EAG - Coco</v>
      </c>
      <c r="B654" t="s">
        <v>999</v>
      </c>
      <c r="C654" s="30" t="s">
        <v>654</v>
      </c>
      <c r="D654" s="60" t="s">
        <v>990</v>
      </c>
      <c r="E654" s="31">
        <v>20</v>
      </c>
      <c r="F654" s="27">
        <v>10</v>
      </c>
      <c r="G654" s="73">
        <v>1</v>
      </c>
      <c r="H654" s="34">
        <f>AVERAGE(AA654,L654,M654,N654,O654,P654,Q654,R654,U654,V654,W654,X654,AB654,AH654,AM654,AO654,AP654,AQ654,AR654,AS654)</f>
        <v>4.3</v>
      </c>
      <c r="I654" s="87"/>
      <c r="J654" s="24"/>
      <c r="K654" s="37"/>
      <c r="L654" s="37">
        <v>5</v>
      </c>
      <c r="M654" s="37">
        <v>4</v>
      </c>
      <c r="N654" s="37">
        <v>4</v>
      </c>
      <c r="O654" s="27">
        <v>4</v>
      </c>
      <c r="P654" s="37">
        <v>5</v>
      </c>
      <c r="Q654" s="24">
        <v>4</v>
      </c>
      <c r="R654" s="23">
        <v>4</v>
      </c>
      <c r="S654" s="37" t="s">
        <v>644</v>
      </c>
      <c r="T654" s="24"/>
      <c r="U654" s="24">
        <v>5</v>
      </c>
      <c r="V654" s="37">
        <v>5</v>
      </c>
      <c r="W654" s="24">
        <v>5</v>
      </c>
      <c r="X654" s="82">
        <v>3</v>
      </c>
      <c r="Y654" s="37"/>
      <c r="Z654" s="37" t="s">
        <v>644</v>
      </c>
      <c r="AA654" s="24">
        <v>4</v>
      </c>
      <c r="AB654" s="24">
        <v>4</v>
      </c>
      <c r="AC654" s="37" t="s">
        <v>644</v>
      </c>
      <c r="AD654" s="24"/>
      <c r="AE654" s="37" t="s">
        <v>644</v>
      </c>
      <c r="AF654" s="24"/>
      <c r="AG654" s="26" t="s">
        <v>644</v>
      </c>
      <c r="AH654" s="22">
        <v>5</v>
      </c>
      <c r="AI654" s="37" t="s">
        <v>644</v>
      </c>
      <c r="AJ654" s="26" t="s">
        <v>644</v>
      </c>
      <c r="AK654" s="24"/>
      <c r="AL654" s="26" t="s">
        <v>644</v>
      </c>
      <c r="AM654" s="27">
        <v>5</v>
      </c>
      <c r="AN654" s="26" t="s">
        <v>644</v>
      </c>
      <c r="AO654" s="37">
        <v>4</v>
      </c>
      <c r="AP654" s="27">
        <v>5</v>
      </c>
      <c r="AQ654" s="27">
        <v>4</v>
      </c>
      <c r="AR654" s="237">
        <v>3</v>
      </c>
      <c r="AS654" s="27">
        <v>4</v>
      </c>
      <c r="AT654" s="26" t="s">
        <v>644</v>
      </c>
      <c r="AU654">
        <f>E654 +F654</f>
        <v>30</v>
      </c>
    </row>
    <row r="655" spans="1:47" x14ac:dyDescent="0.25">
      <c r="A655" t="str">
        <f>B655 &amp; " - " &amp;D655</f>
        <v>SCO - Benrahma</v>
      </c>
      <c r="B655" t="s">
        <v>1066</v>
      </c>
      <c r="C655" s="248" t="s">
        <v>654</v>
      </c>
      <c r="D655" s="154" t="s">
        <v>727</v>
      </c>
      <c r="E655" s="31">
        <v>1</v>
      </c>
      <c r="F655" s="99">
        <v>11</v>
      </c>
      <c r="G655" s="73">
        <v>1</v>
      </c>
      <c r="H655" s="34">
        <f>AVERAGE(AH655,AI655)</f>
        <v>4</v>
      </c>
      <c r="I655" s="173"/>
      <c r="J655" s="37"/>
      <c r="K655" s="37"/>
      <c r="L655" s="24"/>
      <c r="M655" s="37"/>
      <c r="N655" s="77"/>
      <c r="O655" s="27"/>
      <c r="P655" s="37"/>
      <c r="Q655" s="24"/>
      <c r="R655" s="23"/>
      <c r="S655" s="22"/>
      <c r="T655" s="24"/>
      <c r="U655" s="37"/>
      <c r="V655" s="37"/>
      <c r="W655" s="24"/>
      <c r="X655" s="24"/>
      <c r="Y655" s="77"/>
      <c r="Z655" s="24"/>
      <c r="AA655" s="37"/>
      <c r="AB655" s="37"/>
      <c r="AC655" s="37"/>
      <c r="AD655" s="76" t="s">
        <v>644</v>
      </c>
      <c r="AE655" s="37" t="s">
        <v>644</v>
      </c>
      <c r="AF655" s="37" t="s">
        <v>644</v>
      </c>
      <c r="AG655" s="139" t="s">
        <v>644</v>
      </c>
      <c r="AH655" s="76">
        <v>4</v>
      </c>
      <c r="AI655" s="76" t="s">
        <v>677</v>
      </c>
      <c r="AJ655" s="27"/>
      <c r="AK655" s="37"/>
      <c r="AL655" s="26"/>
      <c r="AM655" s="94"/>
      <c r="AN655" s="26" t="s">
        <v>644</v>
      </c>
      <c r="AO655" s="37" t="s">
        <v>644</v>
      </c>
      <c r="AP655" s="27"/>
      <c r="AQ655" s="26" t="s">
        <v>644</v>
      </c>
      <c r="AR655" s="26" t="s">
        <v>644</v>
      </c>
      <c r="AS655" s="26" t="s">
        <v>644</v>
      </c>
      <c r="AT655" s="94" t="s">
        <v>644</v>
      </c>
      <c r="AU655">
        <f>E655 +F655</f>
        <v>12</v>
      </c>
    </row>
    <row r="656" spans="1:47" x14ac:dyDescent="0.25">
      <c r="A656" t="str">
        <f>B656 &amp; " - " &amp;D656</f>
        <v>SCO - Bourillon</v>
      </c>
      <c r="B656" t="s">
        <v>1066</v>
      </c>
      <c r="C656" t="s">
        <v>654</v>
      </c>
      <c r="D656" s="154" t="s">
        <v>922</v>
      </c>
      <c r="E656" s="31">
        <v>6</v>
      </c>
      <c r="F656" s="99">
        <v>2</v>
      </c>
      <c r="G656" s="73">
        <v>1</v>
      </c>
      <c r="H656" s="34">
        <f>AVERAGE(AF656,AI656,AQ656,AR656,AS656,AT656)</f>
        <v>4.166666666666667</v>
      </c>
      <c r="I656" s="173"/>
      <c r="J656" s="24"/>
      <c r="K656" s="37"/>
      <c r="L656" s="24"/>
      <c r="M656" s="37"/>
      <c r="N656" s="37"/>
      <c r="O656" s="27"/>
      <c r="P656" s="37"/>
      <c r="Q656" s="24"/>
      <c r="R656" s="23"/>
      <c r="S656" s="24"/>
      <c r="T656" s="24"/>
      <c r="U656" s="24"/>
      <c r="V656" s="37"/>
      <c r="W656" s="24"/>
      <c r="X656" s="23"/>
      <c r="Y656" s="37"/>
      <c r="Z656" s="24"/>
      <c r="AA656" s="24"/>
      <c r="AB656" s="24"/>
      <c r="AC656" s="76"/>
      <c r="AD656" s="76"/>
      <c r="AE656" s="24"/>
      <c r="AF656" s="24">
        <v>4</v>
      </c>
      <c r="AG656" s="27"/>
      <c r="AH656" s="24"/>
      <c r="AI656" s="24">
        <v>4</v>
      </c>
      <c r="AJ656" s="26" t="s">
        <v>644</v>
      </c>
      <c r="AK656" s="24"/>
      <c r="AL656" s="26"/>
      <c r="AM656" s="27"/>
      <c r="AN656" s="26"/>
      <c r="AO656" s="37"/>
      <c r="AP656" s="94" t="s">
        <v>644</v>
      </c>
      <c r="AQ656" s="27">
        <v>4</v>
      </c>
      <c r="AR656" s="27">
        <v>5</v>
      </c>
      <c r="AS656" s="27">
        <v>5</v>
      </c>
      <c r="AT656" s="237">
        <v>3</v>
      </c>
      <c r="AU656">
        <f>E656 +F656</f>
        <v>8</v>
      </c>
    </row>
    <row r="657" spans="1:47" x14ac:dyDescent="0.25">
      <c r="A657" t="str">
        <f>B657 &amp; " - " &amp;D657</f>
        <v>SCO - Nsamé</v>
      </c>
      <c r="B657" t="s">
        <v>1066</v>
      </c>
      <c r="C657" t="s">
        <v>654</v>
      </c>
      <c r="D657" s="65" t="s">
        <v>1065</v>
      </c>
      <c r="E657" s="31"/>
      <c r="F657" s="99">
        <v>5</v>
      </c>
      <c r="G657" s="73"/>
      <c r="H657" s="34"/>
      <c r="I657" s="173"/>
      <c r="J657" s="37" t="s">
        <v>644</v>
      </c>
      <c r="K657" s="37"/>
      <c r="L657" s="24"/>
      <c r="M657" s="37"/>
      <c r="N657" s="77"/>
      <c r="O657" s="27"/>
      <c r="P657" s="37"/>
      <c r="Q657" s="24"/>
      <c r="R657" s="23"/>
      <c r="S657" s="22"/>
      <c r="T657" s="24"/>
      <c r="U657" s="37"/>
      <c r="V657" s="37"/>
      <c r="W657" s="24"/>
      <c r="X657" s="24"/>
      <c r="Y657" s="77"/>
      <c r="Z657" s="24"/>
      <c r="AA657" s="37"/>
      <c r="AB657" s="37" t="s">
        <v>644</v>
      </c>
      <c r="AC657" s="37"/>
      <c r="AD657" s="22"/>
      <c r="AE657" s="37"/>
      <c r="AF657" s="37" t="s">
        <v>644</v>
      </c>
      <c r="AG657" s="139" t="s">
        <v>644</v>
      </c>
      <c r="AH657" s="22"/>
      <c r="AI657" s="76" t="s">
        <v>644</v>
      </c>
      <c r="AJ657" s="27"/>
      <c r="AK657" s="37"/>
      <c r="AL657" s="26"/>
      <c r="AM657" s="94"/>
      <c r="AN657" s="27"/>
      <c r="AO657" s="37"/>
      <c r="AP657" s="27"/>
      <c r="AQ657" s="26"/>
      <c r="AR657" s="27"/>
      <c r="AS657" s="27"/>
      <c r="AT657" s="26"/>
      <c r="AU657">
        <f>E657 +F657</f>
        <v>5</v>
      </c>
    </row>
    <row r="658" spans="1:47" x14ac:dyDescent="0.25">
      <c r="A658" t="str">
        <f>B658 &amp; " - " &amp;D658</f>
        <v>SCO - Laidouni</v>
      </c>
      <c r="B658" t="s">
        <v>1066</v>
      </c>
      <c r="C658" t="s">
        <v>654</v>
      </c>
      <c r="D658" s="65" t="s">
        <v>1139</v>
      </c>
      <c r="E658" s="31">
        <v>1</v>
      </c>
      <c r="F658" s="99"/>
      <c r="G658" s="73"/>
      <c r="H658" s="34">
        <f>AVERAGE(AN658)</f>
        <v>6</v>
      </c>
      <c r="I658" s="173"/>
      <c r="J658" s="37"/>
      <c r="K658" s="37"/>
      <c r="L658" s="24"/>
      <c r="M658" s="37"/>
      <c r="N658" s="77"/>
      <c r="O658" s="27"/>
      <c r="P658" s="37"/>
      <c r="Q658" s="24"/>
      <c r="R658" s="23"/>
      <c r="S658" s="22"/>
      <c r="T658" s="24"/>
      <c r="U658" s="37"/>
      <c r="V658" s="37"/>
      <c r="W658" s="24"/>
      <c r="X658" s="24"/>
      <c r="Y658" s="77"/>
      <c r="Z658" s="24"/>
      <c r="AA658" s="37"/>
      <c r="AB658" s="37"/>
      <c r="AC658" s="37"/>
      <c r="AD658" s="22"/>
      <c r="AE658" s="37"/>
      <c r="AF658" s="37"/>
      <c r="AG658" s="139"/>
      <c r="AH658" s="22"/>
      <c r="AI658" s="76"/>
      <c r="AJ658" s="27"/>
      <c r="AK658" s="37"/>
      <c r="AL658" s="26"/>
      <c r="AM658" s="94"/>
      <c r="AN658" s="27">
        <v>6</v>
      </c>
      <c r="AO658" s="37"/>
      <c r="AP658" s="27"/>
      <c r="AQ658" s="26"/>
      <c r="AR658" s="27"/>
      <c r="AS658" s="27"/>
      <c r="AT658" s="26"/>
      <c r="AU658">
        <f>E658 +F658</f>
        <v>1</v>
      </c>
    </row>
    <row r="659" spans="1:47" x14ac:dyDescent="0.25">
      <c r="A659" t="str">
        <f>B659 &amp; " - " &amp;D659</f>
        <v>SCO - Serin</v>
      </c>
      <c r="B659" t="s">
        <v>1066</v>
      </c>
      <c r="C659" s="85" t="s">
        <v>654</v>
      </c>
      <c r="D659" s="121" t="s">
        <v>1062</v>
      </c>
      <c r="E659" s="69"/>
      <c r="F659" s="115">
        <v>1</v>
      </c>
      <c r="G659" s="68"/>
      <c r="H659" s="72"/>
      <c r="I659" s="173"/>
      <c r="J659" s="24"/>
      <c r="K659" s="37"/>
      <c r="L659" s="37"/>
      <c r="M659" s="37"/>
      <c r="N659" s="37" t="s">
        <v>644</v>
      </c>
      <c r="O659" s="27"/>
      <c r="P659" s="37"/>
      <c r="Q659" s="24"/>
      <c r="R659" s="23"/>
      <c r="S659" s="24"/>
      <c r="T659" s="24"/>
      <c r="U659" s="24"/>
      <c r="V659" s="37"/>
      <c r="W659" s="24"/>
      <c r="X659" s="24"/>
      <c r="Y659" s="37"/>
      <c r="Z659" s="24"/>
      <c r="AA659" s="24"/>
      <c r="AB659" s="24"/>
      <c r="AC659" s="37"/>
      <c r="AD659" s="24"/>
      <c r="AE659" s="24"/>
      <c r="AF659" s="37"/>
      <c r="AG659" s="27"/>
      <c r="AH659" s="24"/>
      <c r="AI659" s="24"/>
      <c r="AJ659" s="27"/>
      <c r="AK659" s="24"/>
      <c r="AL659" s="26"/>
      <c r="AM659" s="27"/>
      <c r="AN659" s="27"/>
      <c r="AO659" s="37"/>
      <c r="AP659" s="27"/>
      <c r="AQ659" s="27"/>
      <c r="AR659" s="27"/>
      <c r="AS659" s="27"/>
      <c r="AT659" s="27"/>
      <c r="AU659">
        <f>E659 +F659</f>
        <v>1</v>
      </c>
    </row>
    <row r="660" spans="1:47" x14ac:dyDescent="0.25">
      <c r="A660" t="str">
        <f>B660 &amp; " - " &amp;D660</f>
        <v>SCO - Karanovic</v>
      </c>
      <c r="B660" t="s">
        <v>1066</v>
      </c>
      <c r="C660" s="147" t="s">
        <v>665</v>
      </c>
      <c r="D660" s="118" t="s">
        <v>1063</v>
      </c>
      <c r="E660" s="148">
        <v>2</v>
      </c>
      <c r="F660" s="142">
        <v>10</v>
      </c>
      <c r="G660" s="49">
        <v>1</v>
      </c>
      <c r="H660" s="34">
        <f>AVERAGE(M660,AA660)</f>
        <v>4</v>
      </c>
      <c r="I660" s="180"/>
      <c r="J660" s="109"/>
      <c r="K660" s="76" t="s">
        <v>644</v>
      </c>
      <c r="L660" s="76" t="s">
        <v>644</v>
      </c>
      <c r="M660" s="76">
        <v>4</v>
      </c>
      <c r="N660" s="76"/>
      <c r="O660" s="142"/>
      <c r="P660" s="76"/>
      <c r="Q660" s="76"/>
      <c r="R660" s="23"/>
      <c r="S660" s="23"/>
      <c r="T660" s="76"/>
      <c r="U660" s="76" t="s">
        <v>644</v>
      </c>
      <c r="V660" s="76" t="s">
        <v>644</v>
      </c>
      <c r="W660" s="76" t="s">
        <v>644</v>
      </c>
      <c r="X660" s="76" t="s">
        <v>644</v>
      </c>
      <c r="Y660" s="108"/>
      <c r="Z660" s="76" t="s">
        <v>644</v>
      </c>
      <c r="AA660" s="23">
        <v>4</v>
      </c>
      <c r="AB660" s="108"/>
      <c r="AC660" s="108"/>
      <c r="AD660" s="109"/>
      <c r="AE660" s="109"/>
      <c r="AF660" s="109"/>
      <c r="AG660" s="110"/>
      <c r="AH660" s="109"/>
      <c r="AI660" s="77" t="s">
        <v>644</v>
      </c>
      <c r="AJ660" s="110"/>
      <c r="AK660" s="76" t="s">
        <v>644</v>
      </c>
      <c r="AL660" s="174"/>
      <c r="AM660" s="110"/>
      <c r="AN660" s="110"/>
      <c r="AO660" s="108"/>
      <c r="AP660" s="110"/>
      <c r="AQ660" s="110"/>
      <c r="AR660" s="110"/>
      <c r="AS660" s="110"/>
      <c r="AT660" s="110"/>
      <c r="AU660">
        <f>E660 +F660</f>
        <v>12</v>
      </c>
    </row>
    <row r="661" spans="1:47" x14ac:dyDescent="0.25">
      <c r="A661" t="str">
        <f>B661 &amp; " - " &amp;D661</f>
        <v>SCO - Sissoko</v>
      </c>
      <c r="B661" t="s">
        <v>1066</v>
      </c>
      <c r="C661" t="s">
        <v>665</v>
      </c>
      <c r="D661" s="118" t="s">
        <v>586</v>
      </c>
      <c r="E661" s="31">
        <v>2</v>
      </c>
      <c r="F661" s="99">
        <v>10</v>
      </c>
      <c r="G661" s="73"/>
      <c r="H661" s="34">
        <f>AVERAGE(N661,O661)</f>
        <v>4</v>
      </c>
      <c r="I661" s="173" t="s">
        <v>644</v>
      </c>
      <c r="J661" s="24"/>
      <c r="K661" s="37"/>
      <c r="L661" s="37"/>
      <c r="M661" s="37" t="s">
        <v>644</v>
      </c>
      <c r="N661" s="76">
        <v>4</v>
      </c>
      <c r="O661" s="27">
        <v>4</v>
      </c>
      <c r="P661" s="37"/>
      <c r="Q661" s="37" t="s">
        <v>644</v>
      </c>
      <c r="R661" s="76" t="s">
        <v>644</v>
      </c>
      <c r="S661" s="76" t="s">
        <v>644</v>
      </c>
      <c r="T661" s="37" t="s">
        <v>644</v>
      </c>
      <c r="U661" s="37" t="s">
        <v>644</v>
      </c>
      <c r="V661" s="37"/>
      <c r="W661" s="24"/>
      <c r="X661" s="24"/>
      <c r="Y661" s="77"/>
      <c r="Z661" s="24"/>
      <c r="AA661" s="37" t="s">
        <v>644</v>
      </c>
      <c r="AB661" s="24"/>
      <c r="AC661" s="37" t="s">
        <v>644</v>
      </c>
      <c r="AD661" s="22"/>
      <c r="AE661" s="37" t="s">
        <v>644</v>
      </c>
      <c r="AF661" s="24"/>
      <c r="AG661" s="27"/>
      <c r="AH661" s="24"/>
      <c r="AI661" s="24"/>
      <c r="AJ661" s="27"/>
      <c r="AK661" s="24"/>
      <c r="AL661" s="26"/>
      <c r="AM661" s="27"/>
      <c r="AN661" s="26" t="s">
        <v>644</v>
      </c>
      <c r="AO661" s="37"/>
      <c r="AP661" s="27"/>
      <c r="AQ661" s="27"/>
      <c r="AR661" s="27"/>
      <c r="AS661" s="27"/>
      <c r="AT661" s="27"/>
      <c r="AU661">
        <f>E661 +F661</f>
        <v>12</v>
      </c>
    </row>
    <row r="662" spans="1:47" x14ac:dyDescent="0.25">
      <c r="A662" t="str">
        <f>B662 &amp; " - " &amp;D662</f>
        <v>SCO - Doré</v>
      </c>
      <c r="B662" t="s">
        <v>1066</v>
      </c>
      <c r="C662" t="s">
        <v>665</v>
      </c>
      <c r="D662" s="65" t="s">
        <v>1064</v>
      </c>
      <c r="E662" s="31">
        <v>7</v>
      </c>
      <c r="F662" s="99">
        <v>2</v>
      </c>
      <c r="G662" s="73"/>
      <c r="H662" s="34">
        <f>AVERAGE(K662,M662,N662,P662,Q662,R662,S662)</f>
        <v>4.7142857142857144</v>
      </c>
      <c r="I662" s="173"/>
      <c r="J662" s="37" t="s">
        <v>644</v>
      </c>
      <c r="K662" s="84">
        <v>7</v>
      </c>
      <c r="L662" s="37" t="s">
        <v>644</v>
      </c>
      <c r="M662" s="37">
        <v>5</v>
      </c>
      <c r="N662" s="76">
        <v>5</v>
      </c>
      <c r="O662" s="27"/>
      <c r="P662" s="37">
        <v>4</v>
      </c>
      <c r="Q662" s="24">
        <v>4</v>
      </c>
      <c r="R662" s="23">
        <v>4</v>
      </c>
      <c r="S662" s="23">
        <v>4</v>
      </c>
      <c r="T662" s="24"/>
      <c r="U662" s="37"/>
      <c r="V662" s="37"/>
      <c r="W662" s="24"/>
      <c r="X662" s="24"/>
      <c r="Y662" s="77"/>
      <c r="Z662" s="24"/>
      <c r="AA662" s="37"/>
      <c r="AB662" s="24"/>
      <c r="AC662" s="37"/>
      <c r="AD662" s="22"/>
      <c r="AE662" s="37"/>
      <c r="AF662" s="24"/>
      <c r="AG662" s="28"/>
      <c r="AH662" s="22"/>
      <c r="AI662" s="22"/>
      <c r="AJ662" s="27"/>
      <c r="AK662" s="37"/>
      <c r="AL662" s="26"/>
      <c r="AM662" s="94"/>
      <c r="AN662" s="27"/>
      <c r="AO662" s="37"/>
      <c r="AP662" s="27"/>
      <c r="AQ662" s="26"/>
      <c r="AR662" s="27"/>
      <c r="AS662" s="27"/>
      <c r="AT662" s="26"/>
      <c r="AU662">
        <f>E662 +F662</f>
        <v>9</v>
      </c>
    </row>
    <row r="663" spans="1:47" x14ac:dyDescent="0.25">
      <c r="A663" t="str">
        <f>B663 &amp; " - " &amp;D663</f>
        <v>SCO - Gomez</v>
      </c>
      <c r="B663" t="s">
        <v>1066</v>
      </c>
      <c r="C663" s="64" t="s">
        <v>665</v>
      </c>
      <c r="D663" s="57" t="s">
        <v>1056</v>
      </c>
      <c r="E663" s="52"/>
      <c r="F663" s="63">
        <v>1</v>
      </c>
      <c r="G663" s="145"/>
      <c r="H663" s="80"/>
      <c r="I663" s="258"/>
      <c r="J663" s="53"/>
      <c r="K663" s="61"/>
      <c r="L663" s="53"/>
      <c r="M663" s="61"/>
      <c r="N663" s="61"/>
      <c r="O663" s="63"/>
      <c r="P663" s="61"/>
      <c r="Q663" s="53"/>
      <c r="R663" s="59"/>
      <c r="S663" s="53"/>
      <c r="T663" s="53"/>
      <c r="U663" s="53" t="s">
        <v>644</v>
      </c>
      <c r="V663" s="61"/>
      <c r="W663" s="53"/>
      <c r="X663" s="53"/>
      <c r="Y663" s="61"/>
      <c r="Z663" s="53"/>
      <c r="AA663" s="81"/>
      <c r="AB663" s="53"/>
      <c r="AC663" s="61"/>
      <c r="AD663" s="59"/>
      <c r="AE663" s="59"/>
      <c r="AF663" s="59"/>
      <c r="AG663" s="63"/>
      <c r="AH663" s="59"/>
      <c r="AI663" s="53"/>
      <c r="AJ663" s="63"/>
      <c r="AK663" s="53"/>
      <c r="AL663" s="62"/>
      <c r="AM663" s="63"/>
      <c r="AN663" s="63"/>
      <c r="AO663" s="61"/>
      <c r="AP663" s="63"/>
      <c r="AQ663" s="63"/>
      <c r="AR663" s="62"/>
      <c r="AS663" s="62"/>
      <c r="AT663" s="63"/>
      <c r="AU663">
        <f>E663 +F663</f>
        <v>1</v>
      </c>
    </row>
    <row r="664" spans="1:47" x14ac:dyDescent="0.25">
      <c r="A664" t="str">
        <f>B664 &amp; " - " &amp;D664</f>
        <v>SCO - Yattara</v>
      </c>
      <c r="B664" t="s">
        <v>1066</v>
      </c>
      <c r="C664" s="248" t="s">
        <v>665</v>
      </c>
      <c r="D664" s="154" t="s">
        <v>1081</v>
      </c>
      <c r="E664" s="31">
        <v>9</v>
      </c>
      <c r="F664" s="99">
        <v>10</v>
      </c>
      <c r="G664" s="73">
        <v>2</v>
      </c>
      <c r="H664" s="34">
        <f>AVERAGE(AD664,AE664,AG664,AH664,AI664,AJ664,AN664,AQ664,AR664,AT664)</f>
        <v>4.0999999999999996</v>
      </c>
      <c r="I664" s="173"/>
      <c r="J664" s="37"/>
      <c r="K664" s="37"/>
      <c r="L664" s="24"/>
      <c r="M664" s="37"/>
      <c r="N664" s="77"/>
      <c r="O664" s="27"/>
      <c r="P664" s="37"/>
      <c r="Q664" s="24"/>
      <c r="R664" s="23"/>
      <c r="S664" s="22"/>
      <c r="T664" s="24"/>
      <c r="U664" s="37"/>
      <c r="V664" s="37"/>
      <c r="W664" s="24"/>
      <c r="X664" s="24"/>
      <c r="Y664" s="77"/>
      <c r="Z664" s="24"/>
      <c r="AA664" s="37"/>
      <c r="AB664" s="37" t="s">
        <v>644</v>
      </c>
      <c r="AC664" s="37" t="s">
        <v>644</v>
      </c>
      <c r="AD664" s="23">
        <v>4</v>
      </c>
      <c r="AE664" s="75">
        <v>7</v>
      </c>
      <c r="AF664" s="37" t="s">
        <v>644</v>
      </c>
      <c r="AG664" s="273">
        <v>3</v>
      </c>
      <c r="AH664" s="23">
        <v>4</v>
      </c>
      <c r="AI664" s="23">
        <v>4</v>
      </c>
      <c r="AJ664" s="26">
        <v>4</v>
      </c>
      <c r="AK664" s="37" t="s">
        <v>644</v>
      </c>
      <c r="AL664" s="26" t="s">
        <v>644</v>
      </c>
      <c r="AM664" s="139" t="s">
        <v>644</v>
      </c>
      <c r="AN664" s="27">
        <v>4</v>
      </c>
      <c r="AO664" s="37" t="s">
        <v>644</v>
      </c>
      <c r="AP664" s="94" t="s">
        <v>644</v>
      </c>
      <c r="AQ664" s="26">
        <v>4</v>
      </c>
      <c r="AR664" s="27">
        <v>4</v>
      </c>
      <c r="AS664" s="26" t="s">
        <v>644</v>
      </c>
      <c r="AT664" s="252">
        <v>3</v>
      </c>
      <c r="AU664">
        <f>E664 +F664</f>
        <v>19</v>
      </c>
    </row>
    <row r="665" spans="1:47" x14ac:dyDescent="0.25">
      <c r="A665" t="str">
        <f>B665 &amp; " - " &amp;D665</f>
        <v>SCB - Brandao</v>
      </c>
      <c r="B665" t="s">
        <v>887</v>
      </c>
      <c r="C665" s="30" t="s">
        <v>665</v>
      </c>
      <c r="D665" s="73" t="s">
        <v>884</v>
      </c>
      <c r="E665" s="31">
        <v>19</v>
      </c>
      <c r="F665" s="99">
        <v>8</v>
      </c>
      <c r="G665" s="73">
        <v>3</v>
      </c>
      <c r="H665" s="34">
        <f>AVERAGE(I665,M665,N665,P665,Q665,U665,V665,X665,Z665,AA665,AB665,AC665,AE665,AG665,AF665,AH665,AJ665,AK665,AI665,AM665,AN665,AO665,AP665,AQ665)</f>
        <v>4.208333333333333</v>
      </c>
      <c r="I665" s="198">
        <v>3</v>
      </c>
      <c r="J665" s="79"/>
      <c r="K665" s="37"/>
      <c r="L665" s="37"/>
      <c r="M665" s="22">
        <v>5</v>
      </c>
      <c r="N665" s="24">
        <v>4</v>
      </c>
      <c r="O665" s="27"/>
      <c r="P665" s="24">
        <v>5</v>
      </c>
      <c r="Q665" s="24">
        <v>4</v>
      </c>
      <c r="R665" s="37" t="s">
        <v>644</v>
      </c>
      <c r="S665" s="24"/>
      <c r="T665" s="24"/>
      <c r="U665" s="24">
        <v>4</v>
      </c>
      <c r="V665" s="22">
        <v>5</v>
      </c>
      <c r="W665" s="24"/>
      <c r="X665" s="24">
        <v>4</v>
      </c>
      <c r="Y665" s="24"/>
      <c r="Z665" s="24">
        <v>5</v>
      </c>
      <c r="AA665" s="37">
        <v>5</v>
      </c>
      <c r="AB665" s="24">
        <v>4</v>
      </c>
      <c r="AC665" s="24">
        <v>4</v>
      </c>
      <c r="AD665" s="24"/>
      <c r="AE665" s="22">
        <v>6</v>
      </c>
      <c r="AF665" s="37">
        <v>4</v>
      </c>
      <c r="AG665" s="27">
        <v>4</v>
      </c>
      <c r="AH665" s="24">
        <v>4</v>
      </c>
      <c r="AI665" s="82">
        <v>3</v>
      </c>
      <c r="AJ665" s="27">
        <v>5</v>
      </c>
      <c r="AK665" s="24">
        <v>4</v>
      </c>
      <c r="AL665" s="27"/>
      <c r="AM665" s="27">
        <v>4</v>
      </c>
      <c r="AN665" s="27">
        <v>4</v>
      </c>
      <c r="AO665" s="166">
        <v>3</v>
      </c>
      <c r="AP665" s="27">
        <v>4</v>
      </c>
      <c r="AQ665" s="26">
        <v>4</v>
      </c>
      <c r="AR665" s="27"/>
      <c r="AS665" s="26" t="s">
        <v>644</v>
      </c>
      <c r="AT665" s="26" t="s">
        <v>644</v>
      </c>
      <c r="AU665">
        <f>E665 +F665</f>
        <v>27</v>
      </c>
    </row>
    <row r="666" spans="1:47" ht="15.75" thickBot="1" x14ac:dyDescent="0.3">
      <c r="A666" t="str">
        <f>B666 &amp; " - " &amp;D666</f>
        <v>SR - Siebatcheu</v>
      </c>
      <c r="B666" t="s">
        <v>933</v>
      </c>
      <c r="C666" s="140" t="s">
        <v>665</v>
      </c>
      <c r="D666" s="157" t="s">
        <v>494</v>
      </c>
      <c r="E666" s="90">
        <v>6</v>
      </c>
      <c r="F666" s="119">
        <v>19</v>
      </c>
      <c r="G666" s="89">
        <v>3</v>
      </c>
      <c r="H666" s="120">
        <f>AVERAGE(O666,T666,V666,AA666,AC666)</f>
        <v>4.2</v>
      </c>
      <c r="I666" s="175" t="s">
        <v>644</v>
      </c>
      <c r="J666" s="37" t="s">
        <v>644</v>
      </c>
      <c r="K666" s="37"/>
      <c r="L666" s="79" t="s">
        <v>644</v>
      </c>
      <c r="M666" s="77" t="s">
        <v>644</v>
      </c>
      <c r="N666" s="77" t="s">
        <v>644</v>
      </c>
      <c r="O666" s="27">
        <v>4</v>
      </c>
      <c r="P666" s="37" t="s">
        <v>644</v>
      </c>
      <c r="Q666" s="37" t="s">
        <v>644</v>
      </c>
      <c r="R666" s="37" t="s">
        <v>644</v>
      </c>
      <c r="S666" s="37" t="s">
        <v>644</v>
      </c>
      <c r="T666" s="166">
        <v>3</v>
      </c>
      <c r="U666" s="37" t="s">
        <v>644</v>
      </c>
      <c r="V666" s="24">
        <v>4</v>
      </c>
      <c r="W666" s="37" t="s">
        <v>644</v>
      </c>
      <c r="X666" s="37" t="s">
        <v>644</v>
      </c>
      <c r="Y666" s="37" t="s">
        <v>644</v>
      </c>
      <c r="Z666" s="37" t="s">
        <v>644</v>
      </c>
      <c r="AA666" s="76">
        <v>4</v>
      </c>
      <c r="AB666" s="37" t="s">
        <v>644</v>
      </c>
      <c r="AC666" s="24">
        <v>6</v>
      </c>
      <c r="AD666" s="24" t="s">
        <v>673</v>
      </c>
      <c r="AE666" s="37"/>
      <c r="AF666" s="24"/>
      <c r="AG666" s="27"/>
      <c r="AH666" s="24"/>
      <c r="AI666" s="24"/>
      <c r="AJ666" s="27"/>
      <c r="AK666" s="37" t="s">
        <v>644</v>
      </c>
      <c r="AL666" s="26" t="s">
        <v>644</v>
      </c>
      <c r="AM666" s="26" t="s">
        <v>644</v>
      </c>
      <c r="AN666" s="27"/>
      <c r="AO666" s="24"/>
      <c r="AP666" s="139" t="s">
        <v>644</v>
      </c>
      <c r="AQ666" s="27"/>
      <c r="AR666" s="27"/>
      <c r="AS666" s="27"/>
      <c r="AT666" s="27"/>
      <c r="AU666">
        <f>E666 +F666</f>
        <v>25</v>
      </c>
    </row>
  </sheetData>
  <autoFilter ref="A15:AU666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12"/>
  <sheetViews>
    <sheetView workbookViewId="0">
      <selection activeCell="H4" sqref="H4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87" t="s">
        <v>638</v>
      </c>
      <c r="C2" s="288" t="s">
        <v>1126</v>
      </c>
      <c r="D2" s="288" t="s">
        <v>1127</v>
      </c>
      <c r="E2" s="289" t="s">
        <v>34</v>
      </c>
      <c r="F2" s="287" t="s">
        <v>641</v>
      </c>
      <c r="G2" s="288" t="s">
        <v>1126</v>
      </c>
      <c r="H2" s="288" t="s">
        <v>1127</v>
      </c>
      <c r="I2" s="289" t="s">
        <v>34</v>
      </c>
      <c r="J2" s="287" t="s">
        <v>654</v>
      </c>
      <c r="K2" s="288" t="s">
        <v>1126</v>
      </c>
      <c r="L2" s="288" t="s">
        <v>1127</v>
      </c>
      <c r="M2" s="289" t="s">
        <v>34</v>
      </c>
      <c r="N2" s="287" t="s">
        <v>665</v>
      </c>
      <c r="O2" s="288" t="s">
        <v>1126</v>
      </c>
      <c r="P2" s="288" t="s">
        <v>1127</v>
      </c>
      <c r="Q2" s="289" t="s">
        <v>34</v>
      </c>
    </row>
    <row r="3" spans="2:19" x14ac:dyDescent="0.25">
      <c r="B3" s="29" t="s">
        <v>481</v>
      </c>
      <c r="C3" s="30">
        <v>5</v>
      </c>
      <c r="D3" s="30">
        <v>18</v>
      </c>
      <c r="E3" s="73">
        <v>9</v>
      </c>
      <c r="F3" s="29" t="s">
        <v>1128</v>
      </c>
      <c r="G3" s="30">
        <v>7</v>
      </c>
      <c r="H3" s="30"/>
      <c r="I3" s="73">
        <v>9</v>
      </c>
      <c r="J3" s="29" t="s">
        <v>286</v>
      </c>
      <c r="K3" s="30">
        <v>20</v>
      </c>
      <c r="L3" s="30">
        <v>54</v>
      </c>
      <c r="M3" s="73">
        <v>55</v>
      </c>
      <c r="N3" s="29" t="s">
        <v>606</v>
      </c>
      <c r="O3" s="38">
        <v>7</v>
      </c>
      <c r="P3" s="38">
        <v>30</v>
      </c>
      <c r="Q3" s="73">
        <v>9</v>
      </c>
    </row>
    <row r="4" spans="2:19" x14ac:dyDescent="0.25">
      <c r="B4" s="29" t="s">
        <v>292</v>
      </c>
      <c r="C4" s="30">
        <v>20</v>
      </c>
      <c r="D4" s="30">
        <v>20</v>
      </c>
      <c r="E4" s="73"/>
      <c r="F4" s="29" t="s">
        <v>751</v>
      </c>
      <c r="G4" s="30">
        <v>12</v>
      </c>
      <c r="H4" s="30">
        <v>31</v>
      </c>
      <c r="I4" s="73">
        <v>15</v>
      </c>
      <c r="J4" s="29" t="s">
        <v>271</v>
      </c>
      <c r="K4" s="30">
        <v>20</v>
      </c>
      <c r="L4" s="30">
        <v>60</v>
      </c>
      <c r="M4" s="73">
        <v>61</v>
      </c>
      <c r="N4" s="29" t="s">
        <v>85</v>
      </c>
      <c r="O4" s="38">
        <v>35</v>
      </c>
      <c r="P4" s="38">
        <v>166</v>
      </c>
      <c r="Q4" s="73">
        <v>128</v>
      </c>
    </row>
    <row r="5" spans="2:19" x14ac:dyDescent="0.25">
      <c r="B5" s="29" t="s">
        <v>957</v>
      </c>
      <c r="C5" s="30">
        <v>24</v>
      </c>
      <c r="D5" s="30"/>
      <c r="E5" s="73">
        <v>27</v>
      </c>
      <c r="F5" s="29" t="s">
        <v>48</v>
      </c>
      <c r="G5" s="30">
        <v>1</v>
      </c>
      <c r="H5" s="30">
        <v>2</v>
      </c>
      <c r="I5" s="73">
        <v>5</v>
      </c>
      <c r="J5" s="29" t="s">
        <v>491</v>
      </c>
      <c r="K5" s="30">
        <v>7</v>
      </c>
      <c r="L5" s="30">
        <v>8</v>
      </c>
      <c r="M5" s="73">
        <v>13</v>
      </c>
      <c r="N5" s="29" t="s">
        <v>204</v>
      </c>
      <c r="O5" s="38">
        <v>14</v>
      </c>
      <c r="P5" s="38">
        <v>31</v>
      </c>
      <c r="Q5" s="73">
        <v>21</v>
      </c>
    </row>
    <row r="6" spans="2:19" x14ac:dyDescent="0.25">
      <c r="B6" s="29"/>
      <c r="C6" s="30"/>
      <c r="D6" s="30"/>
      <c r="E6" s="73"/>
      <c r="F6" s="29" t="s">
        <v>282</v>
      </c>
      <c r="G6" s="38">
        <v>11</v>
      </c>
      <c r="H6" s="30">
        <v>13</v>
      </c>
      <c r="I6" s="73"/>
      <c r="J6" s="29" t="s">
        <v>293</v>
      </c>
      <c r="K6" s="30">
        <v>16</v>
      </c>
      <c r="L6" s="30">
        <v>25</v>
      </c>
      <c r="M6" s="73">
        <v>18</v>
      </c>
      <c r="N6" s="29" t="s">
        <v>174</v>
      </c>
      <c r="O6" s="38">
        <v>13</v>
      </c>
      <c r="P6" s="38">
        <v>38</v>
      </c>
      <c r="Q6" s="73">
        <v>15</v>
      </c>
    </row>
    <row r="7" spans="2:19" x14ac:dyDescent="0.25">
      <c r="B7" s="29"/>
      <c r="C7" s="30"/>
      <c r="D7" s="30"/>
      <c r="E7" s="73"/>
      <c r="F7" s="29" t="s">
        <v>572</v>
      </c>
      <c r="G7" s="38">
        <v>7</v>
      </c>
      <c r="H7" s="38">
        <v>9</v>
      </c>
      <c r="I7" s="73">
        <v>10</v>
      </c>
      <c r="J7" s="29" t="s">
        <v>530</v>
      </c>
      <c r="K7" s="38">
        <v>7</v>
      </c>
      <c r="L7" s="38">
        <v>7</v>
      </c>
      <c r="M7" s="73">
        <v>9</v>
      </c>
      <c r="N7" s="29" t="s">
        <v>468</v>
      </c>
      <c r="O7" s="38">
        <v>13</v>
      </c>
      <c r="P7" s="38">
        <v>28</v>
      </c>
      <c r="Q7" s="73">
        <v>15</v>
      </c>
    </row>
    <row r="8" spans="2:19" x14ac:dyDescent="0.25">
      <c r="B8" s="29"/>
      <c r="C8" s="30"/>
      <c r="D8" s="30"/>
      <c r="E8" s="73"/>
      <c r="F8" s="29" t="s">
        <v>788</v>
      </c>
      <c r="G8" s="38">
        <v>10</v>
      </c>
      <c r="H8" s="38">
        <v>11</v>
      </c>
      <c r="I8" s="73">
        <v>14</v>
      </c>
      <c r="J8" s="29" t="s">
        <v>1061</v>
      </c>
      <c r="K8" s="38">
        <v>7</v>
      </c>
      <c r="L8" s="38">
        <v>7</v>
      </c>
      <c r="M8" s="73">
        <v>8</v>
      </c>
      <c r="N8" s="29" t="s">
        <v>466</v>
      </c>
      <c r="O8" s="38">
        <v>6</v>
      </c>
      <c r="P8" s="38">
        <v>8</v>
      </c>
      <c r="Q8" s="73"/>
    </row>
    <row r="9" spans="2:19" x14ac:dyDescent="0.25">
      <c r="B9" s="29"/>
      <c r="C9" s="30"/>
      <c r="D9" s="30"/>
      <c r="E9" s="73"/>
      <c r="F9" s="29" t="s">
        <v>30</v>
      </c>
      <c r="G9" s="38">
        <v>14</v>
      </c>
      <c r="H9" s="38">
        <v>32</v>
      </c>
      <c r="I9" s="73">
        <v>43</v>
      </c>
      <c r="J9" s="29" t="s">
        <v>883</v>
      </c>
      <c r="K9" s="38">
        <v>15</v>
      </c>
      <c r="L9" s="38">
        <v>20</v>
      </c>
      <c r="M9" s="73">
        <v>16</v>
      </c>
      <c r="N9" s="29"/>
      <c r="O9" s="30"/>
      <c r="P9" s="30"/>
      <c r="Q9" s="73"/>
    </row>
    <row r="10" spans="2:19" ht="15.75" thickBot="1" x14ac:dyDescent="0.3">
      <c r="B10" s="88"/>
      <c r="C10" s="140"/>
      <c r="D10" s="140"/>
      <c r="E10" s="89"/>
      <c r="F10" s="88"/>
      <c r="G10" s="140"/>
      <c r="H10" s="140"/>
      <c r="I10" s="89"/>
      <c r="J10" s="88"/>
      <c r="K10" s="140"/>
      <c r="L10" s="140"/>
      <c r="M10" s="89"/>
      <c r="N10" s="88"/>
      <c r="O10" s="140"/>
      <c r="P10" s="140"/>
      <c r="Q10" s="89"/>
    </row>
    <row r="11" spans="2:19" x14ac:dyDescent="0.25">
      <c r="D11">
        <f>COUNT(E3:E10)</f>
        <v>2</v>
      </c>
      <c r="E11">
        <f>SUM(E3:E10)</f>
        <v>36</v>
      </c>
      <c r="H11">
        <f>COUNT(I3:I10)</f>
        <v>6</v>
      </c>
      <c r="I11">
        <f>SUM(I3:I10)</f>
        <v>96</v>
      </c>
      <c r="L11">
        <f>COUNT(M3:M10)</f>
        <v>7</v>
      </c>
      <c r="M11">
        <f>SUM(M3:M10)</f>
        <v>180</v>
      </c>
      <c r="P11">
        <f>COUNT(Q3:Q10)</f>
        <v>5</v>
      </c>
      <c r="Q11">
        <f>SUM(Q3:Q10)</f>
        <v>188</v>
      </c>
      <c r="R11">
        <f>SUM(Q11,E11,I11,M11,)</f>
        <v>500</v>
      </c>
      <c r="S11">
        <f>500-R11</f>
        <v>0</v>
      </c>
    </row>
    <row r="12" spans="2:19" x14ac:dyDescent="0.25">
      <c r="R12">
        <f>SUM(P11,D11,H11,L11,)</f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</vt:i4>
      </vt:variant>
    </vt:vector>
  </HeadingPairs>
  <TitlesOfParts>
    <vt:vector size="10" baseType="lpstr">
      <vt:lpstr>Achats</vt:lpstr>
      <vt:lpstr>MPG 2016</vt:lpstr>
      <vt:lpstr>Correspondance</vt:lpstr>
      <vt:lpstr>Data</vt:lpstr>
      <vt:lpstr>Mercato</vt:lpstr>
      <vt:lpstr>_DATA</vt:lpstr>
      <vt:lpstr>_EQUIPES</vt:lpstr>
      <vt:lpstr>_JOUEURS</vt:lpstr>
      <vt:lpstr>_MPG</vt:lpstr>
      <vt:lpstr>Achats!_STATS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2016-09-12T19:09:50Z</dcterms:modified>
</cp:coreProperties>
</file>