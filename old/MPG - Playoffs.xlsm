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671" activeTab="1"/>
  </bookViews>
  <sheets>
    <sheet name="Achats" sheetId="10" r:id="rId1"/>
    <sheet name="MPG 2016" sheetId="9" r:id="rId2"/>
    <sheet name="Correspondance" sheetId="11" r:id="rId3"/>
    <sheet name="Data" sheetId="12" r:id="rId4"/>
    <sheet name="Mercato" sheetId="13" r:id="rId5"/>
  </sheets>
  <functionGroups builtInGroupCount="17"/>
  <definedNames>
    <definedName name="_DATA">Data!$B$16:$AQ$700</definedName>
    <definedName name="_EQUIPES">Correspondance!$K$2:$L$21</definedName>
    <definedName name="_xlnm._FilterDatabase" localSheetId="0" hidden="1">Achats!$A$1:$H$279</definedName>
    <definedName name="_xlnm._FilterDatabase" localSheetId="3" hidden="1">Data!$B$15:$AR$658</definedName>
    <definedName name="_xlnm._FilterDatabase" localSheetId="1" hidden="1">'MPG 2016'!$B$2:$P$193</definedName>
    <definedName name="_JOUEURS">Correspondance!$G$2:$H$226</definedName>
    <definedName name="_MPG">'MPG 2016'!$B$2:$P$88</definedName>
    <definedName name="_STATS" localSheetId="0">Achats!$A$1:$G$279</definedName>
  </definedNames>
  <calcPr calcId="145621"/>
  <pivotCaches>
    <pivotCache cacheId="0" r:id="rId6"/>
    <pivotCache cacheId="1" r:id="rId7"/>
  </pivotCaches>
</workbook>
</file>

<file path=xl/calcChain.xml><?xml version="1.0" encoding="utf-8"?>
<calcChain xmlns="http://schemas.openxmlformats.org/spreadsheetml/2006/main">
  <c r="H212" i="11" l="1"/>
  <c r="G212" i="11"/>
  <c r="H211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G211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P11" i="13" l="1"/>
  <c r="L11" i="13"/>
  <c r="H11" i="13"/>
  <c r="I11" i="13"/>
  <c r="D11" i="13"/>
  <c r="Q11" i="13"/>
  <c r="M11" i="13"/>
  <c r="E11" i="13"/>
  <c r="AR17" i="12"/>
  <c r="AR18" i="12"/>
  <c r="AR544" i="12"/>
  <c r="AR20" i="12"/>
  <c r="AR21" i="12"/>
  <c r="AR22" i="12"/>
  <c r="AR23" i="12"/>
  <c r="AR24" i="12"/>
  <c r="AR25" i="12"/>
  <c r="AR26" i="12"/>
  <c r="AR513" i="12"/>
  <c r="AR28" i="12"/>
  <c r="AR29" i="12"/>
  <c r="AR30" i="12"/>
  <c r="AR31" i="12"/>
  <c r="AR32" i="12"/>
  <c r="AR33" i="12"/>
  <c r="AR34" i="12"/>
  <c r="AR35" i="12"/>
  <c r="AR36" i="12"/>
  <c r="AR194" i="12"/>
  <c r="AR38" i="12"/>
  <c r="AR184" i="12"/>
  <c r="AR40" i="12"/>
  <c r="AR41" i="12"/>
  <c r="AR42" i="12"/>
  <c r="AR43" i="12"/>
  <c r="AR44" i="12"/>
  <c r="AR45" i="12"/>
  <c r="AR68" i="12"/>
  <c r="AR47" i="12"/>
  <c r="AR48" i="12"/>
  <c r="AR49" i="12"/>
  <c r="AR50" i="12"/>
  <c r="AR527" i="12"/>
  <c r="AR52" i="12"/>
  <c r="AR53" i="12"/>
  <c r="AR54" i="12"/>
  <c r="AR55" i="12"/>
  <c r="AR56" i="12"/>
  <c r="AR57" i="12"/>
  <c r="AR58" i="12"/>
  <c r="AR510" i="12"/>
  <c r="AR60" i="12"/>
  <c r="AR61" i="12"/>
  <c r="AR62" i="12"/>
  <c r="AR63" i="12"/>
  <c r="AR64" i="12"/>
  <c r="AR65" i="12"/>
  <c r="AR327" i="12"/>
  <c r="AR67" i="12"/>
  <c r="AR19" i="12"/>
  <c r="AR195" i="12"/>
  <c r="AR70" i="12"/>
  <c r="AR71" i="12"/>
  <c r="AR72" i="12"/>
  <c r="AR73" i="12"/>
  <c r="AR74" i="12"/>
  <c r="AR75" i="12"/>
  <c r="AR76" i="12"/>
  <c r="AR77" i="12"/>
  <c r="AR78" i="12"/>
  <c r="AR59" i="12"/>
  <c r="AR80" i="12"/>
  <c r="AR81" i="12"/>
  <c r="AR196" i="12"/>
  <c r="AR83" i="12"/>
  <c r="AR84" i="12"/>
  <c r="AR543" i="12"/>
  <c r="AR377" i="12"/>
  <c r="AR87" i="12"/>
  <c r="AR88" i="12"/>
  <c r="AR89" i="12"/>
  <c r="AR90" i="12"/>
  <c r="AR91" i="12"/>
  <c r="AR92" i="12"/>
  <c r="AR93" i="12"/>
  <c r="AR394" i="12"/>
  <c r="AR267" i="12"/>
  <c r="AR96" i="12"/>
  <c r="AR97" i="12"/>
  <c r="AR98" i="12"/>
  <c r="AR99" i="12"/>
  <c r="AR94" i="12"/>
  <c r="AR101" i="12"/>
  <c r="AR102" i="12"/>
  <c r="AR126" i="12"/>
  <c r="AR66" i="12"/>
  <c r="AR105" i="12"/>
  <c r="AR51" i="12"/>
  <c r="AR107" i="12"/>
  <c r="AR108" i="12"/>
  <c r="AR109" i="12"/>
  <c r="AR110" i="12"/>
  <c r="AR111" i="12"/>
  <c r="AR112" i="12"/>
  <c r="AR113" i="12"/>
  <c r="AR114" i="12"/>
  <c r="AR115" i="12"/>
  <c r="AR116" i="12"/>
  <c r="AR117" i="12"/>
  <c r="AR118" i="12"/>
  <c r="AR119" i="12"/>
  <c r="AR120" i="12"/>
  <c r="AR121" i="12"/>
  <c r="AR122" i="12"/>
  <c r="AR533" i="12"/>
  <c r="AR424" i="12"/>
  <c r="AR286" i="12"/>
  <c r="AR316" i="12"/>
  <c r="AR69" i="12"/>
  <c r="AR128" i="12"/>
  <c r="AR129" i="12"/>
  <c r="AR130" i="12"/>
  <c r="AR131" i="12"/>
  <c r="AR132" i="12"/>
  <c r="AR133" i="12"/>
  <c r="AR134" i="12"/>
  <c r="AR135" i="12"/>
  <c r="AR136" i="12"/>
  <c r="AR137" i="12"/>
  <c r="AR138" i="12"/>
  <c r="AR85" i="12"/>
  <c r="AR140" i="12"/>
  <c r="AR141" i="12"/>
  <c r="AR142" i="12"/>
  <c r="AR143" i="12"/>
  <c r="AR144" i="12"/>
  <c r="AR616" i="12"/>
  <c r="AR146" i="12"/>
  <c r="AR147" i="12"/>
  <c r="AR272" i="12"/>
  <c r="AR149" i="12"/>
  <c r="AR150" i="12"/>
  <c r="AR151" i="12"/>
  <c r="AR152" i="12"/>
  <c r="AR153" i="12"/>
  <c r="AR154" i="12"/>
  <c r="AR155" i="12"/>
  <c r="AR156" i="12"/>
  <c r="AR157" i="12"/>
  <c r="AR158" i="12"/>
  <c r="AR159" i="12"/>
  <c r="AR160" i="12"/>
  <c r="AR161" i="12"/>
  <c r="AR162" i="12"/>
  <c r="AR163" i="12"/>
  <c r="AR164" i="12"/>
  <c r="AR165" i="12"/>
  <c r="AR541" i="12"/>
  <c r="AR167" i="12"/>
  <c r="AR168" i="12"/>
  <c r="AR169" i="12"/>
  <c r="AR464" i="12"/>
  <c r="AR335" i="12"/>
  <c r="AR172" i="12"/>
  <c r="AR173" i="12"/>
  <c r="AR174" i="12"/>
  <c r="AR175" i="12"/>
  <c r="AR176" i="12"/>
  <c r="AR177" i="12"/>
  <c r="AR178" i="12"/>
  <c r="AR179" i="12"/>
  <c r="AR538" i="12"/>
  <c r="AR181" i="12"/>
  <c r="AR182" i="12"/>
  <c r="AR420" i="12"/>
  <c r="AR271" i="12"/>
  <c r="AR185" i="12"/>
  <c r="AR336" i="12"/>
  <c r="AR187" i="12"/>
  <c r="AR522" i="12"/>
  <c r="AR189" i="12"/>
  <c r="AR190" i="12"/>
  <c r="AR191" i="12"/>
  <c r="AR192" i="12"/>
  <c r="AR193" i="12"/>
  <c r="AR95" i="12"/>
  <c r="AR339" i="12"/>
  <c r="AR545" i="12"/>
  <c r="AR197" i="12"/>
  <c r="AR198" i="12"/>
  <c r="AR199" i="12"/>
  <c r="AR200" i="12"/>
  <c r="AR201" i="12"/>
  <c r="AR202" i="12"/>
  <c r="AR603" i="12"/>
  <c r="AR204" i="12"/>
  <c r="AR205" i="12"/>
  <c r="AR206" i="12"/>
  <c r="AR207" i="12"/>
  <c r="AR208" i="12"/>
  <c r="AR209" i="12"/>
  <c r="AR210" i="12"/>
  <c r="AR211" i="12"/>
  <c r="AR212" i="12"/>
  <c r="AR213" i="12"/>
  <c r="AR214" i="12"/>
  <c r="AR215" i="12"/>
  <c r="AR216" i="12"/>
  <c r="AR217" i="12"/>
  <c r="AR218" i="12"/>
  <c r="AR219" i="12"/>
  <c r="AR220" i="12"/>
  <c r="AR221" i="12"/>
  <c r="AR222" i="12"/>
  <c r="AR223" i="12"/>
  <c r="AR224" i="12"/>
  <c r="AR225" i="12"/>
  <c r="AR226" i="12"/>
  <c r="AR227" i="12"/>
  <c r="AR228" i="12"/>
  <c r="AR229" i="12"/>
  <c r="AR230" i="12"/>
  <c r="AR231" i="12"/>
  <c r="AR232" i="12"/>
  <c r="AR233" i="12"/>
  <c r="AR234" i="12"/>
  <c r="AR235" i="12"/>
  <c r="AR236" i="12"/>
  <c r="AR237" i="12"/>
  <c r="AR238" i="12"/>
  <c r="AR553" i="12"/>
  <c r="AR240" i="12"/>
  <c r="AR241" i="12"/>
  <c r="AR242" i="12"/>
  <c r="AR243" i="12"/>
  <c r="AR244" i="12"/>
  <c r="AR245" i="12"/>
  <c r="AR246" i="12"/>
  <c r="AR247" i="12"/>
  <c r="AR248" i="12"/>
  <c r="AR249" i="12"/>
  <c r="AR250" i="12"/>
  <c r="AR203" i="12"/>
  <c r="AR252" i="12"/>
  <c r="AR610" i="12"/>
  <c r="AR563" i="12"/>
  <c r="AR255" i="12"/>
  <c r="AR565" i="12"/>
  <c r="AR568" i="12"/>
  <c r="AR258" i="12"/>
  <c r="AR281" i="12"/>
  <c r="AR260" i="12"/>
  <c r="AR261" i="12"/>
  <c r="AR262" i="12"/>
  <c r="AR263" i="12"/>
  <c r="AR264" i="12"/>
  <c r="AR265" i="12"/>
  <c r="AR266" i="12"/>
  <c r="AR445" i="12"/>
  <c r="AR268" i="12"/>
  <c r="AR269" i="12"/>
  <c r="AR342" i="12"/>
  <c r="AR289" i="12"/>
  <c r="AR585" i="12"/>
  <c r="AR273" i="12"/>
  <c r="AR274" i="12"/>
  <c r="AR275" i="12"/>
  <c r="AR276" i="12"/>
  <c r="AR277" i="12"/>
  <c r="AR278" i="12"/>
  <c r="AR279" i="12"/>
  <c r="AR280" i="12"/>
  <c r="AR79" i="12"/>
  <c r="AR282" i="12"/>
  <c r="AR283" i="12"/>
  <c r="AR284" i="12"/>
  <c r="AR285" i="12"/>
  <c r="AR406" i="12"/>
  <c r="AR287" i="12"/>
  <c r="AR288" i="12"/>
  <c r="AR418" i="12"/>
  <c r="AR239" i="12"/>
  <c r="AR291" i="12"/>
  <c r="AR292" i="12"/>
  <c r="AR354" i="12"/>
  <c r="AR294" i="12"/>
  <c r="AR295" i="12"/>
  <c r="AR296" i="12"/>
  <c r="AR270" i="12"/>
  <c r="AR298" i="12"/>
  <c r="AR299" i="12"/>
  <c r="AR300" i="12"/>
  <c r="AR301" i="12"/>
  <c r="AR417" i="12"/>
  <c r="AR303" i="12"/>
  <c r="AR304" i="12"/>
  <c r="AR305" i="12"/>
  <c r="AR306" i="12"/>
  <c r="AR307" i="12"/>
  <c r="AR180" i="12"/>
  <c r="AR309" i="12"/>
  <c r="AR310" i="12"/>
  <c r="AR311" i="12"/>
  <c r="AR312" i="12"/>
  <c r="AR313" i="12"/>
  <c r="AR314" i="12"/>
  <c r="AR315" i="12"/>
  <c r="AR439" i="12"/>
  <c r="AR317" i="12"/>
  <c r="AR318" i="12"/>
  <c r="AR319" i="12"/>
  <c r="AR320" i="12"/>
  <c r="AR321" i="12"/>
  <c r="AR322" i="12"/>
  <c r="AR323" i="12"/>
  <c r="AR324" i="12"/>
  <c r="AR325" i="12"/>
  <c r="AR326" i="12"/>
  <c r="AR590" i="12"/>
  <c r="AR328" i="12"/>
  <c r="AR329" i="12"/>
  <c r="AR330" i="12"/>
  <c r="AR331" i="12"/>
  <c r="AR332" i="12"/>
  <c r="AR333" i="12"/>
  <c r="AR334" i="12"/>
  <c r="AR391" i="12"/>
  <c r="AR346" i="12"/>
  <c r="AR337" i="12"/>
  <c r="AR338" i="12"/>
  <c r="AR27" i="12"/>
  <c r="AR340" i="12"/>
  <c r="AR341" i="12"/>
  <c r="AR82" i="12"/>
  <c r="AR100" i="12"/>
  <c r="AR344" i="12"/>
  <c r="AR345" i="12"/>
  <c r="AR518" i="12"/>
  <c r="AR347" i="12"/>
  <c r="AR348" i="12"/>
  <c r="AR349" i="12"/>
  <c r="AR350" i="12"/>
  <c r="AR351" i="12"/>
  <c r="AR352" i="12"/>
  <c r="AR37" i="12"/>
  <c r="AR353" i="12"/>
  <c r="AR355" i="12"/>
  <c r="AR343" i="12"/>
  <c r="AR594" i="12"/>
  <c r="AR358" i="12"/>
  <c r="AR359" i="12"/>
  <c r="AR360" i="12"/>
  <c r="AR461" i="12"/>
  <c r="AR362" i="12"/>
  <c r="AR251" i="12"/>
  <c r="AR364" i="12"/>
  <c r="AR365" i="12"/>
  <c r="AR366" i="12"/>
  <c r="AR103" i="12"/>
  <c r="AR368" i="12"/>
  <c r="AR369" i="12"/>
  <c r="AR370" i="12"/>
  <c r="AR371" i="12"/>
  <c r="AR372" i="12"/>
  <c r="AR373" i="12"/>
  <c r="AR624" i="12"/>
  <c r="AR375" i="12"/>
  <c r="AR376" i="12"/>
  <c r="AR475" i="12"/>
  <c r="AR378" i="12"/>
  <c r="AR379" i="12"/>
  <c r="AR380" i="12"/>
  <c r="AR381" i="12"/>
  <c r="AR382" i="12"/>
  <c r="AR383" i="12"/>
  <c r="AR384" i="12"/>
  <c r="AR385" i="12"/>
  <c r="AR386" i="12"/>
  <c r="AR387" i="12"/>
  <c r="AR388" i="12"/>
  <c r="AR389" i="12"/>
  <c r="AR390" i="12"/>
  <c r="AR546" i="12"/>
  <c r="AR392" i="12"/>
  <c r="AR393" i="12"/>
  <c r="AR405" i="12"/>
  <c r="AR395" i="12"/>
  <c r="AR396" i="12"/>
  <c r="AR397" i="12"/>
  <c r="AR398" i="12"/>
  <c r="AR399" i="12"/>
  <c r="AR400" i="12"/>
  <c r="AR401" i="12"/>
  <c r="AR402" i="12"/>
  <c r="AR403" i="12"/>
  <c r="AR404" i="12"/>
  <c r="AR104" i="12"/>
  <c r="AR127" i="12"/>
  <c r="AR407" i="12"/>
  <c r="AR408" i="12"/>
  <c r="AR409" i="12"/>
  <c r="AR410" i="12"/>
  <c r="AR411" i="12"/>
  <c r="AR412" i="12"/>
  <c r="AR413" i="12"/>
  <c r="AR414" i="12"/>
  <c r="AR415" i="12"/>
  <c r="AR416" i="12"/>
  <c r="AR290" i="12"/>
  <c r="AR608" i="12"/>
  <c r="AR419" i="12"/>
  <c r="AR356" i="12"/>
  <c r="AR421" i="12"/>
  <c r="AR422" i="12"/>
  <c r="AR423" i="12"/>
  <c r="AR469" i="12"/>
  <c r="AR425" i="12"/>
  <c r="AR426" i="12"/>
  <c r="AR427" i="12"/>
  <c r="AR428" i="12"/>
  <c r="AR429" i="12"/>
  <c r="AR430" i="12"/>
  <c r="AR431" i="12"/>
  <c r="AR432" i="12"/>
  <c r="AR433" i="12"/>
  <c r="AR434" i="12"/>
  <c r="AR435" i="12"/>
  <c r="AR436" i="12"/>
  <c r="AR437" i="12"/>
  <c r="AR438" i="12"/>
  <c r="AR139" i="12"/>
  <c r="AR293" i="12"/>
  <c r="AR441" i="12"/>
  <c r="AR442" i="12"/>
  <c r="AR443" i="12"/>
  <c r="AR444" i="12"/>
  <c r="AR593" i="12"/>
  <c r="AR446" i="12"/>
  <c r="AR447" i="12"/>
  <c r="AR448" i="12"/>
  <c r="AR449" i="12"/>
  <c r="AR450" i="12"/>
  <c r="AR451" i="12"/>
  <c r="AR452" i="12"/>
  <c r="AR453" i="12"/>
  <c r="AR612" i="12"/>
  <c r="AR455" i="12"/>
  <c r="AR456" i="12"/>
  <c r="AR457" i="12"/>
  <c r="AR458" i="12"/>
  <c r="AR459" i="12"/>
  <c r="AR460" i="12"/>
  <c r="AR440" i="12"/>
  <c r="AR462" i="12"/>
  <c r="AR463" i="12"/>
  <c r="AR470" i="12"/>
  <c r="AR465" i="12"/>
  <c r="AR466" i="12"/>
  <c r="AR467" i="12"/>
  <c r="AR468" i="12"/>
  <c r="AR253" i="12"/>
  <c r="AR145" i="12"/>
  <c r="AR297" i="12"/>
  <c r="AR472" i="12"/>
  <c r="AR473" i="12"/>
  <c r="AR474" i="12"/>
  <c r="AR503" i="12"/>
  <c r="AR454" i="12"/>
  <c r="AR183" i="12"/>
  <c r="AR478" i="12"/>
  <c r="AR479" i="12"/>
  <c r="AR480" i="12"/>
  <c r="AR471" i="12"/>
  <c r="AR482" i="12"/>
  <c r="AR483" i="12"/>
  <c r="AR484" i="12"/>
  <c r="AR485" i="12"/>
  <c r="AR486" i="12"/>
  <c r="AR171" i="12"/>
  <c r="AR488" i="12"/>
  <c r="AR489" i="12"/>
  <c r="AR490" i="12"/>
  <c r="AR491" i="12"/>
  <c r="AR492" i="12"/>
  <c r="AR493" i="12"/>
  <c r="AR494" i="12"/>
  <c r="AR495" i="12"/>
  <c r="AR496" i="12"/>
  <c r="AR497" i="12"/>
  <c r="AR498" i="12"/>
  <c r="AR499" i="12"/>
  <c r="AR500" i="12"/>
  <c r="AR501" i="12"/>
  <c r="AR502" i="12"/>
  <c r="AR16" i="12"/>
  <c r="AR504" i="12"/>
  <c r="AR505" i="12"/>
  <c r="AR506" i="12"/>
  <c r="AR507" i="12"/>
  <c r="AR508" i="12"/>
  <c r="AR509" i="12"/>
  <c r="AR602" i="12"/>
  <c r="AR511" i="12"/>
  <c r="AR512" i="12"/>
  <c r="AR617" i="12"/>
  <c r="AR514" i="12"/>
  <c r="AR515" i="12"/>
  <c r="AR516" i="12"/>
  <c r="AR517" i="12"/>
  <c r="AR46" i="12"/>
  <c r="AR519" i="12"/>
  <c r="AR520" i="12"/>
  <c r="AR521" i="12"/>
  <c r="AR619" i="12"/>
  <c r="AR523" i="12"/>
  <c r="AR524" i="12"/>
  <c r="AR525" i="12"/>
  <c r="AR526" i="12"/>
  <c r="AR148" i="12"/>
  <c r="AR528" i="12"/>
  <c r="AR529" i="12"/>
  <c r="AR530" i="12"/>
  <c r="AR531" i="12"/>
  <c r="AR532" i="12"/>
  <c r="AR254" i="12"/>
  <c r="AR534" i="12"/>
  <c r="AR535" i="12"/>
  <c r="AR536" i="12"/>
  <c r="AR537" i="12"/>
  <c r="AR166" i="12"/>
  <c r="AR539" i="12"/>
  <c r="AR540" i="12"/>
  <c r="AR125" i="12"/>
  <c r="AR542" i="12"/>
  <c r="AR556" i="12"/>
  <c r="AR632" i="12"/>
  <c r="AR634" i="12"/>
  <c r="AR357" i="12"/>
  <c r="AR547" i="12"/>
  <c r="AR548" i="12"/>
  <c r="AR549" i="12"/>
  <c r="AR550" i="12"/>
  <c r="AR551" i="12"/>
  <c r="AR552" i="12"/>
  <c r="AR256" i="12"/>
  <c r="AR554" i="12"/>
  <c r="AR555" i="12"/>
  <c r="AR476" i="12"/>
  <c r="AR557" i="12"/>
  <c r="AR558" i="12"/>
  <c r="AR559" i="12"/>
  <c r="AR560" i="12"/>
  <c r="AR561" i="12"/>
  <c r="AR562" i="12"/>
  <c r="AR635" i="12"/>
  <c r="AR564" i="12"/>
  <c r="AR106" i="12"/>
  <c r="AR566" i="12"/>
  <c r="AR567" i="12"/>
  <c r="AR86" i="12"/>
  <c r="AR569" i="12"/>
  <c r="AR570" i="12"/>
  <c r="AR571" i="12"/>
  <c r="AR572" i="12"/>
  <c r="AR573" i="12"/>
  <c r="AR574" i="12"/>
  <c r="AR575" i="12"/>
  <c r="AR576" i="12"/>
  <c r="AR577" i="12"/>
  <c r="AR578" i="12"/>
  <c r="AR579" i="12"/>
  <c r="AR580" i="12"/>
  <c r="AR581" i="12"/>
  <c r="AR582" i="12"/>
  <c r="AR583" i="12"/>
  <c r="AR584" i="12"/>
  <c r="AR636" i="12"/>
  <c r="AR586" i="12"/>
  <c r="AR587" i="12"/>
  <c r="AR588" i="12"/>
  <c r="AR589" i="12"/>
  <c r="AR477" i="12"/>
  <c r="AR591" i="12"/>
  <c r="AR592" i="12"/>
  <c r="AR302" i="12"/>
  <c r="AR308" i="12"/>
  <c r="AR595" i="12"/>
  <c r="AR596" i="12"/>
  <c r="AR597" i="12"/>
  <c r="AR598" i="12"/>
  <c r="AR599" i="12"/>
  <c r="AR600" i="12"/>
  <c r="AR601" i="12"/>
  <c r="AR257" i="12"/>
  <c r="AR643" i="12"/>
  <c r="AR604" i="12"/>
  <c r="AR605" i="12"/>
  <c r="AR606" i="12"/>
  <c r="AR607" i="12"/>
  <c r="AR646" i="12"/>
  <c r="AR609" i="12"/>
  <c r="AR39" i="12"/>
  <c r="AR611" i="12"/>
  <c r="AR481" i="12"/>
  <c r="AR613" i="12"/>
  <c r="AR614" i="12"/>
  <c r="AR123" i="12"/>
  <c r="AR647" i="12"/>
  <c r="AR361" i="12"/>
  <c r="AR618" i="12"/>
  <c r="AR186" i="12"/>
  <c r="AR620" i="12"/>
  <c r="AR621" i="12"/>
  <c r="AR622" i="12"/>
  <c r="AR623" i="12"/>
  <c r="AR188" i="12"/>
  <c r="AR625" i="12"/>
  <c r="AR626" i="12"/>
  <c r="AR627" i="12"/>
  <c r="AR628" i="12"/>
  <c r="AR629" i="12"/>
  <c r="AR630" i="12"/>
  <c r="AR631" i="12"/>
  <c r="AR363" i="12"/>
  <c r="AR633" i="12"/>
  <c r="AR487" i="12"/>
  <c r="AR657" i="12"/>
  <c r="AR658" i="12"/>
  <c r="AR637" i="12"/>
  <c r="AR638" i="12"/>
  <c r="AR639" i="12"/>
  <c r="AR640" i="12"/>
  <c r="AR641" i="12"/>
  <c r="AR642" i="12"/>
  <c r="AR170" i="12"/>
  <c r="AR644" i="12"/>
  <c r="AR645" i="12"/>
  <c r="AR124" i="12"/>
  <c r="AR367" i="12"/>
  <c r="AR648" i="12"/>
  <c r="AR649" i="12"/>
  <c r="AR650" i="12"/>
  <c r="AR651" i="12"/>
  <c r="AR652" i="12"/>
  <c r="AR653" i="12"/>
  <c r="AR654" i="12"/>
  <c r="AR655" i="12"/>
  <c r="AR656" i="12"/>
  <c r="AR259" i="12"/>
  <c r="AR374" i="12"/>
  <c r="AR615" i="12"/>
  <c r="B649" i="12"/>
  <c r="B650" i="12"/>
  <c r="B651" i="12"/>
  <c r="B652" i="12"/>
  <c r="B653" i="12"/>
  <c r="B654" i="12"/>
  <c r="B655" i="12"/>
  <c r="B656" i="12"/>
  <c r="B259" i="12"/>
  <c r="B374" i="12"/>
  <c r="I374" i="12"/>
  <c r="I259" i="12"/>
  <c r="I656" i="12"/>
  <c r="I654" i="12"/>
  <c r="I653" i="12"/>
  <c r="I652" i="12"/>
  <c r="I649" i="12"/>
  <c r="I648" i="12"/>
  <c r="I367" i="12"/>
  <c r="I124" i="12"/>
  <c r="I645" i="12"/>
  <c r="I170" i="12"/>
  <c r="I641" i="12"/>
  <c r="I640" i="12"/>
  <c r="I639" i="12"/>
  <c r="I637" i="12"/>
  <c r="I658" i="12"/>
  <c r="I657" i="12"/>
  <c r="I487" i="12"/>
  <c r="I363" i="12"/>
  <c r="I630" i="12"/>
  <c r="I629" i="12"/>
  <c r="I628" i="12"/>
  <c r="I627" i="12"/>
  <c r="I626" i="12"/>
  <c r="R11" i="13" l="1"/>
  <c r="S11" i="13" s="1"/>
  <c r="R12" i="13"/>
  <c r="I625" i="12"/>
  <c r="I188" i="12"/>
  <c r="I623" i="12"/>
  <c r="I622" i="12"/>
  <c r="I621" i="12"/>
  <c r="I620" i="12"/>
  <c r="I186" i="12"/>
  <c r="I618" i="12"/>
  <c r="I361" i="12"/>
  <c r="I647" i="12"/>
  <c r="I123" i="12"/>
  <c r="I614" i="12"/>
  <c r="I613" i="12"/>
  <c r="I481" i="12"/>
  <c r="I611" i="12"/>
  <c r="I39" i="12"/>
  <c r="I609" i="12"/>
  <c r="I646" i="12"/>
  <c r="I607" i="12"/>
  <c r="I606" i="12"/>
  <c r="I605" i="12"/>
  <c r="I604" i="12"/>
  <c r="I643" i="12"/>
  <c r="I257" i="12" l="1"/>
  <c r="I601" i="12"/>
  <c r="I600" i="12"/>
  <c r="I599" i="12"/>
  <c r="I598" i="12"/>
  <c r="I596" i="12"/>
  <c r="I595" i="12"/>
  <c r="I308" i="12"/>
  <c r="I302" i="12"/>
  <c r="I592" i="12"/>
  <c r="I591" i="12"/>
  <c r="I477" i="12"/>
  <c r="I589" i="12"/>
  <c r="I588" i="12"/>
  <c r="I587" i="12"/>
  <c r="I586" i="12"/>
  <c r="I636" i="12"/>
  <c r="I584" i="12"/>
  <c r="I583" i="12"/>
  <c r="I582" i="12"/>
  <c r="I581" i="12"/>
  <c r="I580" i="12"/>
  <c r="I579" i="12"/>
  <c r="I578" i="12"/>
  <c r="I577" i="12"/>
  <c r="I574" i="12"/>
  <c r="I573" i="12"/>
  <c r="I571" i="12"/>
  <c r="I570" i="12"/>
  <c r="I569" i="12"/>
  <c r="I86" i="12" l="1"/>
  <c r="I567" i="12"/>
  <c r="I566" i="12"/>
  <c r="I106" i="12"/>
  <c r="I564" i="12"/>
  <c r="I635" i="12"/>
  <c r="I562" i="12"/>
  <c r="I561" i="12"/>
  <c r="I560" i="12"/>
  <c r="I559" i="12"/>
  <c r="I558" i="12"/>
  <c r="I557" i="12"/>
  <c r="I476" i="12"/>
  <c r="I555" i="12"/>
  <c r="I554" i="12"/>
  <c r="I256" i="12"/>
  <c r="I551" i="12"/>
  <c r="I550" i="12"/>
  <c r="I548" i="12"/>
  <c r="I547" i="12"/>
  <c r="I357" i="12"/>
  <c r="I634" i="12"/>
  <c r="I632" i="12"/>
  <c r="I556" i="12"/>
  <c r="I125" i="12" l="1"/>
  <c r="I540" i="12"/>
  <c r="I166" i="12"/>
  <c r="I537" i="12"/>
  <c r="I254" i="12"/>
  <c r="I532" i="12"/>
  <c r="I530" i="12"/>
  <c r="I529" i="12"/>
  <c r="I528" i="12"/>
  <c r="I148" i="12"/>
  <c r="I526" i="12"/>
  <c r="I525" i="12"/>
  <c r="I524" i="12"/>
  <c r="I523" i="12"/>
  <c r="I619" i="12"/>
  <c r="I521" i="12"/>
  <c r="I520" i="12"/>
  <c r="I519" i="12"/>
  <c r="I46" i="12"/>
  <c r="I516" i="12"/>
  <c r="I515" i="12"/>
  <c r="I514" i="12"/>
  <c r="I617" i="12"/>
  <c r="I512" i="12"/>
  <c r="I511" i="12"/>
  <c r="I602" i="12"/>
  <c r="I508" i="12" l="1"/>
  <c r="I507" i="12"/>
  <c r="I505" i="12"/>
  <c r="I504" i="12"/>
  <c r="I16" i="12"/>
  <c r="I502" i="12"/>
  <c r="I499" i="12"/>
  <c r="I497" i="12"/>
  <c r="I496" i="12"/>
  <c r="I495" i="12"/>
  <c r="I494" i="12"/>
  <c r="I493" i="12"/>
  <c r="I492" i="12"/>
  <c r="I491" i="12"/>
  <c r="I490" i="12"/>
  <c r="I489" i="12"/>
  <c r="I488" i="12"/>
  <c r="I171" i="12"/>
  <c r="I484" i="12"/>
  <c r="I483" i="12"/>
  <c r="I482" i="12"/>
  <c r="I471" i="12"/>
  <c r="I480" i="12"/>
  <c r="I479" i="12"/>
  <c r="I478" i="12"/>
  <c r="I183" i="12"/>
  <c r="I454" i="12"/>
  <c r="I503" i="12"/>
  <c r="I474" i="12"/>
  <c r="I297" i="12" l="1"/>
  <c r="I145" i="12"/>
  <c r="I253" i="12"/>
  <c r="I467" i="12"/>
  <c r="I465" i="12"/>
  <c r="I470" i="12"/>
  <c r="I463" i="12"/>
  <c r="I462" i="12"/>
  <c r="I440" i="12"/>
  <c r="I460" i="12"/>
  <c r="I459" i="12"/>
  <c r="I458" i="12"/>
  <c r="I457" i="12"/>
  <c r="I456" i="12"/>
  <c r="I455" i="12"/>
  <c r="I612" i="12"/>
  <c r="I453" i="12"/>
  <c r="I452" i="12"/>
  <c r="I451" i="12"/>
  <c r="I449" i="12"/>
  <c r="I448" i="12"/>
  <c r="I446" i="12"/>
  <c r="I593" i="12"/>
  <c r="I444" i="12"/>
  <c r="I443" i="12" l="1"/>
  <c r="I441" i="12"/>
  <c r="I293" i="12"/>
  <c r="I139" i="12"/>
  <c r="I438" i="12"/>
  <c r="I437" i="12"/>
  <c r="I436" i="12"/>
  <c r="I435" i="12"/>
  <c r="I434" i="12"/>
  <c r="I433" i="12"/>
  <c r="I430" i="12"/>
  <c r="I429" i="12"/>
  <c r="I427" i="12"/>
  <c r="I426" i="12"/>
  <c r="I425" i="12"/>
  <c r="I469" i="12"/>
  <c r="I423" i="12"/>
  <c r="I422" i="12"/>
  <c r="I421" i="12"/>
  <c r="I356" i="12"/>
  <c r="I419" i="12"/>
  <c r="I608" i="12"/>
  <c r="I290" i="12"/>
  <c r="I415" i="12"/>
  <c r="I414" i="12"/>
  <c r="I413" i="12"/>
  <c r="I412" i="12"/>
  <c r="I411" i="12"/>
  <c r="I408" i="12" l="1"/>
  <c r="I127" i="12"/>
  <c r="I104" i="12"/>
  <c r="I404" i="12"/>
  <c r="I401" i="12"/>
  <c r="I400" i="12"/>
  <c r="I399" i="12"/>
  <c r="I398" i="12"/>
  <c r="I396" i="12"/>
  <c r="I395" i="12"/>
  <c r="I405" i="12"/>
  <c r="I546" i="12"/>
  <c r="I389" i="12"/>
  <c r="I388" i="12"/>
  <c r="I387" i="12"/>
  <c r="I386" i="12"/>
  <c r="I385" i="12"/>
  <c r="I384" i="12"/>
  <c r="I382" i="12"/>
  <c r="I381" i="12"/>
  <c r="I379" i="12"/>
  <c r="I378" i="12"/>
  <c r="I475" i="12"/>
  <c r="I375" i="12"/>
  <c r="I624" i="12"/>
  <c r="I373" i="12" l="1"/>
  <c r="I372" i="12"/>
  <c r="I371" i="12"/>
  <c r="I369" i="12"/>
  <c r="I368" i="12"/>
  <c r="I103" i="12"/>
  <c r="I365" i="12"/>
  <c r="I364" i="12"/>
  <c r="I251" i="12"/>
  <c r="I362" i="12"/>
  <c r="I461" i="12"/>
  <c r="I360" i="12"/>
  <c r="I594" i="12"/>
  <c r="I343" i="12"/>
  <c r="I355" i="12"/>
  <c r="I353" i="12"/>
  <c r="I37" i="12"/>
  <c r="I352" i="12"/>
  <c r="I351" i="12"/>
  <c r="I350" i="12"/>
  <c r="I349" i="12"/>
  <c r="I348" i="12"/>
  <c r="I347" i="12"/>
  <c r="I518" i="12"/>
  <c r="I100" i="12" l="1"/>
  <c r="I82" i="12"/>
  <c r="I340" i="12"/>
  <c r="I27" i="12"/>
  <c r="I338" i="12"/>
  <c r="I337" i="12"/>
  <c r="I346" i="12"/>
  <c r="I391" i="12"/>
  <c r="I333" i="12"/>
  <c r="I332" i="12"/>
  <c r="I329" i="12"/>
  <c r="I328" i="12"/>
  <c r="I590" i="12"/>
  <c r="I326" i="12"/>
  <c r="I325" i="12"/>
  <c r="I322" i="12"/>
  <c r="I321" i="12"/>
  <c r="I318" i="12"/>
  <c r="I317" i="12"/>
  <c r="I439" i="12"/>
  <c r="I315" i="12"/>
  <c r="I314" i="12"/>
  <c r="I313" i="12"/>
  <c r="I312" i="12" l="1"/>
  <c r="I310" i="12"/>
  <c r="I180" i="12"/>
  <c r="I307" i="12"/>
  <c r="I306" i="12"/>
  <c r="I305" i="12"/>
  <c r="I304" i="12"/>
  <c r="I303" i="12"/>
  <c r="I417" i="12"/>
  <c r="I300" i="12"/>
  <c r="I299" i="12"/>
  <c r="I298" i="12"/>
  <c r="I270" i="12"/>
  <c r="I296" i="12"/>
  <c r="I295" i="12"/>
  <c r="I294" i="12"/>
  <c r="I354" i="12"/>
  <c r="I292" i="12"/>
  <c r="I291" i="12"/>
  <c r="I239" i="12"/>
  <c r="I418" i="12"/>
  <c r="I287" i="12"/>
  <c r="I406" i="12"/>
  <c r="I285" i="12"/>
  <c r="I284" i="12"/>
  <c r="I283" i="12"/>
  <c r="I282" i="12" l="1"/>
  <c r="I79" i="12"/>
  <c r="I280" i="12"/>
  <c r="I279" i="12"/>
  <c r="I278" i="12"/>
  <c r="I274" i="12"/>
  <c r="I273" i="12"/>
  <c r="I585" i="12"/>
  <c r="I289" i="12"/>
  <c r="I342" i="12"/>
  <c r="I269" i="12"/>
  <c r="I268" i="12"/>
  <c r="I445" i="12"/>
  <c r="I266" i="12"/>
  <c r="I265" i="12"/>
  <c r="I264" i="12"/>
  <c r="I263" i="12"/>
  <c r="I262" i="12"/>
  <c r="I261" i="12"/>
  <c r="I260" i="12"/>
  <c r="I281" i="12"/>
  <c r="I258" i="12"/>
  <c r="I568" i="12"/>
  <c r="I565" i="12"/>
  <c r="I563" i="12"/>
  <c r="I610" i="12"/>
  <c r="I252" i="12"/>
  <c r="I203" i="12" l="1"/>
  <c r="I250" i="12"/>
  <c r="I248" i="12"/>
  <c r="I247" i="12"/>
  <c r="I246" i="12"/>
  <c r="I245" i="12"/>
  <c r="I244" i="12"/>
  <c r="I242" i="12"/>
  <c r="I240" i="12"/>
  <c r="I553" i="12"/>
  <c r="I238" i="12"/>
  <c r="I237" i="12"/>
  <c r="I236" i="12"/>
  <c r="I235" i="12"/>
  <c r="I234" i="12"/>
  <c r="I233" i="12"/>
  <c r="I231" i="12"/>
  <c r="I230" i="12"/>
  <c r="I229" i="12"/>
  <c r="I228" i="12"/>
  <c r="I225" i="12"/>
  <c r="I224" i="12"/>
  <c r="I222" i="12"/>
  <c r="I221" i="12"/>
  <c r="I220" i="12"/>
  <c r="I219" i="12"/>
  <c r="I218" i="12"/>
  <c r="I217" i="12"/>
  <c r="I216" i="12"/>
  <c r="I215" i="12"/>
  <c r="I214" i="12" l="1"/>
  <c r="I213" i="12"/>
  <c r="I212" i="12"/>
  <c r="I211" i="12"/>
  <c r="I210" i="12"/>
  <c r="I209" i="12"/>
  <c r="I603" i="12"/>
  <c r="I202" i="12"/>
  <c r="I200" i="12"/>
  <c r="I199" i="12"/>
  <c r="I198" i="12"/>
  <c r="I197" i="12"/>
  <c r="I545" i="12"/>
  <c r="I339" i="12"/>
  <c r="I95" i="12"/>
  <c r="I192" i="12"/>
  <c r="I191" i="12"/>
  <c r="I190" i="12"/>
  <c r="I189" i="12"/>
  <c r="I522" i="12"/>
  <c r="I187" i="12"/>
  <c r="I336" i="12"/>
  <c r="I271" i="12"/>
  <c r="I420" i="12"/>
  <c r="I181" i="12"/>
  <c r="I538" i="12"/>
  <c r="I178" i="12" l="1"/>
  <c r="I177" i="12"/>
  <c r="I176" i="12"/>
  <c r="I175" i="12"/>
  <c r="I174" i="12"/>
  <c r="I173" i="12"/>
  <c r="I172" i="12"/>
  <c r="I335" i="12"/>
  <c r="I464" i="12"/>
  <c r="I169" i="12"/>
  <c r="I167" i="12"/>
  <c r="I541" i="12"/>
  <c r="I165" i="12"/>
  <c r="I163" i="12"/>
  <c r="I162" i="12"/>
  <c r="I161" i="12"/>
  <c r="I160" i="12"/>
  <c r="I159" i="12"/>
  <c r="I158" i="12"/>
  <c r="I157" i="12"/>
  <c r="I156" i="12"/>
  <c r="I155" i="12"/>
  <c r="I154" i="12"/>
  <c r="I152" i="12"/>
  <c r="I151" i="12"/>
  <c r="I150" i="12"/>
  <c r="I149" i="12"/>
  <c r="I272" i="12"/>
  <c r="I616" i="12"/>
  <c r="I143" i="12" l="1"/>
  <c r="I142" i="12"/>
  <c r="I141" i="12"/>
  <c r="I85" i="12"/>
  <c r="I134" i="12"/>
  <c r="I133" i="12"/>
  <c r="I132" i="12"/>
  <c r="I130" i="12"/>
  <c r="I129" i="12"/>
  <c r="I128" i="12"/>
  <c r="I69" i="12"/>
  <c r="I316" i="12"/>
  <c r="I286" i="12"/>
  <c r="I424" i="12"/>
  <c r="I533" i="12"/>
  <c r="I122" i="12"/>
  <c r="I119" i="12"/>
  <c r="I118" i="12"/>
  <c r="I117" i="12"/>
  <c r="I116" i="12"/>
  <c r="I115" i="12"/>
  <c r="I114" i="12"/>
  <c r="I113" i="12"/>
  <c r="I112" i="12"/>
  <c r="I111" i="12"/>
  <c r="I109" i="12"/>
  <c r="I108" i="12" l="1"/>
  <c r="I107" i="12"/>
  <c r="I51" i="12"/>
  <c r="I66" i="12"/>
  <c r="I126" i="12"/>
  <c r="I102" i="12"/>
  <c r="I101" i="12"/>
  <c r="I94" i="12"/>
  <c r="I99" i="12"/>
  <c r="I98" i="12"/>
  <c r="I97" i="12"/>
  <c r="I96" i="12"/>
  <c r="I267" i="12"/>
  <c r="I394" i="12"/>
  <c r="I93" i="12"/>
  <c r="I92" i="12"/>
  <c r="I91" i="12"/>
  <c r="I90" i="12"/>
  <c r="I89" i="12"/>
  <c r="I88" i="12"/>
  <c r="I87" i="12"/>
  <c r="I377" i="12"/>
  <c r="I543" i="12"/>
  <c r="I83" i="12"/>
  <c r="I196" i="12" l="1"/>
  <c r="I80" i="12"/>
  <c r="I59" i="12"/>
  <c r="I78" i="12"/>
  <c r="I74" i="12"/>
  <c r="I73" i="12"/>
  <c r="I72" i="12"/>
  <c r="I71" i="12"/>
  <c r="I70" i="12"/>
  <c r="I195" i="12"/>
  <c r="I19" i="12"/>
  <c r="I67" i="12"/>
  <c r="I327" i="12"/>
  <c r="I65" i="12"/>
  <c r="I64" i="12"/>
  <c r="I62" i="12"/>
  <c r="I61" i="12"/>
  <c r="I60" i="12"/>
  <c r="I510" i="12"/>
  <c r="I58" i="12"/>
  <c r="I57" i="12"/>
  <c r="I56" i="12"/>
  <c r="I55" i="12"/>
  <c r="I54" i="12"/>
  <c r="I52" i="12"/>
  <c r="I527" i="12"/>
  <c r="I49" i="12" l="1"/>
  <c r="I48" i="12"/>
  <c r="I68" i="12"/>
  <c r="I45" i="12"/>
  <c r="I43" i="12"/>
  <c r="I42" i="12"/>
  <c r="I41" i="12"/>
  <c r="I40" i="12"/>
  <c r="I184" i="12"/>
  <c r="I38" i="12"/>
  <c r="I194" i="12"/>
  <c r="I36" i="12"/>
  <c r="I34" i="12"/>
  <c r="I33" i="12"/>
  <c r="I32" i="12"/>
  <c r="I31" i="12"/>
  <c r="I30" i="12"/>
  <c r="I29" i="12"/>
  <c r="I28" i="12"/>
  <c r="I513" i="12"/>
  <c r="I26" i="12"/>
  <c r="I22" i="12"/>
  <c r="I20" i="12"/>
  <c r="I544" i="12"/>
  <c r="I17" i="12"/>
  <c r="I615" i="12"/>
  <c r="R68" i="9" l="1"/>
  <c r="R88" i="9"/>
  <c r="R121" i="9"/>
  <c r="B629" i="12"/>
  <c r="B630" i="12"/>
  <c r="B631" i="12"/>
  <c r="B363" i="12"/>
  <c r="B633" i="12"/>
  <c r="B487" i="12"/>
  <c r="B657" i="12"/>
  <c r="B658" i="12"/>
  <c r="B637" i="12"/>
  <c r="B638" i="12"/>
  <c r="B639" i="12"/>
  <c r="B640" i="12"/>
  <c r="B641" i="12"/>
  <c r="B642" i="12"/>
  <c r="B170" i="12"/>
  <c r="B644" i="12"/>
  <c r="B645" i="12"/>
  <c r="B124" i="12"/>
  <c r="B367" i="12"/>
  <c r="B648" i="12"/>
  <c r="B628" i="12" l="1"/>
  <c r="B627" i="12"/>
  <c r="B647" i="12" l="1"/>
  <c r="B361" i="12"/>
  <c r="B618" i="12"/>
  <c r="B186" i="12"/>
  <c r="B620" i="12"/>
  <c r="B621" i="12"/>
  <c r="B622" i="12"/>
  <c r="B623" i="12"/>
  <c r="B188" i="12"/>
  <c r="B625" i="12"/>
  <c r="B626" i="12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2" i="11"/>
  <c r="A4" i="9" l="1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3" i="9"/>
  <c r="B17" i="12"/>
  <c r="B18" i="12"/>
  <c r="B544" i="12"/>
  <c r="B20" i="12"/>
  <c r="B21" i="12"/>
  <c r="B22" i="12"/>
  <c r="B23" i="12"/>
  <c r="B24" i="12"/>
  <c r="B25" i="12"/>
  <c r="B26" i="12"/>
  <c r="B513" i="12"/>
  <c r="B28" i="12"/>
  <c r="B29" i="12"/>
  <c r="B30" i="12"/>
  <c r="B31" i="12"/>
  <c r="B32" i="12"/>
  <c r="B33" i="12"/>
  <c r="B34" i="12"/>
  <c r="B35" i="12"/>
  <c r="B36" i="12"/>
  <c r="B194" i="12"/>
  <c r="B38" i="12"/>
  <c r="B184" i="12"/>
  <c r="B40" i="12"/>
  <c r="B41" i="12"/>
  <c r="B42" i="12"/>
  <c r="B43" i="12"/>
  <c r="B44" i="12"/>
  <c r="B45" i="12"/>
  <c r="B68" i="12"/>
  <c r="B47" i="12"/>
  <c r="B48" i="12"/>
  <c r="B49" i="12"/>
  <c r="B50" i="12"/>
  <c r="B527" i="12"/>
  <c r="B52" i="12"/>
  <c r="B53" i="12"/>
  <c r="B54" i="12"/>
  <c r="B55" i="12"/>
  <c r="B56" i="12"/>
  <c r="B57" i="12"/>
  <c r="B58" i="12"/>
  <c r="B510" i="12"/>
  <c r="B60" i="12"/>
  <c r="B61" i="12"/>
  <c r="B62" i="12"/>
  <c r="B63" i="12"/>
  <c r="B64" i="12"/>
  <c r="B65" i="12"/>
  <c r="B327" i="12"/>
  <c r="B67" i="12"/>
  <c r="B19" i="12"/>
  <c r="B195" i="12"/>
  <c r="B70" i="12"/>
  <c r="B71" i="12"/>
  <c r="B72" i="12"/>
  <c r="B73" i="12"/>
  <c r="B74" i="12"/>
  <c r="B75" i="12"/>
  <c r="B76" i="12"/>
  <c r="B77" i="12"/>
  <c r="B78" i="12"/>
  <c r="B59" i="12"/>
  <c r="B80" i="12"/>
  <c r="B81" i="12"/>
  <c r="B196" i="12"/>
  <c r="B83" i="12"/>
  <c r="B84" i="12"/>
  <c r="B543" i="12"/>
  <c r="B377" i="12"/>
  <c r="B87" i="12"/>
  <c r="B88" i="12"/>
  <c r="B89" i="12"/>
  <c r="B90" i="12"/>
  <c r="B91" i="12"/>
  <c r="B92" i="12"/>
  <c r="B93" i="12"/>
  <c r="B394" i="12"/>
  <c r="B267" i="12"/>
  <c r="B96" i="12"/>
  <c r="B97" i="12"/>
  <c r="B98" i="12"/>
  <c r="B99" i="12"/>
  <c r="B94" i="12"/>
  <c r="B101" i="12"/>
  <c r="B102" i="12"/>
  <c r="B126" i="12"/>
  <c r="B66" i="12"/>
  <c r="B105" i="12"/>
  <c r="B51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533" i="12"/>
  <c r="B424" i="12"/>
  <c r="B286" i="12"/>
  <c r="B316" i="12"/>
  <c r="B69" i="12"/>
  <c r="B128" i="12"/>
  <c r="B129" i="12"/>
  <c r="B130" i="12"/>
  <c r="B131" i="12"/>
  <c r="B132" i="12"/>
  <c r="B133" i="12"/>
  <c r="B134" i="12"/>
  <c r="B135" i="12"/>
  <c r="B136" i="12"/>
  <c r="B137" i="12"/>
  <c r="B138" i="12"/>
  <c r="B85" i="12"/>
  <c r="B140" i="12"/>
  <c r="B141" i="12"/>
  <c r="B142" i="12"/>
  <c r="B143" i="12"/>
  <c r="B144" i="12"/>
  <c r="B616" i="12"/>
  <c r="B146" i="12"/>
  <c r="B147" i="12"/>
  <c r="B272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541" i="12"/>
  <c r="B167" i="12"/>
  <c r="B168" i="12"/>
  <c r="B169" i="12"/>
  <c r="B464" i="12"/>
  <c r="B335" i="12"/>
  <c r="B172" i="12"/>
  <c r="B173" i="12"/>
  <c r="B174" i="12"/>
  <c r="B175" i="12"/>
  <c r="B176" i="12"/>
  <c r="B177" i="12"/>
  <c r="B178" i="12"/>
  <c r="B179" i="12"/>
  <c r="B538" i="12"/>
  <c r="B181" i="12"/>
  <c r="B182" i="12"/>
  <c r="B420" i="12"/>
  <c r="B271" i="12"/>
  <c r="B185" i="12"/>
  <c r="B336" i="12"/>
  <c r="B187" i="12"/>
  <c r="B522" i="12"/>
  <c r="B189" i="12"/>
  <c r="B190" i="12"/>
  <c r="B191" i="12"/>
  <c r="B192" i="12"/>
  <c r="B193" i="12"/>
  <c r="B95" i="12"/>
  <c r="B339" i="12"/>
  <c r="B545" i="12"/>
  <c r="B197" i="12"/>
  <c r="B198" i="12"/>
  <c r="B199" i="12"/>
  <c r="B200" i="12"/>
  <c r="B201" i="12"/>
  <c r="B202" i="12"/>
  <c r="B6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553" i="12"/>
  <c r="B240" i="12"/>
  <c r="B241" i="12"/>
  <c r="B242" i="12"/>
  <c r="B243" i="12"/>
  <c r="B244" i="12"/>
  <c r="B245" i="12"/>
  <c r="B246" i="12"/>
  <c r="B247" i="12"/>
  <c r="B248" i="12"/>
  <c r="B249" i="12"/>
  <c r="B250" i="12"/>
  <c r="B203" i="12"/>
  <c r="B252" i="12"/>
  <c r="B610" i="12"/>
  <c r="B563" i="12"/>
  <c r="B255" i="12"/>
  <c r="B565" i="12"/>
  <c r="B568" i="12"/>
  <c r="B258" i="12"/>
  <c r="B281" i="12"/>
  <c r="B260" i="12"/>
  <c r="B261" i="12"/>
  <c r="B262" i="12"/>
  <c r="B263" i="12"/>
  <c r="B264" i="12"/>
  <c r="B265" i="12"/>
  <c r="B266" i="12"/>
  <c r="B445" i="12"/>
  <c r="B268" i="12"/>
  <c r="B269" i="12"/>
  <c r="B342" i="12"/>
  <c r="B289" i="12"/>
  <c r="B585" i="12"/>
  <c r="B273" i="12"/>
  <c r="B274" i="12"/>
  <c r="B275" i="12"/>
  <c r="B276" i="12"/>
  <c r="B277" i="12"/>
  <c r="B278" i="12"/>
  <c r="B279" i="12"/>
  <c r="B280" i="12"/>
  <c r="B79" i="12"/>
  <c r="B282" i="12"/>
  <c r="B283" i="12"/>
  <c r="B284" i="12"/>
  <c r="B285" i="12"/>
  <c r="B406" i="12"/>
  <c r="B287" i="12"/>
  <c r="B288" i="12"/>
  <c r="B418" i="12"/>
  <c r="B239" i="12"/>
  <c r="B291" i="12"/>
  <c r="B292" i="12"/>
  <c r="B354" i="12"/>
  <c r="B294" i="12"/>
  <c r="B295" i="12"/>
  <c r="B296" i="12"/>
  <c r="B270" i="12"/>
  <c r="B298" i="12"/>
  <c r="B299" i="12"/>
  <c r="B300" i="12"/>
  <c r="B301" i="12"/>
  <c r="B417" i="12"/>
  <c r="B303" i="12"/>
  <c r="B304" i="12"/>
  <c r="B305" i="12"/>
  <c r="B306" i="12"/>
  <c r="B307" i="12"/>
  <c r="B180" i="12"/>
  <c r="B309" i="12"/>
  <c r="B310" i="12"/>
  <c r="B311" i="12"/>
  <c r="B312" i="12"/>
  <c r="B313" i="12"/>
  <c r="B314" i="12"/>
  <c r="B315" i="12"/>
  <c r="B439" i="12"/>
  <c r="B317" i="12"/>
  <c r="B318" i="12"/>
  <c r="B319" i="12"/>
  <c r="B320" i="12"/>
  <c r="B321" i="12"/>
  <c r="B322" i="12"/>
  <c r="B323" i="12"/>
  <c r="B324" i="12"/>
  <c r="B325" i="12"/>
  <c r="B326" i="12"/>
  <c r="B590" i="12"/>
  <c r="B328" i="12"/>
  <c r="B329" i="12"/>
  <c r="B330" i="12"/>
  <c r="B331" i="12"/>
  <c r="B332" i="12"/>
  <c r="B333" i="12"/>
  <c r="B334" i="12"/>
  <c r="B391" i="12"/>
  <c r="B346" i="12"/>
  <c r="B337" i="12"/>
  <c r="B338" i="12"/>
  <c r="B27" i="12"/>
  <c r="B340" i="12"/>
  <c r="B341" i="12"/>
  <c r="B82" i="12"/>
  <c r="B100" i="12"/>
  <c r="B344" i="12"/>
  <c r="B345" i="12"/>
  <c r="B518" i="12"/>
  <c r="B347" i="12"/>
  <c r="B348" i="12"/>
  <c r="B349" i="12"/>
  <c r="B350" i="12"/>
  <c r="B351" i="12"/>
  <c r="B352" i="12"/>
  <c r="B37" i="12"/>
  <c r="B353" i="12"/>
  <c r="B355" i="12"/>
  <c r="B343" i="12"/>
  <c r="B594" i="12"/>
  <c r="B358" i="12"/>
  <c r="B359" i="12"/>
  <c r="B360" i="12"/>
  <c r="B461" i="12"/>
  <c r="B362" i="12"/>
  <c r="B251" i="12"/>
  <c r="B364" i="12"/>
  <c r="B365" i="12"/>
  <c r="B366" i="12"/>
  <c r="B103" i="12"/>
  <c r="B368" i="12"/>
  <c r="B369" i="12"/>
  <c r="B370" i="12"/>
  <c r="B371" i="12"/>
  <c r="B372" i="12"/>
  <c r="B373" i="12"/>
  <c r="B624" i="12"/>
  <c r="B375" i="12"/>
  <c r="B376" i="12"/>
  <c r="B475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546" i="12"/>
  <c r="B392" i="12"/>
  <c r="B393" i="12"/>
  <c r="B405" i="12"/>
  <c r="B395" i="12"/>
  <c r="B396" i="12"/>
  <c r="B397" i="12"/>
  <c r="B398" i="12"/>
  <c r="B399" i="12"/>
  <c r="B400" i="12"/>
  <c r="B401" i="12"/>
  <c r="B402" i="12"/>
  <c r="B403" i="12"/>
  <c r="B404" i="12"/>
  <c r="B104" i="12"/>
  <c r="B127" i="12"/>
  <c r="B407" i="12"/>
  <c r="B408" i="12"/>
  <c r="B409" i="12"/>
  <c r="B410" i="12"/>
  <c r="B411" i="12"/>
  <c r="B412" i="12"/>
  <c r="B413" i="12"/>
  <c r="B414" i="12"/>
  <c r="B415" i="12"/>
  <c r="B416" i="12"/>
  <c r="B290" i="12"/>
  <c r="B608" i="12"/>
  <c r="B419" i="12"/>
  <c r="B356" i="12"/>
  <c r="B421" i="12"/>
  <c r="B422" i="12"/>
  <c r="B423" i="12"/>
  <c r="B469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139" i="12"/>
  <c r="B293" i="12"/>
  <c r="B441" i="12"/>
  <c r="B442" i="12"/>
  <c r="B443" i="12"/>
  <c r="B444" i="12"/>
  <c r="B593" i="12"/>
  <c r="B446" i="12"/>
  <c r="B447" i="12"/>
  <c r="B448" i="12"/>
  <c r="B449" i="12"/>
  <c r="B450" i="12"/>
  <c r="B451" i="12"/>
  <c r="B452" i="12"/>
  <c r="B453" i="12"/>
  <c r="B612" i="12"/>
  <c r="B455" i="12"/>
  <c r="B456" i="12"/>
  <c r="B457" i="12"/>
  <c r="B458" i="12"/>
  <c r="B459" i="12"/>
  <c r="B460" i="12"/>
  <c r="B440" i="12"/>
  <c r="B462" i="12"/>
  <c r="B463" i="12"/>
  <c r="B470" i="12"/>
  <c r="B465" i="12"/>
  <c r="B466" i="12"/>
  <c r="B467" i="12"/>
  <c r="B468" i="12"/>
  <c r="B253" i="12"/>
  <c r="B145" i="12"/>
  <c r="B297" i="12"/>
  <c r="B472" i="12"/>
  <c r="B473" i="12"/>
  <c r="B474" i="12"/>
  <c r="B503" i="12"/>
  <c r="B454" i="12"/>
  <c r="B183" i="12"/>
  <c r="B478" i="12"/>
  <c r="B479" i="12"/>
  <c r="B480" i="12"/>
  <c r="B471" i="12"/>
  <c r="B482" i="12"/>
  <c r="B483" i="12"/>
  <c r="B484" i="12"/>
  <c r="B485" i="12"/>
  <c r="B486" i="12"/>
  <c r="B171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16" i="12"/>
  <c r="B504" i="12"/>
  <c r="B505" i="12"/>
  <c r="B506" i="12"/>
  <c r="B507" i="12"/>
  <c r="B508" i="12"/>
  <c r="B509" i="12"/>
  <c r="B602" i="12"/>
  <c r="B511" i="12"/>
  <c r="B512" i="12"/>
  <c r="B617" i="12"/>
  <c r="B514" i="12"/>
  <c r="B515" i="12"/>
  <c r="B516" i="12"/>
  <c r="B517" i="12"/>
  <c r="B46" i="12"/>
  <c r="B519" i="12"/>
  <c r="B520" i="12"/>
  <c r="B521" i="12"/>
  <c r="B619" i="12"/>
  <c r="B523" i="12"/>
  <c r="B524" i="12"/>
  <c r="B525" i="12"/>
  <c r="B526" i="12"/>
  <c r="B148" i="12"/>
  <c r="B528" i="12"/>
  <c r="B529" i="12"/>
  <c r="B530" i="12"/>
  <c r="B531" i="12"/>
  <c r="B532" i="12"/>
  <c r="B254" i="12"/>
  <c r="B534" i="12"/>
  <c r="B535" i="12"/>
  <c r="B536" i="12"/>
  <c r="B537" i="12"/>
  <c r="B166" i="12"/>
  <c r="B539" i="12"/>
  <c r="B540" i="12"/>
  <c r="B125" i="12"/>
  <c r="B542" i="12"/>
  <c r="B556" i="12"/>
  <c r="B632" i="12"/>
  <c r="B634" i="12"/>
  <c r="B357" i="12"/>
  <c r="B547" i="12"/>
  <c r="B548" i="12"/>
  <c r="B549" i="12"/>
  <c r="B550" i="12"/>
  <c r="B551" i="12"/>
  <c r="B552" i="12"/>
  <c r="B256" i="12"/>
  <c r="B554" i="12"/>
  <c r="B555" i="12"/>
  <c r="B476" i="12"/>
  <c r="B557" i="12"/>
  <c r="B558" i="12"/>
  <c r="B559" i="12"/>
  <c r="B560" i="12"/>
  <c r="B561" i="12"/>
  <c r="B562" i="12"/>
  <c r="B635" i="12"/>
  <c r="B564" i="12"/>
  <c r="B106" i="12"/>
  <c r="B566" i="12"/>
  <c r="B567" i="12"/>
  <c r="B86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636" i="12"/>
  <c r="B586" i="12"/>
  <c r="B587" i="12"/>
  <c r="B588" i="12"/>
  <c r="B589" i="12"/>
  <c r="B477" i="12"/>
  <c r="B591" i="12"/>
  <c r="B592" i="12"/>
  <c r="B302" i="12"/>
  <c r="B308" i="12"/>
  <c r="B595" i="12"/>
  <c r="B596" i="12"/>
  <c r="B597" i="12"/>
  <c r="B598" i="12"/>
  <c r="B599" i="12"/>
  <c r="B600" i="12"/>
  <c r="B601" i="12"/>
  <c r="B257" i="12"/>
  <c r="B643" i="12"/>
  <c r="B604" i="12"/>
  <c r="B605" i="12"/>
  <c r="B606" i="12"/>
  <c r="B607" i="12"/>
  <c r="B646" i="12"/>
  <c r="B609" i="12"/>
  <c r="B39" i="12"/>
  <c r="B611" i="12"/>
  <c r="B481" i="12"/>
  <c r="B613" i="12"/>
  <c r="B614" i="12"/>
  <c r="B123" i="12"/>
  <c r="B615" i="12"/>
  <c r="N80" i="9" l="1"/>
  <c r="M80" i="9"/>
  <c r="O80" i="9"/>
  <c r="N87" i="9"/>
  <c r="M87" i="9"/>
  <c r="O87" i="9"/>
  <c r="Q71" i="9"/>
  <c r="R71" i="9" s="1"/>
  <c r="Q72" i="9"/>
  <c r="Q74" i="9"/>
  <c r="Q76" i="9"/>
  <c r="Q78" i="9"/>
  <c r="R78" i="9" s="1"/>
  <c r="Q79" i="9"/>
  <c r="Q81" i="9"/>
  <c r="Q84" i="9"/>
  <c r="R84" i="9" s="1"/>
  <c r="Q85" i="9"/>
  <c r="Q87" i="9"/>
  <c r="Q90" i="9"/>
  <c r="R90" i="9" s="1"/>
  <c r="Q91" i="9"/>
  <c r="Q94" i="9"/>
  <c r="R94" i="9" s="1"/>
  <c r="Q95" i="9"/>
  <c r="Q98" i="9"/>
  <c r="R98" i="9" s="1"/>
  <c r="Q99" i="9"/>
  <c r="Q102" i="9"/>
  <c r="R102" i="9" s="1"/>
  <c r="Q103" i="9"/>
  <c r="Q106" i="9"/>
  <c r="R106" i="9" s="1"/>
  <c r="Q107" i="9"/>
  <c r="Q110" i="9"/>
  <c r="R110" i="9" s="1"/>
  <c r="Q111" i="9"/>
  <c r="Q114" i="9"/>
  <c r="R114" i="9" s="1"/>
  <c r="Q115" i="9"/>
  <c r="Q118" i="9"/>
  <c r="Q120" i="9"/>
  <c r="Q123" i="9"/>
  <c r="R123" i="9" s="1"/>
  <c r="Q124" i="9"/>
  <c r="Q127" i="9"/>
  <c r="R127" i="9" s="1"/>
  <c r="Q128" i="9"/>
  <c r="Q131" i="9"/>
  <c r="R131" i="9" s="1"/>
  <c r="Q132" i="9"/>
  <c r="Q135" i="9"/>
  <c r="Q137" i="9"/>
  <c r="Q139" i="9"/>
  <c r="Q141" i="9"/>
  <c r="R141" i="9" s="1"/>
  <c r="Q142" i="9"/>
  <c r="Q145" i="9"/>
  <c r="R145" i="9" s="1"/>
  <c r="Q146" i="9"/>
  <c r="Q149" i="9"/>
  <c r="R149" i="9" s="1"/>
  <c r="Q69" i="9"/>
  <c r="R69" i="9" s="1"/>
  <c r="Q70" i="9"/>
  <c r="Q73" i="9"/>
  <c r="Q75" i="9"/>
  <c r="Q77" i="9"/>
  <c r="Q80" i="9"/>
  <c r="Q82" i="9"/>
  <c r="R82" i="9" s="1"/>
  <c r="Q83" i="9"/>
  <c r="Q86" i="9"/>
  <c r="Q89" i="9"/>
  <c r="Q92" i="9"/>
  <c r="R92" i="9" s="1"/>
  <c r="Q93" i="9"/>
  <c r="Q96" i="9"/>
  <c r="R96" i="9" s="1"/>
  <c r="Q97" i="9"/>
  <c r="Q100" i="9"/>
  <c r="R100" i="9" s="1"/>
  <c r="Q101" i="9"/>
  <c r="Q104" i="9"/>
  <c r="R104" i="9" s="1"/>
  <c r="Q105" i="9"/>
  <c r="Q108" i="9"/>
  <c r="R108" i="9" s="1"/>
  <c r="Q109" i="9"/>
  <c r="Q112" i="9"/>
  <c r="R112" i="9" s="1"/>
  <c r="Q113" i="9"/>
  <c r="Q116" i="9"/>
  <c r="R116" i="9" s="1"/>
  <c r="Q117" i="9"/>
  <c r="Q119" i="9"/>
  <c r="Q122" i="9"/>
  <c r="Q125" i="9"/>
  <c r="R125" i="9" s="1"/>
  <c r="Q126" i="9"/>
  <c r="Q129" i="9"/>
  <c r="R129" i="9" s="1"/>
  <c r="Q130" i="9"/>
  <c r="Q133" i="9"/>
  <c r="R133" i="9" s="1"/>
  <c r="Q134" i="9"/>
  <c r="Q136" i="9"/>
  <c r="Q138" i="9"/>
  <c r="Q140" i="9"/>
  <c r="Q143" i="9"/>
  <c r="R143" i="9" s="1"/>
  <c r="Q144" i="9"/>
  <c r="Q147" i="9"/>
  <c r="R147" i="9" s="1"/>
  <c r="Q148" i="9"/>
  <c r="Q151" i="9"/>
  <c r="R151" i="9" s="1"/>
  <c r="Q152" i="9"/>
  <c r="Q155" i="9"/>
  <c r="R155" i="9" s="1"/>
  <c r="Q156" i="9"/>
  <c r="Q159" i="9"/>
  <c r="R159" i="9" s="1"/>
  <c r="Q160" i="9"/>
  <c r="Q163" i="9"/>
  <c r="R163" i="9" s="1"/>
  <c r="Q164" i="9"/>
  <c r="Q167" i="9"/>
  <c r="R167" i="9" s="1"/>
  <c r="Q168" i="9"/>
  <c r="Q171" i="9"/>
  <c r="R171" i="9" s="1"/>
  <c r="Q172" i="9"/>
  <c r="Q175" i="9"/>
  <c r="R175" i="9" s="1"/>
  <c r="Q176" i="9"/>
  <c r="Q179" i="9"/>
  <c r="R179" i="9" s="1"/>
  <c r="Q180" i="9"/>
  <c r="Q183" i="9"/>
  <c r="R183" i="9" s="1"/>
  <c r="Q184" i="9"/>
  <c r="Q187" i="9"/>
  <c r="R187" i="9" s="1"/>
  <c r="Q188" i="9"/>
  <c r="Q191" i="9"/>
  <c r="R191" i="9" s="1"/>
  <c r="Q192" i="9"/>
  <c r="Q3" i="9"/>
  <c r="R3" i="9" s="1"/>
  <c r="P3" i="9" s="1"/>
  <c r="Q5" i="9"/>
  <c r="R5" i="9" s="1"/>
  <c r="Q7" i="9"/>
  <c r="R7" i="9" s="1"/>
  <c r="Q9" i="9"/>
  <c r="R9" i="9" s="1"/>
  <c r="Q11" i="9"/>
  <c r="R11" i="9" s="1"/>
  <c r="Q13" i="9"/>
  <c r="R13" i="9" s="1"/>
  <c r="Q15" i="9"/>
  <c r="R15" i="9" s="1"/>
  <c r="Q16" i="9"/>
  <c r="R16" i="9" s="1"/>
  <c r="Q18" i="9"/>
  <c r="R18" i="9" s="1"/>
  <c r="Q20" i="9"/>
  <c r="R20" i="9" s="1"/>
  <c r="Q22" i="9"/>
  <c r="R22" i="9" s="1"/>
  <c r="Q24" i="9"/>
  <c r="R24" i="9" s="1"/>
  <c r="P9" i="9" s="1"/>
  <c r="Q26" i="9"/>
  <c r="R26" i="9" s="1"/>
  <c r="Q40" i="9"/>
  <c r="R40" i="9" s="1"/>
  <c r="P24" i="9" s="1"/>
  <c r="Q42" i="9"/>
  <c r="R42" i="9" s="1"/>
  <c r="Q44" i="9"/>
  <c r="R44" i="9" s="1"/>
  <c r="Q46" i="9"/>
  <c r="R46" i="9" s="1"/>
  <c r="Q48" i="9"/>
  <c r="R48" i="9" s="1"/>
  <c r="Q50" i="9"/>
  <c r="R50" i="9" s="1"/>
  <c r="Q52" i="9"/>
  <c r="R52" i="9" s="1"/>
  <c r="Q54" i="9"/>
  <c r="R54" i="9" s="1"/>
  <c r="Q56" i="9"/>
  <c r="R56" i="9" s="1"/>
  <c r="Q58" i="9"/>
  <c r="R58" i="9" s="1"/>
  <c r="P54" i="9" s="1"/>
  <c r="Q60" i="9"/>
  <c r="R60" i="9" s="1"/>
  <c r="Q62" i="9"/>
  <c r="R62" i="9" s="1"/>
  <c r="Q64" i="9"/>
  <c r="R64" i="9" s="1"/>
  <c r="Q66" i="9"/>
  <c r="R66" i="9" s="1"/>
  <c r="Q193" i="9"/>
  <c r="R193" i="9" s="1"/>
  <c r="Q29" i="9"/>
  <c r="R29" i="9" s="1"/>
  <c r="Q31" i="9"/>
  <c r="R31" i="9" s="1"/>
  <c r="P44" i="9" s="1"/>
  <c r="Q33" i="9"/>
  <c r="R33" i="9" s="1"/>
  <c r="Q35" i="9"/>
  <c r="R35" i="9" s="1"/>
  <c r="Q154" i="9"/>
  <c r="Q157" i="9"/>
  <c r="R157" i="9" s="1"/>
  <c r="Q162" i="9"/>
  <c r="Q165" i="9"/>
  <c r="R165" i="9" s="1"/>
  <c r="Q170" i="9"/>
  <c r="Q173" i="9"/>
  <c r="R173" i="9" s="1"/>
  <c r="Q178" i="9"/>
  <c r="Q181" i="9"/>
  <c r="R181" i="9" s="1"/>
  <c r="Q186" i="9"/>
  <c r="Q189" i="9"/>
  <c r="R189" i="9" s="1"/>
  <c r="M37" i="9"/>
  <c r="Q6" i="9"/>
  <c r="R6" i="9" s="1"/>
  <c r="Q10" i="9"/>
  <c r="R10" i="9" s="1"/>
  <c r="Q14" i="9"/>
  <c r="R14" i="9" s="1"/>
  <c r="Q17" i="9"/>
  <c r="R17" i="9" s="1"/>
  <c r="Q21" i="9"/>
  <c r="R21" i="9" s="1"/>
  <c r="Q25" i="9"/>
  <c r="R25" i="9" s="1"/>
  <c r="P10" i="9" s="1"/>
  <c r="Q41" i="9"/>
  <c r="R41" i="9" s="1"/>
  <c r="P60" i="9" s="1"/>
  <c r="Q45" i="9"/>
  <c r="R45" i="9" s="1"/>
  <c r="Q49" i="9"/>
  <c r="R49" i="9" s="1"/>
  <c r="Q53" i="9"/>
  <c r="R53" i="9" s="1"/>
  <c r="P62" i="9" s="1"/>
  <c r="Q57" i="9"/>
  <c r="R57" i="9" s="1"/>
  <c r="P35" i="9" s="1"/>
  <c r="Q61" i="9"/>
  <c r="R61" i="9" s="1"/>
  <c r="Q65" i="9"/>
  <c r="R65" i="9" s="1"/>
  <c r="P5" i="9" s="1"/>
  <c r="Q38" i="9"/>
  <c r="R38" i="9" s="1"/>
  <c r="P17" i="9" s="1"/>
  <c r="Q150" i="9"/>
  <c r="Q153" i="9"/>
  <c r="R153" i="9" s="1"/>
  <c r="Q158" i="9"/>
  <c r="Q161" i="9"/>
  <c r="R161" i="9" s="1"/>
  <c r="Q166" i="9"/>
  <c r="Q169" i="9"/>
  <c r="R169" i="9" s="1"/>
  <c r="Q174" i="9"/>
  <c r="Q177" i="9"/>
  <c r="R177" i="9" s="1"/>
  <c r="Q182" i="9"/>
  <c r="Q185" i="9"/>
  <c r="R185" i="9" s="1"/>
  <c r="Q190" i="9"/>
  <c r="Q4" i="9"/>
  <c r="R4" i="9" s="1"/>
  <c r="Q8" i="9"/>
  <c r="R8" i="9" s="1"/>
  <c r="P41" i="9" s="1"/>
  <c r="Q12" i="9"/>
  <c r="R12" i="9" s="1"/>
  <c r="P40" i="9" s="1"/>
  <c r="Q19" i="9"/>
  <c r="R19" i="9" s="1"/>
  <c r="Q23" i="9"/>
  <c r="R23" i="9" s="1"/>
  <c r="Q27" i="9"/>
  <c r="R27" i="9" s="1"/>
  <c r="Q43" i="9"/>
  <c r="R43" i="9" s="1"/>
  <c r="Q47" i="9"/>
  <c r="R47" i="9" s="1"/>
  <c r="Q51" i="9"/>
  <c r="R51" i="9" s="1"/>
  <c r="Q55" i="9"/>
  <c r="R55" i="9" s="1"/>
  <c r="P78" i="9" s="1"/>
  <c r="Q59" i="9"/>
  <c r="R59" i="9" s="1"/>
  <c r="P20" i="9" s="1"/>
  <c r="Q63" i="9"/>
  <c r="R63" i="9" s="1"/>
  <c r="Q67" i="9"/>
  <c r="R67" i="9" s="1"/>
  <c r="P6" i="9" s="1"/>
  <c r="Q30" i="9"/>
  <c r="R30" i="9" s="1"/>
  <c r="Q34" i="9"/>
  <c r="R34" i="9" s="1"/>
  <c r="P45" i="9" s="1"/>
  <c r="Q37" i="9"/>
  <c r="R37" i="9" s="1"/>
  <c r="P13" i="9" s="1"/>
  <c r="Q28" i="9"/>
  <c r="R28" i="9" s="1"/>
  <c r="P28" i="9" s="1"/>
  <c r="Q32" i="9"/>
  <c r="R32" i="9" s="1"/>
  <c r="Q36" i="9"/>
  <c r="R36" i="9" s="1"/>
  <c r="Q39" i="9"/>
  <c r="R39" i="9" s="1"/>
  <c r="P29" i="9" s="1"/>
  <c r="M71" i="9"/>
  <c r="M69" i="9"/>
  <c r="M59" i="9"/>
  <c r="M41" i="9"/>
  <c r="M40" i="9"/>
  <c r="M50" i="9"/>
  <c r="M33" i="9"/>
  <c r="M3" i="9"/>
  <c r="M21" i="9"/>
  <c r="M23" i="9"/>
  <c r="M15" i="9"/>
  <c r="M8" i="9"/>
  <c r="M10" i="9"/>
  <c r="M4" i="9"/>
  <c r="M43" i="9"/>
  <c r="M44" i="9"/>
  <c r="M73" i="9"/>
  <c r="M74" i="9"/>
  <c r="M13" i="9"/>
  <c r="M29" i="9"/>
  <c r="M60" i="9"/>
  <c r="M18" i="9"/>
  <c r="M14" i="9"/>
  <c r="M25" i="9"/>
  <c r="M46" i="9"/>
  <c r="M53" i="9"/>
  <c r="M62" i="9"/>
  <c r="M78" i="9"/>
  <c r="M35" i="9"/>
  <c r="M20" i="9"/>
  <c r="M36" i="9"/>
  <c r="M79" i="9"/>
  <c r="M5" i="9"/>
  <c r="M6" i="9"/>
  <c r="M81" i="9"/>
  <c r="M82" i="9"/>
  <c r="M64" i="9"/>
  <c r="M65" i="9"/>
  <c r="M84" i="9"/>
  <c r="M85" i="9"/>
  <c r="M66" i="9"/>
  <c r="M38" i="9"/>
  <c r="M48" i="9"/>
  <c r="M34" i="9"/>
  <c r="M70" i="9"/>
  <c r="M42" i="9"/>
  <c r="M49" i="9"/>
  <c r="M51" i="9"/>
  <c r="M27" i="9"/>
  <c r="M7" i="9"/>
  <c r="M22" i="9"/>
  <c r="M12" i="9"/>
  <c r="M9" i="9"/>
  <c r="M16" i="9"/>
  <c r="M28" i="9"/>
  <c r="M52" i="9"/>
  <c r="M72" i="9"/>
  <c r="M45" i="9"/>
  <c r="M75" i="9"/>
  <c r="M17" i="9"/>
  <c r="M24" i="9"/>
  <c r="M30" i="9"/>
  <c r="M11" i="9"/>
  <c r="M19" i="9"/>
  <c r="M61" i="9"/>
  <c r="M76" i="9"/>
  <c r="M47" i="9"/>
  <c r="M77" i="9"/>
  <c r="M31" i="9"/>
  <c r="M54" i="9"/>
  <c r="M32" i="9"/>
  <c r="M55" i="9"/>
  <c r="M26" i="9"/>
  <c r="M56" i="9"/>
  <c r="M57" i="9"/>
  <c r="M63" i="9"/>
  <c r="M58" i="9"/>
  <c r="M83" i="9"/>
  <c r="M86" i="9"/>
  <c r="M67" i="9"/>
  <c r="M68" i="9"/>
  <c r="M39" i="9"/>
  <c r="E47" i="11"/>
  <c r="E114" i="11"/>
  <c r="E169" i="11"/>
  <c r="E113" i="11"/>
  <c r="E141" i="11"/>
  <c r="E188" i="11"/>
  <c r="E3" i="11"/>
  <c r="E5" i="11"/>
  <c r="E7" i="11"/>
  <c r="E9" i="11"/>
  <c r="E11" i="11"/>
  <c r="E13" i="11"/>
  <c r="E15" i="11"/>
  <c r="E17" i="11"/>
  <c r="E19" i="11"/>
  <c r="E21" i="11"/>
  <c r="E23" i="11"/>
  <c r="E26" i="11"/>
  <c r="E28" i="11"/>
  <c r="E30" i="11"/>
  <c r="E33" i="11"/>
  <c r="E36" i="11"/>
  <c r="E38" i="11"/>
  <c r="E40" i="11"/>
  <c r="E42" i="11"/>
  <c r="E44" i="11"/>
  <c r="E46" i="11"/>
  <c r="E48" i="11"/>
  <c r="E50" i="11"/>
  <c r="E53" i="11"/>
  <c r="E56" i="11"/>
  <c r="E59" i="11"/>
  <c r="E61" i="11"/>
  <c r="E64" i="11"/>
  <c r="E67" i="11"/>
  <c r="E69" i="11"/>
  <c r="E71" i="11"/>
  <c r="E73" i="11"/>
  <c r="E75" i="11"/>
  <c r="E78" i="11"/>
  <c r="E80" i="11"/>
  <c r="E82" i="11"/>
  <c r="E85" i="11"/>
  <c r="E87" i="11"/>
  <c r="E89" i="11"/>
  <c r="E91" i="11"/>
  <c r="E93" i="11"/>
  <c r="E95" i="11"/>
  <c r="E97" i="11"/>
  <c r="E99" i="11"/>
  <c r="E101" i="11"/>
  <c r="E103" i="11"/>
  <c r="E105" i="11"/>
  <c r="E107" i="11"/>
  <c r="E109" i="11"/>
  <c r="E111" i="11"/>
  <c r="E115" i="11"/>
  <c r="E117" i="11"/>
  <c r="E119" i="11"/>
  <c r="E121" i="11"/>
  <c r="E123" i="11"/>
  <c r="E125" i="11"/>
  <c r="E127" i="11"/>
  <c r="E129" i="11"/>
  <c r="E131" i="11"/>
  <c r="E133" i="11"/>
  <c r="E135" i="11"/>
  <c r="E137" i="11"/>
  <c r="E139" i="11"/>
  <c r="E143" i="11"/>
  <c r="E145" i="11"/>
  <c r="E147" i="11"/>
  <c r="E149" i="11"/>
  <c r="E151" i="11"/>
  <c r="E153" i="11"/>
  <c r="E155" i="11"/>
  <c r="E157" i="11"/>
  <c r="E159" i="11"/>
  <c r="E161" i="11"/>
  <c r="E163" i="11"/>
  <c r="E165" i="11"/>
  <c r="E167" i="11"/>
  <c r="E171" i="11"/>
  <c r="E173" i="11"/>
  <c r="E175" i="11"/>
  <c r="E177" i="11"/>
  <c r="E179" i="11"/>
  <c r="E181" i="11"/>
  <c r="E183" i="11"/>
  <c r="E185" i="11"/>
  <c r="E187" i="11"/>
  <c r="E4" i="11"/>
  <c r="E6" i="11"/>
  <c r="E8" i="11"/>
  <c r="E10" i="11"/>
  <c r="E12" i="11"/>
  <c r="E14" i="11"/>
  <c r="E16" i="11"/>
  <c r="E18" i="11"/>
  <c r="E20" i="11"/>
  <c r="E22" i="11"/>
  <c r="E25" i="11"/>
  <c r="E27" i="11"/>
  <c r="E29" i="11"/>
  <c r="E31" i="11"/>
  <c r="E35" i="11"/>
  <c r="E37" i="11"/>
  <c r="E39" i="11"/>
  <c r="E41" i="11"/>
  <c r="E43" i="11"/>
  <c r="E45" i="11"/>
  <c r="E49" i="11"/>
  <c r="E52" i="11"/>
  <c r="E55" i="11"/>
  <c r="E57" i="11"/>
  <c r="E60" i="11"/>
  <c r="E62" i="11"/>
  <c r="E65" i="11"/>
  <c r="E68" i="11"/>
  <c r="E70" i="11"/>
  <c r="E72" i="11"/>
  <c r="E74" i="11"/>
  <c r="E77" i="11"/>
  <c r="E79" i="11"/>
  <c r="E81" i="11"/>
  <c r="E84" i="11"/>
  <c r="E86" i="11"/>
  <c r="E88" i="11"/>
  <c r="E90" i="11"/>
  <c r="E92" i="11"/>
  <c r="E94" i="11"/>
  <c r="E96" i="11"/>
  <c r="E98" i="11"/>
  <c r="E100" i="11"/>
  <c r="E102" i="11"/>
  <c r="E104" i="11"/>
  <c r="E106" i="11"/>
  <c r="E108" i="11"/>
  <c r="E110" i="11"/>
  <c r="E112" i="11"/>
  <c r="E116" i="11"/>
  <c r="E118" i="11"/>
  <c r="E120" i="11"/>
  <c r="E122" i="11"/>
  <c r="E124" i="11"/>
  <c r="E126" i="11"/>
  <c r="E128" i="11"/>
  <c r="E130" i="11"/>
  <c r="E132" i="11"/>
  <c r="E134" i="11"/>
  <c r="E136" i="11"/>
  <c r="E138" i="11"/>
  <c r="E140" i="11"/>
  <c r="E142" i="11"/>
  <c r="E144" i="11"/>
  <c r="E146" i="11"/>
  <c r="E148" i="11"/>
  <c r="E150" i="11"/>
  <c r="E152" i="11"/>
  <c r="E154" i="11"/>
  <c r="E156" i="11"/>
  <c r="E158" i="11"/>
  <c r="E160" i="11"/>
  <c r="E162" i="11"/>
  <c r="E164" i="11"/>
  <c r="E166" i="11"/>
  <c r="E168" i="11"/>
  <c r="E170" i="11"/>
  <c r="E172" i="11"/>
  <c r="E174" i="11"/>
  <c r="E178" i="11"/>
  <c r="E182" i="11"/>
  <c r="E186" i="11"/>
  <c r="E189" i="11"/>
  <c r="E191" i="11"/>
  <c r="E193" i="11"/>
  <c r="E176" i="11"/>
  <c r="E180" i="11"/>
  <c r="E184" i="11"/>
  <c r="E190" i="11"/>
  <c r="E192" i="11"/>
  <c r="E2" i="11"/>
  <c r="E76" i="11"/>
  <c r="E54" i="11"/>
  <c r="E32" i="11"/>
  <c r="E66" i="11"/>
  <c r="E63" i="11"/>
  <c r="E58" i="11"/>
  <c r="E34" i="11"/>
  <c r="E24" i="11"/>
  <c r="E83" i="11"/>
  <c r="E51" i="11"/>
  <c r="O71" i="9"/>
  <c r="N71" i="9"/>
  <c r="O69" i="9"/>
  <c r="O34" i="9"/>
  <c r="O59" i="9"/>
  <c r="O70" i="9"/>
  <c r="O41" i="9"/>
  <c r="O27" i="9"/>
  <c r="O33" i="9"/>
  <c r="O51" i="9"/>
  <c r="O40" i="9"/>
  <c r="O42" i="9"/>
  <c r="O3" i="9"/>
  <c r="O49" i="9"/>
  <c r="O50" i="9"/>
  <c r="O7" i="9"/>
  <c r="O21" i="9"/>
  <c r="O16" i="9"/>
  <c r="O10" i="9"/>
  <c r="O12" i="9"/>
  <c r="O23" i="9"/>
  <c r="O15" i="9"/>
  <c r="O8" i="9"/>
  <c r="O9" i="9"/>
  <c r="O22" i="9"/>
  <c r="O4" i="9"/>
  <c r="O28" i="9"/>
  <c r="O43" i="9"/>
  <c r="O52" i="9"/>
  <c r="O44" i="9"/>
  <c r="O72" i="9"/>
  <c r="O73" i="9"/>
  <c r="O45" i="9"/>
  <c r="O74" i="9"/>
  <c r="O75" i="9"/>
  <c r="O13" i="9"/>
  <c r="O17" i="9"/>
  <c r="O29" i="9"/>
  <c r="O24" i="9"/>
  <c r="O60" i="9"/>
  <c r="O30" i="9"/>
  <c r="O18" i="9"/>
  <c r="O11" i="9"/>
  <c r="N69" i="9"/>
  <c r="N34" i="9"/>
  <c r="N59" i="9"/>
  <c r="N70" i="9"/>
  <c r="N41" i="9"/>
  <c r="N27" i="9"/>
  <c r="N33" i="9"/>
  <c r="N51" i="9"/>
  <c r="N40" i="9"/>
  <c r="N42" i="9"/>
  <c r="N3" i="9"/>
  <c r="N49" i="9"/>
  <c r="N50" i="9"/>
  <c r="N7" i="9"/>
  <c r="N21" i="9"/>
  <c r="N16" i="9"/>
  <c r="N10" i="9"/>
  <c r="N12" i="9"/>
  <c r="N23" i="9"/>
  <c r="N15" i="9"/>
  <c r="N8" i="9"/>
  <c r="N9" i="9"/>
  <c r="N22" i="9"/>
  <c r="N4" i="9"/>
  <c r="N28" i="9"/>
  <c r="N43" i="9"/>
  <c r="N52" i="9"/>
  <c r="N44" i="9"/>
  <c r="N72" i="9"/>
  <c r="N73" i="9"/>
  <c r="N45" i="9"/>
  <c r="N74" i="9"/>
  <c r="N75" i="9"/>
  <c r="N13" i="9"/>
  <c r="N17" i="9"/>
  <c r="N29" i="9"/>
  <c r="N24" i="9"/>
  <c r="N60" i="9"/>
  <c r="N30" i="9"/>
  <c r="N18" i="9"/>
  <c r="N11" i="9"/>
  <c r="N14" i="9"/>
  <c r="O14" i="9"/>
  <c r="O19" i="9"/>
  <c r="O25" i="9"/>
  <c r="O61" i="9"/>
  <c r="O46" i="9"/>
  <c r="O76" i="9"/>
  <c r="O53" i="9"/>
  <c r="O47" i="9"/>
  <c r="O62" i="9"/>
  <c r="O77" i="9"/>
  <c r="O78" i="9"/>
  <c r="O31" i="9"/>
  <c r="O35" i="9"/>
  <c r="O54" i="9"/>
  <c r="O20" i="9"/>
  <c r="O32" i="9"/>
  <c r="O36" i="9"/>
  <c r="O55" i="9"/>
  <c r="O79" i="9"/>
  <c r="O26" i="9"/>
  <c r="O5" i="9"/>
  <c r="O56" i="9"/>
  <c r="O6" i="9"/>
  <c r="O37" i="9"/>
  <c r="O81" i="9"/>
  <c r="O57" i="9"/>
  <c r="O82" i="9"/>
  <c r="O63" i="9"/>
  <c r="O64" i="9"/>
  <c r="O58" i="9"/>
  <c r="O65" i="9"/>
  <c r="O83" i="9"/>
  <c r="O84" i="9"/>
  <c r="O85" i="9"/>
  <c r="O86" i="9"/>
  <c r="O66" i="9"/>
  <c r="O67" i="9"/>
  <c r="O38" i="9"/>
  <c r="O68" i="9"/>
  <c r="O48" i="9"/>
  <c r="O39" i="9"/>
  <c r="N19" i="9"/>
  <c r="N25" i="9"/>
  <c r="N61" i="9"/>
  <c r="N46" i="9"/>
  <c r="N76" i="9"/>
  <c r="N53" i="9"/>
  <c r="N47" i="9"/>
  <c r="N62" i="9"/>
  <c r="N77" i="9"/>
  <c r="N78" i="9"/>
  <c r="N31" i="9"/>
  <c r="N35" i="9"/>
  <c r="N54" i="9"/>
  <c r="N20" i="9"/>
  <c r="N32" i="9"/>
  <c r="N36" i="9"/>
  <c r="N55" i="9"/>
  <c r="N79" i="9"/>
  <c r="N26" i="9"/>
  <c r="N5" i="9"/>
  <c r="N56" i="9"/>
  <c r="N6" i="9"/>
  <c r="N37" i="9"/>
  <c r="N81" i="9"/>
  <c r="N57" i="9"/>
  <c r="N82" i="9"/>
  <c r="N63" i="9"/>
  <c r="N64" i="9"/>
  <c r="N58" i="9"/>
  <c r="N65" i="9"/>
  <c r="N83" i="9"/>
  <c r="N84" i="9"/>
  <c r="N85" i="9"/>
  <c r="N86" i="9"/>
  <c r="N66" i="9"/>
  <c r="N67" i="9"/>
  <c r="N38" i="9"/>
  <c r="N68" i="9"/>
  <c r="N48" i="9"/>
  <c r="N39" i="9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P8" i="9" l="1"/>
  <c r="P25" i="9"/>
  <c r="P4" i="9"/>
  <c r="P46" i="9"/>
  <c r="P26" i="9"/>
  <c r="P18" i="9"/>
  <c r="P11" i="9"/>
  <c r="P23" i="9"/>
  <c r="P51" i="9"/>
  <c r="P33" i="9"/>
  <c r="P53" i="9"/>
  <c r="P12" i="9"/>
  <c r="P59" i="9"/>
  <c r="P84" i="9"/>
  <c r="P42" i="9"/>
  <c r="P32" i="9"/>
  <c r="P47" i="9"/>
  <c r="P61" i="9"/>
  <c r="P52" i="9"/>
  <c r="P36" i="9"/>
  <c r="P14" i="9"/>
  <c r="P21" i="9"/>
  <c r="P43" i="9"/>
  <c r="P56" i="9"/>
  <c r="P55" i="9"/>
  <c r="P19" i="9"/>
  <c r="P30" i="9"/>
  <c r="P16" i="9"/>
  <c r="P22" i="9"/>
  <c r="P50" i="9"/>
  <c r="P34" i="9"/>
  <c r="P71" i="9"/>
  <c r="P38" i="9"/>
  <c r="P15" i="9"/>
  <c r="P69" i="9"/>
  <c r="P31" i="9"/>
  <c r="P7" i="9"/>
  <c r="P49" i="9"/>
  <c r="P66" i="9"/>
  <c r="P37" i="9"/>
  <c r="P57" i="9"/>
  <c r="R186" i="9"/>
  <c r="R178" i="9"/>
  <c r="R170" i="9"/>
  <c r="R162" i="9"/>
  <c r="R154" i="9"/>
  <c r="R138" i="9"/>
  <c r="R134" i="9"/>
  <c r="R130" i="9"/>
  <c r="R126" i="9"/>
  <c r="R122" i="9"/>
  <c r="R117" i="9"/>
  <c r="R113" i="9"/>
  <c r="R109" i="9"/>
  <c r="R105" i="9"/>
  <c r="R101" i="9"/>
  <c r="R97" i="9"/>
  <c r="R93" i="9"/>
  <c r="R89" i="9"/>
  <c r="R83" i="9"/>
  <c r="P67" i="9" s="1"/>
  <c r="R80" i="9"/>
  <c r="R75" i="9"/>
  <c r="P58" i="9" s="1"/>
  <c r="R70" i="9"/>
  <c r="P70" i="9" s="1"/>
  <c r="R137" i="9"/>
  <c r="R132" i="9"/>
  <c r="R128" i="9"/>
  <c r="R124" i="9"/>
  <c r="R120" i="9"/>
  <c r="R115" i="9"/>
  <c r="R111" i="9"/>
  <c r="R107" i="9"/>
  <c r="R103" i="9"/>
  <c r="R99" i="9"/>
  <c r="R95" i="9"/>
  <c r="R91" i="9"/>
  <c r="R87" i="9"/>
  <c r="R79" i="9"/>
  <c r="P79" i="9" s="1"/>
  <c r="R76" i="9"/>
  <c r="P65" i="9" s="1"/>
  <c r="R72" i="9"/>
  <c r="P82" i="9" s="1"/>
  <c r="R190" i="9"/>
  <c r="R182" i="9"/>
  <c r="R174" i="9"/>
  <c r="R166" i="9"/>
  <c r="R158" i="9"/>
  <c r="R150" i="9"/>
  <c r="R192" i="9"/>
  <c r="R188" i="9"/>
  <c r="R184" i="9"/>
  <c r="R180" i="9"/>
  <c r="R176" i="9"/>
  <c r="R172" i="9"/>
  <c r="R168" i="9"/>
  <c r="R164" i="9"/>
  <c r="R160" i="9"/>
  <c r="R156" i="9"/>
  <c r="R152" i="9"/>
  <c r="R148" i="9"/>
  <c r="R144" i="9"/>
  <c r="R140" i="9"/>
  <c r="R136" i="9"/>
  <c r="R119" i="9"/>
  <c r="R86" i="9"/>
  <c r="P48" i="9" s="1"/>
  <c r="R77" i="9"/>
  <c r="R73" i="9"/>
  <c r="P63" i="9" s="1"/>
  <c r="R146" i="9"/>
  <c r="R142" i="9"/>
  <c r="R139" i="9"/>
  <c r="R135" i="9"/>
  <c r="R118" i="9"/>
  <c r="R85" i="9"/>
  <c r="P68" i="9" s="1"/>
  <c r="R81" i="9"/>
  <c r="R74" i="9"/>
  <c r="P64" i="9" s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P86" i="9" l="1"/>
  <c r="P83" i="9"/>
  <c r="P81" i="9"/>
  <c r="P85" i="9"/>
  <c r="P80" i="9"/>
  <c r="P74" i="9"/>
  <c r="P27" i="9"/>
  <c r="P75" i="9"/>
  <c r="P76" i="9"/>
  <c r="P39" i="9"/>
  <c r="P87" i="9"/>
  <c r="P77" i="9"/>
  <c r="P73" i="9"/>
  <c r="P72" i="9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Y7" i="9"/>
  <c r="Y5" i="9"/>
  <c r="Y9" i="9"/>
  <c r="Y8" i="9"/>
  <c r="Y6" i="9"/>
  <c r="Z6" i="9" l="1"/>
  <c r="Z5" i="9"/>
  <c r="Z9" i="9"/>
  <c r="Z8" i="9"/>
  <c r="Z7" i="9"/>
</calcChain>
</file>

<file path=xl/sharedStrings.xml><?xml version="1.0" encoding="utf-8"?>
<sst xmlns="http://schemas.openxmlformats.org/spreadsheetml/2006/main" count="5947" uniqueCount="1114">
  <si>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</si>
  <si>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</si>
  <si>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</si>
  <si>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</si>
  <si>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</si>
  <si>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</si>
  <si>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</si>
  <si>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</si>
  <si>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</si>
  <si>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</si>
  <si>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</si>
  <si>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</si>
  <si>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</si>
  <si>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</si>
  <si>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</si>
  <si>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</si>
  <si>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</si>
  <si>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</si>
  <si>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</si>
  <si>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</si>
  <si>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</si>
  <si>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</si>
  <si>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</si>
  <si>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</si>
  <si>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</si>
  <si>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</si>
  <si>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</si>
  <si>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</si>
  <si>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</si>
  <si>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</si>
  <si>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</si>
  <si>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</si>
  <si>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</si>
  <si>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</si>
  <si>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</si>
  <si>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</si>
  <si>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</si>
  <si>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</si>
  <si>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</si>
  <si>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</si>
  <si>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</si>
  <si>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</si>
  <si>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</si>
  <si>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</si>
  <si>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</si>
  <si>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</si>
  <si>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</si>
  <si>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</si>
  <si>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</si>
  <si>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</si>
  <si>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</si>
  <si>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</si>
  <si>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</si>
  <si>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</si>
  <si>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</si>
  <si>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</si>
  <si>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</si>
  <si>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</si>
  <si>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</si>
  <si>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</si>
  <si>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</si>
  <si>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</si>
  <si>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</si>
  <si>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</si>
  <si>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</si>
  <si>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</si>
  <si>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Jonas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</si>
  <si>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</si>
  <si>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</si>
  <si>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</si>
  <si>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</si>
  <si>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</si>
  <si>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</si>
  <si>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</si>
  <si>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</si>
  <si>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</si>
  <si>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</si>
  <si>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</si>
  <si>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</si>
  <si>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</si>
  <si>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</si>
  <si>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</si>
  <si>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</si>
  <si>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</si>
  <si>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</si>
  <si>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</si>
  <si>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Zlatan</t>
  </si>
  <si>
    <t>Nicolas</t>
  </si>
  <si>
    <t>Cheick</t>
  </si>
  <si>
    <t>Riou</t>
  </si>
  <si>
    <t>Rémy</t>
  </si>
  <si>
    <t>Anthony</t>
  </si>
  <si>
    <t>Diabaté</t>
  </si>
  <si>
    <t>Lavezzi</t>
  </si>
  <si>
    <t>Ezequiel</t>
  </si>
  <si>
    <t>Rolan</t>
  </si>
  <si>
    <t>Diego</t>
  </si>
  <si>
    <t>Carvalho</t>
  </si>
  <si>
    <t>Ricardo</t>
  </si>
  <si>
    <t>Congré</t>
  </si>
  <si>
    <t>Daniel</t>
  </si>
  <si>
    <t>Cédric</t>
  </si>
  <si>
    <t>Matuidi</t>
  </si>
  <si>
    <t>Blaise</t>
  </si>
  <si>
    <t>Reims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</si>
  <si>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</si>
  <si>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</si>
  <si>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</si>
  <si>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</si>
  <si>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</si>
  <si>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</si>
  <si>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</si>
  <si>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</si>
  <si>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Samuel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</si>
  <si>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</si>
  <si>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</si>
  <si>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</si>
  <si>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</si>
  <si>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</si>
  <si>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</si>
  <si>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</si>
  <si>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</si>
  <si>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</si>
  <si>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</si>
  <si>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</si>
  <si>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Saint-Etienne</t>
  </si>
  <si>
    <t>Moutinho</t>
  </si>
  <si>
    <t>João</t>
  </si>
  <si>
    <t>Ben Yedder</t>
  </si>
  <si>
    <t>Wissam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</si>
  <si>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</si>
  <si>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</si>
  <si>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</si>
  <si>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</si>
  <si>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</si>
  <si>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</si>
  <si>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</si>
  <si>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</si>
  <si>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</si>
  <si>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</si>
  <si>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</si>
  <si>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</si>
  <si>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</si>
  <si>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</si>
  <si>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</si>
  <si>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Loïc</t>
  </si>
  <si>
    <t>Sall</t>
  </si>
  <si>
    <t>Moustapha Bayal</t>
  </si>
  <si>
    <t>Ruffier</t>
  </si>
  <si>
    <t>Stéphane</t>
  </si>
  <si>
    <t>Alessandrini</t>
  </si>
  <si>
    <t>Hamouma</t>
  </si>
  <si>
    <t>Khazri</t>
  </si>
  <si>
    <t>Wahbi</t>
  </si>
  <si>
    <t>Saivet</t>
  </si>
  <si>
    <t>Aurier</t>
  </si>
  <si>
    <t>Lecomte</t>
  </si>
  <si>
    <t>Silva</t>
  </si>
  <si>
    <t>Bernardo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</si>
  <si>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</si>
  <si>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</si>
  <si>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</si>
  <si>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</si>
  <si>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</si>
  <si>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</si>
  <si>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</si>
  <si>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</si>
  <si>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</si>
  <si>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</si>
  <si>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</si>
  <si>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</si>
  <si>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</si>
  <si>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</si>
  <si>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</si>
  <si>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</si>
  <si>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</si>
  <si>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</si>
  <si>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</si>
  <si>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</si>
  <si>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</si>
  <si>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Jesper</t>
  </si>
  <si>
    <t>Hansen</t>
  </si>
  <si>
    <t>Jonas Lössl</t>
  </si>
  <si>
    <t>Beauvue</t>
  </si>
  <si>
    <t>Claudio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</si>
  <si>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</si>
  <si>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</si>
  <si>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</si>
  <si>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</si>
  <si>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</si>
  <si>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</si>
  <si>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</si>
  <si>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</si>
  <si>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</si>
  <si>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Abdel</t>
  </si>
  <si>
    <t>Germain</t>
  </si>
  <si>
    <t>Valère</t>
  </si>
  <si>
    <t>Hilton</t>
  </si>
  <si>
    <t>Vitorino</t>
  </si>
  <si>
    <t>Vizcarrondo</t>
  </si>
  <si>
    <t>Oswaldo</t>
  </si>
  <si>
    <t>Bauthéac</t>
  </si>
  <si>
    <t>Eric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</si>
  <si>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</si>
  <si>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</si>
  <si>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</si>
  <si>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</si>
  <si>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</si>
  <si>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</si>
  <si>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</si>
  <si>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</si>
  <si>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</si>
  <si>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</si>
  <si>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</si>
  <si>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</si>
  <si>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</si>
  <si>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</si>
  <si>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</si>
  <si>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</si>
  <si>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</si>
  <si>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</si>
  <si>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</si>
  <si>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</si>
  <si>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</si>
  <si>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</si>
  <si>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</si>
  <si>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</si>
  <si>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</si>
  <si>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</si>
  <si>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</si>
  <si>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</si>
  <si>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</si>
  <si>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</si>
  <si>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</si>
  <si>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</si>
  <si>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</si>
  <si>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</si>
  <si>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</si>
  <si>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</si>
  <si>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</si>
  <si>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</si>
  <si>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</si>
  <si>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</si>
  <si>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</si>
  <si>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</si>
  <si>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</si>
  <si>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</si>
  <si>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</si>
  <si>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</si>
  <si>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</si>
  <si>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</si>
  <si>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</si>
  <si>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Troyes</t>
  </si>
  <si>
    <t>Philippoteaux</t>
  </si>
  <si>
    <t>6.00</t>
  </si>
  <si>
    <t>5.50</t>
  </si>
  <si>
    <t>5.67</t>
  </si>
  <si>
    <t>Kalulu</t>
  </si>
  <si>
    <t>Angers</t>
  </si>
  <si>
    <t>4.67</t>
  </si>
  <si>
    <t>5.17</t>
  </si>
  <si>
    <t>Ajaccio</t>
  </si>
  <si>
    <t>Ángel</t>
  </si>
  <si>
    <t>Feddaoui</t>
  </si>
  <si>
    <t>Mounir</t>
  </si>
  <si>
    <t>Delort</t>
  </si>
  <si>
    <t>Andy</t>
  </si>
  <si>
    <t>Ben Arfa</t>
  </si>
  <si>
    <t>Hatem</t>
  </si>
  <si>
    <t>Cheikh</t>
  </si>
  <si>
    <t>Ngcongca</t>
  </si>
  <si>
    <t>Anele</t>
  </si>
  <si>
    <t>4.83</t>
  </si>
  <si>
    <t>Sio</t>
  </si>
  <si>
    <t>Giovanni</t>
  </si>
  <si>
    <t>Cana</t>
  </si>
  <si>
    <t>Lorik</t>
  </si>
  <si>
    <t>Civelli</t>
  </si>
  <si>
    <t>Renato</t>
  </si>
  <si>
    <t>Isla</t>
  </si>
  <si>
    <t>Mauricio</t>
  </si>
  <si>
    <t>Boufal</t>
  </si>
  <si>
    <t>Sofiane</t>
  </si>
  <si>
    <t>Nampalys</t>
  </si>
  <si>
    <t>Cornet</t>
  </si>
  <si>
    <t>Filippi</t>
  </si>
  <si>
    <t>Roderic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</si>
  <si>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</si>
  <si>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</si>
  <si>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</si>
  <si>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</si>
  <si>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</si>
  <si>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</si>
  <si>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</si>
  <si>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</si>
  <si>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</si>
  <si>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</si>
  <si>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</si>
  <si>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</si>
  <si>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</si>
  <si>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</si>
  <si>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</si>
  <si>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</si>
  <si>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</si>
  <si>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</si>
  <si>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</si>
  <si>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</si>
  <si>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</si>
  <si>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</si>
  <si>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</si>
  <si>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</si>
  <si>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</si>
  <si>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</si>
  <si>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</si>
  <si>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</si>
  <si>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</si>
  <si>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</si>
  <si>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</si>
  <si>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</si>
  <si>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</si>
  <si>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</si>
  <si>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</si>
  <si>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</si>
  <si>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</si>
  <si>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</si>
  <si>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</si>
  <si>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</si>
  <si>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</si>
  <si>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</si>
  <si>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</si>
  <si>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</si>
  <si>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</si>
  <si>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</si>
  <si>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</si>
  <si>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</si>
  <si>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</si>
  <si>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</si>
  <si>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</si>
  <si>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</si>
  <si>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</si>
  <si>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</si>
  <si>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</si>
  <si>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</si>
  <si>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</si>
  <si>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</si>
  <si>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</si>
  <si>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</si>
  <si>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</si>
  <si>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</si>
  <si>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</si>
  <si>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</si>
  <si>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</si>
  <si>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</si>
  <si>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</si>
  <si>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</si>
  <si>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</si>
  <si>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</si>
  <si>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</si>
  <si>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</si>
  <si>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</si>
  <si>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</si>
  <si>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</si>
  <si>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</si>
  <si>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</si>
  <si>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</si>
  <si>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</si>
  <si>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</si>
  <si>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</si>
  <si>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</si>
  <si>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</si>
  <si>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</si>
  <si>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</si>
  <si>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</si>
  <si>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</si>
  <si>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</si>
  <si>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</si>
  <si>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</si>
  <si>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</si>
  <si>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</si>
  <si>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</si>
  <si>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</si>
  <si>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</si>
  <si>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</si>
  <si>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</si>
  <si>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</si>
  <si>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</si>
  <si>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</si>
  <si>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</si>
  <si>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</si>
  <si>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</si>
  <si>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</si>
  <si>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</si>
  <si>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</si>
  <si>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</si>
  <si>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</si>
  <si>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</si>
  <si>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</si>
  <si>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</si>
  <si>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</si>
  <si>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</si>
  <si>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</si>
  <si>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</si>
  <si>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</si>
  <si>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</si>
  <si>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</si>
  <si>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</si>
  <si>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</si>
  <si>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</si>
  <si>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</si>
  <si>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</si>
  <si>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</si>
  <si>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</si>
  <si>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</si>
  <si>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</si>
  <si>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</si>
  <si>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</si>
  <si>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</si>
  <si>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</si>
  <si>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</si>
  <si>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</si>
  <si>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</si>
  <si>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</si>
  <si>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</si>
  <si>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</si>
  <si>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</si>
  <si>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</si>
  <si>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</si>
  <si>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</si>
  <si>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</si>
  <si>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</si>
  <si>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</si>
  <si>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</si>
  <si>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</si>
  <si>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</si>
  <si>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</si>
  <si>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</si>
  <si>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</si>
  <si>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</si>
  <si>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</si>
  <si>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</si>
  <si>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</si>
  <si>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</si>
  <si>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</si>
  <si>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</si>
  <si>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</si>
  <si>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</si>
  <si>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</si>
  <si>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</si>
  <si>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</si>
  <si>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</si>
  <si>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</si>
  <si>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</si>
  <si>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</si>
  <si>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</si>
  <si>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</si>
  <si>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</si>
  <si>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</si>
  <si>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</si>
  <si>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</si>
  <si>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</si>
  <si>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</si>
  <si>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</si>
  <si>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</si>
  <si>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</si>
  <si>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</si>
  <si>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</si>
  <si>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</si>
  <si>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Coeff</t>
  </si>
  <si>
    <t>Sabaly</t>
  </si>
  <si>
    <t>Youssouf</t>
  </si>
  <si>
    <t>Saunier</t>
  </si>
  <si>
    <t>Matthieu</t>
  </si>
  <si>
    <t>Toure</t>
  </si>
  <si>
    <t>Zargo</t>
  </si>
  <si>
    <t>Traore</t>
  </si>
  <si>
    <t>Hamari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</si>
  <si>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</si>
  <si>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</si>
  <si>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</si>
  <si>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</si>
  <si>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</si>
  <si>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</si>
  <si>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</si>
  <si>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</si>
  <si>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Didier Ibrahim</t>
  </si>
  <si>
    <t>Ndoye</t>
  </si>
  <si>
    <t>Salibur</t>
  </si>
  <si>
    <t>Yannis</t>
  </si>
  <si>
    <t>Seri</t>
  </si>
  <si>
    <t>Siebatcheu</t>
  </si>
  <si>
    <t>Theoson</t>
  </si>
  <si>
    <t>Bamba</t>
  </si>
  <si>
    <t>Jonathan</t>
  </si>
  <si>
    <t>5.79</t>
  </si>
  <si>
    <t>5.82</t>
  </si>
  <si>
    <t>Ngog</t>
  </si>
  <si>
    <t>Appiah</t>
  </si>
  <si>
    <t>Dennis</t>
  </si>
  <si>
    <t>Bessat</t>
  </si>
  <si>
    <t>Mangane</t>
  </si>
  <si>
    <t>Kader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</si>
  <si>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</si>
  <si>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</si>
  <si>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</si>
  <si>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</si>
  <si>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</si>
  <si>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</si>
  <si>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</si>
  <si>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</si>
  <si>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</si>
  <si>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</si>
  <si>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</si>
  <si>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</si>
  <si>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</si>
  <si>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Lamine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</si>
  <si>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</si>
  <si>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</si>
  <si>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</si>
  <si>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</si>
  <si>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</si>
  <si>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</si>
  <si>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</si>
  <si>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</si>
  <si>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</si>
  <si>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</si>
  <si>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</si>
  <si>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Oniangue</t>
  </si>
  <si>
    <t>Prince</t>
  </si>
  <si>
    <t>Kamano</t>
  </si>
  <si>
    <t>Francois</t>
  </si>
  <si>
    <t>5.36</t>
  </si>
  <si>
    <t>Yatabaré</t>
  </si>
  <si>
    <t>Mustapha</t>
  </si>
  <si>
    <t>Angoula</t>
  </si>
  <si>
    <t>Gael</t>
  </si>
  <si>
    <t>Karamoko</t>
  </si>
  <si>
    <t>Hamadou</t>
  </si>
  <si>
    <t>Saiss</t>
  </si>
  <si>
    <t>Moulin</t>
  </si>
  <si>
    <t>Jessy</t>
  </si>
  <si>
    <t>Dirar</t>
  </si>
  <si>
    <t>Ketkeophomphone</t>
  </si>
  <si>
    <t>Billy</t>
  </si>
  <si>
    <t>Nkoudou Mbida</t>
  </si>
  <si>
    <t>Georges-Kévin</t>
  </si>
  <si>
    <t>Quintero</t>
  </si>
  <si>
    <t>Juan</t>
  </si>
  <si>
    <t>Bakar</t>
  </si>
  <si>
    <t>Djamel</t>
  </si>
  <si>
    <t>Bammou</t>
  </si>
  <si>
    <t>Yacine</t>
  </si>
  <si>
    <t>Hélder Costa</t>
  </si>
  <si>
    <t>Thelin</t>
  </si>
  <si>
    <t>Isaac</t>
  </si>
  <si>
    <t>Bréchet</t>
  </si>
  <si>
    <t>Jeremie</t>
  </si>
  <si>
    <t>Roussillon</t>
  </si>
  <si>
    <t>Jérôme</t>
  </si>
  <si>
    <t>Weber</t>
  </si>
  <si>
    <t>Samassa</t>
  </si>
  <si>
    <t>Mamadou</t>
  </si>
  <si>
    <t>Mendy</t>
  </si>
  <si>
    <t>Ounas</t>
  </si>
  <si>
    <t>Adam</t>
  </si>
  <si>
    <t>Bazile</t>
  </si>
  <si>
    <t>Herve</t>
  </si>
  <si>
    <t>Sissoko</t>
  </si>
  <si>
    <t>Slimane</t>
  </si>
  <si>
    <t>Cioni</t>
  </si>
  <si>
    <t>Malcuit</t>
  </si>
  <si>
    <t>Yambéré</t>
  </si>
  <si>
    <t>Steve</t>
  </si>
  <si>
    <t>Placide</t>
  </si>
  <si>
    <t>Johny</t>
  </si>
  <si>
    <t>Di María</t>
  </si>
  <si>
    <t>Hult</t>
  </si>
  <si>
    <t>Niklas</t>
  </si>
  <si>
    <t>Le Moigne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</si>
  <si>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</si>
  <si>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</si>
  <si>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</si>
  <si>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</si>
  <si>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</si>
  <si>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</si>
  <si>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</si>
  <si>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</si>
  <si>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</si>
  <si>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N'Koulou</t>
  </si>
  <si>
    <t>Almamy</t>
  </si>
  <si>
    <t>Cardinale</t>
  </si>
  <si>
    <t>Larbi</t>
  </si>
  <si>
    <t>Mohamed Wael</t>
  </si>
  <si>
    <t>Pasalic</t>
  </si>
  <si>
    <t>Mario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</si>
  <si>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</si>
  <si>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</si>
  <si>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</si>
  <si>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</si>
  <si>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</si>
  <si>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</si>
  <si>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</si>
  <si>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</si>
  <si>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</si>
  <si>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Etienne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</si>
  <si>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</si>
  <si>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</si>
  <si>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</si>
  <si>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</si>
  <si>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</si>
  <si>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</si>
  <si>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</si>
  <si>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</si>
  <si>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</si>
  <si>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Dja Djedje</t>
  </si>
  <si>
    <t>Aloé</t>
  </si>
  <si>
    <t>,</t>
  </si>
  <si>
    <t>Andonian</t>
  </si>
  <si>
    <t>Tuiloma</t>
  </si>
  <si>
    <t>Rekik</t>
  </si>
  <si>
    <t>Manquillo</t>
  </si>
  <si>
    <t>De Ceglie</t>
  </si>
  <si>
    <t>B. Mendy</t>
  </si>
  <si>
    <t>M</t>
  </si>
  <si>
    <t>Exc.</t>
  </si>
  <si>
    <t>Romao</t>
  </si>
  <si>
    <t>Boutobba</t>
  </si>
  <si>
    <t>Lemina</t>
  </si>
  <si>
    <t>Nkoudou</t>
  </si>
  <si>
    <t>Sarr</t>
  </si>
  <si>
    <t>Diarra</t>
  </si>
  <si>
    <t>Lucas Silva</t>
  </si>
  <si>
    <t>Zambo Anguissa</t>
  </si>
  <si>
    <t>Ocampos</t>
  </si>
  <si>
    <t>A</t>
  </si>
  <si>
    <t>Batshuayi</t>
  </si>
  <si>
    <t>Porsan</t>
  </si>
  <si>
    <t>Omrani</t>
  </si>
  <si>
    <t>Gorgelin</t>
  </si>
  <si>
    <t>Mocio</t>
  </si>
  <si>
    <t>B. Koné</t>
  </si>
  <si>
    <t>Bedimo</t>
  </si>
  <si>
    <t>Bl.</t>
  </si>
  <si>
    <t>Rose</t>
  </si>
  <si>
    <t>Bisevac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</si>
  <si>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</si>
  <si>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</si>
  <si>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</si>
  <si>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</si>
  <si>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</si>
  <si>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</si>
  <si>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</si>
  <si>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</si>
  <si>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</si>
  <si>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</si>
  <si>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Mvuemba</t>
  </si>
  <si>
    <t>Tousart</t>
  </si>
  <si>
    <t>Kemen</t>
  </si>
  <si>
    <t>Del Castillo</t>
  </si>
  <si>
    <t>Sirigu</t>
  </si>
  <si>
    <t>Douchez</t>
  </si>
  <si>
    <t>Marquinhos</t>
  </si>
  <si>
    <t>Kimpembé</t>
  </si>
  <si>
    <t>Van der Wiel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</si>
  <si>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</si>
  <si>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</si>
  <si>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</si>
  <si>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</si>
  <si>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</si>
  <si>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</si>
  <si>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</si>
  <si>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</si>
  <si>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</si>
  <si>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</si>
  <si>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</si>
  <si>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</si>
  <si>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K. Gomis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</si>
  <si>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</si>
  <si>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</si>
  <si>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</si>
  <si>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</si>
  <si>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</si>
  <si>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</si>
  <si>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</si>
  <si>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</si>
  <si>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</si>
  <si>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</si>
  <si>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Wallyson</t>
  </si>
  <si>
    <t>Raheriharimanana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</si>
  <si>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</si>
  <si>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</si>
  <si>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</si>
  <si>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</si>
  <si>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</si>
  <si>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</si>
  <si>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</si>
  <si>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</si>
  <si>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</si>
  <si>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</si>
  <si>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Clerc</t>
  </si>
  <si>
    <t>Théophile-Catherine</t>
  </si>
  <si>
    <t>Brison</t>
  </si>
  <si>
    <t>Assou-Ekotto</t>
  </si>
  <si>
    <t>Polomat</t>
  </si>
  <si>
    <t>Pierre Gabriel</t>
  </si>
  <si>
    <t>F. Pogba</t>
  </si>
  <si>
    <t>Cohade</t>
  </si>
  <si>
    <t>Corgnet</t>
  </si>
  <si>
    <t>Diomandé</t>
  </si>
  <si>
    <t>Mollo</t>
  </si>
  <si>
    <t>Lemoine</t>
  </si>
  <si>
    <t>Pinheiro</t>
  </si>
  <si>
    <t>Pajot</t>
  </si>
  <si>
    <t>Maupay</t>
  </si>
  <si>
    <t>Beric</t>
  </si>
  <si>
    <t>ASSE</t>
  </si>
  <si>
    <t>Elana</t>
  </si>
  <si>
    <t>Maignan</t>
  </si>
  <si>
    <t>Butez</t>
  </si>
  <si>
    <t>Soumaoro</t>
  </si>
  <si>
    <t>Sidibé</t>
  </si>
  <si>
    <t>Béria</t>
  </si>
  <si>
    <t>Y. Koné</t>
  </si>
  <si>
    <t>Pavard</t>
  </si>
  <si>
    <t>Amadou</t>
  </si>
  <si>
    <t>Sunzu</t>
  </si>
  <si>
    <t>Balmont</t>
  </si>
  <si>
    <t>Meïté</t>
  </si>
  <si>
    <t>Obbadi</t>
  </si>
  <si>
    <t>Yeboah</t>
  </si>
  <si>
    <t>Mbemba</t>
  </si>
  <si>
    <t>Mavuba</t>
  </si>
  <si>
    <t>Frey</t>
  </si>
  <si>
    <t>Mendes</t>
  </si>
  <si>
    <t>Koubemba</t>
  </si>
  <si>
    <t>Araujo</t>
  </si>
  <si>
    <t>Tallo</t>
  </si>
  <si>
    <t>Guillaume</t>
  </si>
  <si>
    <t>Nangis</t>
  </si>
  <si>
    <t>Guirassy</t>
  </si>
  <si>
    <t>Losc</t>
  </si>
  <si>
    <t>Carrasso</t>
  </si>
  <si>
    <t>Prior</t>
  </si>
  <si>
    <t>L. Sané</t>
  </si>
  <si>
    <t>Pallois</t>
  </si>
  <si>
    <t>Contento</t>
  </si>
  <si>
    <t>Poundjé</t>
  </si>
  <si>
    <t>Yambére</t>
  </si>
  <si>
    <t>Guilbert</t>
  </si>
  <si>
    <t>Gajic</t>
  </si>
  <si>
    <t>Hassani</t>
  </si>
  <si>
    <t>Ambrose</t>
  </si>
  <si>
    <t>Pellenard</t>
  </si>
  <si>
    <t>Sertic</t>
  </si>
  <si>
    <t>B. Poko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</si>
  <si>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</si>
  <si>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</si>
  <si>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</si>
  <si>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</si>
  <si>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</si>
  <si>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</si>
  <si>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</si>
  <si>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</si>
  <si>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Jussiê</t>
  </si>
  <si>
    <t>Laborde</t>
  </si>
  <si>
    <t>FCGB</t>
  </si>
  <si>
    <t>Chaigneau</t>
  </si>
  <si>
    <t>Wachter</t>
  </si>
  <si>
    <t>Bellugou</t>
  </si>
  <si>
    <t>Le Goff</t>
  </si>
  <si>
    <t>L. Koné</t>
  </si>
  <si>
    <t>Z. Touré</t>
  </si>
  <si>
    <t>Paye</t>
  </si>
  <si>
    <t>Barthelmé</t>
  </si>
  <si>
    <t>Mostefa</t>
  </si>
  <si>
    <t>Mesloub</t>
  </si>
  <si>
    <t>Jouffre</t>
  </si>
  <si>
    <t>Abdullah</t>
  </si>
  <si>
    <t>Guerreiro</t>
  </si>
  <si>
    <t>Mulumba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</si>
  <si>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</si>
  <si>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</si>
  <si>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</si>
  <si>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</si>
  <si>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</si>
  <si>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</si>
  <si>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</si>
  <si>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</si>
  <si>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</si>
  <si>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</si>
  <si>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</si>
  <si>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</si>
  <si>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</si>
  <si>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</si>
  <si>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</si>
  <si>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</si>
  <si>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</si>
  <si>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</si>
  <si>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</si>
  <si>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</si>
  <si>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</si>
  <si>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Cornette</t>
  </si>
  <si>
    <t>Sanson</t>
  </si>
  <si>
    <t>Berigaud</t>
  </si>
  <si>
    <t>Mounié</t>
  </si>
  <si>
    <t>Ninga</t>
  </si>
  <si>
    <t>Deza</t>
  </si>
  <si>
    <t>MHSC</t>
  </si>
  <si>
    <t>Lafont</t>
  </si>
  <si>
    <t>Goicoechea</t>
  </si>
  <si>
    <t>Ahamada</t>
  </si>
  <si>
    <t>Akpa-Akpro</t>
  </si>
  <si>
    <t>Spajic</t>
  </si>
  <si>
    <t>Yago</t>
  </si>
  <si>
    <t>Spano</t>
  </si>
  <si>
    <t>Grigore</t>
  </si>
  <si>
    <t>Ninkov</t>
  </si>
  <si>
    <t>Matheus</t>
  </si>
  <si>
    <t>Veskovac</t>
  </si>
  <si>
    <t>Kana-Biyik</t>
  </si>
  <si>
    <t>Diop</t>
  </si>
  <si>
    <t>Tisserand</t>
  </si>
  <si>
    <t>Moubandjé</t>
  </si>
  <si>
    <t>Furman</t>
  </si>
  <si>
    <t>Sirieix</t>
  </si>
  <si>
    <t>Bodiger</t>
  </si>
  <si>
    <t>Doumbia</t>
  </si>
  <si>
    <t>Aguilar</t>
  </si>
  <si>
    <t>Regattin</t>
  </si>
  <si>
    <t>Trejo</t>
  </si>
  <si>
    <t>Blin</t>
  </si>
  <si>
    <t>Machach</t>
  </si>
  <si>
    <t>Somalia</t>
  </si>
  <si>
    <t>Roman</t>
  </si>
  <si>
    <t>Pesic</t>
  </si>
  <si>
    <t>Zaniou</t>
  </si>
  <si>
    <t>Ben Ali</t>
  </si>
  <si>
    <t>TFC</t>
  </si>
  <si>
    <t>Vincensini</t>
  </si>
  <si>
    <t>Marange</t>
  </si>
  <si>
    <t>Djiku</t>
  </si>
  <si>
    <t>Peybernes</t>
  </si>
  <si>
    <t>Modesto</t>
  </si>
  <si>
    <t>Jebbour</t>
  </si>
  <si>
    <t>Cahuzac</t>
  </si>
  <si>
    <t>Kikabidze</t>
  </si>
  <si>
    <t>Abd. Keita</t>
  </si>
  <si>
    <t>Maboulou</t>
  </si>
  <si>
    <t>Diallo</t>
  </si>
  <si>
    <t>Ngando</t>
  </si>
  <si>
    <t>Raspentino</t>
  </si>
  <si>
    <t>Houri</t>
  </si>
  <si>
    <t>Ayité</t>
  </si>
  <si>
    <t>Brandao</t>
  </si>
  <si>
    <t>Koné</t>
  </si>
  <si>
    <t>Coulibaly</t>
  </si>
  <si>
    <t>SCB</t>
  </si>
  <si>
    <t>Costil</t>
  </si>
  <si>
    <t>Sorin</t>
  </si>
  <si>
    <t>Danzé</t>
  </si>
  <si>
    <t>Mexer</t>
  </si>
  <si>
    <t>Zajkov</t>
  </si>
  <si>
    <t>Diagne</t>
  </si>
  <si>
    <t>Moreira</t>
  </si>
  <si>
    <t>Lenjani</t>
  </si>
  <si>
    <t>Pedro Mendes</t>
  </si>
  <si>
    <t>Baal</t>
  </si>
  <si>
    <t>M'Bengue</t>
  </si>
  <si>
    <t>Doucouré</t>
  </si>
  <si>
    <t>Hunou</t>
  </si>
  <si>
    <t>André</t>
  </si>
  <si>
    <t>Prcic</t>
  </si>
  <si>
    <t>Brüls</t>
  </si>
  <si>
    <t>G. Fernandes</t>
  </si>
  <si>
    <t>Janvier</t>
  </si>
  <si>
    <t>Hosiner</t>
  </si>
  <si>
    <t>Habibou</t>
  </si>
  <si>
    <t>Ntep</t>
  </si>
  <si>
    <t>Dembélé</t>
  </si>
  <si>
    <t>Boga</t>
  </si>
  <si>
    <t>Saïd</t>
  </si>
  <si>
    <t>Toivonen</t>
  </si>
  <si>
    <t>SRFC</t>
  </si>
  <si>
    <t>Agassa</t>
  </si>
  <si>
    <t>Conte</t>
  </si>
  <si>
    <t>Glombard</t>
  </si>
  <si>
    <t>Mandi</t>
  </si>
  <si>
    <t>Tacalfred</t>
  </si>
  <si>
    <t>Devaux</t>
  </si>
  <si>
    <t>Fortes</t>
  </si>
  <si>
    <t>Mfulu</t>
  </si>
  <si>
    <t>Bourillon</t>
  </si>
  <si>
    <t>Bulot</t>
  </si>
  <si>
    <t>Kankava</t>
  </si>
  <si>
    <t>Turan</t>
  </si>
  <si>
    <t>Rodriguez</t>
  </si>
  <si>
    <t>Kamara</t>
  </si>
  <si>
    <t>Peuget</t>
  </si>
  <si>
    <t>Charbonnier</t>
  </si>
  <si>
    <t>N'Gog</t>
  </si>
  <si>
    <t>Kyei</t>
  </si>
  <si>
    <t>Maanane</t>
  </si>
  <si>
    <t>SR</t>
  </si>
  <si>
    <t>Dupé</t>
  </si>
  <si>
    <t>Djidji</t>
  </si>
  <si>
    <t>N'Dongala</t>
  </si>
  <si>
    <t>Dubois</t>
  </si>
  <si>
    <t>Moimbé</t>
  </si>
  <si>
    <t>Kwateng</t>
  </si>
  <si>
    <t>Bedoya</t>
  </si>
  <si>
    <t>B. Touré</t>
  </si>
  <si>
    <t>A. Touré</t>
  </si>
  <si>
    <t>Rongier</t>
  </si>
  <si>
    <t>Gomis</t>
  </si>
  <si>
    <t>Thomasson</t>
  </si>
  <si>
    <t>Alégué</t>
  </si>
  <si>
    <t>Adryan</t>
  </si>
  <si>
    <t>Aristeguieta</t>
  </si>
  <si>
    <t>Audel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</si>
  <si>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</si>
  <si>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</si>
  <si>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</si>
  <si>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</si>
  <si>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</si>
  <si>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</si>
  <si>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</si>
  <si>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</si>
  <si>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</si>
  <si>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</si>
  <si>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Coentrao</t>
  </si>
  <si>
    <t>Borja Lopez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</si>
  <si>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</si>
  <si>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</si>
  <si>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</si>
  <si>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</si>
  <si>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</si>
  <si>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</si>
  <si>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</si>
  <si>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</si>
  <si>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1 / (-1)</t>
  </si>
  <si>
    <t>Helder Costa</t>
  </si>
  <si>
    <t>Mbappe-Lottin</t>
  </si>
  <si>
    <t>El Shaarawy</t>
  </si>
  <si>
    <t>ASM</t>
  </si>
  <si>
    <t>Lössl</t>
  </si>
  <si>
    <t>Jacobsen</t>
  </si>
  <si>
    <t>Lévêque</t>
  </si>
  <si>
    <t>Angoua</t>
  </si>
  <si>
    <t>Baca</t>
  </si>
  <si>
    <t>Sankoh</t>
  </si>
  <si>
    <t>Sorbon</t>
  </si>
  <si>
    <t>Héry</t>
  </si>
  <si>
    <t>Martins-Pereira</t>
  </si>
  <si>
    <t>Kerbrat</t>
  </si>
  <si>
    <t>M. Diallo</t>
  </si>
  <si>
    <t>Cardy</t>
  </si>
  <si>
    <t>Giresse</t>
  </si>
  <si>
    <t>Mathis</t>
  </si>
  <si>
    <t>Dos Santos</t>
  </si>
  <si>
    <t>Coco</t>
  </si>
  <si>
    <t>Blas</t>
  </si>
  <si>
    <t>Livolant</t>
  </si>
  <si>
    <t>Sankharé</t>
  </si>
  <si>
    <t>Alioui</t>
  </si>
  <si>
    <t>Achahbar</t>
  </si>
  <si>
    <t>Schwartz</t>
  </si>
  <si>
    <t>De Pauw</t>
  </si>
  <si>
    <t>Bègue</t>
  </si>
  <si>
    <t>EAG</t>
  </si>
  <si>
    <t>Adéoti</t>
  </si>
  <si>
    <t>Alhadhur</t>
  </si>
  <si>
    <t>Le Joncour</t>
  </si>
  <si>
    <t>Imorou</t>
  </si>
  <si>
    <t>Beaulieu</t>
  </si>
  <si>
    <t>Raineau</t>
  </si>
  <si>
    <t>Delaplace</t>
  </si>
  <si>
    <t>Nkololo</t>
  </si>
  <si>
    <t>Leborgne</t>
  </si>
  <si>
    <t>Ntibazonkiza</t>
  </si>
  <si>
    <t>SMC</t>
  </si>
  <si>
    <t>Petric</t>
  </si>
  <si>
    <t>Dreyer</t>
  </si>
  <si>
    <t>Bernardoni</t>
  </si>
  <si>
    <t>Grandel</t>
  </si>
  <si>
    <t>Rincon</t>
  </si>
  <si>
    <t>Lacour</t>
  </si>
  <si>
    <t>Mavinga</t>
  </si>
  <si>
    <t>Martial</t>
  </si>
  <si>
    <t>Karaboué</t>
  </si>
  <si>
    <t>Ayasse</t>
  </si>
  <si>
    <t>Court</t>
  </si>
  <si>
    <t>Darbion</t>
  </si>
  <si>
    <t>Othon</t>
  </si>
  <si>
    <t>Nivet</t>
  </si>
  <si>
    <t>Thiago</t>
  </si>
  <si>
    <t>Ben Saada</t>
  </si>
  <si>
    <t>Pi</t>
  </si>
  <si>
    <t>Camus</t>
  </si>
  <si>
    <t>Azamoum</t>
  </si>
  <si>
    <t>Hümmet</t>
  </si>
  <si>
    <t>Gueye</t>
  </si>
  <si>
    <t>Bienvenu</t>
  </si>
  <si>
    <t>Perea</t>
  </si>
  <si>
    <t>ESTAC</t>
  </si>
  <si>
    <t>Guerin</t>
  </si>
  <si>
    <t>Goda</t>
  </si>
  <si>
    <t>Ducourtioux</t>
  </si>
  <si>
    <t>Poggi</t>
  </si>
  <si>
    <t>Djokovic</t>
  </si>
  <si>
    <t>Youga</t>
  </si>
  <si>
    <t>Boutaïb</t>
  </si>
  <si>
    <t>Pujol</t>
  </si>
  <si>
    <t>Mayi</t>
  </si>
  <si>
    <t>Tshibumbu</t>
  </si>
  <si>
    <t>Zoua</t>
  </si>
  <si>
    <t>Dia</t>
  </si>
  <si>
    <t>GFCA</t>
  </si>
  <si>
    <t>Butelle</t>
  </si>
  <si>
    <t>Letellier</t>
  </si>
  <si>
    <t>Bouka Moutou</t>
  </si>
  <si>
    <t>K. Traoré</t>
  </si>
  <si>
    <t>I. Traoré</t>
  </si>
  <si>
    <t>Auriac</t>
  </si>
  <si>
    <t>Diers</t>
  </si>
  <si>
    <t>Eudeline</t>
  </si>
  <si>
    <t>Gomez</t>
  </si>
  <si>
    <t>Pessalli</t>
  </si>
  <si>
    <t>N'Gosso</t>
  </si>
  <si>
    <t>Capelle</t>
  </si>
  <si>
    <t>N'Doye</t>
  </si>
  <si>
    <t>Saïss</t>
  </si>
  <si>
    <t>Serin</t>
  </si>
  <si>
    <t>Karanovic</t>
  </si>
  <si>
    <t>Doré</t>
  </si>
  <si>
    <t>Nsamé</t>
  </si>
  <si>
    <t>SCO</t>
  </si>
  <si>
    <t>id</t>
  </si>
  <si>
    <t>id MPG</t>
  </si>
  <si>
    <t>Stats MPG</t>
  </si>
  <si>
    <t>id Stats MPG</t>
  </si>
  <si>
    <t>N'doye</t>
  </si>
  <si>
    <t>N'gog</t>
  </si>
  <si>
    <t>NKoulou</t>
  </si>
  <si>
    <t>Rabillard</t>
  </si>
  <si>
    <t>Ranieri</t>
  </si>
  <si>
    <t>Söderlund</t>
  </si>
  <si>
    <t>Gourcuff</t>
  </si>
  <si>
    <t>Gillet</t>
  </si>
  <si>
    <t>Erding</t>
  </si>
  <si>
    <t>Confais</t>
  </si>
  <si>
    <t>Yattara</t>
  </si>
  <si>
    <t>Lloris</t>
  </si>
  <si>
    <t>Gnagnon</t>
  </si>
  <si>
    <t>Thauvin</t>
  </si>
  <si>
    <t>Fletcher</t>
  </si>
  <si>
    <t>Walter</t>
  </si>
  <si>
    <t>Caddy</t>
  </si>
  <si>
    <t>Tabanou</t>
  </si>
  <si>
    <t>Tannane</t>
  </si>
  <si>
    <t>Amalfitano</t>
  </si>
  <si>
    <t>Eder</t>
  </si>
  <si>
    <t>Debuchy</t>
  </si>
  <si>
    <t>Arambarri</t>
  </si>
  <si>
    <t>Malcom</t>
  </si>
  <si>
    <t>Salles-Lamonge</t>
  </si>
  <si>
    <t>2 / (-1)</t>
  </si>
  <si>
    <t>El Kaoutari</t>
  </si>
  <si>
    <t>L. Bangoura</t>
  </si>
  <si>
    <t>Bifouma</t>
  </si>
  <si>
    <t>Love</t>
  </si>
  <si>
    <t>Chaibi</t>
  </si>
  <si>
    <t>Koukaou</t>
  </si>
  <si>
    <t>2 / (-2)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</si>
  <si>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</si>
  <si>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</si>
  <si>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</si>
  <si>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</si>
  <si>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</si>
  <si>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</si>
  <si>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</si>
  <si>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</si>
  <si>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</si>
  <si>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</si>
  <si>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Labidi</t>
  </si>
  <si>
    <t>Nkunku</t>
  </si>
  <si>
    <t>Selnaes</t>
  </si>
  <si>
    <t>Musavu-King</t>
  </si>
  <si>
    <t>Sotoca</t>
  </si>
  <si>
    <t>5 / (-1)</t>
  </si>
  <si>
    <t>Erasmus</t>
  </si>
  <si>
    <t>Ndom</t>
  </si>
  <si>
    <t>d</t>
  </si>
  <si>
    <t>Jemerson</t>
  </si>
  <si>
    <t>4 / (-1)</t>
  </si>
  <si>
    <t>Chermiti</t>
  </si>
  <si>
    <t>Joués</t>
  </si>
  <si>
    <t>Prix</t>
  </si>
  <si>
    <t>Acheté</t>
  </si>
  <si>
    <t>Dabo (Mpl)</t>
  </si>
  <si>
    <t>Les Gorets</t>
  </si>
  <si>
    <t>Adama</t>
  </si>
  <si>
    <t>Danijel</t>
  </si>
  <si>
    <t>Dembele</t>
  </si>
  <si>
    <t>Ousmane</t>
  </si>
  <si>
    <t>Fallou</t>
  </si>
  <si>
    <t>Fábio Coentrão</t>
  </si>
  <si>
    <t>Rachid</t>
  </si>
  <si>
    <t>Saxe-Gambetta FC</t>
  </si>
  <si>
    <t>Bryan</t>
  </si>
  <si>
    <t>Younousse</t>
  </si>
  <si>
    <t>Entente sportive Chauffailles</t>
  </si>
  <si>
    <t>Mevlut</t>
  </si>
  <si>
    <t>Vágner Love</t>
  </si>
  <si>
    <t>Mapou</t>
  </si>
  <si>
    <t>Alassane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</si>
</sst>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#,##0.00\ &quot;€&quot;;[Red]\-#,##0.00\ &quot;€&quot;"/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9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0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8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6" borderId="28" xfId="0" applyFill="1" applyBorder="1"/>
    <xf numFmtId="0" fontId="6" fillId="0" borderId="10" xfId="0" applyFont="1" applyFill="1" applyBorder="1" applyAlignment="1">
      <alignment horizontal="right"/>
    </xf>
    <xf numFmtId="0" fontId="0" fillId="0" borderId="29" xfId="0" applyBorder="1"/>
    <xf numFmtId="0" fontId="0" fillId="0" borderId="30" xfId="0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1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1" xfId="0" applyBorder="1"/>
    <xf numFmtId="0" fontId="0" fillId="0" borderId="0" xfId="0" applyFont="1" applyFill="1" applyBorder="1" applyAlignment="1">
      <alignment horizontal="right"/>
    </xf>
    <xf numFmtId="1" fontId="0" fillId="7" borderId="0" xfId="0" applyNumberForma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2" xfId="0" applyBorder="1"/>
    <xf numFmtId="2" fontId="0" fillId="6" borderId="28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3" xfId="0" applyBorder="1"/>
    <xf numFmtId="2" fontId="0" fillId="6" borderId="34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7" fillId="10" borderId="11" xfId="0" applyFont="1" applyFill="1" applyBorder="1"/>
    <xf numFmtId="0" fontId="7" fillId="10" borderId="0" xfId="0" applyFont="1" applyFill="1" applyBorder="1"/>
    <xf numFmtId="0" fontId="7" fillId="10" borderId="12" xfId="0" applyFont="1" applyFill="1" applyBorder="1"/>
    <xf numFmtId="0" fontId="7" fillId="10" borderId="10" xfId="0" applyFont="1" applyFill="1" applyBorder="1"/>
    <xf numFmtId="0" fontId="7" fillId="10" borderId="21" xfId="0" applyFont="1" applyFill="1" applyBorder="1"/>
    <xf numFmtId="0" fontId="7" fillId="10" borderId="0" xfId="0" applyFont="1" applyFill="1" applyAlignment="1">
      <alignment horizontal="right"/>
    </xf>
    <xf numFmtId="0" fontId="7" fillId="10" borderId="10" xfId="0" applyFont="1" applyFill="1" applyBorder="1" applyAlignment="1">
      <alignment horizontal="right"/>
    </xf>
    <xf numFmtId="0" fontId="7" fillId="10" borderId="9" xfId="0" applyFont="1" applyFill="1" applyBorder="1" applyAlignment="1">
      <alignment horizontal="right"/>
    </xf>
    <xf numFmtId="0" fontId="7" fillId="10" borderId="9" xfId="0" applyFont="1" applyFill="1" applyBorder="1"/>
    <xf numFmtId="0" fontId="0" fillId="0" borderId="10" xfId="0" applyFont="1" applyFill="1" applyBorder="1" applyAlignment="1">
      <alignment horizontal="right"/>
    </xf>
    <xf numFmtId="0" fontId="0" fillId="0" borderId="35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164" fontId="0" fillId="0" borderId="0" xfId="0" applyNumberFormat="1" applyFill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5" xfId="0" applyFont="1" applyBorder="1"/>
    <xf numFmtId="0" fontId="0" fillId="0" borderId="30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0" fillId="7" borderId="10" xfId="0" applyFill="1" applyBorder="1"/>
    <xf numFmtId="0" fontId="6" fillId="8" borderId="10" xfId="0" applyFont="1" applyFill="1" applyBorder="1"/>
    <xf numFmtId="0" fontId="0" fillId="0" borderId="35" xfId="0" applyFont="1" applyFill="1" applyBorder="1"/>
    <xf numFmtId="0" fontId="1" fillId="0" borderId="35" xfId="0" applyFont="1" applyFill="1" applyBorder="1"/>
    <xf numFmtId="0" fontId="0" fillId="0" borderId="25" xfId="0" applyFont="1" applyFill="1" applyBorder="1"/>
    <xf numFmtId="0" fontId="0" fillId="0" borderId="32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164" fontId="0" fillId="8" borderId="0" xfId="0" applyNumberFormat="1" applyFill="1" applyAlignment="1">
      <alignment horizontal="right"/>
    </xf>
    <xf numFmtId="0" fontId="0" fillId="0" borderId="0" xfId="0" applyBorder="1" applyAlignment="1">
      <alignment horizontal="right"/>
    </xf>
    <xf numFmtId="1" fontId="0" fillId="0" borderId="10" xfId="0" applyNumberFormat="1" applyFill="1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1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164" fontId="7" fillId="10" borderId="0" xfId="0" applyNumberFormat="1" applyFont="1" applyFill="1" applyAlignment="1">
      <alignment horizontal="right"/>
    </xf>
    <xf numFmtId="0" fontId="6" fillId="10" borderId="9" xfId="0" applyFont="1" applyFill="1" applyBorder="1" applyAlignment="1">
      <alignment horizontal="right"/>
    </xf>
    <xf numFmtId="0" fontId="6" fillId="10" borderId="9" xfId="0" applyFont="1" applyFill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0" fontId="0" fillId="0" borderId="33" xfId="0" applyFill="1" applyBorder="1"/>
    <xf numFmtId="164" fontId="0" fillId="8" borderId="9" xfId="0" applyNumberFormat="1" applyFill="1" applyBorder="1"/>
    <xf numFmtId="1" fontId="0" fillId="8" borderId="9" xfId="0" applyNumberFormat="1" applyFill="1" applyBorder="1" applyAlignment="1">
      <alignment horizontal="right"/>
    </xf>
    <xf numFmtId="0" fontId="0" fillId="8" borderId="33" xfId="0" applyFill="1" applyBorder="1"/>
    <xf numFmtId="164" fontId="0" fillId="8" borderId="9" xfId="0" applyNumberFormat="1" applyFill="1" applyBorder="1" applyAlignment="1">
      <alignment horizontal="right"/>
    </xf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6" fillId="10" borderId="0" xfId="0" applyFont="1" applyFill="1" applyBorder="1"/>
    <xf numFmtId="0" fontId="0" fillId="7" borderId="10" xfId="0" applyFill="1" applyBorder="1" applyAlignment="1">
      <alignment horizontal="right"/>
    </xf>
    <xf numFmtId="0" fontId="0" fillId="0" borderId="36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10" borderId="9" xfId="0" applyFill="1" applyBorder="1" applyAlignment="1">
      <alignment horizontal="right"/>
    </xf>
    <xf numFmtId="0" fontId="0" fillId="10" borderId="9" xfId="0" applyFill="1" applyBorder="1"/>
    <xf numFmtId="0" fontId="0" fillId="10" borderId="10" xfId="0" applyFill="1" applyBorder="1"/>
    <xf numFmtId="0" fontId="1" fillId="0" borderId="35" xfId="0" applyFont="1" applyBorder="1"/>
    <xf numFmtId="2" fontId="0" fillId="6" borderId="21" xfId="0" applyNumberFormat="1" applyFill="1" applyBorder="1"/>
    <xf numFmtId="164" fontId="0" fillId="0" borderId="10" xfId="0" applyNumberFormat="1" applyFont="1" applyFill="1" applyBorder="1"/>
    <xf numFmtId="1" fontId="0" fillId="0" borderId="10" xfId="0" applyNumberFormat="1" applyFont="1" applyFill="1" applyBorder="1"/>
    <xf numFmtId="0" fontId="6" fillId="8" borderId="0" xfId="0" applyFont="1" applyFill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0" fontId="7" fillId="8" borderId="35" xfId="0" applyFont="1" applyFill="1" applyBorder="1"/>
    <xf numFmtId="0" fontId="7" fillId="8" borderId="25" xfId="0" applyFont="1" applyFill="1" applyBorder="1"/>
    <xf numFmtId="0" fontId="7" fillId="8" borderId="32" xfId="0" applyFont="1" applyFill="1" applyBorder="1"/>
    <xf numFmtId="0" fontId="7" fillId="8" borderId="24" xfId="0" applyFont="1" applyFill="1" applyBorder="1" applyAlignment="1">
      <alignment horizontal="right"/>
    </xf>
    <xf numFmtId="1" fontId="6" fillId="7" borderId="9" xfId="0" applyNumberFormat="1" applyFont="1" applyFill="1" applyBorder="1"/>
    <xf numFmtId="1" fontId="0" fillId="9" borderId="9" xfId="0" applyNumberFormat="1" applyFill="1" applyBorder="1"/>
    <xf numFmtId="1" fontId="7" fillId="10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1" xfId="0" applyFont="1" applyFill="1" applyBorder="1"/>
    <xf numFmtId="0" fontId="6" fillId="7" borderId="0" xfId="0" applyFont="1" applyFill="1" applyBorder="1"/>
    <xf numFmtId="0" fontId="0" fillId="8" borderId="12" xfId="0" applyFont="1" applyFill="1" applyBorder="1"/>
    <xf numFmtId="0" fontId="0" fillId="8" borderId="9" xfId="0" applyFont="1" applyFill="1" applyBorder="1"/>
    <xf numFmtId="0" fontId="0" fillId="8" borderId="13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30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8" borderId="11" xfId="0" applyFont="1" applyFill="1" applyBorder="1"/>
    <xf numFmtId="0" fontId="0" fillId="8" borderId="21" xfId="0" applyFon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20" fontId="0" fillId="0" borderId="0" xfId="0" applyNumberFormat="1"/>
    <xf numFmtId="0" fontId="0" fillId="0" borderId="0" xfId="0" applyAlignment="1">
      <alignment horizontal="center"/>
    </xf>
    <xf numFmtId="0" fontId="0" fillId="11" borderId="0" xfId="0" applyFill="1"/>
    <xf numFmtId="0" fontId="0" fillId="12" borderId="0" xfId="0" applyFill="1"/>
    <xf numFmtId="0" fontId="0" fillId="9" borderId="10" xfId="0" applyFill="1" applyBorder="1" applyAlignment="1">
      <alignment horizontal="right"/>
    </xf>
    <xf numFmtId="0" fontId="7" fillId="8" borderId="0" xfId="0" applyFont="1" applyFill="1" applyBorder="1" applyAlignment="1">
      <alignment horizontal="right"/>
    </xf>
    <xf numFmtId="0" fontId="7" fillId="8" borderId="24" xfId="0" applyFont="1" applyFill="1" applyBorder="1"/>
    <xf numFmtId="0" fontId="7" fillId="8" borderId="5" xfId="0" applyFont="1" applyFill="1" applyBorder="1"/>
    <xf numFmtId="0" fontId="7" fillId="8" borderId="29" xfId="0" applyFont="1" applyFill="1" applyBorder="1"/>
    <xf numFmtId="0" fontId="7" fillId="8" borderId="30" xfId="0" applyFont="1" applyFill="1" applyBorder="1"/>
    <xf numFmtId="0" fontId="6" fillId="8" borderId="0" xfId="0" applyFont="1" applyFill="1" applyAlignment="1">
      <alignment horizontal="right"/>
    </xf>
    <xf numFmtId="0" fontId="7" fillId="8" borderId="23" xfId="0" applyFont="1" applyFill="1" applyBorder="1"/>
    <xf numFmtId="2" fontId="7" fillId="6" borderId="28" xfId="0" applyNumberFormat="1" applyFont="1" applyFill="1" applyBorder="1"/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1" fontId="7" fillId="8" borderId="0" xfId="0" applyNumberFormat="1" applyFont="1" applyFill="1" applyBorder="1" applyAlignment="1">
      <alignment horizontal="right"/>
    </xf>
    <xf numFmtId="0" fontId="0" fillId="7" borderId="0" xfId="0" applyFill="1"/>
    <xf numFmtId="0" fontId="6" fillId="8" borderId="35" xfId="0" applyFont="1" applyFill="1" applyBorder="1"/>
    <xf numFmtId="0" fontId="6" fillId="9" borderId="9" xfId="0" applyFont="1" applyFill="1" applyBorder="1"/>
    <xf numFmtId="164" fontId="7" fillId="8" borderId="0" xfId="0" applyNumberFormat="1" applyFont="1" applyFill="1" applyAlignment="1">
      <alignment horizontal="right"/>
    </xf>
    <xf numFmtId="0" fontId="6" fillId="8" borderId="33" xfId="0" applyFont="1" applyFill="1" applyBorder="1"/>
    <xf numFmtId="0" fontId="0" fillId="0" borderId="33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164" fontId="7" fillId="8" borderId="9" xfId="0" applyNumberFormat="1" applyFont="1" applyFill="1" applyBorder="1" applyAlignment="1">
      <alignment horizontal="right"/>
    </xf>
    <xf numFmtId="0" fontId="0" fillId="9" borderId="10" xfId="0" applyFont="1" applyFill="1" applyBorder="1"/>
    <xf numFmtId="2" fontId="0" fillId="0" borderId="0" xfId="1" applyNumberFormat="1" applyFont="1"/>
    <xf numFmtId="0" fontId="6" fillId="8" borderId="10" xfId="0" applyFont="1" applyFill="1" applyBorder="1" applyAlignment="1">
      <alignment horizontal="right"/>
    </xf>
    <xf numFmtId="8" fontId="0" fillId="0" borderId="0" xfId="0" applyNumberFormat="1"/>
    <xf numFmtId="164" fontId="7" fillId="8" borderId="10" xfId="0" applyNumberFormat="1" applyFont="1" applyFill="1" applyBorder="1" applyAlignment="1">
      <alignment horizontal="right"/>
    </xf>
    <xf numFmtId="8" fontId="0" fillId="0" borderId="11" xfId="0" applyNumberFormat="1" applyBorder="1"/>
    <xf numFmtId="0" fontId="1" fillId="0" borderId="37" xfId="0" applyFont="1" applyFill="1" applyBorder="1"/>
    <xf numFmtId="0" fontId="0" fillId="0" borderId="4" xfId="0" applyFont="1" applyBorder="1"/>
    <xf numFmtId="0" fontId="0" fillId="0" borderId="4" xfId="0" applyFont="1" applyFill="1" applyBorder="1"/>
    <xf numFmtId="0" fontId="0" fillId="0" borderId="7" xfId="0" applyBorder="1" applyAlignment="1">
      <alignment horizontal="right"/>
    </xf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1" fontId="6" fillId="7" borderId="0" xfId="0" applyNumberFormat="1" applyFont="1" applyFill="1" applyBorder="1" applyAlignment="1">
      <alignment horizontal="right"/>
    </xf>
    <xf numFmtId="1" fontId="6" fillId="7" borderId="0" xfId="0" applyNumberFormat="1" applyFont="1" applyFill="1" applyBorder="1"/>
    <xf numFmtId="0" fontId="0" fillId="7" borderId="0" xfId="0" applyFill="1" applyBorder="1" applyAlignment="1">
      <alignment horizontal="right"/>
    </xf>
    <xf numFmtId="164" fontId="0" fillId="0" borderId="0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6" fillId="7" borderId="0" xfId="0" applyFont="1" applyFill="1" applyBorder="1" applyAlignment="1">
      <alignment horizontal="right"/>
    </xf>
    <xf numFmtId="0" fontId="0" fillId="7" borderId="10" xfId="0" applyFont="1" applyFill="1" applyBorder="1"/>
    <xf numFmtId="0" fontId="6" fillId="0" borderId="0" xfId="0" applyFont="1" applyFill="1" applyBorder="1"/>
    <xf numFmtId="0" fontId="0" fillId="0" borderId="9" xfId="0" applyBorder="1" applyAlignment="1">
      <alignment horizontal="right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6" fillId="0" borderId="33" xfId="0" applyFont="1" applyFill="1" applyBorder="1"/>
    <xf numFmtId="0" fontId="0" fillId="0" borderId="0" xfId="0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374.888352662034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459.873150231484" createdVersion="4" refreshedVersion="4" minRefreshableVersion="3" recordCount="86">
  <cacheSource type="worksheet">
    <worksheetSource name="_MPG"/>
  </cacheSource>
  <cacheFields count="15">
    <cacheField name="Club" numFmtId="0">
      <sharedItems containsBlank="1" count="12">
        <s v="Les Gorets"/>
        <s v="Arâches FC"/>
        <s v="Entente sportive Chauffailles"/>
        <s v="Saxe-Gambetta FC"/>
        <m u="1"/>
        <s v="Gros Zguegue FC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Poste" numFmtId="0">
      <sharedItems/>
    </cacheField>
    <cacheField name="Nom" numFmtId="0">
      <sharedItems/>
    </cacheField>
    <cacheField name="Prénom" numFmtId="0">
      <sharedItems containsBlank="1"/>
    </cacheField>
    <cacheField name="Equipe" numFmtId="0">
      <sharedItems/>
    </cacheField>
    <cacheField name="€" numFmtId="0">
      <sharedItems containsSemiMixedTypes="0" containsString="0" containsNumber="1" containsInteger="1" minValue="1" maxValue="131"/>
    </cacheField>
    <cacheField name="But" numFmtId="0">
      <sharedItems containsSemiMixedTypes="0" containsString="0" containsNumber="1" containsInteger="1" minValue="0" maxValue="8"/>
    </cacheField>
    <cacheField name="MPG" numFmtId="0">
      <sharedItems containsSemiMixedTypes="0" containsString="0" containsNumber="1" containsInteger="1" minValue="0" maxValue="1"/>
    </cacheField>
    <cacheField name="Tot" numFmtId="0">
      <sharedItems containsSemiMixedTypes="0" containsString="0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String="0" containsBlank="1" containsNumber="1" minValue="4.4285714285714288" maxValue="6.8695652173913047"/>
    </cacheField>
    <cacheField name="Tit IRL" numFmtId="0">
      <sharedItems containsString="0" containsBlank="1" containsNumber="1" containsInteger="1" minValue="1" maxValue="31"/>
    </cacheField>
    <cacheField name="Entrée IRL" numFmtId="0">
      <sharedItems containsString="0" containsBlank="1" containsNumber="1" containsInteger="1" minValue="0" maxValue="19"/>
    </cacheField>
    <cacheField name="But IRL" numFmtId="0">
      <sharedItems containsString="0" containsBlank="1" containsNumber="1" containsInteger="1" minValue="0" maxValue="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6">
  <r>
    <x v="0"/>
    <s v="Attaquant"/>
    <s v="Ibrahimovic"/>
    <s v="Zlatan"/>
    <s v="Paris"/>
    <n v="131"/>
    <n v="0"/>
    <n v="0"/>
    <n v="0"/>
    <m/>
    <m/>
    <n v="6.8695652173913047"/>
    <n v="23"/>
    <n v="2"/>
    <n v="27"/>
  </r>
  <r>
    <x v="1"/>
    <s v="Attaquant"/>
    <s v="Lacazette"/>
    <s v="Alexandre"/>
    <s v="Lyon"/>
    <n v="60"/>
    <n v="0"/>
    <n v="0"/>
    <n v="0"/>
    <m/>
    <m/>
    <n v="5.4074074074074074"/>
    <n v="27"/>
    <n v="0"/>
    <n v="14"/>
  </r>
  <r>
    <x v="2"/>
    <s v="Attaquant"/>
    <s v="Cavani"/>
    <s v="Edinson"/>
    <s v="Paris"/>
    <n v="51"/>
    <n v="0"/>
    <n v="0"/>
    <n v="0"/>
    <m/>
    <m/>
    <n v="5.4545454545454541"/>
    <n v="21"/>
    <n v="6"/>
    <n v="14"/>
  </r>
  <r>
    <x v="2"/>
    <s v="Attaquant"/>
    <s v="Michy"/>
    <m/>
    <s v="Marseille"/>
    <n v="51"/>
    <n v="0"/>
    <n v="0"/>
    <n v="0"/>
    <m/>
    <m/>
    <n v="5.2857142857142856"/>
    <n v="28"/>
    <n v="2"/>
    <n v="13"/>
  </r>
  <r>
    <x v="0"/>
    <s v="Milieu"/>
    <s v="Ben Arfa"/>
    <s v="Hatem"/>
    <s v="Nice"/>
    <n v="61"/>
    <n v="0"/>
    <n v="0"/>
    <n v="0"/>
    <m/>
    <m/>
    <n v="5.4230769230769234"/>
    <n v="26"/>
    <n v="1"/>
    <n v="12"/>
  </r>
  <r>
    <x v="1"/>
    <s v="Attaquant"/>
    <s v="Ben Yedder"/>
    <s v="Wissam"/>
    <s v="Toulouse"/>
    <n v="35"/>
    <n v="0"/>
    <n v="0"/>
    <n v="0"/>
    <m/>
    <m/>
    <n v="5.0740740740740744"/>
    <n v="27"/>
    <n v="1"/>
    <n v="12"/>
  </r>
  <r>
    <x v="1"/>
    <s v="Attaquant"/>
    <s v="Dembele"/>
    <s v="Ousmane"/>
    <s v="Rennes"/>
    <n v="35"/>
    <n v="0"/>
    <n v="0"/>
    <n v="0"/>
    <m/>
    <m/>
    <n v="6.1875"/>
    <n v="15"/>
    <n v="4"/>
    <n v="10"/>
  </r>
  <r>
    <x v="1"/>
    <s v="Attaquant"/>
    <s v="Germain"/>
    <s v="Valère"/>
    <s v="Nice"/>
    <n v="39"/>
    <n v="0"/>
    <n v="0"/>
    <n v="0"/>
    <s v="6.00"/>
    <s v="6.00"/>
    <n v="5.1034482758620694"/>
    <n v="29"/>
    <n v="2"/>
    <n v="10"/>
  </r>
  <r>
    <x v="3"/>
    <s v="Attaquant"/>
    <s v="Delort"/>
    <s v="Andy"/>
    <s v="Caen"/>
    <n v="34"/>
    <n v="0"/>
    <n v="0"/>
    <n v="0"/>
    <m/>
    <m/>
    <n v="5.2333333333333334"/>
    <n v="28"/>
    <n v="2"/>
    <n v="10"/>
  </r>
  <r>
    <x v="0"/>
    <s v="Milieu"/>
    <s v="Boufal"/>
    <s v="Sofiane"/>
    <s v="Lille"/>
    <n v="55"/>
    <n v="0"/>
    <n v="0"/>
    <n v="0"/>
    <m/>
    <m/>
    <n v="5.625"/>
    <n v="23"/>
    <n v="2"/>
    <n v="9"/>
  </r>
  <r>
    <x v="1"/>
    <s v="Milieu"/>
    <s v="Di María"/>
    <s v="Ángel"/>
    <s v="Paris"/>
    <n v="51"/>
    <n v="0"/>
    <n v="0"/>
    <n v="0"/>
    <m/>
    <m/>
    <n v="6.45"/>
    <n v="21"/>
    <n v="3"/>
    <n v="9"/>
  </r>
  <r>
    <x v="3"/>
    <s v="Attaquant"/>
    <s v="Majeed Waris"/>
    <m/>
    <s v="Lorient"/>
    <n v="34"/>
    <n v="0"/>
    <n v="0"/>
    <n v="0"/>
    <m/>
    <m/>
    <n v="5.2941176470588234"/>
    <n v="18"/>
    <n v="0"/>
    <n v="9"/>
  </r>
  <r>
    <x v="0"/>
    <s v="Milieu"/>
    <s v="Ndoye"/>
    <s v="Cheikh"/>
    <s v="Angers"/>
    <n v="25"/>
    <n v="3"/>
    <n v="1"/>
    <n v="4"/>
    <s v="5.77"/>
    <s v="5.81"/>
    <n v="5.125"/>
    <n v="26"/>
    <n v="0"/>
    <n v="8"/>
  </r>
  <r>
    <x v="1"/>
    <s v="Attaquant"/>
    <s v="Grosicki"/>
    <s v="Kamil"/>
    <s v="Rennes"/>
    <n v="17"/>
    <n v="0"/>
    <n v="0"/>
    <n v="0"/>
    <m/>
    <m/>
    <n v="5.0999999999999996"/>
    <n v="9"/>
    <n v="19"/>
    <n v="8"/>
  </r>
  <r>
    <x v="1"/>
    <s v="Milieu"/>
    <s v="Floyd Ayité"/>
    <m/>
    <s v="Bastia"/>
    <n v="22"/>
    <n v="0"/>
    <n v="0"/>
    <n v="0"/>
    <m/>
    <m/>
    <n v="5.125"/>
    <n v="25"/>
    <n v="2"/>
    <n v="8"/>
  </r>
  <r>
    <x v="3"/>
    <s v="Attaquant"/>
    <s v="Braithwaite"/>
    <s v="Martin"/>
    <s v="Toulouse"/>
    <n v="19"/>
    <n v="0"/>
    <n v="0"/>
    <n v="0"/>
    <m/>
    <m/>
    <n v="4.9230769230769234"/>
    <n v="26"/>
    <n v="3"/>
    <n v="8"/>
  </r>
  <r>
    <x v="3"/>
    <s v="Attaquant"/>
    <s v="Rodelin"/>
    <s v="Ronny"/>
    <s v="Caen"/>
    <n v="36"/>
    <n v="0"/>
    <n v="0"/>
    <n v="0"/>
    <m/>
    <m/>
    <n v="5.3461538461538458"/>
    <n v="26"/>
    <n v="1"/>
    <n v="8"/>
  </r>
  <r>
    <x v="3"/>
    <s v="Milieu"/>
    <s v="Larbi"/>
    <s v="Mohamed Wael"/>
    <s v="Ajaccio"/>
    <n v="17"/>
    <n v="1"/>
    <n v="1"/>
    <n v="2"/>
    <s v="5.17"/>
    <s v="5.67"/>
    <n v="4.9130434782608692"/>
    <n v="23"/>
    <n v="3"/>
    <n v="8"/>
  </r>
  <r>
    <x v="0"/>
    <s v="Attaquant"/>
    <s v="Privat"/>
    <s v="Sloan"/>
    <s v="Guingamp"/>
    <n v="15"/>
    <n v="0"/>
    <n v="0"/>
    <n v="0"/>
    <m/>
    <m/>
    <n v="5.3076923076923075"/>
    <n v="13"/>
    <n v="11"/>
    <n v="7"/>
  </r>
  <r>
    <x v="0"/>
    <s v="Attaquant"/>
    <s v="De Préville"/>
    <s v="Nicolas"/>
    <s v="Reims"/>
    <n v="21"/>
    <n v="0"/>
    <n v="0"/>
    <n v="0"/>
    <m/>
    <m/>
    <n v="5.3571428571428568"/>
    <n v="28"/>
    <n v="2"/>
    <n v="6"/>
  </r>
  <r>
    <x v="0"/>
    <s v="Milieu"/>
    <s v="Salibur"/>
    <s v="Yannis"/>
    <s v="Guingamp"/>
    <n v="13"/>
    <n v="0"/>
    <n v="0"/>
    <n v="0"/>
    <m/>
    <m/>
    <n v="5.2307692307692308"/>
    <n v="26"/>
    <n v="2"/>
    <n v="6"/>
  </r>
  <r>
    <x v="1"/>
    <s v="Milieu"/>
    <s v="Lucas Moura"/>
    <m/>
    <s v="Paris"/>
    <n v="50"/>
    <n v="0"/>
    <n v="0"/>
    <n v="0"/>
    <m/>
    <m/>
    <n v="5.5454545454545459"/>
    <n v="21"/>
    <n v="8"/>
    <n v="6"/>
  </r>
  <r>
    <x v="3"/>
    <s v="Attaquant"/>
    <s v="Sala"/>
    <s v="Emiliano"/>
    <s v="Nantes"/>
    <n v="18"/>
    <n v="0"/>
    <n v="0"/>
    <n v="0"/>
    <m/>
    <m/>
    <n v="5.117647058823529"/>
    <n v="16"/>
    <n v="8"/>
    <n v="6"/>
  </r>
  <r>
    <x v="2"/>
    <s v="Attaquant"/>
    <s v="Briand"/>
    <s v="Jimmy"/>
    <s v="Guingamp"/>
    <n v="15"/>
    <n v="0"/>
    <n v="0"/>
    <n v="0"/>
    <m/>
    <m/>
    <n v="5"/>
    <n v="26"/>
    <n v="2"/>
    <n v="6"/>
  </r>
  <r>
    <x v="0"/>
    <s v="Défenseur"/>
    <s v="Fabinho"/>
    <m/>
    <s v="Monaco"/>
    <n v="43"/>
    <n v="1"/>
    <n v="0"/>
    <n v="1"/>
    <s v="4.67"/>
    <s v="4.75"/>
    <n v="5.6428571428571432"/>
    <n v="28"/>
    <n v="0"/>
    <n v="5"/>
  </r>
  <r>
    <x v="1"/>
    <s v="Défenseur"/>
    <s v="Diagne"/>
    <s v="Fallou"/>
    <s v="Rennes"/>
    <n v="3"/>
    <n v="0"/>
    <n v="0"/>
    <n v="0"/>
    <m/>
    <m/>
    <n v="5.375"/>
    <n v="15"/>
    <n v="1"/>
    <n v="5"/>
  </r>
  <r>
    <x v="1"/>
    <s v="Milieu"/>
    <s v="Ghezzal"/>
    <s v="Rachid"/>
    <s v="Lyon"/>
    <n v="20"/>
    <n v="0"/>
    <n v="0"/>
    <n v="0"/>
    <m/>
    <m/>
    <n v="6.1818181818181817"/>
    <n v="10"/>
    <n v="13"/>
    <n v="5"/>
  </r>
  <r>
    <x v="1"/>
    <s v="Milieu"/>
    <s v="Silva"/>
    <s v="Bernardo"/>
    <s v="Monaco"/>
    <n v="31"/>
    <n v="0"/>
    <n v="0"/>
    <n v="0"/>
    <m/>
    <m/>
    <n v="5.333333333333333"/>
    <n v="16"/>
    <n v="10"/>
    <n v="5"/>
  </r>
  <r>
    <x v="3"/>
    <s v="Milieu"/>
    <s v="Cabella"/>
    <s v="Rémy"/>
    <s v="Marseille"/>
    <n v="37"/>
    <n v="0"/>
    <n v="0"/>
    <n v="0"/>
    <m/>
    <m/>
    <n v="5.3076923076923075"/>
    <n v="26"/>
    <n v="1"/>
    <n v="5"/>
  </r>
  <r>
    <x v="3"/>
    <s v="Milieu"/>
    <s v="Mangani"/>
    <s v="Thomas"/>
    <s v="Angers"/>
    <n v="27"/>
    <n v="0"/>
    <n v="0"/>
    <n v="0"/>
    <m/>
    <m/>
    <n v="5.4782608695652177"/>
    <n v="25"/>
    <n v="2"/>
    <n v="5"/>
  </r>
  <r>
    <x v="0"/>
    <s v="Attaquant"/>
    <s v="Cornet"/>
    <s v="Maxwell"/>
    <s v="Lyon"/>
    <n v="9"/>
    <n v="0"/>
    <n v="0"/>
    <n v="0"/>
    <m/>
    <m/>
    <n v="5.1818181818181817"/>
    <n v="10"/>
    <n v="15"/>
    <n v="4"/>
  </r>
  <r>
    <x v="0"/>
    <s v="Milieu"/>
    <s v="Féret"/>
    <s v="Julien"/>
    <s v="Caen"/>
    <n v="21"/>
    <n v="0"/>
    <n v="0"/>
    <n v="0"/>
    <m/>
    <m/>
    <n v="5.290322580645161"/>
    <n v="31"/>
    <n v="0"/>
    <n v="4"/>
  </r>
  <r>
    <x v="3"/>
    <s v="Milieu"/>
    <s v="Dabo"/>
    <s v="Bryan"/>
    <s v="Montpellier"/>
    <n v="21"/>
    <n v="0"/>
    <n v="0"/>
    <n v="0"/>
    <m/>
    <m/>
    <n v="5.333333333333333"/>
    <n v="27"/>
    <n v="3"/>
    <n v="4"/>
  </r>
  <r>
    <x v="3"/>
    <s v="Milieu"/>
    <s v="Sankharé"/>
    <s v="Younousse"/>
    <s v="Guingamp"/>
    <n v="22"/>
    <n v="0"/>
    <n v="0"/>
    <n v="0"/>
    <m/>
    <m/>
    <n v="5.6"/>
    <n v="26"/>
    <n v="0"/>
    <n v="4"/>
  </r>
  <r>
    <x v="2"/>
    <s v="Attaquant"/>
    <s v="Vágner Love"/>
    <m/>
    <s v="Monaco"/>
    <n v="17"/>
    <n v="0"/>
    <n v="0"/>
    <n v="0"/>
    <m/>
    <m/>
    <n v="5.166666666666667"/>
    <n v="6"/>
    <n v="2"/>
    <n v="4"/>
  </r>
  <r>
    <x v="2"/>
    <s v="Milieu"/>
    <s v="Fekir"/>
    <s v="Nabil"/>
    <s v="Lyon"/>
    <n v="40"/>
    <n v="8"/>
    <n v="0"/>
    <n v="8"/>
    <s v="5.36"/>
    <s v="5.39"/>
    <n v="6.75"/>
    <n v="4"/>
    <n v="0"/>
    <n v="4"/>
  </r>
  <r>
    <x v="2"/>
    <s v="Milieu"/>
    <s v="Pléa"/>
    <s v="Alassane"/>
    <s v="Nice"/>
    <n v="29"/>
    <n v="0"/>
    <n v="0"/>
    <n v="0"/>
    <s v="4.67"/>
    <s v="4.83"/>
    <n v="5"/>
    <n v="11"/>
    <n v="1"/>
    <n v="4"/>
  </r>
  <r>
    <x v="0"/>
    <s v="Défenseur"/>
    <s v="Toure"/>
    <s v="Zargo"/>
    <s v="Lorient"/>
    <n v="4"/>
    <n v="0"/>
    <n v="0"/>
    <n v="0"/>
    <m/>
    <m/>
    <n v="5.04"/>
    <n v="25"/>
    <n v="0"/>
    <n v="3"/>
  </r>
  <r>
    <x v="0"/>
    <s v="Milieu"/>
    <s v="Koziello"/>
    <s v="Vincent"/>
    <s v="Nice"/>
    <n v="9"/>
    <n v="0"/>
    <n v="0"/>
    <n v="0"/>
    <m/>
    <m/>
    <n v="5.24"/>
    <n v="25"/>
    <n v="3"/>
    <n v="3"/>
  </r>
  <r>
    <x v="0"/>
    <s v="Milieu"/>
    <s v="Martin"/>
    <s v="Jonas"/>
    <s v="Montpellier"/>
    <n v="18"/>
    <n v="0"/>
    <n v="0"/>
    <n v="0"/>
    <m/>
    <m/>
    <n v="5.3793103448275863"/>
    <n v="28"/>
    <n v="1"/>
    <n v="3"/>
  </r>
  <r>
    <x v="1"/>
    <s v="Défenseur"/>
    <s v="Fábio Coentrão"/>
    <m/>
    <s v="Monaco"/>
    <n v="15"/>
    <n v="0"/>
    <n v="0"/>
    <n v="0"/>
    <m/>
    <m/>
    <n v="5.6363636363636367"/>
    <n v="13"/>
    <n v="1"/>
    <n v="3"/>
  </r>
  <r>
    <x v="1"/>
    <s v="Défenseur"/>
    <s v="Kurzawa"/>
    <s v="Layvin"/>
    <s v="Paris"/>
    <n v="12"/>
    <n v="1"/>
    <n v="0"/>
    <n v="1"/>
    <s v="4.67"/>
    <s v="4.67"/>
    <n v="6.2"/>
    <n v="10"/>
    <n v="3"/>
    <n v="3"/>
  </r>
  <r>
    <x v="1"/>
    <s v="Défenseur"/>
    <s v="Sall"/>
    <s v="Moustapha Bayal"/>
    <s v="Saint-Etienne"/>
    <n v="14"/>
    <n v="0"/>
    <n v="0"/>
    <n v="0"/>
    <m/>
    <m/>
    <n v="5.0869565217391308"/>
    <n v="23"/>
    <n v="1"/>
    <n v="3"/>
  </r>
  <r>
    <x v="3"/>
    <s v="Défenseur"/>
    <s v="Perrin"/>
    <s v="Loïc"/>
    <s v="Saint-Etienne"/>
    <n v="41"/>
    <n v="0"/>
    <n v="0"/>
    <n v="0"/>
    <m/>
    <m/>
    <n v="5.3888888888888893"/>
    <n v="18"/>
    <n v="0"/>
    <n v="3"/>
  </r>
  <r>
    <x v="3"/>
    <s v="Défenseur"/>
    <s v="Sidibe"/>
    <s v="Djibril"/>
    <s v="Lille"/>
    <n v="31"/>
    <n v="0"/>
    <n v="0"/>
    <n v="0"/>
    <m/>
    <m/>
    <n v="5.3103448275862073"/>
    <n v="29"/>
    <n v="1"/>
    <n v="3"/>
  </r>
  <r>
    <x v="2"/>
    <s v="Milieu"/>
    <s v="Matuidi"/>
    <s v="Blaise"/>
    <s v="Paris"/>
    <n v="29"/>
    <n v="0"/>
    <n v="0"/>
    <n v="0"/>
    <m/>
    <m/>
    <n v="5.9047619047619051"/>
    <n v="21"/>
    <n v="6"/>
    <n v="3"/>
  </r>
  <r>
    <x v="0"/>
    <s v="Défenseur"/>
    <s v="Roussillon"/>
    <s v="Jérôme"/>
    <s v="Montpellier"/>
    <n v="9"/>
    <n v="0"/>
    <n v="0"/>
    <n v="0"/>
    <m/>
    <m/>
    <n v="5.115384615384615"/>
    <n v="25"/>
    <n v="2"/>
    <n v="2"/>
  </r>
  <r>
    <x v="0"/>
    <s v="Défenseur"/>
    <s v="Saiss"/>
    <s v="Romain"/>
    <s v="Angers"/>
    <n v="8"/>
    <n v="0"/>
    <n v="0"/>
    <n v="0"/>
    <m/>
    <m/>
    <n v="5.1724137931034484"/>
    <n v="29"/>
    <n v="0"/>
    <n v="2"/>
  </r>
  <r>
    <x v="0"/>
    <s v="Défenseur"/>
    <s v="Traore"/>
    <s v="Hamari"/>
    <s v="Reims"/>
    <n v="14"/>
    <n v="0"/>
    <n v="0"/>
    <n v="0"/>
    <m/>
    <m/>
    <n v="5.1111111111111107"/>
    <n v="27"/>
    <n v="0"/>
    <n v="2"/>
  </r>
  <r>
    <x v="1"/>
    <s v="Défenseur"/>
    <s v="Isla"/>
    <s v="Mauricio"/>
    <s v="Marseille"/>
    <n v="12"/>
    <n v="0"/>
    <n v="0"/>
    <n v="0"/>
    <m/>
    <m/>
    <n v="5.5555555555555554"/>
    <n v="18"/>
    <n v="3"/>
    <n v="2"/>
  </r>
  <r>
    <x v="3"/>
    <s v="Défenseur"/>
    <s v="Sabaly"/>
    <s v="Youssouf"/>
    <s v="Nantes"/>
    <n v="15"/>
    <n v="0"/>
    <n v="0"/>
    <n v="0"/>
    <m/>
    <m/>
    <n v="5.3636363636363633"/>
    <n v="22"/>
    <n v="0"/>
    <n v="2"/>
  </r>
  <r>
    <x v="3"/>
    <s v="Milieu"/>
    <s v="Gourcuff"/>
    <s v="Yoann"/>
    <s v="Rennes"/>
    <n v="25"/>
    <n v="2"/>
    <n v="1"/>
    <n v="3"/>
    <s v="6.20"/>
    <s v="6.20"/>
    <n v="5.4"/>
    <n v="4"/>
    <n v="3"/>
    <n v="2"/>
  </r>
  <r>
    <x v="3"/>
    <s v="Milieu"/>
    <s v="Seri"/>
    <s v="Jean"/>
    <s v="Nice"/>
    <n v="26"/>
    <n v="0"/>
    <n v="0"/>
    <n v="0"/>
    <m/>
    <m/>
    <n v="5.6428571428571432"/>
    <n v="28"/>
    <n v="3"/>
    <n v="2"/>
  </r>
  <r>
    <x v="2"/>
    <s v="Attaquant"/>
    <s v="Erding"/>
    <s v="Mevlut"/>
    <s v="Guingamp"/>
    <n v="16"/>
    <n v="0"/>
    <n v="0"/>
    <n v="0"/>
    <m/>
    <m/>
    <n v="4.4285714285714288"/>
    <n v="7"/>
    <n v="2"/>
    <n v="2"/>
  </r>
  <r>
    <x v="2"/>
    <s v="Défenseur"/>
    <s v="Da Silva"/>
    <s v="Damien"/>
    <s v="Caen"/>
    <n v="14"/>
    <n v="0"/>
    <n v="0"/>
    <n v="0"/>
    <m/>
    <m/>
    <n v="5.083333333333333"/>
    <n v="24"/>
    <n v="0"/>
    <n v="2"/>
  </r>
  <r>
    <x v="2"/>
    <s v="Défenseur"/>
    <s v="Thomas"/>
    <s v="Romain"/>
    <s v="Angers"/>
    <n v="11"/>
    <n v="0"/>
    <n v="0"/>
    <n v="0"/>
    <m/>
    <m/>
    <n v="4.9000000000000004"/>
    <n v="30"/>
    <n v="0"/>
    <n v="2"/>
  </r>
  <r>
    <x v="0"/>
    <s v="Défenseur"/>
    <s v="Soumaoro"/>
    <s v="Adama"/>
    <s v="Lille"/>
    <n v="2"/>
    <n v="0"/>
    <n v="0"/>
    <n v="0"/>
    <m/>
    <m/>
    <n v="5.25"/>
    <n v="23"/>
    <n v="1"/>
    <n v="1"/>
  </r>
  <r>
    <x v="1"/>
    <s v="Milieu"/>
    <s v="Moutinho"/>
    <s v="João"/>
    <s v="Monaco"/>
    <n v="21"/>
    <n v="0"/>
    <n v="0"/>
    <n v="0"/>
    <m/>
    <m/>
    <n v="5.3636363636363633"/>
    <n v="22"/>
    <n v="0"/>
    <n v="1"/>
  </r>
  <r>
    <x v="3"/>
    <s v="Défenseur"/>
    <s v="Carvalho"/>
    <s v="Ricardo"/>
    <s v="Monaco"/>
    <n v="20"/>
    <n v="0"/>
    <n v="0"/>
    <n v="0"/>
    <m/>
    <m/>
    <n v="5.1923076923076925"/>
    <n v="26"/>
    <n v="0"/>
    <n v="1"/>
  </r>
  <r>
    <x v="3"/>
    <s v="Défenseur"/>
    <s v="Thiago Silva"/>
    <m/>
    <s v="Paris"/>
    <n v="44"/>
    <n v="0"/>
    <n v="0"/>
    <n v="0"/>
    <m/>
    <m/>
    <n v="6"/>
    <n v="25"/>
    <n v="1"/>
    <n v="1"/>
  </r>
  <r>
    <x v="2"/>
    <s v="Défenseur"/>
    <s v="Hilton"/>
    <s v="Vitorino"/>
    <s v="Montpellier"/>
    <n v="15"/>
    <n v="0"/>
    <n v="0"/>
    <n v="0"/>
    <m/>
    <m/>
    <n v="5.2666666666666666"/>
    <n v="30"/>
    <n v="0"/>
    <n v="1"/>
  </r>
  <r>
    <x v="2"/>
    <s v="Défenseur"/>
    <s v="Jallet"/>
    <s v="Christophe"/>
    <s v="Lyon"/>
    <n v="10"/>
    <n v="0"/>
    <n v="0"/>
    <n v="0"/>
    <m/>
    <m/>
    <n v="5.5625"/>
    <n v="16"/>
    <n v="3"/>
    <n v="1"/>
  </r>
  <r>
    <x v="2"/>
    <s v="Défenseur"/>
    <s v="Umtiti"/>
    <s v="Samuel"/>
    <s v="Lyon"/>
    <n v="13"/>
    <n v="0"/>
    <n v="0"/>
    <n v="0"/>
    <m/>
    <m/>
    <n v="5.5217391304347823"/>
    <n v="23"/>
    <n v="0"/>
    <n v="1"/>
  </r>
  <r>
    <x v="2"/>
    <s v="Milieu"/>
    <s v="Boudebouz"/>
    <s v="Ryad"/>
    <s v="Montpellier"/>
    <n v="24"/>
    <n v="0"/>
    <n v="0"/>
    <n v="0"/>
    <m/>
    <m/>
    <n v="5.3666666666666663"/>
    <n v="30"/>
    <n v="1"/>
    <n v="1"/>
  </r>
  <r>
    <x v="2"/>
    <s v="Milieu"/>
    <s v="Cabot"/>
    <s v="Jimmy"/>
    <s v="Lorient"/>
    <n v="3"/>
    <n v="0"/>
    <n v="0"/>
    <n v="0"/>
    <m/>
    <m/>
    <n v="5.166666666666667"/>
    <n v="6"/>
    <n v="2"/>
    <n v="1"/>
  </r>
  <r>
    <x v="2"/>
    <s v="Milieu"/>
    <s v="Lass Diarra"/>
    <m/>
    <s v="Marseille"/>
    <n v="28"/>
    <n v="0"/>
    <n v="0"/>
    <n v="0"/>
    <m/>
    <m/>
    <n v="5.5"/>
    <n v="22"/>
    <n v="0"/>
    <n v="0"/>
  </r>
  <r>
    <x v="0"/>
    <s v="Défenseur"/>
    <s v="Sorbon"/>
    <s v="Jérémy"/>
    <s v="Guingamp"/>
    <n v="7"/>
    <n v="0"/>
    <n v="0"/>
    <n v="0"/>
    <m/>
    <m/>
    <n v="5.0740740740740744"/>
    <n v="27"/>
    <n v="0"/>
    <n v="0"/>
  </r>
  <r>
    <x v="0"/>
    <s v="Gardien"/>
    <s v="Leca"/>
    <s v="Jean-Louis"/>
    <s v="Bastia"/>
    <n v="8"/>
    <n v="0"/>
    <n v="0"/>
    <n v="0"/>
    <m/>
    <m/>
    <n v="5.5555555555555554"/>
    <n v="27"/>
    <n v="0"/>
    <n v="0"/>
  </r>
  <r>
    <x v="0"/>
    <s v="Gardien"/>
    <s v="Subasic"/>
    <s v="Danijel"/>
    <s v="Monaco"/>
    <n v="27"/>
    <n v="0"/>
    <n v="0"/>
    <n v="0"/>
    <m/>
    <m/>
    <n v="5.6206896551724137"/>
    <n v="29"/>
    <n v="0"/>
    <n v="0"/>
  </r>
  <r>
    <x v="1"/>
    <s v="Défenseur"/>
    <s v="Marquinhos"/>
    <m/>
    <s v="Paris"/>
    <n v="17"/>
    <n v="8"/>
    <n v="0"/>
    <n v="8"/>
    <s v="5.79"/>
    <s v="5.82"/>
    <n v="5.2666666666666666"/>
    <n v="13"/>
    <n v="9"/>
    <n v="0"/>
  </r>
  <r>
    <x v="1"/>
    <s v="Défenseur"/>
    <s v="Morel"/>
    <s v="Jeremy"/>
    <s v="Lyon"/>
    <n v="19"/>
    <n v="0"/>
    <n v="0"/>
    <n v="0"/>
    <m/>
    <m/>
    <n v="5.16"/>
    <n v="24"/>
    <n v="2"/>
    <n v="0"/>
  </r>
  <r>
    <x v="1"/>
    <s v="Gardien"/>
    <s v="Cardinale"/>
    <s v="Yoann"/>
    <s v="Nice"/>
    <n v="1"/>
    <n v="0"/>
    <n v="0"/>
    <n v="0"/>
    <m/>
    <m/>
    <n v="5.4736842105263159"/>
    <n v="18"/>
    <n v="1"/>
    <n v="0"/>
  </r>
  <r>
    <x v="1"/>
    <s v="Gardien"/>
    <s v="Lopes"/>
    <s v="Anthony"/>
    <s v="Lyon"/>
    <n v="26"/>
    <n v="0"/>
    <n v="0"/>
    <n v="0"/>
    <m/>
    <m/>
    <n v="5.5"/>
    <n v="30"/>
    <n v="0"/>
    <n v="0"/>
  </r>
  <r>
    <x v="3"/>
    <s v="Défenseur"/>
    <s v="Ricardo Pereira"/>
    <m/>
    <s v="Nice"/>
    <n v="16"/>
    <n v="0"/>
    <n v="0"/>
    <n v="0"/>
    <m/>
    <m/>
    <n v="5.4210526315789478"/>
    <n v="20"/>
    <n v="0"/>
    <n v="0"/>
  </r>
  <r>
    <x v="3"/>
    <s v="Gardien"/>
    <s v="Jonas Lössl"/>
    <m/>
    <s v="Guingamp"/>
    <n v="14"/>
    <n v="0"/>
    <n v="0"/>
    <n v="0"/>
    <m/>
    <m/>
    <n v="5.3666666666666663"/>
    <n v="30"/>
    <n v="0"/>
    <n v="0"/>
  </r>
  <r>
    <x v="3"/>
    <s v="Gardien"/>
    <s v="Samassa"/>
    <s v="Mamadou"/>
    <s v="Guingamp"/>
    <n v="3"/>
    <n v="0"/>
    <n v="0"/>
    <n v="0"/>
    <m/>
    <m/>
    <n v="5"/>
    <n v="1"/>
    <n v="0"/>
    <n v="0"/>
  </r>
  <r>
    <x v="2"/>
    <s v="Défenseur"/>
    <s v="Pogba"/>
    <s v="Florentin"/>
    <s v="Saint-Etienne"/>
    <n v="11"/>
    <n v="0"/>
    <n v="0"/>
    <n v="0"/>
    <m/>
    <m/>
    <n v="5.0526315789473681"/>
    <n v="19"/>
    <n v="2"/>
    <n v="0"/>
  </r>
  <r>
    <x v="2"/>
    <s v="Attaquant"/>
    <s v="Rodrigue Ninga"/>
    <m/>
    <s v="Montpellier"/>
    <n v="4"/>
    <n v="0"/>
    <n v="0"/>
    <n v="0"/>
    <m/>
    <m/>
    <n v="4.882352941176471"/>
    <n v="14"/>
    <n v="6"/>
    <n v="6"/>
  </r>
  <r>
    <x v="2"/>
    <s v="Défenseur"/>
    <s v="Baysse"/>
    <s v="Paul"/>
    <s v="Nice"/>
    <n v="13"/>
    <n v="0"/>
    <n v="0"/>
    <n v="0"/>
    <s v="5.50"/>
    <s v="5.39"/>
    <n v="5.3181818181818183"/>
    <n v="21"/>
    <n v="1"/>
    <n v="0"/>
  </r>
  <r>
    <x v="2"/>
    <s v="Défenseur"/>
    <s v="David Luiz"/>
    <m/>
    <s v="Paris"/>
    <n v="20"/>
    <n v="0"/>
    <n v="0"/>
    <n v="0"/>
    <m/>
    <m/>
    <n v="5.45"/>
    <n v="20"/>
    <n v="0"/>
    <n v="0"/>
  </r>
  <r>
    <x v="2"/>
    <s v="Défenseur"/>
    <s v="Vizcarrondo"/>
    <s v="Oswaldo"/>
    <s v="Nantes"/>
    <n v="17"/>
    <n v="0"/>
    <n v="0"/>
    <n v="0"/>
    <m/>
    <m/>
    <n v="4.7826086956521738"/>
    <n v="23"/>
    <n v="1"/>
    <n v="0"/>
  </r>
  <r>
    <x v="2"/>
    <s v="Défenseur"/>
    <s v="Yanga-Mbiwa"/>
    <s v="Mapou"/>
    <s v="Lyon"/>
    <n v="16"/>
    <n v="0"/>
    <n v="0"/>
    <n v="0"/>
    <m/>
    <m/>
    <n v="5.0999999999999996"/>
    <n v="20"/>
    <n v="0"/>
    <n v="0"/>
  </r>
  <r>
    <x v="2"/>
    <s v="Gardien"/>
    <s v="Mandanda"/>
    <s v="Steve"/>
    <s v="Marseille"/>
    <n v="22"/>
    <n v="0"/>
    <n v="0"/>
    <n v="0"/>
    <m/>
    <m/>
    <n v="5.333333333333333"/>
    <n v="30"/>
    <n v="0"/>
    <n v="0"/>
  </r>
  <r>
    <x v="2"/>
    <s v="Gardien"/>
    <s v="Vercoutre"/>
    <s v="Rémy"/>
    <s v="Caen"/>
    <n v="16"/>
    <n v="0"/>
    <n v="0"/>
    <n v="0"/>
    <m/>
    <m/>
    <n v="5.4516129032258061"/>
    <n v="31"/>
    <n v="0"/>
    <n v="0"/>
  </r>
  <r>
    <x v="2"/>
    <s v="Milieu"/>
    <s v="Tolisso"/>
    <s v="Corentin"/>
    <s v="Lyon"/>
    <n v="25"/>
    <n v="0"/>
    <n v="0"/>
    <n v="0"/>
    <m/>
    <m/>
    <n v="5.615384615384615"/>
    <n v="25"/>
    <n v="3"/>
    <n v="4"/>
  </r>
  <r>
    <x v="2"/>
    <s v="Gardien"/>
    <s v="Deschateaux"/>
    <s v="Louis"/>
    <s v="Caen"/>
    <n v="1"/>
    <n v="0"/>
    <n v="0"/>
    <n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T4:X9" firstHeaderRow="0" firstDataRow="1" firstDataCol="1"/>
  <pivotFields count="15">
    <pivotField axis="axisRow" showAll="0">
      <items count="13">
        <item m="1" x="9"/>
        <item m="1" x="5"/>
        <item m="1" x="10"/>
        <item m="1" x="8"/>
        <item m="1" x="6"/>
        <item m="1" x="7"/>
        <item m="1" x="11"/>
        <item x="1"/>
        <item x="0"/>
        <item x="3"/>
        <item x="2"/>
        <item m="1"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0"/>
  </rowFields>
  <rowItems count="5"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workbookViewId="0"/>
  </sheetViews>
  <sheetFormatPr baseColWidth="10" defaultColWidth="9.140625" defaultRowHeight="15" x14ac:dyDescent="0.25"/>
  <cols>
    <col min="1" max="1" width="10.28515625" bestFit="1" customWidth="1"/>
    <col min="2" max="2" width="23.7109375" bestFit="1" customWidth="1"/>
    <col min="3" max="3" width="27.7109375" bestFit="1" customWidth="1"/>
    <col min="4" max="4" width="12.140625" bestFit="1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216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214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345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214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212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215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213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213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217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216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243</v>
      </c>
      <c r="C8" s="10" t="s">
        <v>216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217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243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212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243</v>
      </c>
      <c r="C10" s="12" t="s">
        <v>213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243</v>
      </c>
      <c r="C11" s="12" t="s">
        <v>217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215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346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217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230</v>
      </c>
      <c r="C14" s="10" t="s">
        <v>213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230</v>
      </c>
      <c r="C15" s="12" t="s">
        <v>215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212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345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213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217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214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377</v>
      </c>
      <c r="C21" s="10" t="s">
        <v>217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378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378</v>
      </c>
      <c r="C23" s="12" t="s">
        <v>217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213</v>
      </c>
      <c r="K23" s="5">
        <v>0.14028776978417265</v>
      </c>
    </row>
    <row r="24" spans="1:11" x14ac:dyDescent="0.25">
      <c r="A24" s="12" t="s">
        <v>8</v>
      </c>
      <c r="B24" s="12" t="s">
        <v>378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378</v>
      </c>
      <c r="C25" s="12" t="s">
        <v>216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232</v>
      </c>
      <c r="C26" s="10" t="s">
        <v>213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212</v>
      </c>
      <c r="K26" s="5">
        <v>0.1079136690647482</v>
      </c>
    </row>
    <row r="27" spans="1:11" x14ac:dyDescent="0.25">
      <c r="A27" s="12" t="s">
        <v>8</v>
      </c>
      <c r="B27" s="12" t="s">
        <v>232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232</v>
      </c>
      <c r="C28" s="12" t="s">
        <v>214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379</v>
      </c>
      <c r="C29" s="10" t="s">
        <v>214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214</v>
      </c>
      <c r="K29" s="5">
        <v>0.14748201438848921</v>
      </c>
    </row>
    <row r="30" spans="1:11" x14ac:dyDescent="0.25">
      <c r="A30" s="10" t="s">
        <v>5</v>
      </c>
      <c r="B30" s="10" t="s">
        <v>235</v>
      </c>
      <c r="C30" s="10" t="s">
        <v>212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235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235</v>
      </c>
      <c r="C32" s="12" t="s">
        <v>215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215</v>
      </c>
      <c r="K32" s="5">
        <v>0.12949640287769784</v>
      </c>
    </row>
    <row r="33" spans="1:11" x14ac:dyDescent="0.25">
      <c r="A33" s="12" t="s">
        <v>5</v>
      </c>
      <c r="B33" s="12" t="s">
        <v>235</v>
      </c>
      <c r="C33" s="12" t="s">
        <v>214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380</v>
      </c>
      <c r="C34" s="10" t="s">
        <v>212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380</v>
      </c>
      <c r="C35" s="12" t="s">
        <v>217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216</v>
      </c>
      <c r="K35" s="5">
        <v>0.14028776978417265</v>
      </c>
    </row>
    <row r="36" spans="1:11" x14ac:dyDescent="0.25">
      <c r="A36" s="12" t="s">
        <v>5</v>
      </c>
      <c r="B36" s="12" t="s">
        <v>380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231</v>
      </c>
      <c r="C37" s="10" t="s">
        <v>217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217</v>
      </c>
      <c r="K38" s="5">
        <v>0.12589928057553956</v>
      </c>
    </row>
    <row r="39" spans="1:11" x14ac:dyDescent="0.25">
      <c r="A39" s="10" t="s">
        <v>5</v>
      </c>
      <c r="B39" s="10" t="s">
        <v>424</v>
      </c>
      <c r="C39" s="10" t="s">
        <v>217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424</v>
      </c>
      <c r="C40" s="12" t="s">
        <v>216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223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346</v>
      </c>
      <c r="K41" s="5">
        <v>1</v>
      </c>
    </row>
    <row r="42" spans="1:11" x14ac:dyDescent="0.25">
      <c r="A42" s="12" t="s">
        <v>8</v>
      </c>
      <c r="B42" s="12" t="s">
        <v>223</v>
      </c>
      <c r="C42" s="12" t="s">
        <v>217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223</v>
      </c>
      <c r="C43" s="12" t="s">
        <v>216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223</v>
      </c>
      <c r="C44" s="12" t="s">
        <v>215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381</v>
      </c>
      <c r="C45" s="10" t="s">
        <v>217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425</v>
      </c>
      <c r="C46" s="10" t="s">
        <v>217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425</v>
      </c>
      <c r="C47" s="12" t="s">
        <v>215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425</v>
      </c>
      <c r="C48" s="12" t="s">
        <v>214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382</v>
      </c>
      <c r="C49" s="10" t="s">
        <v>213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382</v>
      </c>
      <c r="C50" s="12" t="s">
        <v>214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383</v>
      </c>
      <c r="C51" s="10" t="s">
        <v>214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383</v>
      </c>
      <c r="C52" s="12" t="s">
        <v>215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383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244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384</v>
      </c>
      <c r="C55" s="10" t="s">
        <v>212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384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385</v>
      </c>
      <c r="C57" s="10" t="s">
        <v>217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385</v>
      </c>
      <c r="C58" s="12" t="s">
        <v>214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212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216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386</v>
      </c>
      <c r="C62" s="10" t="s">
        <v>212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386</v>
      </c>
      <c r="C63" s="12" t="s">
        <v>215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386</v>
      </c>
      <c r="C64" s="12" t="s">
        <v>213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386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234</v>
      </c>
      <c r="C66" s="10" t="s">
        <v>215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234</v>
      </c>
      <c r="C67" s="12" t="s">
        <v>212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234</v>
      </c>
      <c r="C68" s="12" t="s">
        <v>214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222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426</v>
      </c>
      <c r="C70" s="10" t="s">
        <v>213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227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233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216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387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387</v>
      </c>
      <c r="C75" s="12" t="s">
        <v>213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212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388</v>
      </c>
      <c r="C77" s="10" t="s">
        <v>213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388</v>
      </c>
      <c r="C78" s="12" t="s">
        <v>216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427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427</v>
      </c>
      <c r="C80" s="12" t="s">
        <v>213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427</v>
      </c>
      <c r="C81" s="12" t="s">
        <v>217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389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428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215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214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212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216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220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220</v>
      </c>
      <c r="C91" s="12" t="s">
        <v>217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220</v>
      </c>
      <c r="C92" s="12" t="s">
        <v>215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220</v>
      </c>
      <c r="C93" s="12" t="s">
        <v>214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220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220</v>
      </c>
      <c r="C95" s="12" t="s">
        <v>212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390</v>
      </c>
      <c r="C96" s="10" t="s">
        <v>213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390</v>
      </c>
      <c r="C97" s="12" t="s">
        <v>215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391</v>
      </c>
      <c r="C98" s="10" t="s">
        <v>213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391</v>
      </c>
      <c r="C99" s="12" t="s">
        <v>214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228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228</v>
      </c>
      <c r="C101" s="12" t="s">
        <v>212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429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449</v>
      </c>
      <c r="C103" s="10" t="s">
        <v>215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449</v>
      </c>
      <c r="C104" s="12" t="s">
        <v>213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449</v>
      </c>
      <c r="C105" s="12" t="s">
        <v>217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218</v>
      </c>
      <c r="C107" s="10" t="s">
        <v>214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218</v>
      </c>
      <c r="C108" s="12" t="s">
        <v>216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236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392</v>
      </c>
      <c r="C110" s="10" t="s">
        <v>213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215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430</v>
      </c>
      <c r="C113" s="10" t="s">
        <v>214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214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213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431</v>
      </c>
      <c r="C116" s="10" t="s">
        <v>214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294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206</v>
      </c>
      <c r="C118" s="10" t="s">
        <v>214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432</v>
      </c>
      <c r="C119" s="10" t="s">
        <v>214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393</v>
      </c>
      <c r="C120" s="10" t="s">
        <v>215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393</v>
      </c>
      <c r="C121" s="12" t="s">
        <v>214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214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394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433</v>
      </c>
      <c r="C124" s="10" t="s">
        <v>215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433</v>
      </c>
      <c r="C125" s="12" t="s">
        <v>216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295</v>
      </c>
      <c r="C126" s="10" t="s">
        <v>212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296</v>
      </c>
      <c r="C127" s="10" t="s">
        <v>212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395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297</v>
      </c>
      <c r="C129" s="10" t="s">
        <v>215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396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215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397</v>
      </c>
      <c r="C132" s="10" t="s">
        <v>214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398</v>
      </c>
      <c r="C133" s="10" t="s">
        <v>214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216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214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450</v>
      </c>
      <c r="C136" s="10" t="s">
        <v>214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245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399</v>
      </c>
      <c r="C138" s="10" t="s">
        <v>212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214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213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400</v>
      </c>
      <c r="C141" s="10" t="s">
        <v>215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400</v>
      </c>
      <c r="C142" s="12" t="s">
        <v>212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401</v>
      </c>
      <c r="C143" s="10" t="s">
        <v>215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401</v>
      </c>
      <c r="C144" s="12" t="s">
        <v>216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182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182</v>
      </c>
      <c r="C146" s="12" t="s">
        <v>217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402</v>
      </c>
      <c r="C147" s="10" t="s">
        <v>213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434</v>
      </c>
      <c r="C148" s="10" t="s">
        <v>215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435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436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403</v>
      </c>
      <c r="C151" s="10" t="s">
        <v>215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298</v>
      </c>
      <c r="C152" s="10" t="s">
        <v>215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298</v>
      </c>
      <c r="C153" s="12" t="s">
        <v>216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437</v>
      </c>
      <c r="C154" s="10" t="s">
        <v>214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248</v>
      </c>
      <c r="C156" s="10" t="s">
        <v>217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299</v>
      </c>
      <c r="C157" s="10" t="s">
        <v>212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299</v>
      </c>
      <c r="C158" s="12" t="s">
        <v>217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404</v>
      </c>
      <c r="C159" s="10" t="s">
        <v>212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226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438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247</v>
      </c>
      <c r="C162" s="10" t="s">
        <v>217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247</v>
      </c>
      <c r="C163" s="12" t="s">
        <v>213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439</v>
      </c>
      <c r="C164" s="10" t="s">
        <v>215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405</v>
      </c>
      <c r="C165" s="10" t="s">
        <v>213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406</v>
      </c>
      <c r="C166" s="10" t="s">
        <v>212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219</v>
      </c>
      <c r="C167" s="10" t="s">
        <v>212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440</v>
      </c>
      <c r="C168" s="10" t="s">
        <v>216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216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407</v>
      </c>
      <c r="C170" s="10" t="s">
        <v>214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408</v>
      </c>
      <c r="C171" s="10" t="s">
        <v>215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409</v>
      </c>
      <c r="C172" s="10" t="s">
        <v>214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441</v>
      </c>
      <c r="C173" s="10" t="s">
        <v>214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96</v>
      </c>
      <c r="C174" s="10" t="s">
        <v>216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238</v>
      </c>
      <c r="C175" s="10" t="s">
        <v>217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238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238</v>
      </c>
      <c r="C177" s="12" t="s">
        <v>213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249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249</v>
      </c>
      <c r="C179" s="12" t="s">
        <v>214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249</v>
      </c>
      <c r="C180" s="12" t="s">
        <v>217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249</v>
      </c>
      <c r="C181" s="12" t="s">
        <v>215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249</v>
      </c>
      <c r="C182" s="12" t="s">
        <v>216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250</v>
      </c>
      <c r="C183" s="10" t="s">
        <v>217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410</v>
      </c>
      <c r="C184" s="10" t="s">
        <v>213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410</v>
      </c>
      <c r="C185" s="12" t="s">
        <v>216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300</v>
      </c>
      <c r="C186" s="10" t="s">
        <v>215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411</v>
      </c>
      <c r="C187" s="10" t="s">
        <v>216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225</v>
      </c>
      <c r="C188" s="10" t="s">
        <v>212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412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413</v>
      </c>
      <c r="C190" s="10" t="s">
        <v>216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214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246</v>
      </c>
      <c r="C192" s="10" t="s">
        <v>213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414</v>
      </c>
      <c r="C193" s="10" t="s">
        <v>212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415</v>
      </c>
      <c r="C194" s="10" t="s">
        <v>213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451</v>
      </c>
      <c r="C195" s="10" t="s">
        <v>216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416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452</v>
      </c>
      <c r="C197" s="10" t="s">
        <v>216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417</v>
      </c>
      <c r="C198" s="10" t="s">
        <v>215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442</v>
      </c>
      <c r="C199" s="10" t="s">
        <v>214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443</v>
      </c>
      <c r="C200" s="10" t="s">
        <v>216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453</v>
      </c>
      <c r="C201" s="10" t="s">
        <v>215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301</v>
      </c>
      <c r="C202" s="10" t="s">
        <v>214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302</v>
      </c>
      <c r="C203" s="10" t="s">
        <v>215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303</v>
      </c>
      <c r="C204" s="10" t="s">
        <v>215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454</v>
      </c>
      <c r="C205" s="10" t="s">
        <v>216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212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418</v>
      </c>
      <c r="C207" s="10" t="s">
        <v>216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419</v>
      </c>
      <c r="C208" s="10" t="s">
        <v>212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420</v>
      </c>
      <c r="C209" s="10" t="s">
        <v>217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251</v>
      </c>
      <c r="C210" s="10" t="s">
        <v>217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304</v>
      </c>
      <c r="C211" s="10" t="s">
        <v>217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304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305</v>
      </c>
      <c r="C213" s="10" t="s">
        <v>215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306</v>
      </c>
      <c r="C214" s="10" t="s">
        <v>215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307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308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308</v>
      </c>
      <c r="C217" s="12" t="s">
        <v>216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214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309</v>
      </c>
      <c r="C219" s="10" t="s">
        <v>216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310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421</v>
      </c>
      <c r="C221" s="10" t="s">
        <v>216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311</v>
      </c>
      <c r="C222" s="10" t="s">
        <v>217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312</v>
      </c>
      <c r="C223" s="10" t="s">
        <v>213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313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444</v>
      </c>
      <c r="C225" s="10" t="s">
        <v>212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237</v>
      </c>
      <c r="C226" s="10" t="s">
        <v>217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314</v>
      </c>
      <c r="C227" s="10" t="s">
        <v>213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315</v>
      </c>
      <c r="C228" s="10" t="s">
        <v>214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316</v>
      </c>
      <c r="C229" s="10" t="s">
        <v>214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317</v>
      </c>
      <c r="C230" s="10" t="s">
        <v>212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445</v>
      </c>
      <c r="C231" s="10" t="s">
        <v>212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318</v>
      </c>
      <c r="C232" s="10" t="s">
        <v>215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318</v>
      </c>
      <c r="C233" s="12" t="s">
        <v>213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446</v>
      </c>
      <c r="C234" s="10" t="s">
        <v>213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319</v>
      </c>
      <c r="C235" s="10" t="s">
        <v>215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319</v>
      </c>
      <c r="C236" s="12" t="s">
        <v>213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320</v>
      </c>
      <c r="C237" s="10" t="s">
        <v>213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321</v>
      </c>
      <c r="C238" s="10" t="s">
        <v>216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322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322</v>
      </c>
      <c r="C240" s="12" t="s">
        <v>216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447</v>
      </c>
      <c r="C241" s="10" t="s">
        <v>216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323</v>
      </c>
      <c r="C242" s="10" t="s">
        <v>215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323</v>
      </c>
      <c r="C243" s="12" t="s">
        <v>213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323</v>
      </c>
      <c r="C244" s="12" t="s">
        <v>216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323</v>
      </c>
      <c r="C245" s="12" t="s">
        <v>214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324</v>
      </c>
      <c r="C246" s="10" t="s">
        <v>213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325</v>
      </c>
      <c r="C247" s="10" t="s">
        <v>213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241</v>
      </c>
      <c r="C248" s="10" t="s">
        <v>213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326</v>
      </c>
      <c r="C249" s="10" t="s">
        <v>213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327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327</v>
      </c>
      <c r="C251" s="12" t="s">
        <v>214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328</v>
      </c>
      <c r="C252" s="10" t="s">
        <v>216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422</v>
      </c>
      <c r="C253" s="10" t="s">
        <v>216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240</v>
      </c>
      <c r="C254" s="10" t="s">
        <v>217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329</v>
      </c>
      <c r="C255" s="10" t="s">
        <v>213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239</v>
      </c>
      <c r="C256" s="10" t="s">
        <v>217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330</v>
      </c>
      <c r="C257" s="10" t="s">
        <v>216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331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224</v>
      </c>
      <c r="C259" s="10" t="s">
        <v>217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224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332</v>
      </c>
      <c r="C261" s="10" t="s">
        <v>217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333</v>
      </c>
      <c r="C262" s="10" t="s">
        <v>216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334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455</v>
      </c>
      <c r="C264" s="10" t="s">
        <v>213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335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336</v>
      </c>
      <c r="C266" s="10" t="s">
        <v>212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337</v>
      </c>
      <c r="C267" s="10" t="s">
        <v>215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338</v>
      </c>
      <c r="C268" s="10" t="s">
        <v>212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339</v>
      </c>
      <c r="C269" s="10" t="s">
        <v>214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448</v>
      </c>
      <c r="C270" s="10" t="s">
        <v>212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423</v>
      </c>
      <c r="C271" s="10" t="s">
        <v>216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456</v>
      </c>
      <c r="C272" s="10" t="s">
        <v>217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340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242</v>
      </c>
      <c r="C274" s="10" t="s">
        <v>213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457</v>
      </c>
      <c r="C275" s="10" t="s">
        <v>217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341</v>
      </c>
      <c r="C276" s="10" t="s">
        <v>213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342</v>
      </c>
      <c r="C277" s="10" t="s">
        <v>217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343</v>
      </c>
      <c r="C278" s="10" t="s">
        <v>214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344</v>
      </c>
      <c r="C279" s="10" t="s">
        <v>216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2:AA193"/>
  <sheetViews>
    <sheetView tabSelected="1" topLeftCell="B1" workbookViewId="0">
      <selection activeCell="P15" sqref="P15"/>
    </sheetView>
  </sheetViews>
  <sheetFormatPr baseColWidth="10" defaultColWidth="9.140625" defaultRowHeight="15" x14ac:dyDescent="0.25"/>
  <cols>
    <col min="1" max="1" width="6.140625" hidden="1" customWidth="1"/>
    <col min="2" max="2" width="27.7109375" bestFit="1" customWidth="1"/>
    <col min="3" max="4" width="10.28515625" bestFit="1" customWidth="1"/>
    <col min="5" max="5" width="12.5703125" bestFit="1" customWidth="1"/>
    <col min="6" max="6" width="11.5703125" bestFit="1" customWidth="1"/>
    <col min="7" max="7" width="4.28515625" customWidth="1"/>
    <col min="8" max="8" width="6.28515625" hidden="1" customWidth="1"/>
    <col min="9" max="9" width="7.42578125" hidden="1" customWidth="1"/>
    <col min="10" max="10" width="6.140625" hidden="1" customWidth="1"/>
    <col min="11" max="11" width="7.140625" hidden="1" customWidth="1"/>
    <col min="12" max="12" width="17.5703125" hidden="1" customWidth="1"/>
    <col min="16" max="16" width="16.140625" customWidth="1"/>
    <col min="17" max="18" width="0" hidden="1" customWidth="1"/>
    <col min="20" max="20" width="27.140625" customWidth="1"/>
    <col min="21" max="21" width="10.7109375" customWidth="1"/>
    <col min="22" max="22" width="7.140625" bestFit="1" customWidth="1"/>
    <col min="23" max="23" width="7.85546875" customWidth="1"/>
    <col min="24" max="24" width="14.140625" customWidth="1"/>
    <col min="25" max="25" width="10.140625" bestFit="1" customWidth="1"/>
  </cols>
  <sheetData>
    <row r="2" spans="1:27" x14ac:dyDescent="0.25">
      <c r="A2" t="s">
        <v>1035</v>
      </c>
      <c r="B2" t="s">
        <v>79</v>
      </c>
      <c r="C2" t="s">
        <v>0</v>
      </c>
      <c r="D2" t="s">
        <v>71</v>
      </c>
      <c r="E2" t="s">
        <v>72</v>
      </c>
      <c r="F2" t="s">
        <v>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78</v>
      </c>
      <c r="M2" t="s">
        <v>80</v>
      </c>
      <c r="N2" t="s">
        <v>82</v>
      </c>
      <c r="O2" t="s">
        <v>83</v>
      </c>
      <c r="P2" t="s">
        <v>81</v>
      </c>
    </row>
    <row r="3" spans="1:27" x14ac:dyDescent="0.25">
      <c r="A3" t="str">
        <f>F3 &amp; " - " &amp; D3</f>
        <v>Nice - Ben Arfa</v>
      </c>
      <c r="B3" t="s">
        <v>1098</v>
      </c>
      <c r="C3" t="s">
        <v>8</v>
      </c>
      <c r="D3" t="s">
        <v>267</v>
      </c>
      <c r="E3" t="s">
        <v>268</v>
      </c>
      <c r="F3" t="s">
        <v>59</v>
      </c>
      <c r="G3">
        <v>61</v>
      </c>
      <c r="H3">
        <v>0</v>
      </c>
      <c r="I3">
        <v>0</v>
      </c>
      <c r="J3">
        <v>0</v>
      </c>
      <c r="M3">
        <f>IF(VLOOKUP(VLOOKUP($A3,_JOUEURS,2,FALSE),_DATA,8,FALSE)=0,"",VLOOKUP(VLOOKUP($A3,_JOUEURS,2,FALSE),_DATA,8,FALSE))</f>
        <v>5.4230769230769234</v>
      </c>
      <c r="N3">
        <f>VLOOKUP(VLOOKUP($A3,_JOUEURS,2,FALSE),_DATA,5,FALSE)</f>
        <v>26</v>
      </c>
      <c r="O3">
        <f>VLOOKUP(VLOOKUP($A3,_JOUEURS,2,FALSE),_DATA,6,FALSE)</f>
        <v>1</v>
      </c>
      <c r="P3">
        <f>VALUE(IF(R3="",0,R3))</f>
        <v>12</v>
      </c>
      <c r="Q3">
        <f t="shared" ref="Q3:Q33" si="0">VLOOKUP(VLOOKUP($A3,_JOUEURS,2,FALSE),_DATA,7,FALSE)</f>
        <v>12</v>
      </c>
      <c r="R3" t="str">
        <f>SUBSTITUTE(SUBSTITUTE(SUBSTITUTE(Q3," / ",""),"(-1)",""),"(-2)","")</f>
        <v>12</v>
      </c>
      <c r="Z3">
        <v>31</v>
      </c>
    </row>
    <row r="4" spans="1:27" hidden="1" x14ac:dyDescent="0.25">
      <c r="A4" t="str">
        <f t="shared" ref="A4:A66" si="1">F4 &amp; " - " &amp; D4</f>
        <v>Lyon - Lacazette</v>
      </c>
      <c r="B4" t="s">
        <v>10</v>
      </c>
      <c r="C4" t="s">
        <v>5</v>
      </c>
      <c r="D4" t="s">
        <v>45</v>
      </c>
      <c r="E4" t="s">
        <v>46</v>
      </c>
      <c r="F4" t="s">
        <v>47</v>
      </c>
      <c r="G4">
        <v>60</v>
      </c>
      <c r="H4">
        <v>0</v>
      </c>
      <c r="I4">
        <v>0</v>
      </c>
      <c r="J4">
        <v>0</v>
      </c>
      <c r="M4">
        <f>IF(VLOOKUP(VLOOKUP($A4,_JOUEURS,2,FALSE),_DATA,8,FALSE)=0,"",VLOOKUP(VLOOKUP($A4,_JOUEURS,2,FALSE),_DATA,8,FALSE))</f>
        <v>5.4074074074074074</v>
      </c>
      <c r="N4">
        <f>VLOOKUP(VLOOKUP($A4,_JOUEURS,2,FALSE),_DATA,5,FALSE)</f>
        <v>27</v>
      </c>
      <c r="O4">
        <f>VLOOKUP(VLOOKUP($A4,_JOUEURS,2,FALSE),_DATA,6,FALSE)</f>
        <v>0</v>
      </c>
      <c r="P4">
        <f>VALUE(IF(R4="",0,R4))</f>
        <v>14</v>
      </c>
      <c r="Q4">
        <f t="shared" si="0"/>
        <v>14</v>
      </c>
      <c r="R4" t="str">
        <f t="shared" ref="R4:R66" si="2">SUBSTITUTE(SUBSTITUTE(SUBSTITUTE(Q4," / ",""),"(-1)",""),"(-2)","")</f>
        <v>14</v>
      </c>
      <c r="T4" s="2" t="s">
        <v>162</v>
      </c>
      <c r="U4" t="s">
        <v>159</v>
      </c>
      <c r="V4" t="s">
        <v>160</v>
      </c>
      <c r="W4" t="s">
        <v>164</v>
      </c>
      <c r="X4" t="s">
        <v>161</v>
      </c>
      <c r="Y4" s="7" t="s">
        <v>165</v>
      </c>
      <c r="Z4" s="7" t="s">
        <v>221</v>
      </c>
    </row>
    <row r="5" spans="1:27" hidden="1" x14ac:dyDescent="0.25">
      <c r="A5" t="str">
        <f t="shared" si="1"/>
        <v>Paris - Cavani</v>
      </c>
      <c r="B5" t="s">
        <v>1109</v>
      </c>
      <c r="C5" t="s">
        <v>5</v>
      </c>
      <c r="D5" t="s">
        <v>106</v>
      </c>
      <c r="E5" t="s">
        <v>107</v>
      </c>
      <c r="F5" t="s">
        <v>67</v>
      </c>
      <c r="G5">
        <v>51</v>
      </c>
      <c r="H5">
        <v>0</v>
      </c>
      <c r="I5">
        <v>0</v>
      </c>
      <c r="J5">
        <v>0</v>
      </c>
      <c r="M5">
        <f>IF(VLOOKUP(VLOOKUP($A5,_JOUEURS,2,FALSE),_DATA,8,FALSE)=0,"",VLOOKUP(VLOOKUP($A5,_JOUEURS,2,FALSE),_DATA,8,FALSE))</f>
        <v>5.4545454545454541</v>
      </c>
      <c r="N5">
        <f>VLOOKUP(VLOOKUP($A5,_JOUEURS,2,FALSE),_DATA,5,FALSE)</f>
        <v>21</v>
      </c>
      <c r="O5">
        <f>VLOOKUP(VLOOKUP($A5,_JOUEURS,2,FALSE),_DATA,6,FALSE)</f>
        <v>6</v>
      </c>
      <c r="P5">
        <f>VALUE(IF(R5="",0,R5))</f>
        <v>14</v>
      </c>
      <c r="Q5">
        <f t="shared" si="0"/>
        <v>14</v>
      </c>
      <c r="R5" t="str">
        <f t="shared" si="2"/>
        <v>14</v>
      </c>
      <c r="T5" s="3" t="s">
        <v>10</v>
      </c>
      <c r="U5" s="4">
        <v>20</v>
      </c>
      <c r="V5" s="4">
        <v>386</v>
      </c>
      <c r="W5" s="4">
        <v>104</v>
      </c>
      <c r="X5" s="8">
        <v>5.5062949386218634</v>
      </c>
      <c r="Y5" s="8">
        <f>GETPIVOTDATA("Nb titu",$T$4,"Club",T5)/GETPIVOTDATA("Nb joueurs",$T$4,"Club",T5)</f>
        <v>19.3</v>
      </c>
      <c r="Z5" s="14">
        <f>Y5/Z$3</f>
        <v>0.6225806451612903</v>
      </c>
      <c r="AA5" s="281"/>
    </row>
    <row r="6" spans="1:27" hidden="1" x14ac:dyDescent="0.25">
      <c r="A6" t="str">
        <f t="shared" si="1"/>
        <v>Marseille - Michy</v>
      </c>
      <c r="B6" t="s">
        <v>1109</v>
      </c>
      <c r="C6" t="s">
        <v>5</v>
      </c>
      <c r="D6" t="s">
        <v>230</v>
      </c>
      <c r="F6" t="s">
        <v>44</v>
      </c>
      <c r="G6">
        <v>51</v>
      </c>
      <c r="H6">
        <v>0</v>
      </c>
      <c r="I6">
        <v>0</v>
      </c>
      <c r="J6">
        <v>0</v>
      </c>
      <c r="M6">
        <f>IF(VLOOKUP(VLOOKUP($A6,_JOUEURS,2,FALSE),_DATA,8,FALSE)=0,"",VLOOKUP(VLOOKUP($A6,_JOUEURS,2,FALSE),_DATA,8,FALSE))</f>
        <v>5.2857142857142856</v>
      </c>
      <c r="N6">
        <f>VLOOKUP(VLOOKUP($A6,_JOUEURS,2,FALSE),_DATA,5,FALSE)</f>
        <v>28</v>
      </c>
      <c r="O6">
        <f>VLOOKUP(VLOOKUP($A6,_JOUEURS,2,FALSE),_DATA,6,FALSE)</f>
        <v>2</v>
      </c>
      <c r="P6">
        <f>VALUE(IF(R6="",0,R6))</f>
        <v>13</v>
      </c>
      <c r="Q6">
        <f t="shared" si="0"/>
        <v>13</v>
      </c>
      <c r="R6" t="str">
        <f t="shared" si="2"/>
        <v>13</v>
      </c>
      <c r="T6" s="3" t="s">
        <v>1098</v>
      </c>
      <c r="U6" s="4">
        <v>20</v>
      </c>
      <c r="V6" s="4">
        <v>499</v>
      </c>
      <c r="W6" s="4">
        <v>104</v>
      </c>
      <c r="X6" s="8">
        <v>5.3805891795310954</v>
      </c>
      <c r="Y6" s="8">
        <f>GETPIVOTDATA("Nb titu",$T$4,"Club",T6)/GETPIVOTDATA("Nb joueurs",$T$4,"Club",T6)</f>
        <v>24.95</v>
      </c>
      <c r="Z6" s="14">
        <f t="shared" ref="Z6:Z8" si="3">Y6/Z$3</f>
        <v>0.80483870967741933</v>
      </c>
      <c r="AA6" s="281"/>
    </row>
    <row r="7" spans="1:27" x14ac:dyDescent="0.25">
      <c r="A7" t="str">
        <f t="shared" si="1"/>
        <v>Lille - Boufal</v>
      </c>
      <c r="B7" t="s">
        <v>1098</v>
      </c>
      <c r="C7" t="s">
        <v>8</v>
      </c>
      <c r="D7" t="s">
        <v>281</v>
      </c>
      <c r="E7" t="s">
        <v>282</v>
      </c>
      <c r="F7" t="s">
        <v>53</v>
      </c>
      <c r="G7">
        <v>55</v>
      </c>
      <c r="H7">
        <v>0</v>
      </c>
      <c r="I7">
        <v>0</v>
      </c>
      <c r="J7">
        <v>0</v>
      </c>
      <c r="M7">
        <f>IF(VLOOKUP(VLOOKUP($A7,_JOUEURS,2,FALSE),_DATA,8,FALSE)=0,"",VLOOKUP(VLOOKUP($A7,_JOUEURS,2,FALSE),_DATA,8,FALSE))</f>
        <v>5.625</v>
      </c>
      <c r="N7">
        <f>VLOOKUP(VLOOKUP($A7,_JOUEURS,2,FALSE),_DATA,5,FALSE)</f>
        <v>23</v>
      </c>
      <c r="O7">
        <f>VLOOKUP(VLOOKUP($A7,_JOUEURS,2,FALSE),_DATA,6,FALSE)</f>
        <v>2</v>
      </c>
      <c r="P7">
        <f>VALUE(IF(R7="",0,R7))</f>
        <v>9</v>
      </c>
      <c r="Q7">
        <f t="shared" si="0"/>
        <v>9</v>
      </c>
      <c r="R7" t="str">
        <f t="shared" si="2"/>
        <v>9</v>
      </c>
      <c r="T7" s="3" t="s">
        <v>1106</v>
      </c>
      <c r="U7" s="4">
        <v>20</v>
      </c>
      <c r="V7" s="4">
        <v>444</v>
      </c>
      <c r="W7" s="4">
        <v>81</v>
      </c>
      <c r="X7" s="8">
        <v>5.3316206505410042</v>
      </c>
      <c r="Y7" s="8">
        <f t="shared" ref="Y7:Y8" si="4">GETPIVOTDATA("Nb titu",$T$4,"Club",T7)/GETPIVOTDATA("Nb joueurs",$T$4,"Club",T7)</f>
        <v>22.2</v>
      </c>
      <c r="Z7" s="14">
        <f t="shared" si="3"/>
        <v>0.71612903225806446</v>
      </c>
      <c r="AA7" s="281"/>
    </row>
    <row r="8" spans="1:27" hidden="1" x14ac:dyDescent="0.25">
      <c r="A8" t="str">
        <f t="shared" si="1"/>
        <v>Toulouse - Ben Yedder</v>
      </c>
      <c r="B8" t="s">
        <v>10</v>
      </c>
      <c r="C8" t="s">
        <v>5</v>
      </c>
      <c r="D8" t="s">
        <v>128</v>
      </c>
      <c r="E8" t="s">
        <v>129</v>
      </c>
      <c r="F8" t="s">
        <v>60</v>
      </c>
      <c r="G8">
        <v>35</v>
      </c>
      <c r="H8">
        <v>0</v>
      </c>
      <c r="I8">
        <v>0</v>
      </c>
      <c r="J8">
        <v>0</v>
      </c>
      <c r="M8">
        <f>IF(VLOOKUP(VLOOKUP($A8,_JOUEURS,2,FALSE),_DATA,8,FALSE)=0,"",VLOOKUP(VLOOKUP($A8,_JOUEURS,2,FALSE),_DATA,8,FALSE))</f>
        <v>5.0740740740740744</v>
      </c>
      <c r="N8">
        <f>VLOOKUP(VLOOKUP($A8,_JOUEURS,2,FALSE),_DATA,5,FALSE)</f>
        <v>27</v>
      </c>
      <c r="O8">
        <f>VLOOKUP(VLOOKUP($A8,_JOUEURS,2,FALSE),_DATA,6,FALSE)</f>
        <v>1</v>
      </c>
      <c r="P8">
        <f>VALUE(IF(R8="",0,R8))</f>
        <v>12</v>
      </c>
      <c r="Q8">
        <f t="shared" si="0"/>
        <v>12</v>
      </c>
      <c r="R8" t="str">
        <f t="shared" si="2"/>
        <v>12</v>
      </c>
      <c r="T8" s="3" t="s">
        <v>1109</v>
      </c>
      <c r="U8" s="4">
        <v>26</v>
      </c>
      <c r="V8" s="4">
        <v>508</v>
      </c>
      <c r="W8" s="4">
        <v>69</v>
      </c>
      <c r="X8" s="8">
        <v>5.2937575235971766</v>
      </c>
      <c r="Y8" s="8">
        <f t="shared" si="4"/>
        <v>19.53846153846154</v>
      </c>
      <c r="Z8" s="14">
        <f t="shared" si="3"/>
        <v>0.63027295285359808</v>
      </c>
      <c r="AA8" s="281"/>
    </row>
    <row r="9" spans="1:27" hidden="1" x14ac:dyDescent="0.25">
      <c r="A9" t="str">
        <f t="shared" si="1"/>
        <v>Rennes - Dembele</v>
      </c>
      <c r="B9" t="s">
        <v>10</v>
      </c>
      <c r="C9" t="s">
        <v>5</v>
      </c>
      <c r="D9" t="s">
        <v>1101</v>
      </c>
      <c r="E9" t="s">
        <v>1102</v>
      </c>
      <c r="F9" t="s">
        <v>61</v>
      </c>
      <c r="G9">
        <v>35</v>
      </c>
      <c r="H9">
        <v>0</v>
      </c>
      <c r="I9">
        <v>0</v>
      </c>
      <c r="J9">
        <v>0</v>
      </c>
      <c r="M9">
        <f>IF(VLOOKUP(VLOOKUP($A9,_JOUEURS,2,FALSE),_DATA,8,FALSE)=0,"",VLOOKUP(VLOOKUP($A9,_JOUEURS,2,FALSE),_DATA,8,FALSE))</f>
        <v>6.1875</v>
      </c>
      <c r="N9">
        <f>VLOOKUP(VLOOKUP($A9,_JOUEURS,2,FALSE),_DATA,5,FALSE)</f>
        <v>15</v>
      </c>
      <c r="O9">
        <f>VLOOKUP(VLOOKUP($A9,_JOUEURS,2,FALSE),_DATA,6,FALSE)</f>
        <v>4</v>
      </c>
      <c r="P9">
        <f>VALUE(IF(R9="",0,R9))</f>
        <v>10</v>
      </c>
      <c r="Q9">
        <f t="shared" si="0"/>
        <v>10</v>
      </c>
      <c r="R9" t="str">
        <f t="shared" si="2"/>
        <v>10</v>
      </c>
      <c r="T9" s="3" t="s">
        <v>163</v>
      </c>
      <c r="U9" s="4">
        <v>86</v>
      </c>
      <c r="V9" s="4">
        <v>1837</v>
      </c>
      <c r="W9" s="4">
        <v>358</v>
      </c>
      <c r="X9" s="8">
        <v>5.3731062760448092</v>
      </c>
      <c r="Y9" s="9">
        <f>GETPIVOTDATA("Nb titu",$T$4)/GETPIVOTDATA("Nb joueurs",$T$4)</f>
        <v>21.36046511627907</v>
      </c>
      <c r="Z9" s="14">
        <f>Y9/Z$3</f>
        <v>0.68904726181545384</v>
      </c>
      <c r="AA9" s="281"/>
    </row>
    <row r="10" spans="1:27" hidden="1" x14ac:dyDescent="0.25">
      <c r="A10" t="str">
        <f t="shared" si="1"/>
        <v>Nice - Germain</v>
      </c>
      <c r="B10" t="s">
        <v>10</v>
      </c>
      <c r="C10" t="s">
        <v>5</v>
      </c>
      <c r="D10" t="s">
        <v>195</v>
      </c>
      <c r="E10" t="s">
        <v>196</v>
      </c>
      <c r="F10" t="s">
        <v>59</v>
      </c>
      <c r="G10">
        <v>39</v>
      </c>
      <c r="H10">
        <v>0</v>
      </c>
      <c r="I10">
        <v>0</v>
      </c>
      <c r="J10">
        <v>0</v>
      </c>
      <c r="K10" t="s">
        <v>254</v>
      </c>
      <c r="L10" t="s">
        <v>254</v>
      </c>
      <c r="M10">
        <f>IF(VLOOKUP(VLOOKUP($A10,_JOUEURS,2,FALSE),_DATA,8,FALSE)=0,"",VLOOKUP(VLOOKUP($A10,_JOUEURS,2,FALSE),_DATA,8,FALSE))</f>
        <v>5.1034482758620694</v>
      </c>
      <c r="N10">
        <f>VLOOKUP(VLOOKUP($A10,_JOUEURS,2,FALSE),_DATA,5,FALSE)</f>
        <v>29</v>
      </c>
      <c r="O10">
        <f>VLOOKUP(VLOOKUP($A10,_JOUEURS,2,FALSE),_DATA,6,FALSE)</f>
        <v>2</v>
      </c>
      <c r="P10">
        <f>VALUE(IF(R10="",0,R10))</f>
        <v>10</v>
      </c>
      <c r="Q10">
        <f t="shared" si="0"/>
        <v>10</v>
      </c>
      <c r="R10" t="str">
        <f t="shared" si="2"/>
        <v>10</v>
      </c>
      <c r="Y10" s="8"/>
      <c r="Z10" s="14"/>
      <c r="AA10" s="281"/>
    </row>
    <row r="11" spans="1:27" hidden="1" x14ac:dyDescent="0.25">
      <c r="A11" t="str">
        <f t="shared" si="1"/>
        <v>Caen - Delort</v>
      </c>
      <c r="B11" t="s">
        <v>1106</v>
      </c>
      <c r="C11" t="s">
        <v>5</v>
      </c>
      <c r="D11" t="s">
        <v>265</v>
      </c>
      <c r="E11" t="s">
        <v>266</v>
      </c>
      <c r="F11" t="s">
        <v>56</v>
      </c>
      <c r="G11">
        <v>34</v>
      </c>
      <c r="H11">
        <v>0</v>
      </c>
      <c r="I11">
        <v>0</v>
      </c>
      <c r="J11">
        <v>0</v>
      </c>
      <c r="M11">
        <f>IF(VLOOKUP(VLOOKUP($A11,_JOUEURS,2,FALSE),_DATA,8,FALSE)=0,"",VLOOKUP(VLOOKUP($A11,_JOUEURS,2,FALSE),_DATA,8,FALSE))</f>
        <v>5.2333333333333334</v>
      </c>
      <c r="N11">
        <f>VLOOKUP(VLOOKUP($A11,_JOUEURS,2,FALSE),_DATA,5,FALSE)</f>
        <v>28</v>
      </c>
      <c r="O11">
        <f>VLOOKUP(VLOOKUP($A11,_JOUEURS,2,FALSE),_DATA,6,FALSE)</f>
        <v>2</v>
      </c>
      <c r="P11">
        <f>VALUE(IF(R11="",0,R11))</f>
        <v>10</v>
      </c>
      <c r="Q11">
        <f t="shared" si="0"/>
        <v>10</v>
      </c>
      <c r="R11" t="str">
        <f t="shared" si="2"/>
        <v>10</v>
      </c>
      <c r="Y11" s="8"/>
      <c r="Z11" s="14"/>
      <c r="AA11" s="281"/>
    </row>
    <row r="12" spans="1:27" x14ac:dyDescent="0.25">
      <c r="A12" t="str">
        <f t="shared" si="1"/>
        <v>Angers - Ndoye</v>
      </c>
      <c r="B12" t="s">
        <v>1098</v>
      </c>
      <c r="C12" t="s">
        <v>8</v>
      </c>
      <c r="D12" t="s">
        <v>485</v>
      </c>
      <c r="E12" t="s">
        <v>269</v>
      </c>
      <c r="F12" t="s">
        <v>258</v>
      </c>
      <c r="G12">
        <v>25</v>
      </c>
      <c r="H12">
        <v>3</v>
      </c>
      <c r="I12">
        <v>1</v>
      </c>
      <c r="J12">
        <v>4</v>
      </c>
      <c r="K12" t="s">
        <v>480</v>
      </c>
      <c r="L12" t="s">
        <v>481</v>
      </c>
      <c r="M12">
        <f>IF(VLOOKUP(VLOOKUP($A12,_JOUEURS,2,FALSE),_DATA,8,FALSE)=0,"",VLOOKUP(VLOOKUP($A12,_JOUEURS,2,FALSE),_DATA,8,FALSE))</f>
        <v>5.125</v>
      </c>
      <c r="N12">
        <f>VLOOKUP(VLOOKUP($A12,_JOUEURS,2,FALSE),_DATA,5,FALSE)</f>
        <v>26</v>
      </c>
      <c r="O12">
        <f>VLOOKUP(VLOOKUP($A12,_JOUEURS,2,FALSE),_DATA,6,FALSE)</f>
        <v>0</v>
      </c>
      <c r="P12">
        <f>VALUE(IF(R12="",0,R12))</f>
        <v>8</v>
      </c>
      <c r="Q12">
        <f t="shared" si="0"/>
        <v>8</v>
      </c>
      <c r="R12" t="str">
        <f t="shared" si="2"/>
        <v>8</v>
      </c>
      <c r="Y12" s="8"/>
      <c r="Z12" s="14"/>
      <c r="AA12" s="281"/>
    </row>
    <row r="13" spans="1:27" hidden="1" x14ac:dyDescent="0.25">
      <c r="A13" t="str">
        <f t="shared" si="1"/>
        <v>Paris - Di María</v>
      </c>
      <c r="B13" t="s">
        <v>10</v>
      </c>
      <c r="C13" t="s">
        <v>8</v>
      </c>
      <c r="D13" t="s">
        <v>574</v>
      </c>
      <c r="E13" t="s">
        <v>262</v>
      </c>
      <c r="F13" t="s">
        <v>67</v>
      </c>
      <c r="G13">
        <v>51</v>
      </c>
      <c r="H13">
        <v>0</v>
      </c>
      <c r="I13">
        <v>0</v>
      </c>
      <c r="J13">
        <v>0</v>
      </c>
      <c r="M13">
        <f>IF(VLOOKUP(VLOOKUP($A13,_JOUEURS,2,FALSE),_DATA,8,FALSE)=0,"",VLOOKUP(VLOOKUP($A13,_JOUEURS,2,FALSE),_DATA,8,FALSE))</f>
        <v>6.45</v>
      </c>
      <c r="N13">
        <f>VLOOKUP(VLOOKUP($A13,_JOUEURS,2,FALSE),_DATA,5,FALSE)</f>
        <v>21</v>
      </c>
      <c r="O13">
        <f>VLOOKUP(VLOOKUP($A13,_JOUEURS,2,FALSE),_DATA,6,FALSE)</f>
        <v>3</v>
      </c>
      <c r="P13">
        <f>VALUE(IF(R13="",0,R13))</f>
        <v>9</v>
      </c>
      <c r="Q13">
        <f t="shared" si="0"/>
        <v>9</v>
      </c>
      <c r="R13" t="str">
        <f t="shared" si="2"/>
        <v>9</v>
      </c>
    </row>
    <row r="14" spans="1:27" hidden="1" x14ac:dyDescent="0.25">
      <c r="A14" t="str">
        <f t="shared" si="1"/>
        <v>Lorient - Majeed Waris</v>
      </c>
      <c r="B14" t="s">
        <v>1106</v>
      </c>
      <c r="C14" t="s">
        <v>5</v>
      </c>
      <c r="D14" t="s">
        <v>384</v>
      </c>
      <c r="F14" t="s">
        <v>57</v>
      </c>
      <c r="G14">
        <v>34</v>
      </c>
      <c r="H14">
        <v>0</v>
      </c>
      <c r="I14">
        <v>0</v>
      </c>
      <c r="J14">
        <v>0</v>
      </c>
      <c r="M14">
        <f>IF(VLOOKUP(VLOOKUP($A14,_JOUEURS,2,FALSE),_DATA,8,FALSE)=0,"",VLOOKUP(VLOOKUP($A14,_JOUEURS,2,FALSE),_DATA,8,FALSE))</f>
        <v>5.2941176470588234</v>
      </c>
      <c r="N14">
        <f>VLOOKUP(VLOOKUP($A14,_JOUEURS,2,FALSE),_DATA,5,FALSE)</f>
        <v>18</v>
      </c>
      <c r="O14">
        <f>VLOOKUP(VLOOKUP($A14,_JOUEURS,2,FALSE),_DATA,6,FALSE)</f>
        <v>0</v>
      </c>
      <c r="P14">
        <f>VALUE(IF(R14="",0,R14))</f>
        <v>9</v>
      </c>
      <c r="Q14">
        <f t="shared" si="0"/>
        <v>9</v>
      </c>
      <c r="R14" t="str">
        <f t="shared" si="2"/>
        <v>9</v>
      </c>
    </row>
    <row r="15" spans="1:27" x14ac:dyDescent="0.25">
      <c r="A15" t="str">
        <f t="shared" si="1"/>
        <v>Guingamp - Salibur</v>
      </c>
      <c r="B15" t="s">
        <v>1098</v>
      </c>
      <c r="C15" t="s">
        <v>8</v>
      </c>
      <c r="D15" t="s">
        <v>486</v>
      </c>
      <c r="E15" t="s">
        <v>487</v>
      </c>
      <c r="F15" t="s">
        <v>70</v>
      </c>
      <c r="G15">
        <v>13</v>
      </c>
      <c r="H15">
        <v>0</v>
      </c>
      <c r="I15">
        <v>0</v>
      </c>
      <c r="J15">
        <v>0</v>
      </c>
      <c r="M15">
        <f>IF(VLOOKUP(VLOOKUP($A15,_JOUEURS,2,FALSE),_DATA,8,FALSE)=0,"",VLOOKUP(VLOOKUP($A15,_JOUEURS,2,FALSE),_DATA,8,FALSE))</f>
        <v>5.2307692307692308</v>
      </c>
      <c r="N15">
        <f>VLOOKUP(VLOOKUP($A15,_JOUEURS,2,FALSE),_DATA,5,FALSE)</f>
        <v>26</v>
      </c>
      <c r="O15">
        <f>VLOOKUP(VLOOKUP($A15,_JOUEURS,2,FALSE),_DATA,6,FALSE)</f>
        <v>2</v>
      </c>
      <c r="P15">
        <f>VALUE(IF(R15="",0,R15))</f>
        <v>6</v>
      </c>
      <c r="Q15">
        <f t="shared" si="0"/>
        <v>6</v>
      </c>
      <c r="R15" t="str">
        <f t="shared" si="2"/>
        <v>6</v>
      </c>
    </row>
    <row r="16" spans="1:27" hidden="1" x14ac:dyDescent="0.25">
      <c r="A16" t="str">
        <f t="shared" si="1"/>
        <v>Rennes - Grosicki</v>
      </c>
      <c r="B16" t="s">
        <v>10</v>
      </c>
      <c r="C16" t="s">
        <v>5</v>
      </c>
      <c r="D16" t="s">
        <v>583</v>
      </c>
      <c r="E16" t="s">
        <v>584</v>
      </c>
      <c r="F16" t="s">
        <v>61</v>
      </c>
      <c r="G16">
        <v>17</v>
      </c>
      <c r="H16">
        <v>0</v>
      </c>
      <c r="I16">
        <v>0</v>
      </c>
      <c r="J16">
        <v>0</v>
      </c>
      <c r="M16">
        <f>IF(VLOOKUP(VLOOKUP($A16,_JOUEURS,2,FALSE),_DATA,8,FALSE)=0,"",VLOOKUP(VLOOKUP($A16,_JOUEURS,2,FALSE),_DATA,8,FALSE))</f>
        <v>5.0999999999999996</v>
      </c>
      <c r="N16">
        <f>VLOOKUP(VLOOKUP($A16,_JOUEURS,2,FALSE),_DATA,5,FALSE)</f>
        <v>9</v>
      </c>
      <c r="O16">
        <f>VLOOKUP(VLOOKUP($A16,_JOUEURS,2,FALSE),_DATA,6,FALSE)</f>
        <v>19</v>
      </c>
      <c r="P16">
        <f>VALUE(IF(R16="",0,R16))</f>
        <v>8</v>
      </c>
      <c r="Q16">
        <f t="shared" si="0"/>
        <v>8</v>
      </c>
      <c r="R16" t="str">
        <f t="shared" si="2"/>
        <v>8</v>
      </c>
    </row>
    <row r="17" spans="1:18" hidden="1" x14ac:dyDescent="0.25">
      <c r="A17" t="str">
        <f t="shared" si="1"/>
        <v>Bastia - Floyd Ayité</v>
      </c>
      <c r="B17" t="s">
        <v>10</v>
      </c>
      <c r="C17" t="s">
        <v>8</v>
      </c>
      <c r="D17" t="s">
        <v>400</v>
      </c>
      <c r="F17" t="s">
        <v>108</v>
      </c>
      <c r="G17">
        <v>22</v>
      </c>
      <c r="H17">
        <v>0</v>
      </c>
      <c r="I17">
        <v>0</v>
      </c>
      <c r="J17">
        <v>0</v>
      </c>
      <c r="M17">
        <f>IF(VLOOKUP(VLOOKUP($A17,_JOUEURS,2,FALSE),_DATA,8,FALSE)=0,"",VLOOKUP(VLOOKUP($A17,_JOUEURS,2,FALSE),_DATA,8,FALSE))</f>
        <v>5.125</v>
      </c>
      <c r="N17">
        <f>VLOOKUP(VLOOKUP($A17,_JOUEURS,2,FALSE),_DATA,5,FALSE)</f>
        <v>25</v>
      </c>
      <c r="O17">
        <f>VLOOKUP(VLOOKUP($A17,_JOUEURS,2,FALSE),_DATA,6,FALSE)</f>
        <v>2</v>
      </c>
      <c r="P17">
        <f>VALUE(IF(R17="",0,R17))</f>
        <v>8</v>
      </c>
      <c r="Q17">
        <f t="shared" si="0"/>
        <v>8</v>
      </c>
      <c r="R17" t="str">
        <f t="shared" si="2"/>
        <v>8</v>
      </c>
    </row>
    <row r="18" spans="1:18" hidden="1" x14ac:dyDescent="0.25">
      <c r="A18" t="str">
        <f t="shared" si="1"/>
        <v>Toulouse - Braithwaite</v>
      </c>
      <c r="B18" t="s">
        <v>1106</v>
      </c>
      <c r="C18" t="s">
        <v>5</v>
      </c>
      <c r="D18" t="s">
        <v>141</v>
      </c>
      <c r="E18" t="s">
        <v>65</v>
      </c>
      <c r="F18" t="s">
        <v>60</v>
      </c>
      <c r="G18">
        <v>19</v>
      </c>
      <c r="H18">
        <v>0</v>
      </c>
      <c r="I18">
        <v>0</v>
      </c>
      <c r="J18">
        <v>0</v>
      </c>
      <c r="M18">
        <f>IF(VLOOKUP(VLOOKUP($A18,_JOUEURS,2,FALSE),_DATA,8,FALSE)=0,"",VLOOKUP(VLOOKUP($A18,_JOUEURS,2,FALSE),_DATA,8,FALSE))</f>
        <v>4.9230769230769234</v>
      </c>
      <c r="N18">
        <f>VLOOKUP(VLOOKUP($A18,_JOUEURS,2,FALSE),_DATA,5,FALSE)</f>
        <v>26</v>
      </c>
      <c r="O18">
        <f>VLOOKUP(VLOOKUP($A18,_JOUEURS,2,FALSE),_DATA,6,FALSE)</f>
        <v>3</v>
      </c>
      <c r="P18">
        <f>VALUE(IF(R18="",0,R18))</f>
        <v>8</v>
      </c>
      <c r="Q18">
        <f t="shared" si="0"/>
        <v>8</v>
      </c>
      <c r="R18" t="str">
        <f t="shared" si="2"/>
        <v>8</v>
      </c>
    </row>
    <row r="19" spans="1:18" hidden="1" x14ac:dyDescent="0.25">
      <c r="A19" t="str">
        <f t="shared" si="1"/>
        <v>Caen - Rodelin</v>
      </c>
      <c r="B19" t="s">
        <v>1106</v>
      </c>
      <c r="C19" t="s">
        <v>5</v>
      </c>
      <c r="D19" t="s">
        <v>461</v>
      </c>
      <c r="E19" t="s">
        <v>462</v>
      </c>
      <c r="F19" t="s">
        <v>56</v>
      </c>
      <c r="G19">
        <v>36</v>
      </c>
      <c r="H19">
        <v>0</v>
      </c>
      <c r="I19">
        <v>0</v>
      </c>
      <c r="J19">
        <v>0</v>
      </c>
      <c r="M19">
        <f>IF(VLOOKUP(VLOOKUP($A19,_JOUEURS,2,FALSE),_DATA,8,FALSE)=0,"",VLOOKUP(VLOOKUP($A19,_JOUEURS,2,FALSE),_DATA,8,FALSE))</f>
        <v>5.3461538461538458</v>
      </c>
      <c r="N19">
        <f>VLOOKUP(VLOOKUP($A19,_JOUEURS,2,FALSE),_DATA,5,FALSE)</f>
        <v>26</v>
      </c>
      <c r="O19">
        <f>VLOOKUP(VLOOKUP($A19,_JOUEURS,2,FALSE),_DATA,6,FALSE)</f>
        <v>1</v>
      </c>
      <c r="P19">
        <f>VALUE(IF(R19="",0,R19))</f>
        <v>8</v>
      </c>
      <c r="Q19">
        <f t="shared" si="0"/>
        <v>8</v>
      </c>
      <c r="R19" t="str">
        <f t="shared" si="2"/>
        <v>8</v>
      </c>
    </row>
    <row r="20" spans="1:18" hidden="1" x14ac:dyDescent="0.25">
      <c r="A20" t="str">
        <f t="shared" si="1"/>
        <v>Ajaccio - Larbi</v>
      </c>
      <c r="B20" t="s">
        <v>1106</v>
      </c>
      <c r="C20" t="s">
        <v>8</v>
      </c>
      <c r="D20" t="s">
        <v>590</v>
      </c>
      <c r="E20" t="s">
        <v>591</v>
      </c>
      <c r="F20" t="s">
        <v>261</v>
      </c>
      <c r="G20">
        <v>17</v>
      </c>
      <c r="H20">
        <v>1</v>
      </c>
      <c r="I20">
        <v>1</v>
      </c>
      <c r="J20">
        <v>2</v>
      </c>
      <c r="K20" t="s">
        <v>260</v>
      </c>
      <c r="L20" t="s">
        <v>256</v>
      </c>
      <c r="M20">
        <f>IF(VLOOKUP(VLOOKUP($A20,_JOUEURS,2,FALSE),_DATA,8,FALSE)=0,"",VLOOKUP(VLOOKUP($A20,_JOUEURS,2,FALSE),_DATA,8,FALSE))</f>
        <v>4.9130434782608692</v>
      </c>
      <c r="N20">
        <f>VLOOKUP(VLOOKUP($A20,_JOUEURS,2,FALSE),_DATA,5,FALSE)</f>
        <v>23</v>
      </c>
      <c r="O20">
        <f>VLOOKUP(VLOOKUP($A20,_JOUEURS,2,FALSE),_DATA,6,FALSE)</f>
        <v>3</v>
      </c>
      <c r="P20">
        <f>VALUE(IF(R20="",0,R20))</f>
        <v>8</v>
      </c>
      <c r="Q20">
        <f t="shared" si="0"/>
        <v>8</v>
      </c>
      <c r="R20" t="str">
        <f t="shared" si="2"/>
        <v>8</v>
      </c>
    </row>
    <row r="21" spans="1:18" x14ac:dyDescent="0.25">
      <c r="A21" t="str">
        <f t="shared" si="1"/>
        <v>Caen - Féret</v>
      </c>
      <c r="B21" t="s">
        <v>1098</v>
      </c>
      <c r="C21" t="s">
        <v>8</v>
      </c>
      <c r="D21" t="s">
        <v>63</v>
      </c>
      <c r="E21" t="s">
        <v>64</v>
      </c>
      <c r="F21" t="s">
        <v>56</v>
      </c>
      <c r="G21">
        <v>21</v>
      </c>
      <c r="H21">
        <v>0</v>
      </c>
      <c r="I21">
        <v>0</v>
      </c>
      <c r="J21">
        <v>0</v>
      </c>
      <c r="M21">
        <f>IF(VLOOKUP(VLOOKUP($A21,_JOUEURS,2,FALSE),_DATA,8,FALSE)=0,"",VLOOKUP(VLOOKUP($A21,_JOUEURS,2,FALSE),_DATA,8,FALSE))</f>
        <v>5.290322580645161</v>
      </c>
      <c r="N21">
        <f>VLOOKUP(VLOOKUP($A21,_JOUEURS,2,FALSE),_DATA,5,FALSE)</f>
        <v>31</v>
      </c>
      <c r="O21">
        <f>VLOOKUP(VLOOKUP($A21,_JOUEURS,2,FALSE),_DATA,6,FALSE)</f>
        <v>0</v>
      </c>
      <c r="P21">
        <f>VALUE(IF(R21="",0,R21))</f>
        <v>4</v>
      </c>
      <c r="Q21">
        <f t="shared" si="0"/>
        <v>4</v>
      </c>
      <c r="R21" t="str">
        <f t="shared" si="2"/>
        <v>4</v>
      </c>
    </row>
    <row r="22" spans="1:18" x14ac:dyDescent="0.25">
      <c r="A22" t="str">
        <f t="shared" si="1"/>
        <v>Nice - Koziello</v>
      </c>
      <c r="B22" t="s">
        <v>1098</v>
      </c>
      <c r="C22" t="s">
        <v>8</v>
      </c>
      <c r="D22" t="s">
        <v>525</v>
      </c>
      <c r="E22" t="s">
        <v>115</v>
      </c>
      <c r="F22" t="s">
        <v>59</v>
      </c>
      <c r="G22">
        <v>9</v>
      </c>
      <c r="H22">
        <v>0</v>
      </c>
      <c r="I22">
        <v>0</v>
      </c>
      <c r="J22">
        <v>0</v>
      </c>
      <c r="M22">
        <f>IF(VLOOKUP(VLOOKUP($A22,_JOUEURS,2,FALSE),_DATA,8,FALSE)=0,"",VLOOKUP(VLOOKUP($A22,_JOUEURS,2,FALSE),_DATA,8,FALSE))</f>
        <v>5.24</v>
      </c>
      <c r="N22">
        <f>VLOOKUP(VLOOKUP($A22,_JOUEURS,2,FALSE),_DATA,5,FALSE)</f>
        <v>25</v>
      </c>
      <c r="O22">
        <f>VLOOKUP(VLOOKUP($A22,_JOUEURS,2,FALSE),_DATA,6,FALSE)</f>
        <v>3</v>
      </c>
      <c r="P22">
        <f>VALUE(IF(R22="",0,R22))</f>
        <v>3</v>
      </c>
      <c r="Q22">
        <f t="shared" si="0"/>
        <v>3</v>
      </c>
      <c r="R22" t="str">
        <f t="shared" si="2"/>
        <v>3</v>
      </c>
    </row>
    <row r="23" spans="1:18" x14ac:dyDescent="0.25">
      <c r="A23" t="str">
        <f t="shared" si="1"/>
        <v>Montpellier - Martin</v>
      </c>
      <c r="B23" t="s">
        <v>1098</v>
      </c>
      <c r="C23" t="s">
        <v>8</v>
      </c>
      <c r="D23" t="s">
        <v>65</v>
      </c>
      <c r="E23" t="s">
        <v>66</v>
      </c>
      <c r="F23" t="s">
        <v>40</v>
      </c>
      <c r="G23">
        <v>18</v>
      </c>
      <c r="H23">
        <v>0</v>
      </c>
      <c r="I23">
        <v>0</v>
      </c>
      <c r="J23">
        <v>0</v>
      </c>
      <c r="M23">
        <f>IF(VLOOKUP(VLOOKUP($A23,_JOUEURS,2,FALSE),_DATA,8,FALSE)=0,"",VLOOKUP(VLOOKUP($A23,_JOUEURS,2,FALSE),_DATA,8,FALSE))</f>
        <v>5.3793103448275863</v>
      </c>
      <c r="N23">
        <f>VLOOKUP(VLOOKUP($A23,_JOUEURS,2,FALSE),_DATA,5,FALSE)</f>
        <v>28</v>
      </c>
      <c r="O23">
        <f>VLOOKUP(VLOOKUP($A23,_JOUEURS,2,FALSE),_DATA,6,FALSE)</f>
        <v>1</v>
      </c>
      <c r="P23">
        <f>VALUE(IF(R23="",0,R23))</f>
        <v>3</v>
      </c>
      <c r="Q23">
        <f t="shared" si="0"/>
        <v>3</v>
      </c>
      <c r="R23" t="str">
        <f t="shared" si="2"/>
        <v>3</v>
      </c>
    </row>
    <row r="24" spans="1:18" hidden="1" x14ac:dyDescent="0.25">
      <c r="A24" t="str">
        <f t="shared" si="1"/>
        <v>Paris - Lucas Moura</v>
      </c>
      <c r="B24" t="s">
        <v>10</v>
      </c>
      <c r="C24" t="s">
        <v>8</v>
      </c>
      <c r="D24" t="s">
        <v>385</v>
      </c>
      <c r="F24" t="s">
        <v>67</v>
      </c>
      <c r="G24">
        <v>50</v>
      </c>
      <c r="H24">
        <v>0</v>
      </c>
      <c r="I24">
        <v>0</v>
      </c>
      <c r="J24">
        <v>0</v>
      </c>
      <c r="M24">
        <f>IF(VLOOKUP(VLOOKUP($A24,_JOUEURS,2,FALSE),_DATA,8,FALSE)=0,"",VLOOKUP(VLOOKUP($A24,_JOUEURS,2,FALSE),_DATA,8,FALSE))</f>
        <v>5.5454545454545459</v>
      </c>
      <c r="N24">
        <f>VLOOKUP(VLOOKUP($A24,_JOUEURS,2,FALSE),_DATA,5,FALSE)</f>
        <v>21</v>
      </c>
      <c r="O24">
        <f>VLOOKUP(VLOOKUP($A24,_JOUEURS,2,FALSE),_DATA,6,FALSE)</f>
        <v>8</v>
      </c>
      <c r="P24">
        <f>VALUE(IF(R24="",0,R24))</f>
        <v>6</v>
      </c>
      <c r="Q24">
        <f t="shared" si="0"/>
        <v>6</v>
      </c>
      <c r="R24" t="str">
        <f t="shared" si="2"/>
        <v>6</v>
      </c>
    </row>
    <row r="25" spans="1:18" hidden="1" x14ac:dyDescent="0.25">
      <c r="A25" t="str">
        <f t="shared" si="1"/>
        <v>Nantes - Sala</v>
      </c>
      <c r="B25" t="s">
        <v>1106</v>
      </c>
      <c r="C25" t="s">
        <v>5</v>
      </c>
      <c r="D25" t="s">
        <v>463</v>
      </c>
      <c r="E25" t="s">
        <v>464</v>
      </c>
      <c r="F25" t="s">
        <v>43</v>
      </c>
      <c r="G25">
        <v>18</v>
      </c>
      <c r="H25">
        <v>0</v>
      </c>
      <c r="I25">
        <v>0</v>
      </c>
      <c r="J25">
        <v>0</v>
      </c>
      <c r="M25">
        <f>IF(VLOOKUP(VLOOKUP($A25,_JOUEURS,2,FALSE),_DATA,8,FALSE)=0,"",VLOOKUP(VLOOKUP($A25,_JOUEURS,2,FALSE),_DATA,8,FALSE))</f>
        <v>5.117647058823529</v>
      </c>
      <c r="N25">
        <f>VLOOKUP(VLOOKUP($A25,_JOUEURS,2,FALSE),_DATA,5,FALSE)</f>
        <v>16</v>
      </c>
      <c r="O25">
        <f>VLOOKUP(VLOOKUP($A25,_JOUEURS,2,FALSE),_DATA,6,FALSE)</f>
        <v>8</v>
      </c>
      <c r="P25">
        <f>VALUE(IF(R25="",0,R25))</f>
        <v>6</v>
      </c>
      <c r="Q25">
        <f t="shared" si="0"/>
        <v>6</v>
      </c>
      <c r="R25" t="str">
        <f t="shared" si="2"/>
        <v>6</v>
      </c>
    </row>
    <row r="26" spans="1:18" hidden="1" x14ac:dyDescent="0.25">
      <c r="A26" t="str">
        <f t="shared" si="1"/>
        <v>Guingamp - Briand</v>
      </c>
      <c r="B26" t="s">
        <v>1109</v>
      </c>
      <c r="C26" t="s">
        <v>5</v>
      </c>
      <c r="D26" t="s">
        <v>291</v>
      </c>
      <c r="E26" t="s">
        <v>292</v>
      </c>
      <c r="F26" t="s">
        <v>70</v>
      </c>
      <c r="G26">
        <v>15</v>
      </c>
      <c r="H26">
        <v>0</v>
      </c>
      <c r="I26">
        <v>0</v>
      </c>
      <c r="J26">
        <v>0</v>
      </c>
      <c r="M26">
        <f>IF(VLOOKUP(VLOOKUP($A26,_JOUEURS,2,FALSE),_DATA,8,FALSE)=0,"",VLOOKUP(VLOOKUP($A26,_JOUEURS,2,FALSE),_DATA,8,FALSE))</f>
        <v>5</v>
      </c>
      <c r="N26">
        <f>VLOOKUP(VLOOKUP($A26,_JOUEURS,2,FALSE),_DATA,5,FALSE)</f>
        <v>26</v>
      </c>
      <c r="O26">
        <f>VLOOKUP(VLOOKUP($A26,_JOUEURS,2,FALSE),_DATA,6,FALSE)</f>
        <v>2</v>
      </c>
      <c r="P26">
        <f>VALUE(IF(R26="",0,R26))</f>
        <v>6</v>
      </c>
      <c r="Q26">
        <f t="shared" si="0"/>
        <v>6</v>
      </c>
      <c r="R26" t="str">
        <f t="shared" si="2"/>
        <v>6</v>
      </c>
    </row>
    <row r="27" spans="1:18" hidden="1" x14ac:dyDescent="0.25">
      <c r="A27" t="str">
        <f t="shared" si="1"/>
        <v>Bastia - Leca</v>
      </c>
      <c r="B27" t="s">
        <v>1098</v>
      </c>
      <c r="C27" t="s">
        <v>12</v>
      </c>
      <c r="D27" t="s">
        <v>476</v>
      </c>
      <c r="E27" t="s">
        <v>477</v>
      </c>
      <c r="F27" t="s">
        <v>108</v>
      </c>
      <c r="G27">
        <v>8</v>
      </c>
      <c r="H27">
        <v>0</v>
      </c>
      <c r="I27">
        <v>0</v>
      </c>
      <c r="J27">
        <v>0</v>
      </c>
      <c r="M27">
        <f>IF(VLOOKUP(VLOOKUP($A27,_JOUEURS,2,FALSE),_DATA,8,FALSE)=0,"",VLOOKUP(VLOOKUP($A27,_JOUEURS,2,FALSE),_DATA,8,FALSE))</f>
        <v>5.5555555555555554</v>
      </c>
      <c r="N27">
        <f>VLOOKUP(VLOOKUP($A27,_JOUEURS,2,FALSE),_DATA,5,FALSE)</f>
        <v>27</v>
      </c>
      <c r="O27">
        <f>VLOOKUP(VLOOKUP($A27,_JOUEURS,2,FALSE),_DATA,6,FALSE)</f>
        <v>0</v>
      </c>
      <c r="P27">
        <f>VALUE(IF(R27="",0,R27))</f>
        <v>0</v>
      </c>
      <c r="Q27">
        <f t="shared" si="0"/>
        <v>0</v>
      </c>
      <c r="R27" t="str">
        <f t="shared" si="2"/>
        <v>0</v>
      </c>
    </row>
    <row r="28" spans="1:18" hidden="1" x14ac:dyDescent="0.25">
      <c r="A28" t="str">
        <f t="shared" si="1"/>
        <v>Rennes - Diagne</v>
      </c>
      <c r="B28" t="s">
        <v>10</v>
      </c>
      <c r="C28" t="s">
        <v>13</v>
      </c>
      <c r="D28" t="s">
        <v>861</v>
      </c>
      <c r="E28" t="s">
        <v>1103</v>
      </c>
      <c r="F28" t="s">
        <v>61</v>
      </c>
      <c r="G28">
        <v>3</v>
      </c>
      <c r="H28">
        <v>0</v>
      </c>
      <c r="I28">
        <v>0</v>
      </c>
      <c r="J28">
        <v>0</v>
      </c>
      <c r="M28">
        <f>IF(VLOOKUP(VLOOKUP($A28,_JOUEURS,2,FALSE),_DATA,8,FALSE)=0,"",VLOOKUP(VLOOKUP($A28,_JOUEURS,2,FALSE),_DATA,8,FALSE))</f>
        <v>5.375</v>
      </c>
      <c r="N28">
        <f>VLOOKUP(VLOOKUP($A28,_JOUEURS,2,FALSE),_DATA,5,FALSE)</f>
        <v>15</v>
      </c>
      <c r="O28">
        <f>VLOOKUP(VLOOKUP($A28,_JOUEURS,2,FALSE),_DATA,6,FALSE)</f>
        <v>1</v>
      </c>
      <c r="P28">
        <f>VALUE(IF(R28="",0,R28))</f>
        <v>5</v>
      </c>
      <c r="Q28" t="str">
        <f t="shared" si="0"/>
        <v>5 / (-1)</v>
      </c>
      <c r="R28" t="str">
        <f t="shared" si="2"/>
        <v>5</v>
      </c>
    </row>
    <row r="29" spans="1:18" hidden="1" x14ac:dyDescent="0.25">
      <c r="A29" t="str">
        <f t="shared" si="1"/>
        <v>Lyon - Ghezzal</v>
      </c>
      <c r="B29" t="s">
        <v>10</v>
      </c>
      <c r="C29" t="s">
        <v>8</v>
      </c>
      <c r="D29" t="s">
        <v>651</v>
      </c>
      <c r="E29" t="s">
        <v>1105</v>
      </c>
      <c r="F29" t="s">
        <v>47</v>
      </c>
      <c r="G29">
        <v>20</v>
      </c>
      <c r="H29">
        <v>0</v>
      </c>
      <c r="I29">
        <v>0</v>
      </c>
      <c r="J29">
        <v>0</v>
      </c>
      <c r="M29">
        <f>IF(VLOOKUP(VLOOKUP($A29,_JOUEURS,2,FALSE),_DATA,8,FALSE)=0,"",VLOOKUP(VLOOKUP($A29,_JOUEURS,2,FALSE),_DATA,8,FALSE))</f>
        <v>6.1818181818181817</v>
      </c>
      <c r="N29">
        <f>VLOOKUP(VLOOKUP($A29,_JOUEURS,2,FALSE),_DATA,5,FALSE)</f>
        <v>10</v>
      </c>
      <c r="O29">
        <f>VLOOKUP(VLOOKUP($A29,_JOUEURS,2,FALSE),_DATA,6,FALSE)</f>
        <v>13</v>
      </c>
      <c r="P29">
        <f>VALUE(IF(R29="",0,R29))</f>
        <v>5</v>
      </c>
      <c r="Q29">
        <f t="shared" si="0"/>
        <v>5</v>
      </c>
      <c r="R29" t="str">
        <f t="shared" si="2"/>
        <v>5</v>
      </c>
    </row>
    <row r="30" spans="1:18" hidden="1" x14ac:dyDescent="0.25">
      <c r="A30" t="str">
        <f t="shared" si="1"/>
        <v>Monaco - Silva</v>
      </c>
      <c r="B30" t="s">
        <v>10</v>
      </c>
      <c r="C30" t="s">
        <v>8</v>
      </c>
      <c r="D30" t="s">
        <v>157</v>
      </c>
      <c r="E30" t="s">
        <v>158</v>
      </c>
      <c r="F30" t="s">
        <v>41</v>
      </c>
      <c r="G30">
        <v>31</v>
      </c>
      <c r="H30">
        <v>0</v>
      </c>
      <c r="I30">
        <v>0</v>
      </c>
      <c r="J30">
        <v>0</v>
      </c>
      <c r="M30">
        <f>IF(VLOOKUP(VLOOKUP($A30,_JOUEURS,2,FALSE),_DATA,8,FALSE)=0,"",VLOOKUP(VLOOKUP($A30,_JOUEURS,2,FALSE),_DATA,8,FALSE))</f>
        <v>5.333333333333333</v>
      </c>
      <c r="N30">
        <f>VLOOKUP(VLOOKUP($A30,_JOUEURS,2,FALSE),_DATA,5,FALSE)</f>
        <v>16</v>
      </c>
      <c r="O30">
        <f>VLOOKUP(VLOOKUP($A30,_JOUEURS,2,FALSE),_DATA,6,FALSE)</f>
        <v>10</v>
      </c>
      <c r="P30">
        <f>VALUE(IF(R30="",0,R30))</f>
        <v>5</v>
      </c>
      <c r="Q30">
        <f t="shared" si="0"/>
        <v>5</v>
      </c>
      <c r="R30" t="str">
        <f t="shared" si="2"/>
        <v>5</v>
      </c>
    </row>
    <row r="31" spans="1:18" hidden="1" x14ac:dyDescent="0.25">
      <c r="A31" t="str">
        <f t="shared" si="1"/>
        <v>Marseille - Cabella</v>
      </c>
      <c r="B31" t="s">
        <v>1106</v>
      </c>
      <c r="C31" t="s">
        <v>8</v>
      </c>
      <c r="D31" t="s">
        <v>288</v>
      </c>
      <c r="E31" t="s">
        <v>90</v>
      </c>
      <c r="F31" t="s">
        <v>44</v>
      </c>
      <c r="G31">
        <v>37</v>
      </c>
      <c r="H31">
        <v>0</v>
      </c>
      <c r="I31">
        <v>0</v>
      </c>
      <c r="J31">
        <v>0</v>
      </c>
      <c r="M31">
        <f>IF(VLOOKUP(VLOOKUP($A31,_JOUEURS,2,FALSE),_DATA,8,FALSE)=0,"",VLOOKUP(VLOOKUP($A31,_JOUEURS,2,FALSE),_DATA,8,FALSE))</f>
        <v>5.3076923076923075</v>
      </c>
      <c r="N31">
        <f>VLOOKUP(VLOOKUP($A31,_JOUEURS,2,FALSE),_DATA,5,FALSE)</f>
        <v>26</v>
      </c>
      <c r="O31">
        <f>VLOOKUP(VLOOKUP($A31,_JOUEURS,2,FALSE),_DATA,6,FALSE)</f>
        <v>1</v>
      </c>
      <c r="P31">
        <f>VALUE(IF(R31="",0,R31))</f>
        <v>5</v>
      </c>
      <c r="Q31">
        <f t="shared" si="0"/>
        <v>5</v>
      </c>
      <c r="R31" t="str">
        <f t="shared" si="2"/>
        <v>5</v>
      </c>
    </row>
    <row r="32" spans="1:18" hidden="1" x14ac:dyDescent="0.25">
      <c r="A32" t="str">
        <f t="shared" si="1"/>
        <v>Angers - Mangani</v>
      </c>
      <c r="B32" t="s">
        <v>1106</v>
      </c>
      <c r="C32" t="s">
        <v>8</v>
      </c>
      <c r="D32" t="s">
        <v>482</v>
      </c>
      <c r="E32" t="s">
        <v>49</v>
      </c>
      <c r="F32" t="s">
        <v>258</v>
      </c>
      <c r="G32">
        <v>27</v>
      </c>
      <c r="H32">
        <v>0</v>
      </c>
      <c r="I32">
        <v>0</v>
      </c>
      <c r="J32">
        <v>0</v>
      </c>
      <c r="M32">
        <f>IF(VLOOKUP(VLOOKUP($A32,_JOUEURS,2,FALSE),_DATA,8,FALSE)=0,"",VLOOKUP(VLOOKUP($A32,_JOUEURS,2,FALSE),_DATA,8,FALSE))</f>
        <v>5.4782608695652177</v>
      </c>
      <c r="N32">
        <f>VLOOKUP(VLOOKUP($A32,_JOUEURS,2,FALSE),_DATA,5,FALSE)</f>
        <v>25</v>
      </c>
      <c r="O32">
        <f>VLOOKUP(VLOOKUP($A32,_JOUEURS,2,FALSE),_DATA,6,FALSE)</f>
        <v>2</v>
      </c>
      <c r="P32">
        <f>VALUE(IF(R32="",0,R32))</f>
        <v>5</v>
      </c>
      <c r="Q32">
        <f t="shared" si="0"/>
        <v>5</v>
      </c>
      <c r="R32" t="str">
        <f t="shared" si="2"/>
        <v>5</v>
      </c>
    </row>
    <row r="33" spans="1:18" hidden="1" x14ac:dyDescent="0.25">
      <c r="A33" t="str">
        <f t="shared" si="1"/>
        <v>Monaco - Subasic</v>
      </c>
      <c r="B33" t="s">
        <v>1098</v>
      </c>
      <c r="C33" t="s">
        <v>12</v>
      </c>
      <c r="D33" t="s">
        <v>925</v>
      </c>
      <c r="E33" t="s">
        <v>1100</v>
      </c>
      <c r="F33" t="s">
        <v>41</v>
      </c>
      <c r="G33">
        <v>27</v>
      </c>
      <c r="H33">
        <v>0</v>
      </c>
      <c r="I33">
        <v>0</v>
      </c>
      <c r="J33">
        <v>0</v>
      </c>
      <c r="M33">
        <f>IF(VLOOKUP(VLOOKUP($A33,_JOUEURS,2,FALSE),_DATA,8,FALSE)=0,"",VLOOKUP(VLOOKUP($A33,_JOUEURS,2,FALSE),_DATA,8,FALSE))</f>
        <v>5.6206896551724137</v>
      </c>
      <c r="N33">
        <f>VLOOKUP(VLOOKUP($A33,_JOUEURS,2,FALSE),_DATA,5,FALSE)</f>
        <v>29</v>
      </c>
      <c r="O33">
        <f>VLOOKUP(VLOOKUP($A33,_JOUEURS,2,FALSE),_DATA,6,FALSE)</f>
        <v>0</v>
      </c>
      <c r="P33">
        <f>VALUE(IF(R33="",0,R33))</f>
        <v>0</v>
      </c>
      <c r="Q33">
        <f t="shared" si="0"/>
        <v>0</v>
      </c>
      <c r="R33" t="str">
        <f t="shared" si="2"/>
        <v>0</v>
      </c>
    </row>
    <row r="34" spans="1:18" hidden="1" x14ac:dyDescent="0.25">
      <c r="A34" t="str">
        <f t="shared" si="1"/>
        <v>Monaco - Fabinho</v>
      </c>
      <c r="B34" t="s">
        <v>1098</v>
      </c>
      <c r="C34" t="s">
        <v>13</v>
      </c>
      <c r="D34" t="s">
        <v>30</v>
      </c>
      <c r="F34" t="s">
        <v>41</v>
      </c>
      <c r="G34">
        <v>43</v>
      </c>
      <c r="H34">
        <v>1</v>
      </c>
      <c r="I34">
        <v>0</v>
      </c>
      <c r="J34">
        <v>1</v>
      </c>
      <c r="K34" t="s">
        <v>259</v>
      </c>
      <c r="L34" t="s">
        <v>460</v>
      </c>
      <c r="M34">
        <f>IF(VLOOKUP(VLOOKUP($A34,_JOUEURS,2,FALSE),_DATA,8,FALSE)=0,"",VLOOKUP(VLOOKUP($A34,_JOUEURS,2,FALSE),_DATA,8,FALSE))</f>
        <v>5.6428571428571432</v>
      </c>
      <c r="N34">
        <f>VLOOKUP(VLOOKUP($A34,_JOUEURS,2,FALSE),_DATA,5,FALSE)</f>
        <v>28</v>
      </c>
      <c r="O34">
        <f>VLOOKUP(VLOOKUP($A34,_JOUEURS,2,FALSE),_DATA,6,FALSE)</f>
        <v>0</v>
      </c>
      <c r="P34">
        <f>VALUE(IF(R34="",0,R34))</f>
        <v>5</v>
      </c>
      <c r="Q34">
        <f t="shared" ref="Q34:Q67" si="5">VLOOKUP(VLOOKUP($A34,_JOUEURS,2,FALSE),_DATA,7,FALSE)</f>
        <v>5</v>
      </c>
      <c r="R34" t="str">
        <f t="shared" si="2"/>
        <v>5</v>
      </c>
    </row>
    <row r="35" spans="1:18" hidden="1" x14ac:dyDescent="0.25">
      <c r="A35" t="str">
        <f t="shared" si="1"/>
        <v>Montpellier - Dabo</v>
      </c>
      <c r="B35" t="s">
        <v>1106</v>
      </c>
      <c r="C35" t="s">
        <v>8</v>
      </c>
      <c r="D35" t="s">
        <v>790</v>
      </c>
      <c r="E35" t="s">
        <v>1107</v>
      </c>
      <c r="F35" t="s">
        <v>40</v>
      </c>
      <c r="G35">
        <v>21</v>
      </c>
      <c r="H35">
        <v>0</v>
      </c>
      <c r="I35">
        <v>0</v>
      </c>
      <c r="J35">
        <v>0</v>
      </c>
      <c r="M35">
        <f>IF(VLOOKUP(VLOOKUP($A35,_JOUEURS,2,FALSE),_DATA,8,FALSE)=0,"",VLOOKUP(VLOOKUP($A35,_JOUEURS,2,FALSE),_DATA,8,FALSE))</f>
        <v>5.333333333333333</v>
      </c>
      <c r="N35">
        <f>VLOOKUP(VLOOKUP($A35,_JOUEURS,2,FALSE),_DATA,5,FALSE)</f>
        <v>27</v>
      </c>
      <c r="O35">
        <f>VLOOKUP(VLOOKUP($A35,_JOUEURS,2,FALSE),_DATA,6,FALSE)</f>
        <v>3</v>
      </c>
      <c r="P35">
        <f>VALUE(IF(R35="",0,R35))</f>
        <v>4</v>
      </c>
      <c r="Q35">
        <f t="shared" si="5"/>
        <v>4</v>
      </c>
      <c r="R35" t="str">
        <f t="shared" si="2"/>
        <v>4</v>
      </c>
    </row>
    <row r="36" spans="1:18" hidden="1" x14ac:dyDescent="0.25">
      <c r="A36" t="str">
        <f t="shared" si="1"/>
        <v>Guingamp - Sankharé</v>
      </c>
      <c r="B36" t="s">
        <v>1106</v>
      </c>
      <c r="C36" t="s">
        <v>8</v>
      </c>
      <c r="D36" t="s">
        <v>961</v>
      </c>
      <c r="E36" t="s">
        <v>1108</v>
      </c>
      <c r="F36" t="s">
        <v>70</v>
      </c>
      <c r="G36">
        <v>22</v>
      </c>
      <c r="H36">
        <v>0</v>
      </c>
      <c r="I36">
        <v>0</v>
      </c>
      <c r="J36">
        <v>0</v>
      </c>
      <c r="M36">
        <f>IF(VLOOKUP(VLOOKUP($A36,_JOUEURS,2,FALSE),_DATA,8,FALSE)=0,"",VLOOKUP(VLOOKUP($A36,_JOUEURS,2,FALSE),_DATA,8,FALSE))</f>
        <v>5.6</v>
      </c>
      <c r="N36">
        <f>VLOOKUP(VLOOKUP($A36,_JOUEURS,2,FALSE),_DATA,5,FALSE)</f>
        <v>26</v>
      </c>
      <c r="O36">
        <f>VLOOKUP(VLOOKUP($A36,_JOUEURS,2,FALSE),_DATA,6,FALSE)</f>
        <v>0</v>
      </c>
      <c r="P36">
        <f>VALUE(IF(R36="",0,R36))</f>
        <v>4</v>
      </c>
      <c r="Q36">
        <f t="shared" si="5"/>
        <v>4</v>
      </c>
      <c r="R36" t="str">
        <f t="shared" si="2"/>
        <v>4</v>
      </c>
    </row>
    <row r="37" spans="1:18" hidden="1" x14ac:dyDescent="0.25">
      <c r="A37" t="str">
        <f t="shared" si="1"/>
        <v>Monaco - Vágner Love</v>
      </c>
      <c r="B37" t="s">
        <v>1109</v>
      </c>
      <c r="C37" t="s">
        <v>5</v>
      </c>
      <c r="D37" t="s">
        <v>1111</v>
      </c>
      <c r="F37" t="s">
        <v>41</v>
      </c>
      <c r="G37">
        <v>17</v>
      </c>
      <c r="H37">
        <v>0</v>
      </c>
      <c r="I37">
        <v>0</v>
      </c>
      <c r="J37">
        <v>0</v>
      </c>
      <c r="M37">
        <f>IF(VLOOKUP(VLOOKUP($A37,_JOUEURS,2,FALSE),_DATA,8,FALSE)=0,"",VLOOKUP(VLOOKUP($A37,_JOUEURS,2,FALSE),_DATA,8,FALSE))</f>
        <v>5.166666666666667</v>
      </c>
      <c r="N37">
        <f>VLOOKUP(VLOOKUP($A37,_JOUEURS,2,FALSE),_DATA,5,FALSE)</f>
        <v>6</v>
      </c>
      <c r="O37">
        <f>VLOOKUP(VLOOKUP($A37,_JOUEURS,2,FALSE),_DATA,6,FALSE)</f>
        <v>2</v>
      </c>
      <c r="P37">
        <f>VALUE(IF(R37="",0,R37))</f>
        <v>4</v>
      </c>
      <c r="Q37">
        <f t="shared" si="5"/>
        <v>4</v>
      </c>
      <c r="R37" t="str">
        <f t="shared" si="2"/>
        <v>4</v>
      </c>
    </row>
    <row r="38" spans="1:18" hidden="1" x14ac:dyDescent="0.25">
      <c r="A38" t="str">
        <f t="shared" si="1"/>
        <v>Lyon - Fekir</v>
      </c>
      <c r="B38" t="s">
        <v>1109</v>
      </c>
      <c r="C38" t="s">
        <v>8</v>
      </c>
      <c r="D38" t="s">
        <v>459</v>
      </c>
      <c r="E38" t="s">
        <v>508</v>
      </c>
      <c r="F38" t="s">
        <v>47</v>
      </c>
      <c r="G38">
        <v>40</v>
      </c>
      <c r="H38">
        <v>8</v>
      </c>
      <c r="I38">
        <v>0</v>
      </c>
      <c r="J38">
        <v>8</v>
      </c>
      <c r="K38" t="s">
        <v>530</v>
      </c>
      <c r="L38" t="s">
        <v>520</v>
      </c>
      <c r="M38">
        <f>IF(VLOOKUP(VLOOKUP($A38,_JOUEURS,2,FALSE),_DATA,8,FALSE)=0,"",VLOOKUP(VLOOKUP($A38,_JOUEURS,2,FALSE),_DATA,8,FALSE))</f>
        <v>6.75</v>
      </c>
      <c r="N38">
        <f>VLOOKUP(VLOOKUP($A38,_JOUEURS,2,FALSE),_DATA,5,FALSE)</f>
        <v>4</v>
      </c>
      <c r="O38">
        <f>VLOOKUP(VLOOKUP($A38,_JOUEURS,2,FALSE),_DATA,6,FALSE)</f>
        <v>0</v>
      </c>
      <c r="P38">
        <f>VALUE(IF(R38="",0,R38))</f>
        <v>4</v>
      </c>
      <c r="Q38">
        <f t="shared" si="5"/>
        <v>4</v>
      </c>
      <c r="R38" t="str">
        <f t="shared" si="2"/>
        <v>4</v>
      </c>
    </row>
    <row r="39" spans="1:18" hidden="1" x14ac:dyDescent="0.25">
      <c r="A39" t="str">
        <f t="shared" si="1"/>
        <v>Nice - Pléa</v>
      </c>
      <c r="B39" t="s">
        <v>1109</v>
      </c>
      <c r="C39" t="s">
        <v>8</v>
      </c>
      <c r="D39" t="s">
        <v>684</v>
      </c>
      <c r="E39" t="s">
        <v>1113</v>
      </c>
      <c r="F39" t="s">
        <v>59</v>
      </c>
      <c r="G39">
        <v>29</v>
      </c>
      <c r="H39">
        <v>0</v>
      </c>
      <c r="I39">
        <v>0</v>
      </c>
      <c r="J39">
        <v>0</v>
      </c>
      <c r="K39" t="s">
        <v>259</v>
      </c>
      <c r="L39" t="s">
        <v>272</v>
      </c>
      <c r="M39">
        <f>IF(VLOOKUP(VLOOKUP($A39,_JOUEURS,2,FALSE),_DATA,8,FALSE)=0,"",VLOOKUP(VLOOKUP($A39,_JOUEURS,2,FALSE),_DATA,8,FALSE))</f>
        <v>5</v>
      </c>
      <c r="N39">
        <f>VLOOKUP(VLOOKUP($A39,_JOUEURS,2,FALSE),_DATA,5,FALSE)</f>
        <v>11</v>
      </c>
      <c r="O39">
        <f>VLOOKUP(VLOOKUP($A39,_JOUEURS,2,FALSE),_DATA,6,FALSE)</f>
        <v>1</v>
      </c>
      <c r="P39">
        <f>VALUE(IF(R39="",0,R39))</f>
        <v>4</v>
      </c>
      <c r="Q39">
        <f t="shared" si="5"/>
        <v>4</v>
      </c>
      <c r="R39" t="str">
        <f t="shared" si="2"/>
        <v>4</v>
      </c>
    </row>
    <row r="40" spans="1:18" hidden="1" x14ac:dyDescent="0.25">
      <c r="A40" t="str">
        <f t="shared" si="1"/>
        <v>Lorient - Toure</v>
      </c>
      <c r="B40" t="s">
        <v>1098</v>
      </c>
      <c r="C40" t="s">
        <v>13</v>
      </c>
      <c r="D40" t="s">
        <v>472</v>
      </c>
      <c r="E40" t="s">
        <v>473</v>
      </c>
      <c r="F40" t="s">
        <v>57</v>
      </c>
      <c r="G40">
        <v>4</v>
      </c>
      <c r="H40">
        <v>0</v>
      </c>
      <c r="I40">
        <v>0</v>
      </c>
      <c r="J40">
        <v>0</v>
      </c>
      <c r="M40">
        <f>IF(VLOOKUP(VLOOKUP($A40,_JOUEURS,2,FALSE),_DATA,8,FALSE)=0,"",VLOOKUP(VLOOKUP($A40,_JOUEURS,2,FALSE),_DATA,8,FALSE))</f>
        <v>5.04</v>
      </c>
      <c r="N40">
        <f>VLOOKUP(VLOOKUP($A40,_JOUEURS,2,FALSE),_DATA,5,FALSE)</f>
        <v>25</v>
      </c>
      <c r="O40">
        <f>VLOOKUP(VLOOKUP($A40,_JOUEURS,2,FALSE),_DATA,6,FALSE)</f>
        <v>0</v>
      </c>
      <c r="P40">
        <f>VALUE(IF(R40="",0,R40))</f>
        <v>3</v>
      </c>
      <c r="Q40">
        <f t="shared" si="5"/>
        <v>3</v>
      </c>
      <c r="R40" t="str">
        <f t="shared" si="2"/>
        <v>3</v>
      </c>
    </row>
    <row r="41" spans="1:18" hidden="1" x14ac:dyDescent="0.25">
      <c r="A41" t="str">
        <f t="shared" si="1"/>
        <v>Montpellier - Roussillon</v>
      </c>
      <c r="B41" t="s">
        <v>1098</v>
      </c>
      <c r="C41" t="s">
        <v>13</v>
      </c>
      <c r="D41" t="s">
        <v>556</v>
      </c>
      <c r="E41" t="s">
        <v>557</v>
      </c>
      <c r="F41" t="s">
        <v>40</v>
      </c>
      <c r="G41">
        <v>9</v>
      </c>
      <c r="H41">
        <v>0</v>
      </c>
      <c r="I41">
        <v>0</v>
      </c>
      <c r="J41">
        <v>0</v>
      </c>
      <c r="M41">
        <f>IF(VLOOKUP(VLOOKUP($A41,_JOUEURS,2,FALSE),_DATA,8,FALSE)=0,"",VLOOKUP(VLOOKUP($A41,_JOUEURS,2,FALSE),_DATA,8,FALSE))</f>
        <v>5.115384615384615</v>
      </c>
      <c r="N41">
        <f>VLOOKUP(VLOOKUP($A41,_JOUEURS,2,FALSE),_DATA,5,FALSE)</f>
        <v>25</v>
      </c>
      <c r="O41">
        <f>VLOOKUP(VLOOKUP($A41,_JOUEURS,2,FALSE),_DATA,6,FALSE)</f>
        <v>2</v>
      </c>
      <c r="P41">
        <f>VALUE(IF(R41="",0,R41))</f>
        <v>2</v>
      </c>
      <c r="Q41">
        <f t="shared" si="5"/>
        <v>2</v>
      </c>
      <c r="R41" t="str">
        <f t="shared" si="2"/>
        <v>2</v>
      </c>
    </row>
    <row r="42" spans="1:18" hidden="1" x14ac:dyDescent="0.25">
      <c r="A42" t="str">
        <f t="shared" si="1"/>
        <v>Angers - Saiss</v>
      </c>
      <c r="B42" t="s">
        <v>1098</v>
      </c>
      <c r="C42" t="s">
        <v>13</v>
      </c>
      <c r="D42" t="s">
        <v>537</v>
      </c>
      <c r="E42" t="s">
        <v>112</v>
      </c>
      <c r="F42" t="s">
        <v>258</v>
      </c>
      <c r="G42">
        <v>8</v>
      </c>
      <c r="H42">
        <v>0</v>
      </c>
      <c r="I42">
        <v>0</v>
      </c>
      <c r="J42">
        <v>0</v>
      </c>
      <c r="M42">
        <f>IF(VLOOKUP(VLOOKUP($A42,_JOUEURS,2,FALSE),_DATA,8,FALSE)=0,"",VLOOKUP(VLOOKUP($A42,_JOUEURS,2,FALSE),_DATA,8,FALSE))</f>
        <v>5.1724137931034484</v>
      </c>
      <c r="N42">
        <f>VLOOKUP(VLOOKUP($A42,_JOUEURS,2,FALSE),_DATA,5,FALSE)</f>
        <v>29</v>
      </c>
      <c r="O42">
        <f>VLOOKUP(VLOOKUP($A42,_JOUEURS,2,FALSE),_DATA,6,FALSE)</f>
        <v>0</v>
      </c>
      <c r="P42">
        <f>VALUE(IF(R42="",0,R42))</f>
        <v>2</v>
      </c>
      <c r="Q42">
        <f t="shared" si="5"/>
        <v>2</v>
      </c>
      <c r="R42" t="str">
        <f t="shared" si="2"/>
        <v>2</v>
      </c>
    </row>
    <row r="43" spans="1:18" hidden="1" x14ac:dyDescent="0.25">
      <c r="A43" t="str">
        <f t="shared" si="1"/>
        <v>Monaco - Fábio Coentrão</v>
      </c>
      <c r="B43" t="s">
        <v>10</v>
      </c>
      <c r="C43" t="s">
        <v>13</v>
      </c>
      <c r="D43" t="s">
        <v>1104</v>
      </c>
      <c r="F43" t="s">
        <v>41</v>
      </c>
      <c r="G43">
        <v>15</v>
      </c>
      <c r="H43">
        <v>0</v>
      </c>
      <c r="I43">
        <v>0</v>
      </c>
      <c r="J43">
        <v>0</v>
      </c>
      <c r="M43">
        <f>IF(VLOOKUP(VLOOKUP($A43,_JOUEURS,2,FALSE),_DATA,8,FALSE)=0,"",VLOOKUP(VLOOKUP($A43,_JOUEURS,2,FALSE),_DATA,8,FALSE))</f>
        <v>5.6363636363636367</v>
      </c>
      <c r="N43">
        <f>VLOOKUP(VLOOKUP($A43,_JOUEURS,2,FALSE),_DATA,5,FALSE)</f>
        <v>13</v>
      </c>
      <c r="O43">
        <f>VLOOKUP(VLOOKUP($A43,_JOUEURS,2,FALSE),_DATA,6,FALSE)</f>
        <v>1</v>
      </c>
      <c r="P43">
        <f>VALUE(IF(R43="",0,R43))</f>
        <v>3</v>
      </c>
      <c r="Q43">
        <f t="shared" si="5"/>
        <v>3</v>
      </c>
      <c r="R43" t="str">
        <f t="shared" si="2"/>
        <v>3</v>
      </c>
    </row>
    <row r="44" spans="1:18" hidden="1" x14ac:dyDescent="0.25">
      <c r="A44" t="str">
        <f t="shared" si="1"/>
        <v>Paris - Kurzawa</v>
      </c>
      <c r="B44" t="s">
        <v>10</v>
      </c>
      <c r="C44" t="s">
        <v>13</v>
      </c>
      <c r="D44" t="s">
        <v>134</v>
      </c>
      <c r="E44" t="s">
        <v>135</v>
      </c>
      <c r="F44" t="s">
        <v>67</v>
      </c>
      <c r="G44">
        <v>12</v>
      </c>
      <c r="H44">
        <v>1</v>
      </c>
      <c r="I44">
        <v>0</v>
      </c>
      <c r="J44">
        <v>1</v>
      </c>
      <c r="K44" t="s">
        <v>259</v>
      </c>
      <c r="L44" t="s">
        <v>259</v>
      </c>
      <c r="M44">
        <f>IF(VLOOKUP(VLOOKUP($A44,_JOUEURS,2,FALSE),_DATA,8,FALSE)=0,"",VLOOKUP(VLOOKUP($A44,_JOUEURS,2,FALSE),_DATA,8,FALSE))</f>
        <v>6.2</v>
      </c>
      <c r="N44">
        <f>VLOOKUP(VLOOKUP($A44,_JOUEURS,2,FALSE),_DATA,5,FALSE)</f>
        <v>10</v>
      </c>
      <c r="O44">
        <f>VLOOKUP(VLOOKUP($A44,_JOUEURS,2,FALSE),_DATA,6,FALSE)</f>
        <v>3</v>
      </c>
      <c r="P44">
        <f>VALUE(IF(R44="",0,R44))</f>
        <v>3</v>
      </c>
      <c r="Q44">
        <f t="shared" si="5"/>
        <v>3</v>
      </c>
      <c r="R44" t="str">
        <f t="shared" si="2"/>
        <v>3</v>
      </c>
    </row>
    <row r="45" spans="1:18" hidden="1" x14ac:dyDescent="0.25">
      <c r="A45" t="str">
        <f t="shared" si="1"/>
        <v>Saint-Etienne - Sall</v>
      </c>
      <c r="B45" t="s">
        <v>10</v>
      </c>
      <c r="C45" t="s">
        <v>13</v>
      </c>
      <c r="D45" t="s">
        <v>146</v>
      </c>
      <c r="E45" t="s">
        <v>147</v>
      </c>
      <c r="F45" t="s">
        <v>125</v>
      </c>
      <c r="G45">
        <v>14</v>
      </c>
      <c r="H45">
        <v>0</v>
      </c>
      <c r="I45">
        <v>0</v>
      </c>
      <c r="J45">
        <v>0</v>
      </c>
      <c r="M45">
        <f>IF(VLOOKUP(VLOOKUP($A45,_JOUEURS,2,FALSE),_DATA,8,FALSE)=0,"",VLOOKUP(VLOOKUP($A45,_JOUEURS,2,FALSE),_DATA,8,FALSE))</f>
        <v>5.0869565217391308</v>
      </c>
      <c r="N45">
        <f>VLOOKUP(VLOOKUP($A45,_JOUEURS,2,FALSE),_DATA,5,FALSE)</f>
        <v>23</v>
      </c>
      <c r="O45">
        <f>VLOOKUP(VLOOKUP($A45,_JOUEURS,2,FALSE),_DATA,6,FALSE)</f>
        <v>1</v>
      </c>
      <c r="P45">
        <f>VALUE(IF(R45="",0,R45))</f>
        <v>3</v>
      </c>
      <c r="Q45">
        <f t="shared" si="5"/>
        <v>3</v>
      </c>
      <c r="R45" t="str">
        <f t="shared" si="2"/>
        <v>3</v>
      </c>
    </row>
    <row r="46" spans="1:18" hidden="1" x14ac:dyDescent="0.25">
      <c r="A46" t="str">
        <f t="shared" si="1"/>
        <v>Saint-Etienne - Perrin</v>
      </c>
      <c r="B46" t="s">
        <v>1106</v>
      </c>
      <c r="C46" t="s">
        <v>13</v>
      </c>
      <c r="D46" t="s">
        <v>144</v>
      </c>
      <c r="E46" t="s">
        <v>145</v>
      </c>
      <c r="F46" t="s">
        <v>125</v>
      </c>
      <c r="G46">
        <v>41</v>
      </c>
      <c r="H46">
        <v>0</v>
      </c>
      <c r="I46">
        <v>0</v>
      </c>
      <c r="J46">
        <v>0</v>
      </c>
      <c r="M46">
        <f>IF(VLOOKUP(VLOOKUP($A46,_JOUEURS,2,FALSE),_DATA,8,FALSE)=0,"",VLOOKUP(VLOOKUP($A46,_JOUEURS,2,FALSE),_DATA,8,FALSE))</f>
        <v>5.3888888888888893</v>
      </c>
      <c r="N46">
        <f>VLOOKUP(VLOOKUP($A46,_JOUEURS,2,FALSE),_DATA,5,FALSE)</f>
        <v>18</v>
      </c>
      <c r="O46">
        <f>VLOOKUP(VLOOKUP($A46,_JOUEURS,2,FALSE),_DATA,6,FALSE)</f>
        <v>0</v>
      </c>
      <c r="P46">
        <f>VALUE(IF(R46="",0,R46))</f>
        <v>3</v>
      </c>
      <c r="Q46">
        <f t="shared" si="5"/>
        <v>3</v>
      </c>
      <c r="R46" t="str">
        <f t="shared" si="2"/>
        <v>3</v>
      </c>
    </row>
    <row r="47" spans="1:18" hidden="1" x14ac:dyDescent="0.25">
      <c r="A47" t="str">
        <f t="shared" si="1"/>
        <v>Lille - Sidibe</v>
      </c>
      <c r="B47" t="s">
        <v>1106</v>
      </c>
      <c r="C47" t="s">
        <v>13</v>
      </c>
      <c r="D47" t="s">
        <v>596</v>
      </c>
      <c r="E47" t="s">
        <v>166</v>
      </c>
      <c r="F47" t="s">
        <v>53</v>
      </c>
      <c r="G47">
        <v>31</v>
      </c>
      <c r="H47">
        <v>0</v>
      </c>
      <c r="I47">
        <v>0</v>
      </c>
      <c r="J47">
        <v>0</v>
      </c>
      <c r="M47">
        <f>IF(VLOOKUP(VLOOKUP($A47,_JOUEURS,2,FALSE),_DATA,8,FALSE)=0,"",VLOOKUP(VLOOKUP($A47,_JOUEURS,2,FALSE),_DATA,8,FALSE))</f>
        <v>5.3103448275862073</v>
      </c>
      <c r="N47">
        <f>VLOOKUP(VLOOKUP($A47,_JOUEURS,2,FALSE),_DATA,5,FALSE)</f>
        <v>29</v>
      </c>
      <c r="O47">
        <f>VLOOKUP(VLOOKUP($A47,_JOUEURS,2,FALSE),_DATA,6,FALSE)</f>
        <v>1</v>
      </c>
      <c r="P47">
        <f>VALUE(IF(R47="",0,R47))</f>
        <v>3</v>
      </c>
      <c r="Q47">
        <f t="shared" si="5"/>
        <v>3</v>
      </c>
      <c r="R47" t="str">
        <f t="shared" si="2"/>
        <v>3</v>
      </c>
    </row>
    <row r="48" spans="1:18" hidden="1" x14ac:dyDescent="0.25">
      <c r="A48" t="str">
        <f t="shared" si="1"/>
        <v>Paris - Matuidi</v>
      </c>
      <c r="B48" t="s">
        <v>1109</v>
      </c>
      <c r="C48" t="s">
        <v>8</v>
      </c>
      <c r="D48" t="s">
        <v>102</v>
      </c>
      <c r="E48" t="s">
        <v>103</v>
      </c>
      <c r="F48" t="s">
        <v>67</v>
      </c>
      <c r="G48">
        <v>29</v>
      </c>
      <c r="H48">
        <v>0</v>
      </c>
      <c r="I48">
        <v>0</v>
      </c>
      <c r="J48">
        <v>0</v>
      </c>
      <c r="M48">
        <f>IF(VLOOKUP(VLOOKUP($A48,_JOUEURS,2,FALSE),_DATA,8,FALSE)=0,"",VLOOKUP(VLOOKUP($A48,_JOUEURS,2,FALSE),_DATA,8,FALSE))</f>
        <v>5.9047619047619051</v>
      </c>
      <c r="N48">
        <f>VLOOKUP(VLOOKUP($A48,_JOUEURS,2,FALSE),_DATA,5,FALSE)</f>
        <v>21</v>
      </c>
      <c r="O48">
        <f>VLOOKUP(VLOOKUP($A48,_JOUEURS,2,FALSE),_DATA,6,FALSE)</f>
        <v>6</v>
      </c>
      <c r="P48">
        <f>VALUE(IF(R48="",0,R48))</f>
        <v>3</v>
      </c>
      <c r="Q48">
        <f t="shared" si="5"/>
        <v>3</v>
      </c>
      <c r="R48" t="str">
        <f t="shared" si="2"/>
        <v>3</v>
      </c>
    </row>
    <row r="49" spans="1:18" hidden="1" x14ac:dyDescent="0.25">
      <c r="A49" t="str">
        <f t="shared" si="1"/>
        <v>Reims - Traore</v>
      </c>
      <c r="B49" t="s">
        <v>1098</v>
      </c>
      <c r="C49" t="s">
        <v>13</v>
      </c>
      <c r="D49" t="s">
        <v>474</v>
      </c>
      <c r="E49" t="s">
        <v>475</v>
      </c>
      <c r="F49" t="s">
        <v>104</v>
      </c>
      <c r="G49">
        <v>14</v>
      </c>
      <c r="H49">
        <v>0</v>
      </c>
      <c r="I49">
        <v>0</v>
      </c>
      <c r="J49">
        <v>0</v>
      </c>
      <c r="M49">
        <f>IF(VLOOKUP(VLOOKUP($A49,_JOUEURS,2,FALSE),_DATA,8,FALSE)=0,"",VLOOKUP(VLOOKUP($A49,_JOUEURS,2,FALSE),_DATA,8,FALSE))</f>
        <v>5.1111111111111107</v>
      </c>
      <c r="N49">
        <f>VLOOKUP(VLOOKUP($A49,_JOUEURS,2,FALSE),_DATA,5,FALSE)</f>
        <v>27</v>
      </c>
      <c r="O49">
        <f>VLOOKUP(VLOOKUP($A49,_JOUEURS,2,FALSE),_DATA,6,FALSE)</f>
        <v>0</v>
      </c>
      <c r="P49">
        <f>VALUE(IF(R49="",0,R49))</f>
        <v>2</v>
      </c>
      <c r="Q49">
        <f t="shared" si="5"/>
        <v>2</v>
      </c>
      <c r="R49" t="str">
        <f t="shared" si="2"/>
        <v>2</v>
      </c>
    </row>
    <row r="50" spans="1:18" hidden="1" x14ac:dyDescent="0.25">
      <c r="A50" t="str">
        <f t="shared" si="1"/>
        <v>Lille - Soumaoro</v>
      </c>
      <c r="B50" t="s">
        <v>1098</v>
      </c>
      <c r="C50" t="s">
        <v>13</v>
      </c>
      <c r="D50" t="s">
        <v>718</v>
      </c>
      <c r="E50" t="s">
        <v>1099</v>
      </c>
      <c r="F50" t="s">
        <v>53</v>
      </c>
      <c r="G50">
        <v>2</v>
      </c>
      <c r="H50">
        <v>0</v>
      </c>
      <c r="I50">
        <v>0</v>
      </c>
      <c r="J50">
        <v>0</v>
      </c>
      <c r="M50">
        <f>IF(VLOOKUP(VLOOKUP($A50,_JOUEURS,2,FALSE),_DATA,8,FALSE)=0,"",VLOOKUP(VLOOKUP($A50,_JOUEURS,2,FALSE),_DATA,8,FALSE))</f>
        <v>5.25</v>
      </c>
      <c r="N50">
        <f>VLOOKUP(VLOOKUP($A50,_JOUEURS,2,FALSE),_DATA,5,FALSE)</f>
        <v>23</v>
      </c>
      <c r="O50">
        <f>VLOOKUP(VLOOKUP($A50,_JOUEURS,2,FALSE),_DATA,6,FALSE)</f>
        <v>1</v>
      </c>
      <c r="P50">
        <f>VALUE(IF(R50="",0,R50))</f>
        <v>1</v>
      </c>
      <c r="Q50">
        <f t="shared" si="5"/>
        <v>1</v>
      </c>
      <c r="R50" t="str">
        <f t="shared" si="2"/>
        <v>1</v>
      </c>
    </row>
    <row r="51" spans="1:18" hidden="1" x14ac:dyDescent="0.25">
      <c r="A51" t="str">
        <f t="shared" si="1"/>
        <v>Guingamp - Sorbon</v>
      </c>
      <c r="B51" t="s">
        <v>1098</v>
      </c>
      <c r="C51" t="s">
        <v>13</v>
      </c>
      <c r="D51" t="s">
        <v>949</v>
      </c>
      <c r="E51" t="s">
        <v>69</v>
      </c>
      <c r="F51" t="s">
        <v>70</v>
      </c>
      <c r="G51">
        <v>7</v>
      </c>
      <c r="H51">
        <v>0</v>
      </c>
      <c r="I51">
        <v>0</v>
      </c>
      <c r="J51">
        <v>0</v>
      </c>
      <c r="M51">
        <f>IF(VLOOKUP(VLOOKUP($A51,_JOUEURS,2,FALSE),_DATA,8,FALSE)=0,"",VLOOKUP(VLOOKUP($A51,_JOUEURS,2,FALSE),_DATA,8,FALSE))</f>
        <v>5.0740740740740744</v>
      </c>
      <c r="N51">
        <f>VLOOKUP(VLOOKUP($A51,_JOUEURS,2,FALSE),_DATA,5,FALSE)</f>
        <v>27</v>
      </c>
      <c r="O51">
        <f>VLOOKUP(VLOOKUP($A51,_JOUEURS,2,FALSE),_DATA,6,FALSE)</f>
        <v>0</v>
      </c>
      <c r="P51">
        <f>VALUE(IF(R51="",0,R51))</f>
        <v>0</v>
      </c>
      <c r="Q51" t="str">
        <f t="shared" si="5"/>
        <v>(-1)</v>
      </c>
      <c r="R51" t="str">
        <f t="shared" si="2"/>
        <v/>
      </c>
    </row>
    <row r="52" spans="1:18" hidden="1" x14ac:dyDescent="0.25">
      <c r="A52" t="str">
        <f t="shared" si="1"/>
        <v>Marseille - Isla</v>
      </c>
      <c r="B52" t="s">
        <v>10</v>
      </c>
      <c r="C52" t="s">
        <v>13</v>
      </c>
      <c r="D52" t="s">
        <v>279</v>
      </c>
      <c r="E52" t="s">
        <v>280</v>
      </c>
      <c r="F52" t="s">
        <v>44</v>
      </c>
      <c r="G52">
        <v>12</v>
      </c>
      <c r="H52">
        <v>0</v>
      </c>
      <c r="I52">
        <v>0</v>
      </c>
      <c r="J52">
        <v>0</v>
      </c>
      <c r="M52">
        <f>IF(VLOOKUP(VLOOKUP($A52,_JOUEURS,2,FALSE),_DATA,8,FALSE)=0,"",VLOOKUP(VLOOKUP($A52,_JOUEURS,2,FALSE),_DATA,8,FALSE))</f>
        <v>5.5555555555555554</v>
      </c>
      <c r="N52">
        <f>VLOOKUP(VLOOKUP($A52,_JOUEURS,2,FALSE),_DATA,5,FALSE)</f>
        <v>18</v>
      </c>
      <c r="O52">
        <f>VLOOKUP(VLOOKUP($A52,_JOUEURS,2,FALSE),_DATA,6,FALSE)</f>
        <v>3</v>
      </c>
      <c r="P52">
        <f>VALUE(IF(R52="",0,R52))</f>
        <v>2</v>
      </c>
      <c r="Q52">
        <f t="shared" si="5"/>
        <v>2</v>
      </c>
      <c r="R52" t="str">
        <f t="shared" si="2"/>
        <v>2</v>
      </c>
    </row>
    <row r="53" spans="1:18" hidden="1" x14ac:dyDescent="0.25">
      <c r="A53" t="str">
        <f t="shared" si="1"/>
        <v>Nantes - Sabaly</v>
      </c>
      <c r="B53" t="s">
        <v>1106</v>
      </c>
      <c r="C53" t="s">
        <v>13</v>
      </c>
      <c r="D53" t="s">
        <v>468</v>
      </c>
      <c r="E53" t="s">
        <v>469</v>
      </c>
      <c r="F53" t="s">
        <v>43</v>
      </c>
      <c r="G53">
        <v>15</v>
      </c>
      <c r="H53">
        <v>0</v>
      </c>
      <c r="I53">
        <v>0</v>
      </c>
      <c r="J53">
        <v>0</v>
      </c>
      <c r="M53">
        <f>IF(VLOOKUP(VLOOKUP($A53,_JOUEURS,2,FALSE),_DATA,8,FALSE)=0,"",VLOOKUP(VLOOKUP($A53,_JOUEURS,2,FALSE),_DATA,8,FALSE))</f>
        <v>5.3636363636363633</v>
      </c>
      <c r="N53">
        <f>VLOOKUP(VLOOKUP($A53,_JOUEURS,2,FALSE),_DATA,5,FALSE)</f>
        <v>22</v>
      </c>
      <c r="O53">
        <f>VLOOKUP(VLOOKUP($A53,_JOUEURS,2,FALSE),_DATA,6,FALSE)</f>
        <v>0</v>
      </c>
      <c r="P53">
        <f>VALUE(IF(R53="",0,R53))</f>
        <v>2</v>
      </c>
      <c r="Q53">
        <f t="shared" si="5"/>
        <v>2</v>
      </c>
      <c r="R53" t="str">
        <f t="shared" si="2"/>
        <v>2</v>
      </c>
    </row>
    <row r="54" spans="1:18" hidden="1" x14ac:dyDescent="0.25">
      <c r="A54" t="str">
        <f t="shared" si="1"/>
        <v>Rennes - Gourcuff</v>
      </c>
      <c r="B54" t="s">
        <v>1106</v>
      </c>
      <c r="C54" t="s">
        <v>8</v>
      </c>
      <c r="D54" t="s">
        <v>1045</v>
      </c>
      <c r="E54" t="s">
        <v>466</v>
      </c>
      <c r="F54" t="s">
        <v>61</v>
      </c>
      <c r="G54">
        <v>25</v>
      </c>
      <c r="H54">
        <v>2</v>
      </c>
      <c r="I54">
        <v>1</v>
      </c>
      <c r="J54">
        <v>3</v>
      </c>
      <c r="K54" t="s">
        <v>512</v>
      </c>
      <c r="L54" t="s">
        <v>512</v>
      </c>
      <c r="M54">
        <f>IF(VLOOKUP(VLOOKUP($A54,_JOUEURS,2,FALSE),_DATA,8,FALSE)=0,"",VLOOKUP(VLOOKUP($A54,_JOUEURS,2,FALSE),_DATA,8,FALSE))</f>
        <v>5.4</v>
      </c>
      <c r="N54">
        <f>VLOOKUP(VLOOKUP($A54,_JOUEURS,2,FALSE),_DATA,5,FALSE)</f>
        <v>4</v>
      </c>
      <c r="O54">
        <f>VLOOKUP(VLOOKUP($A54,_JOUEURS,2,FALSE),_DATA,6,FALSE)</f>
        <v>3</v>
      </c>
      <c r="P54">
        <f>VALUE(IF(R54="",0,R54))</f>
        <v>2</v>
      </c>
      <c r="Q54">
        <f t="shared" si="5"/>
        <v>2</v>
      </c>
      <c r="R54" t="str">
        <f t="shared" si="2"/>
        <v>2</v>
      </c>
    </row>
    <row r="55" spans="1:18" hidden="1" x14ac:dyDescent="0.25">
      <c r="A55" t="str">
        <f t="shared" si="1"/>
        <v>Nice - Seri</v>
      </c>
      <c r="B55" t="s">
        <v>1106</v>
      </c>
      <c r="C55" t="s">
        <v>8</v>
      </c>
      <c r="D55" t="s">
        <v>488</v>
      </c>
      <c r="E55" t="s">
        <v>109</v>
      </c>
      <c r="F55" t="s">
        <v>59</v>
      </c>
      <c r="G55">
        <v>26</v>
      </c>
      <c r="H55">
        <v>0</v>
      </c>
      <c r="I55">
        <v>0</v>
      </c>
      <c r="J55">
        <v>0</v>
      </c>
      <c r="M55">
        <f>IF(VLOOKUP(VLOOKUP($A55,_JOUEURS,2,FALSE),_DATA,8,FALSE)=0,"",VLOOKUP(VLOOKUP($A55,_JOUEURS,2,FALSE),_DATA,8,FALSE))</f>
        <v>5.6428571428571432</v>
      </c>
      <c r="N55">
        <f>VLOOKUP(VLOOKUP($A55,_JOUEURS,2,FALSE),_DATA,5,FALSE)</f>
        <v>28</v>
      </c>
      <c r="O55">
        <f>VLOOKUP(VLOOKUP($A55,_JOUEURS,2,FALSE),_DATA,6,FALSE)</f>
        <v>3</v>
      </c>
      <c r="P55">
        <f>VALUE(IF(R55="",0,R55))</f>
        <v>2</v>
      </c>
      <c r="Q55">
        <f t="shared" si="5"/>
        <v>2</v>
      </c>
      <c r="R55" t="str">
        <f t="shared" si="2"/>
        <v>2</v>
      </c>
    </row>
    <row r="56" spans="1:18" hidden="1" x14ac:dyDescent="0.25">
      <c r="A56" t="str">
        <f t="shared" si="1"/>
        <v>Guingamp - Erding</v>
      </c>
      <c r="B56" t="s">
        <v>1109</v>
      </c>
      <c r="C56" t="s">
        <v>5</v>
      </c>
      <c r="D56" t="s">
        <v>1047</v>
      </c>
      <c r="E56" t="s">
        <v>1110</v>
      </c>
      <c r="F56" t="s">
        <v>70</v>
      </c>
      <c r="G56">
        <v>16</v>
      </c>
      <c r="H56">
        <v>0</v>
      </c>
      <c r="I56">
        <v>0</v>
      </c>
      <c r="J56">
        <v>0</v>
      </c>
      <c r="M56">
        <f>IF(VLOOKUP(VLOOKUP($A56,_JOUEURS,2,FALSE),_DATA,8,FALSE)=0,"",VLOOKUP(VLOOKUP($A56,_JOUEURS,2,FALSE),_DATA,8,FALSE))</f>
        <v>4.4285714285714288</v>
      </c>
      <c r="N56">
        <f>VLOOKUP(VLOOKUP($A56,_JOUEURS,2,FALSE),_DATA,5,FALSE)</f>
        <v>7</v>
      </c>
      <c r="O56">
        <f>VLOOKUP(VLOOKUP($A56,_JOUEURS,2,FALSE),_DATA,6,FALSE)</f>
        <v>2</v>
      </c>
      <c r="P56">
        <f>VALUE(IF(R56="",0,R56))</f>
        <v>2</v>
      </c>
      <c r="Q56">
        <f t="shared" si="5"/>
        <v>2</v>
      </c>
      <c r="R56" t="str">
        <f t="shared" si="2"/>
        <v>2</v>
      </c>
    </row>
    <row r="57" spans="1:18" hidden="1" x14ac:dyDescent="0.25">
      <c r="A57" t="str">
        <f t="shared" si="1"/>
        <v>Caen - Da Silva</v>
      </c>
      <c r="B57" t="s">
        <v>1109</v>
      </c>
      <c r="C57" t="s">
        <v>13</v>
      </c>
      <c r="D57" t="s">
        <v>54</v>
      </c>
      <c r="E57" t="s">
        <v>55</v>
      </c>
      <c r="F57" t="s">
        <v>56</v>
      </c>
      <c r="G57">
        <v>14</v>
      </c>
      <c r="H57">
        <v>0</v>
      </c>
      <c r="I57">
        <v>0</v>
      </c>
      <c r="J57">
        <v>0</v>
      </c>
      <c r="M57">
        <f>IF(VLOOKUP(VLOOKUP($A57,_JOUEURS,2,FALSE),_DATA,8,FALSE)=0,"",VLOOKUP(VLOOKUP($A57,_JOUEURS,2,FALSE),_DATA,8,FALSE))</f>
        <v>5.083333333333333</v>
      </c>
      <c r="N57">
        <f>VLOOKUP(VLOOKUP($A57,_JOUEURS,2,FALSE),_DATA,5,FALSE)</f>
        <v>24</v>
      </c>
      <c r="O57">
        <f>VLOOKUP(VLOOKUP($A57,_JOUEURS,2,FALSE),_DATA,6,FALSE)</f>
        <v>0</v>
      </c>
      <c r="P57">
        <f>VALUE(IF(R57="",0,R57))</f>
        <v>2</v>
      </c>
      <c r="Q57">
        <f t="shared" si="5"/>
        <v>2</v>
      </c>
      <c r="R57" t="str">
        <f t="shared" si="2"/>
        <v>2</v>
      </c>
    </row>
    <row r="58" spans="1:18" hidden="1" x14ac:dyDescent="0.25">
      <c r="A58" t="str">
        <f t="shared" si="1"/>
        <v>Angers - Thomas</v>
      </c>
      <c r="B58" t="s">
        <v>1109</v>
      </c>
      <c r="C58" t="s">
        <v>13</v>
      </c>
      <c r="D58" t="s">
        <v>49</v>
      </c>
      <c r="E58" t="s">
        <v>112</v>
      </c>
      <c r="F58" t="s">
        <v>258</v>
      </c>
      <c r="G58">
        <v>11</v>
      </c>
      <c r="H58">
        <v>0</v>
      </c>
      <c r="I58">
        <v>0</v>
      </c>
      <c r="J58">
        <v>0</v>
      </c>
      <c r="M58">
        <f>IF(VLOOKUP(VLOOKUP($A58,_JOUEURS,2,FALSE),_DATA,8,FALSE)=0,"",VLOOKUP(VLOOKUP($A58,_JOUEURS,2,FALSE),_DATA,8,FALSE))</f>
        <v>4.9000000000000004</v>
      </c>
      <c r="N58">
        <f>VLOOKUP(VLOOKUP($A58,_JOUEURS,2,FALSE),_DATA,5,FALSE)</f>
        <v>30</v>
      </c>
      <c r="O58">
        <f>VLOOKUP(VLOOKUP($A58,_JOUEURS,2,FALSE),_DATA,6,FALSE)</f>
        <v>0</v>
      </c>
      <c r="P58">
        <f>VALUE(IF(R58="",0,R58))</f>
        <v>2</v>
      </c>
      <c r="Q58">
        <f t="shared" si="5"/>
        <v>2</v>
      </c>
      <c r="R58" t="str">
        <f t="shared" si="2"/>
        <v>2</v>
      </c>
    </row>
    <row r="59" spans="1:18" hidden="1" x14ac:dyDescent="0.25">
      <c r="A59" t="str">
        <f t="shared" si="1"/>
        <v>Paris - Ibrahimovic</v>
      </c>
      <c r="B59" t="s">
        <v>1098</v>
      </c>
      <c r="C59" t="s">
        <v>5</v>
      </c>
      <c r="D59" t="s">
        <v>85</v>
      </c>
      <c r="E59" t="s">
        <v>86</v>
      </c>
      <c r="F59" t="s">
        <v>67</v>
      </c>
      <c r="G59">
        <v>131</v>
      </c>
      <c r="H59">
        <v>0</v>
      </c>
      <c r="I59">
        <v>0</v>
      </c>
      <c r="J59">
        <v>0</v>
      </c>
      <c r="M59">
        <f>IF(VLOOKUP(VLOOKUP($A59,_JOUEURS,2,FALSE),_DATA,8,FALSE)=0,"",VLOOKUP(VLOOKUP($A59,_JOUEURS,2,FALSE),_DATA,8,FALSE))</f>
        <v>6.8695652173913047</v>
      </c>
      <c r="N59">
        <f>VLOOKUP(VLOOKUP($A59,_JOUEURS,2,FALSE),_DATA,5,FALSE)</f>
        <v>23</v>
      </c>
      <c r="O59">
        <f>VLOOKUP(VLOOKUP($A59,_JOUEURS,2,FALSE),_DATA,6,FALSE)</f>
        <v>2</v>
      </c>
      <c r="P59">
        <f>VALUE(IF(R59="",0,R59))</f>
        <v>27</v>
      </c>
      <c r="Q59">
        <f t="shared" si="5"/>
        <v>27</v>
      </c>
      <c r="R59" t="str">
        <f t="shared" si="2"/>
        <v>27</v>
      </c>
    </row>
    <row r="60" spans="1:18" hidden="1" x14ac:dyDescent="0.25">
      <c r="A60" t="str">
        <f t="shared" si="1"/>
        <v>Monaco - Moutinho</v>
      </c>
      <c r="B60" t="s">
        <v>10</v>
      </c>
      <c r="C60" t="s">
        <v>8</v>
      </c>
      <c r="D60" t="s">
        <v>126</v>
      </c>
      <c r="E60" t="s">
        <v>127</v>
      </c>
      <c r="F60" t="s">
        <v>41</v>
      </c>
      <c r="G60">
        <v>21</v>
      </c>
      <c r="H60">
        <v>0</v>
      </c>
      <c r="I60">
        <v>0</v>
      </c>
      <c r="J60">
        <v>0</v>
      </c>
      <c r="M60">
        <f>IF(VLOOKUP(VLOOKUP($A60,_JOUEURS,2,FALSE),_DATA,8,FALSE)=0,"",VLOOKUP(VLOOKUP($A60,_JOUEURS,2,FALSE),_DATA,8,FALSE))</f>
        <v>5.3636363636363633</v>
      </c>
      <c r="N60">
        <f>VLOOKUP(VLOOKUP($A60,_JOUEURS,2,FALSE),_DATA,5,FALSE)</f>
        <v>22</v>
      </c>
      <c r="O60">
        <f>VLOOKUP(VLOOKUP($A60,_JOUEURS,2,FALSE),_DATA,6,FALSE)</f>
        <v>0</v>
      </c>
      <c r="P60">
        <f>VALUE(IF(R60="",0,R60))</f>
        <v>1</v>
      </c>
      <c r="Q60">
        <f t="shared" si="5"/>
        <v>1</v>
      </c>
      <c r="R60" t="str">
        <f t="shared" si="2"/>
        <v>1</v>
      </c>
    </row>
    <row r="61" spans="1:18" hidden="1" x14ac:dyDescent="0.25">
      <c r="A61" t="str">
        <f t="shared" si="1"/>
        <v>Monaco - Carvalho</v>
      </c>
      <c r="B61" t="s">
        <v>1106</v>
      </c>
      <c r="C61" t="s">
        <v>13</v>
      </c>
      <c r="D61" t="s">
        <v>97</v>
      </c>
      <c r="E61" t="s">
        <v>98</v>
      </c>
      <c r="F61" t="s">
        <v>41</v>
      </c>
      <c r="G61">
        <v>20</v>
      </c>
      <c r="H61">
        <v>0</v>
      </c>
      <c r="I61">
        <v>0</v>
      </c>
      <c r="J61">
        <v>0</v>
      </c>
      <c r="M61">
        <f>IF(VLOOKUP(VLOOKUP($A61,_JOUEURS,2,FALSE),_DATA,8,FALSE)=0,"",VLOOKUP(VLOOKUP($A61,_JOUEURS,2,FALSE),_DATA,8,FALSE))</f>
        <v>5.1923076923076925</v>
      </c>
      <c r="N61">
        <f>VLOOKUP(VLOOKUP($A61,_JOUEURS,2,FALSE),_DATA,5,FALSE)</f>
        <v>26</v>
      </c>
      <c r="O61">
        <f>VLOOKUP(VLOOKUP($A61,_JOUEURS,2,FALSE),_DATA,6,FALSE)</f>
        <v>0</v>
      </c>
      <c r="P61">
        <f>VALUE(IF(R61="",0,R61))</f>
        <v>1</v>
      </c>
      <c r="Q61">
        <f t="shared" si="5"/>
        <v>1</v>
      </c>
      <c r="R61" t="str">
        <f t="shared" si="2"/>
        <v>1</v>
      </c>
    </row>
    <row r="62" spans="1:18" hidden="1" x14ac:dyDescent="0.25">
      <c r="A62" t="str">
        <f t="shared" si="1"/>
        <v>Paris - Thiago Silva</v>
      </c>
      <c r="B62" t="s">
        <v>1106</v>
      </c>
      <c r="C62" t="s">
        <v>13</v>
      </c>
      <c r="D62" t="s">
        <v>25</v>
      </c>
      <c r="F62" t="s">
        <v>67</v>
      </c>
      <c r="G62">
        <v>44</v>
      </c>
      <c r="H62">
        <v>0</v>
      </c>
      <c r="I62">
        <v>0</v>
      </c>
      <c r="J62">
        <v>0</v>
      </c>
      <c r="M62">
        <f>IF(VLOOKUP(VLOOKUP($A62,_JOUEURS,2,FALSE),_DATA,8,FALSE)=0,"",VLOOKUP(VLOOKUP($A62,_JOUEURS,2,FALSE),_DATA,8,FALSE))</f>
        <v>6</v>
      </c>
      <c r="N62">
        <f>VLOOKUP(VLOOKUP($A62,_JOUEURS,2,FALSE),_DATA,5,FALSE)</f>
        <v>25</v>
      </c>
      <c r="O62">
        <f>VLOOKUP(VLOOKUP($A62,_JOUEURS,2,FALSE),_DATA,6,FALSE)</f>
        <v>1</v>
      </c>
      <c r="P62">
        <f>VALUE(IF(R62="",0,R62))</f>
        <v>1</v>
      </c>
      <c r="Q62">
        <f t="shared" si="5"/>
        <v>1</v>
      </c>
      <c r="R62" t="str">
        <f t="shared" si="2"/>
        <v>1</v>
      </c>
    </row>
    <row r="63" spans="1:18" hidden="1" x14ac:dyDescent="0.25">
      <c r="A63" t="str">
        <f t="shared" si="1"/>
        <v>Montpellier - Hilton</v>
      </c>
      <c r="B63" t="s">
        <v>1109</v>
      </c>
      <c r="C63" t="s">
        <v>13</v>
      </c>
      <c r="D63" t="s">
        <v>197</v>
      </c>
      <c r="E63" t="s">
        <v>198</v>
      </c>
      <c r="F63" t="s">
        <v>40</v>
      </c>
      <c r="G63">
        <v>15</v>
      </c>
      <c r="H63">
        <v>0</v>
      </c>
      <c r="I63">
        <v>0</v>
      </c>
      <c r="J63">
        <v>0</v>
      </c>
      <c r="M63">
        <f>IF(VLOOKUP(VLOOKUP($A63,_JOUEURS,2,FALSE),_DATA,8,FALSE)=0,"",VLOOKUP(VLOOKUP($A63,_JOUEURS,2,FALSE),_DATA,8,FALSE))</f>
        <v>5.2666666666666666</v>
      </c>
      <c r="N63">
        <f>VLOOKUP(VLOOKUP($A63,_JOUEURS,2,FALSE),_DATA,5,FALSE)</f>
        <v>30</v>
      </c>
      <c r="O63">
        <f>VLOOKUP(VLOOKUP($A63,_JOUEURS,2,FALSE),_DATA,6,FALSE)</f>
        <v>0</v>
      </c>
      <c r="P63">
        <f>VALUE(IF(R63="",0,R63))</f>
        <v>1</v>
      </c>
      <c r="Q63">
        <f t="shared" si="5"/>
        <v>1</v>
      </c>
      <c r="R63" t="str">
        <f t="shared" si="2"/>
        <v>1</v>
      </c>
    </row>
    <row r="64" spans="1:18" hidden="1" x14ac:dyDescent="0.25">
      <c r="A64" t="str">
        <f t="shared" si="1"/>
        <v>Lyon - Jallet</v>
      </c>
      <c r="B64" t="s">
        <v>1109</v>
      </c>
      <c r="C64" t="s">
        <v>13</v>
      </c>
      <c r="D64" t="s">
        <v>110</v>
      </c>
      <c r="E64" t="s">
        <v>111</v>
      </c>
      <c r="F64" t="s">
        <v>47</v>
      </c>
      <c r="G64">
        <v>10</v>
      </c>
      <c r="H64">
        <v>0</v>
      </c>
      <c r="I64">
        <v>0</v>
      </c>
      <c r="J64">
        <v>0</v>
      </c>
      <c r="M64">
        <f>IF(VLOOKUP(VLOOKUP($A64,_JOUEURS,2,FALSE),_DATA,8,FALSE)=0,"",VLOOKUP(VLOOKUP($A64,_JOUEURS,2,FALSE),_DATA,8,FALSE))</f>
        <v>5.5625</v>
      </c>
      <c r="N64">
        <f>VLOOKUP(VLOOKUP($A64,_JOUEURS,2,FALSE),_DATA,5,FALSE)</f>
        <v>16</v>
      </c>
      <c r="O64">
        <f>VLOOKUP(VLOOKUP($A64,_JOUEURS,2,FALSE),_DATA,6,FALSE)</f>
        <v>3</v>
      </c>
      <c r="P64">
        <f>VALUE(IF(R64="",0,R64))</f>
        <v>1</v>
      </c>
      <c r="Q64">
        <f t="shared" si="5"/>
        <v>1</v>
      </c>
      <c r="R64" t="str">
        <f t="shared" si="2"/>
        <v>1</v>
      </c>
    </row>
    <row r="65" spans="1:18" hidden="1" x14ac:dyDescent="0.25">
      <c r="A65" t="str">
        <f t="shared" si="1"/>
        <v>Lyon - Umtiti</v>
      </c>
      <c r="B65" t="s">
        <v>1109</v>
      </c>
      <c r="C65" t="s">
        <v>13</v>
      </c>
      <c r="D65" t="s">
        <v>516</v>
      </c>
      <c r="E65" t="s">
        <v>113</v>
      </c>
      <c r="F65" t="s">
        <v>47</v>
      </c>
      <c r="G65">
        <v>13</v>
      </c>
      <c r="H65">
        <v>0</v>
      </c>
      <c r="I65">
        <v>0</v>
      </c>
      <c r="J65">
        <v>0</v>
      </c>
      <c r="M65">
        <f>IF(VLOOKUP(VLOOKUP($A65,_JOUEURS,2,FALSE),_DATA,8,FALSE)=0,"",VLOOKUP(VLOOKUP($A65,_JOUEURS,2,FALSE),_DATA,8,FALSE))</f>
        <v>5.5217391304347823</v>
      </c>
      <c r="N65">
        <f>VLOOKUP(VLOOKUP($A65,_JOUEURS,2,FALSE),_DATA,5,FALSE)</f>
        <v>23</v>
      </c>
      <c r="O65">
        <f>VLOOKUP(VLOOKUP($A65,_JOUEURS,2,FALSE),_DATA,6,FALSE)</f>
        <v>0</v>
      </c>
      <c r="P65">
        <f>VALUE(IF(R65="",0,R65))</f>
        <v>1</v>
      </c>
      <c r="Q65">
        <f t="shared" si="5"/>
        <v>1</v>
      </c>
      <c r="R65" t="str">
        <f t="shared" si="2"/>
        <v>1</v>
      </c>
    </row>
    <row r="66" spans="1:18" hidden="1" x14ac:dyDescent="0.25">
      <c r="A66" t="str">
        <f t="shared" si="1"/>
        <v>Montpellier - Boudebouz</v>
      </c>
      <c r="B66" t="s">
        <v>1109</v>
      </c>
      <c r="C66" t="s">
        <v>8</v>
      </c>
      <c r="D66" t="s">
        <v>522</v>
      </c>
      <c r="E66" t="s">
        <v>523</v>
      </c>
      <c r="F66" t="s">
        <v>40</v>
      </c>
      <c r="G66">
        <v>24</v>
      </c>
      <c r="H66">
        <v>0</v>
      </c>
      <c r="I66">
        <v>0</v>
      </c>
      <c r="J66">
        <v>0</v>
      </c>
      <c r="M66">
        <f>IF(VLOOKUP(VLOOKUP($A66,_JOUEURS,2,FALSE),_DATA,8,FALSE)=0,"",VLOOKUP(VLOOKUP($A66,_JOUEURS,2,FALSE),_DATA,8,FALSE))</f>
        <v>5.3666666666666663</v>
      </c>
      <c r="N66">
        <f>VLOOKUP(VLOOKUP($A66,_JOUEURS,2,FALSE),_DATA,5,FALSE)</f>
        <v>30</v>
      </c>
      <c r="O66">
        <f>VLOOKUP(VLOOKUP($A66,_JOUEURS,2,FALSE),_DATA,6,FALSE)</f>
        <v>1</v>
      </c>
      <c r="P66">
        <f>VALUE(IF(R66="",0,R66))</f>
        <v>1</v>
      </c>
      <c r="Q66">
        <f t="shared" si="5"/>
        <v>1</v>
      </c>
      <c r="R66" t="str">
        <f t="shared" si="2"/>
        <v>1</v>
      </c>
    </row>
    <row r="67" spans="1:18" hidden="1" x14ac:dyDescent="0.25">
      <c r="A67" t="str">
        <f t="shared" ref="A67:A130" si="6">F67 &amp; " - " &amp; D67</f>
        <v>Lorient - Cabot</v>
      </c>
      <c r="B67" t="s">
        <v>1109</v>
      </c>
      <c r="C67" t="s">
        <v>8</v>
      </c>
      <c r="D67" t="s">
        <v>507</v>
      </c>
      <c r="E67" t="s">
        <v>292</v>
      </c>
      <c r="F67" t="s">
        <v>57</v>
      </c>
      <c r="G67">
        <v>3</v>
      </c>
      <c r="H67">
        <v>0</v>
      </c>
      <c r="I67">
        <v>0</v>
      </c>
      <c r="J67">
        <v>0</v>
      </c>
      <c r="M67">
        <f>IF(VLOOKUP(VLOOKUP($A67,_JOUEURS,2,FALSE),_DATA,8,FALSE)=0,"",VLOOKUP(VLOOKUP($A67,_JOUEURS,2,FALSE),_DATA,8,FALSE))</f>
        <v>5.166666666666667</v>
      </c>
      <c r="N67">
        <f>VLOOKUP(VLOOKUP($A67,_JOUEURS,2,FALSE),_DATA,5,FALSE)</f>
        <v>6</v>
      </c>
      <c r="O67">
        <f>VLOOKUP(VLOOKUP($A67,_JOUEURS,2,FALSE),_DATA,6,FALSE)</f>
        <v>2</v>
      </c>
      <c r="P67">
        <f>VALUE(IF(R67="",0,R67))</f>
        <v>1</v>
      </c>
      <c r="Q67">
        <f t="shared" si="5"/>
        <v>1</v>
      </c>
      <c r="R67" t="str">
        <f t="shared" ref="R67:R130" si="7">SUBSTITUTE(SUBSTITUTE(SUBSTITUTE(Q67," / ",""),"(-1)",""),"(-2)","")</f>
        <v>1</v>
      </c>
    </row>
    <row r="68" spans="1:18" hidden="1" x14ac:dyDescent="0.25">
      <c r="A68" t="str">
        <f t="shared" si="6"/>
        <v>Marseille - Lass Diarra</v>
      </c>
      <c r="B68" t="s">
        <v>1109</v>
      </c>
      <c r="C68" t="s">
        <v>8</v>
      </c>
      <c r="D68" t="s">
        <v>244</v>
      </c>
      <c r="F68" t="s">
        <v>44</v>
      </c>
      <c r="G68">
        <v>28</v>
      </c>
      <c r="H68">
        <v>0</v>
      </c>
      <c r="I68">
        <v>0</v>
      </c>
      <c r="J68">
        <v>0</v>
      </c>
      <c r="M68">
        <f>IF(VLOOKUP(VLOOKUP($A68,_JOUEURS,2,FALSE),_DATA,8,FALSE)=0,"",VLOOKUP(VLOOKUP($A68,_JOUEURS,2,FALSE),_DATA,8,FALSE))</f>
        <v>5.5</v>
      </c>
      <c r="N68">
        <f>VLOOKUP(VLOOKUP($A68,_JOUEURS,2,FALSE),_DATA,5,FALSE)</f>
        <v>22</v>
      </c>
      <c r="O68">
        <f>VLOOKUP(VLOOKUP($A68,_JOUEURS,2,FALSE),_DATA,6,FALSE)</f>
        <v>0</v>
      </c>
      <c r="P68">
        <f>VALUE(IF(R68="",0,R68))</f>
        <v>0</v>
      </c>
      <c r="R68" t="str">
        <f t="shared" si="7"/>
        <v/>
      </c>
    </row>
    <row r="69" spans="1:18" hidden="1" x14ac:dyDescent="0.25">
      <c r="A69" t="str">
        <f t="shared" si="6"/>
        <v>Guingamp - Privat</v>
      </c>
      <c r="B69" t="s">
        <v>1098</v>
      </c>
      <c r="C69" t="s">
        <v>5</v>
      </c>
      <c r="D69" t="s">
        <v>174</v>
      </c>
      <c r="E69" t="s">
        <v>175</v>
      </c>
      <c r="F69" t="s">
        <v>70</v>
      </c>
      <c r="G69">
        <v>15</v>
      </c>
      <c r="H69">
        <v>0</v>
      </c>
      <c r="I69">
        <v>0</v>
      </c>
      <c r="J69">
        <v>0</v>
      </c>
      <c r="M69">
        <f>IF(VLOOKUP(VLOOKUP($A69,_JOUEURS,2,FALSE),_DATA,8,FALSE)=0,"",VLOOKUP(VLOOKUP($A69,_JOUEURS,2,FALSE),_DATA,8,FALSE))</f>
        <v>5.3076923076923075</v>
      </c>
      <c r="N69">
        <f>VLOOKUP(VLOOKUP($A69,_JOUEURS,2,FALSE),_DATA,5,FALSE)</f>
        <v>13</v>
      </c>
      <c r="O69">
        <f>VLOOKUP(VLOOKUP($A69,_JOUEURS,2,FALSE),_DATA,6,FALSE)</f>
        <v>11</v>
      </c>
      <c r="P69">
        <f>VALUE(IF(R69="",0,R69))</f>
        <v>7</v>
      </c>
      <c r="Q69">
        <f t="shared" ref="Q69:Q87" si="8">VLOOKUP(VLOOKUP($A69,_JOUEURS,2,FALSE),_DATA,7,FALSE)</f>
        <v>7</v>
      </c>
      <c r="R69" t="str">
        <f t="shared" si="7"/>
        <v>7</v>
      </c>
    </row>
    <row r="70" spans="1:18" hidden="1" x14ac:dyDescent="0.25">
      <c r="A70" t="str">
        <f t="shared" si="6"/>
        <v>Reims - De Préville</v>
      </c>
      <c r="B70" t="s">
        <v>1098</v>
      </c>
      <c r="C70" t="s">
        <v>5</v>
      </c>
      <c r="D70" t="s">
        <v>204</v>
      </c>
      <c r="E70" t="s">
        <v>87</v>
      </c>
      <c r="F70" t="s">
        <v>104</v>
      </c>
      <c r="G70">
        <v>21</v>
      </c>
      <c r="H70">
        <v>0</v>
      </c>
      <c r="I70">
        <v>0</v>
      </c>
      <c r="J70">
        <v>0</v>
      </c>
      <c r="M70">
        <f>IF(VLOOKUP(VLOOKUP($A70,_JOUEURS,2,FALSE),_DATA,8,FALSE)=0,"",VLOOKUP(VLOOKUP($A70,_JOUEURS,2,FALSE),_DATA,8,FALSE))</f>
        <v>5.3571428571428568</v>
      </c>
      <c r="N70">
        <f>VLOOKUP(VLOOKUP($A70,_JOUEURS,2,FALSE),_DATA,5,FALSE)</f>
        <v>28</v>
      </c>
      <c r="O70">
        <f>VLOOKUP(VLOOKUP($A70,_JOUEURS,2,FALSE),_DATA,6,FALSE)</f>
        <v>2</v>
      </c>
      <c r="P70">
        <f>VALUE(IF(R70="",0,R70))</f>
        <v>6</v>
      </c>
      <c r="Q70">
        <f t="shared" si="8"/>
        <v>6</v>
      </c>
      <c r="R70" t="str">
        <f t="shared" si="7"/>
        <v>6</v>
      </c>
    </row>
    <row r="71" spans="1:18" hidden="1" x14ac:dyDescent="0.25">
      <c r="A71" t="str">
        <f t="shared" si="6"/>
        <v>Lyon - Cornet</v>
      </c>
      <c r="B71" t="s">
        <v>1098</v>
      </c>
      <c r="C71" t="s">
        <v>5</v>
      </c>
      <c r="D71" t="s">
        <v>284</v>
      </c>
      <c r="E71" t="s">
        <v>17</v>
      </c>
      <c r="F71" t="s">
        <v>47</v>
      </c>
      <c r="G71">
        <v>9</v>
      </c>
      <c r="H71">
        <v>0</v>
      </c>
      <c r="I71">
        <v>0</v>
      </c>
      <c r="J71">
        <v>0</v>
      </c>
      <c r="M71">
        <f>IF(VLOOKUP(VLOOKUP($A71,_JOUEURS,2,FALSE),_DATA,8,FALSE)=0,"",VLOOKUP(VLOOKUP($A71,_JOUEURS,2,FALSE),_DATA,8,FALSE))</f>
        <v>5.1818181818181817</v>
      </c>
      <c r="N71">
        <f>VLOOKUP(VLOOKUP($A71,_JOUEURS,2,FALSE),_DATA,5,FALSE)</f>
        <v>10</v>
      </c>
      <c r="O71">
        <f>VLOOKUP(VLOOKUP($A71,_JOUEURS,2,FALSE),_DATA,6,FALSE)</f>
        <v>15</v>
      </c>
      <c r="P71">
        <f>VALUE(IF(R71="",0,R71))</f>
        <v>4</v>
      </c>
      <c r="Q71">
        <f t="shared" si="8"/>
        <v>4</v>
      </c>
      <c r="R71" t="str">
        <f t="shared" si="7"/>
        <v>4</v>
      </c>
    </row>
    <row r="72" spans="1:18" hidden="1" x14ac:dyDescent="0.25">
      <c r="A72" t="str">
        <f t="shared" si="6"/>
        <v>Paris - Marquinhos</v>
      </c>
      <c r="B72" t="s">
        <v>10</v>
      </c>
      <c r="C72" t="s">
        <v>13</v>
      </c>
      <c r="D72" t="s">
        <v>660</v>
      </c>
      <c r="F72" t="s">
        <v>67</v>
      </c>
      <c r="G72">
        <v>17</v>
      </c>
      <c r="H72">
        <v>8</v>
      </c>
      <c r="I72">
        <v>0</v>
      </c>
      <c r="J72">
        <v>8</v>
      </c>
      <c r="K72" t="s">
        <v>493</v>
      </c>
      <c r="L72" t="s">
        <v>494</v>
      </c>
      <c r="M72">
        <f t="shared" ref="M67:M87" si="9">IF(VLOOKUP(VLOOKUP($A72,_JOUEURS,2,FALSE),_DATA,8,FALSE)=0,"",VLOOKUP(VLOOKUP($A72,_JOUEURS,2,FALSE),_DATA,8,FALSE))</f>
        <v>5.2666666666666666</v>
      </c>
      <c r="N72">
        <f t="shared" ref="N67:N87" si="10">VLOOKUP(VLOOKUP($A72,_JOUEURS,2,FALSE),_DATA,5,FALSE)</f>
        <v>13</v>
      </c>
      <c r="O72">
        <f t="shared" ref="O67:O87" si="11">VLOOKUP(VLOOKUP($A72,_JOUEURS,2,FALSE),_DATA,6,FALSE)</f>
        <v>9</v>
      </c>
      <c r="P72">
        <f t="shared" ref="P67:P87" si="12">VALUE(IF(R72="",0,R72))</f>
        <v>0</v>
      </c>
      <c r="Q72">
        <f t="shared" si="8"/>
        <v>0</v>
      </c>
      <c r="R72" t="str">
        <f t="shared" si="7"/>
        <v>0</v>
      </c>
    </row>
    <row r="73" spans="1:18" hidden="1" x14ac:dyDescent="0.25">
      <c r="A73" t="str">
        <f t="shared" si="6"/>
        <v>Lyon - Morel</v>
      </c>
      <c r="B73" t="s">
        <v>10</v>
      </c>
      <c r="C73" t="s">
        <v>13</v>
      </c>
      <c r="D73" t="s">
        <v>136</v>
      </c>
      <c r="E73" t="s">
        <v>137</v>
      </c>
      <c r="F73" t="s">
        <v>47</v>
      </c>
      <c r="G73">
        <v>19</v>
      </c>
      <c r="H73">
        <v>0</v>
      </c>
      <c r="I73">
        <v>0</v>
      </c>
      <c r="J73">
        <v>0</v>
      </c>
      <c r="M73">
        <f t="shared" si="9"/>
        <v>5.16</v>
      </c>
      <c r="N73">
        <f t="shared" si="10"/>
        <v>24</v>
      </c>
      <c r="O73">
        <f t="shared" si="11"/>
        <v>2</v>
      </c>
      <c r="P73">
        <f t="shared" si="12"/>
        <v>0</v>
      </c>
      <c r="Q73">
        <f t="shared" si="8"/>
        <v>0</v>
      </c>
      <c r="R73" t="str">
        <f t="shared" si="7"/>
        <v>0</v>
      </c>
    </row>
    <row r="74" spans="1:18" hidden="1" x14ac:dyDescent="0.25">
      <c r="A74" t="str">
        <f t="shared" si="6"/>
        <v>Nice - Cardinale</v>
      </c>
      <c r="B74" t="s">
        <v>10</v>
      </c>
      <c r="C74" t="s">
        <v>12</v>
      </c>
      <c r="D74" t="s">
        <v>589</v>
      </c>
      <c r="E74" t="s">
        <v>466</v>
      </c>
      <c r="F74" t="s">
        <v>59</v>
      </c>
      <c r="G74">
        <v>1</v>
      </c>
      <c r="H74">
        <v>0</v>
      </c>
      <c r="I74">
        <v>0</v>
      </c>
      <c r="J74">
        <v>0</v>
      </c>
      <c r="M74">
        <f t="shared" si="9"/>
        <v>5.4736842105263159</v>
      </c>
      <c r="N74">
        <f t="shared" si="10"/>
        <v>18</v>
      </c>
      <c r="O74">
        <f t="shared" si="11"/>
        <v>1</v>
      </c>
      <c r="P74">
        <f t="shared" si="12"/>
        <v>0</v>
      </c>
      <c r="Q74">
        <f t="shared" si="8"/>
        <v>0</v>
      </c>
      <c r="R74" t="str">
        <f t="shared" si="7"/>
        <v>0</v>
      </c>
    </row>
    <row r="75" spans="1:18" hidden="1" x14ac:dyDescent="0.25">
      <c r="A75" t="str">
        <f t="shared" si="6"/>
        <v>Lyon - Lopes</v>
      </c>
      <c r="B75" t="s">
        <v>10</v>
      </c>
      <c r="C75" t="s">
        <v>12</v>
      </c>
      <c r="D75" t="s">
        <v>124</v>
      </c>
      <c r="E75" t="s">
        <v>91</v>
      </c>
      <c r="F75" t="s">
        <v>47</v>
      </c>
      <c r="G75">
        <v>26</v>
      </c>
      <c r="H75">
        <v>0</v>
      </c>
      <c r="I75">
        <v>0</v>
      </c>
      <c r="J75">
        <v>0</v>
      </c>
      <c r="M75">
        <f t="shared" si="9"/>
        <v>5.5</v>
      </c>
      <c r="N75">
        <f t="shared" si="10"/>
        <v>30</v>
      </c>
      <c r="O75">
        <f t="shared" si="11"/>
        <v>0</v>
      </c>
      <c r="P75">
        <f t="shared" si="12"/>
        <v>0</v>
      </c>
      <c r="Q75">
        <f t="shared" si="8"/>
        <v>0</v>
      </c>
      <c r="R75" t="str">
        <f t="shared" si="7"/>
        <v>0</v>
      </c>
    </row>
    <row r="76" spans="1:18" hidden="1" x14ac:dyDescent="0.25">
      <c r="A76" t="str">
        <f t="shared" si="6"/>
        <v>Nice - Ricardo Pereira</v>
      </c>
      <c r="B76" t="s">
        <v>1106</v>
      </c>
      <c r="C76" t="s">
        <v>13</v>
      </c>
      <c r="D76" t="s">
        <v>680</v>
      </c>
      <c r="F76" t="s">
        <v>59</v>
      </c>
      <c r="G76">
        <v>16</v>
      </c>
      <c r="H76">
        <v>0</v>
      </c>
      <c r="I76">
        <v>0</v>
      </c>
      <c r="J76">
        <v>0</v>
      </c>
      <c r="M76">
        <f t="shared" si="9"/>
        <v>5.4210526315789478</v>
      </c>
      <c r="N76">
        <f t="shared" si="10"/>
        <v>20</v>
      </c>
      <c r="O76">
        <f t="shared" si="11"/>
        <v>0</v>
      </c>
      <c r="P76">
        <f t="shared" si="12"/>
        <v>0</v>
      </c>
      <c r="Q76">
        <f t="shared" si="8"/>
        <v>0</v>
      </c>
      <c r="R76" t="str">
        <f t="shared" si="7"/>
        <v>0</v>
      </c>
    </row>
    <row r="77" spans="1:18" hidden="1" x14ac:dyDescent="0.25">
      <c r="A77" t="str">
        <f t="shared" si="6"/>
        <v>Guingamp - Jonas Lössl</v>
      </c>
      <c r="B77" t="s">
        <v>1106</v>
      </c>
      <c r="C77" t="s">
        <v>12</v>
      </c>
      <c r="D77" t="s">
        <v>182</v>
      </c>
      <c r="F77" t="s">
        <v>70</v>
      </c>
      <c r="G77">
        <v>14</v>
      </c>
      <c r="H77">
        <v>0</v>
      </c>
      <c r="I77">
        <v>0</v>
      </c>
      <c r="J77">
        <v>0</v>
      </c>
      <c r="M77">
        <f t="shared" si="9"/>
        <v>5.3666666666666663</v>
      </c>
      <c r="N77">
        <f t="shared" si="10"/>
        <v>30</v>
      </c>
      <c r="O77">
        <f t="shared" si="11"/>
        <v>0</v>
      </c>
      <c r="P77">
        <f t="shared" si="12"/>
        <v>0</v>
      </c>
      <c r="Q77">
        <f t="shared" si="8"/>
        <v>0</v>
      </c>
      <c r="R77" t="str">
        <f t="shared" si="7"/>
        <v>0</v>
      </c>
    </row>
    <row r="78" spans="1:18" hidden="1" x14ac:dyDescent="0.25">
      <c r="A78" t="str">
        <f t="shared" si="6"/>
        <v>Guingamp - Samassa</v>
      </c>
      <c r="B78" t="s">
        <v>1106</v>
      </c>
      <c r="C78" t="s">
        <v>12</v>
      </c>
      <c r="D78" t="s">
        <v>559</v>
      </c>
      <c r="E78" t="s">
        <v>560</v>
      </c>
      <c r="F78" t="s">
        <v>70</v>
      </c>
      <c r="G78">
        <v>3</v>
      </c>
      <c r="H78">
        <v>0</v>
      </c>
      <c r="I78">
        <v>0</v>
      </c>
      <c r="J78">
        <v>0</v>
      </c>
      <c r="M78">
        <f t="shared" si="9"/>
        <v>5</v>
      </c>
      <c r="N78">
        <f t="shared" si="10"/>
        <v>1</v>
      </c>
      <c r="O78">
        <f t="shared" si="11"/>
        <v>0</v>
      </c>
      <c r="P78">
        <f t="shared" si="12"/>
        <v>0</v>
      </c>
      <c r="Q78">
        <f t="shared" si="8"/>
        <v>0</v>
      </c>
      <c r="R78" t="str">
        <f t="shared" si="7"/>
        <v>0</v>
      </c>
    </row>
    <row r="79" spans="1:18" hidden="1" x14ac:dyDescent="0.25">
      <c r="A79" t="str">
        <f t="shared" si="6"/>
        <v>Saint-Etienne - Pogba</v>
      </c>
      <c r="B79" t="s">
        <v>1109</v>
      </c>
      <c r="C79" t="s">
        <v>13</v>
      </c>
      <c r="D79" t="s">
        <v>515</v>
      </c>
      <c r="E79" t="s">
        <v>229</v>
      </c>
      <c r="F79" t="s">
        <v>125</v>
      </c>
      <c r="G79">
        <v>11</v>
      </c>
      <c r="H79">
        <v>0</v>
      </c>
      <c r="I79">
        <v>0</v>
      </c>
      <c r="J79">
        <v>0</v>
      </c>
      <c r="M79">
        <f t="shared" si="9"/>
        <v>5.0526315789473681</v>
      </c>
      <c r="N79">
        <f t="shared" si="10"/>
        <v>19</v>
      </c>
      <c r="O79">
        <f t="shared" si="11"/>
        <v>2</v>
      </c>
      <c r="P79">
        <f t="shared" si="12"/>
        <v>0</v>
      </c>
      <c r="Q79">
        <f t="shared" si="8"/>
        <v>0</v>
      </c>
      <c r="R79" t="str">
        <f t="shared" si="7"/>
        <v>0</v>
      </c>
    </row>
    <row r="80" spans="1:18" hidden="1" x14ac:dyDescent="0.25">
      <c r="A80" t="str">
        <f t="shared" si="6"/>
        <v>Montpellier - Rodrigue Ninga</v>
      </c>
      <c r="B80" t="s">
        <v>1109</v>
      </c>
      <c r="C80" t="s">
        <v>5</v>
      </c>
      <c r="D80" t="s">
        <v>308</v>
      </c>
      <c r="F80" t="s">
        <v>40</v>
      </c>
      <c r="G80">
        <v>4</v>
      </c>
      <c r="H80">
        <v>0</v>
      </c>
      <c r="I80">
        <v>0</v>
      </c>
      <c r="J80">
        <v>0</v>
      </c>
      <c r="M80">
        <f t="shared" si="9"/>
        <v>4.882352941176471</v>
      </c>
      <c r="N80">
        <f t="shared" si="10"/>
        <v>14</v>
      </c>
      <c r="O80">
        <f t="shared" si="11"/>
        <v>6</v>
      </c>
      <c r="P80">
        <f t="shared" si="12"/>
        <v>6</v>
      </c>
      <c r="Q80">
        <f t="shared" si="8"/>
        <v>6</v>
      </c>
      <c r="R80" t="str">
        <f t="shared" si="7"/>
        <v>6</v>
      </c>
    </row>
    <row r="81" spans="1:18" hidden="1" x14ac:dyDescent="0.25">
      <c r="A81" t="str">
        <f t="shared" si="6"/>
        <v>Nice - Baysse</v>
      </c>
      <c r="B81" t="s">
        <v>1109</v>
      </c>
      <c r="C81" t="s">
        <v>13</v>
      </c>
      <c r="D81" t="s">
        <v>210</v>
      </c>
      <c r="E81" t="s">
        <v>176</v>
      </c>
      <c r="F81" t="s">
        <v>59</v>
      </c>
      <c r="G81">
        <v>13</v>
      </c>
      <c r="H81">
        <v>0</v>
      </c>
      <c r="I81">
        <v>0</v>
      </c>
      <c r="J81">
        <v>0</v>
      </c>
      <c r="K81" t="s">
        <v>255</v>
      </c>
      <c r="L81" t="s">
        <v>520</v>
      </c>
      <c r="M81">
        <f t="shared" si="9"/>
        <v>5.3181818181818183</v>
      </c>
      <c r="N81">
        <f t="shared" si="10"/>
        <v>21</v>
      </c>
      <c r="O81">
        <f t="shared" si="11"/>
        <v>1</v>
      </c>
      <c r="P81">
        <f t="shared" si="12"/>
        <v>0</v>
      </c>
      <c r="Q81">
        <f t="shared" si="8"/>
        <v>0</v>
      </c>
      <c r="R81" t="str">
        <f t="shared" si="7"/>
        <v>0</v>
      </c>
    </row>
    <row r="82" spans="1:18" hidden="1" x14ac:dyDescent="0.25">
      <c r="A82" t="str">
        <f t="shared" si="6"/>
        <v>Paris - David Luiz</v>
      </c>
      <c r="B82" t="s">
        <v>1109</v>
      </c>
      <c r="C82" t="s">
        <v>13</v>
      </c>
      <c r="D82" t="s">
        <v>14</v>
      </c>
      <c r="F82" t="s">
        <v>67</v>
      </c>
      <c r="G82">
        <v>20</v>
      </c>
      <c r="H82">
        <v>0</v>
      </c>
      <c r="I82">
        <v>0</v>
      </c>
      <c r="J82">
        <v>0</v>
      </c>
      <c r="M82">
        <f t="shared" si="9"/>
        <v>5.45</v>
      </c>
      <c r="N82">
        <f t="shared" si="10"/>
        <v>20</v>
      </c>
      <c r="O82">
        <f t="shared" si="11"/>
        <v>0</v>
      </c>
      <c r="P82">
        <f t="shared" si="12"/>
        <v>0</v>
      </c>
      <c r="Q82">
        <f t="shared" si="8"/>
        <v>0</v>
      </c>
      <c r="R82" t="str">
        <f t="shared" si="7"/>
        <v>0</v>
      </c>
    </row>
    <row r="83" spans="1:18" hidden="1" x14ac:dyDescent="0.25">
      <c r="A83" t="str">
        <f t="shared" si="6"/>
        <v>Nantes - Vizcarrondo</v>
      </c>
      <c r="B83" t="s">
        <v>1109</v>
      </c>
      <c r="C83" t="s">
        <v>13</v>
      </c>
      <c r="D83" t="s">
        <v>199</v>
      </c>
      <c r="E83" t="s">
        <v>200</v>
      </c>
      <c r="F83" t="s">
        <v>43</v>
      </c>
      <c r="G83">
        <v>17</v>
      </c>
      <c r="H83">
        <v>0</v>
      </c>
      <c r="I83">
        <v>0</v>
      </c>
      <c r="J83">
        <v>0</v>
      </c>
      <c r="M83">
        <f t="shared" si="9"/>
        <v>4.7826086956521738</v>
      </c>
      <c r="N83">
        <f t="shared" si="10"/>
        <v>23</v>
      </c>
      <c r="O83">
        <f t="shared" si="11"/>
        <v>1</v>
      </c>
      <c r="P83">
        <f t="shared" si="12"/>
        <v>0</v>
      </c>
      <c r="Q83">
        <f t="shared" si="8"/>
        <v>0</v>
      </c>
      <c r="R83" t="str">
        <f t="shared" si="7"/>
        <v>0</v>
      </c>
    </row>
    <row r="84" spans="1:18" hidden="1" x14ac:dyDescent="0.25">
      <c r="A84" t="str">
        <f t="shared" si="6"/>
        <v>Lyon - Yanga-Mbiwa</v>
      </c>
      <c r="B84" t="s">
        <v>1109</v>
      </c>
      <c r="C84" t="s">
        <v>13</v>
      </c>
      <c r="D84" t="s">
        <v>646</v>
      </c>
      <c r="E84" t="s">
        <v>1112</v>
      </c>
      <c r="F84" t="s">
        <v>47</v>
      </c>
      <c r="G84">
        <v>16</v>
      </c>
      <c r="H84">
        <v>0</v>
      </c>
      <c r="I84">
        <v>0</v>
      </c>
      <c r="J84">
        <v>0</v>
      </c>
      <c r="M84">
        <f t="shared" si="9"/>
        <v>5.0999999999999996</v>
      </c>
      <c r="N84">
        <f t="shared" si="10"/>
        <v>20</v>
      </c>
      <c r="O84">
        <f t="shared" si="11"/>
        <v>0</v>
      </c>
      <c r="P84">
        <f t="shared" si="12"/>
        <v>0</v>
      </c>
      <c r="Q84" t="str">
        <f t="shared" si="8"/>
        <v>(-1)</v>
      </c>
      <c r="R84" t="str">
        <f t="shared" si="7"/>
        <v/>
      </c>
    </row>
    <row r="85" spans="1:18" hidden="1" x14ac:dyDescent="0.25">
      <c r="A85" t="str">
        <f t="shared" si="6"/>
        <v>Marseille - Mandanda</v>
      </c>
      <c r="B85" t="s">
        <v>1109</v>
      </c>
      <c r="C85" t="s">
        <v>12</v>
      </c>
      <c r="D85" t="s">
        <v>458</v>
      </c>
      <c r="E85" t="s">
        <v>571</v>
      </c>
      <c r="F85" t="s">
        <v>44</v>
      </c>
      <c r="G85">
        <v>22</v>
      </c>
      <c r="H85">
        <v>0</v>
      </c>
      <c r="I85">
        <v>0</v>
      </c>
      <c r="J85">
        <v>0</v>
      </c>
      <c r="M85">
        <f t="shared" si="9"/>
        <v>5.333333333333333</v>
      </c>
      <c r="N85">
        <f t="shared" si="10"/>
        <v>30</v>
      </c>
      <c r="O85">
        <f t="shared" si="11"/>
        <v>0</v>
      </c>
      <c r="P85">
        <f t="shared" si="12"/>
        <v>0</v>
      </c>
      <c r="Q85">
        <f t="shared" si="8"/>
        <v>0</v>
      </c>
      <c r="R85" t="str">
        <f t="shared" si="7"/>
        <v>0</v>
      </c>
    </row>
    <row r="86" spans="1:18" hidden="1" x14ac:dyDescent="0.25">
      <c r="A86" t="str">
        <f t="shared" si="6"/>
        <v>Caen - Vercoutre</v>
      </c>
      <c r="B86" t="s">
        <v>1109</v>
      </c>
      <c r="C86" t="s">
        <v>12</v>
      </c>
      <c r="D86" t="s">
        <v>116</v>
      </c>
      <c r="E86" t="s">
        <v>90</v>
      </c>
      <c r="F86" t="s">
        <v>56</v>
      </c>
      <c r="G86">
        <v>16</v>
      </c>
      <c r="H86">
        <v>0</v>
      </c>
      <c r="I86">
        <v>0</v>
      </c>
      <c r="J86">
        <v>0</v>
      </c>
      <c r="M86">
        <f t="shared" si="9"/>
        <v>5.4516129032258061</v>
      </c>
      <c r="N86">
        <f t="shared" si="10"/>
        <v>31</v>
      </c>
      <c r="O86">
        <f t="shared" si="11"/>
        <v>0</v>
      </c>
      <c r="P86">
        <f t="shared" si="12"/>
        <v>0</v>
      </c>
      <c r="Q86">
        <f t="shared" si="8"/>
        <v>0</v>
      </c>
      <c r="R86" t="str">
        <f t="shared" si="7"/>
        <v>0</v>
      </c>
    </row>
    <row r="87" spans="1:18" hidden="1" x14ac:dyDescent="0.25">
      <c r="A87" t="str">
        <f t="shared" si="6"/>
        <v>Lyon - Tolisso</v>
      </c>
      <c r="B87" t="s">
        <v>1109</v>
      </c>
      <c r="C87" t="s">
        <v>8</v>
      </c>
      <c r="D87" t="s">
        <v>653</v>
      </c>
      <c r="E87" t="s">
        <v>186</v>
      </c>
      <c r="F87" t="s">
        <v>47</v>
      </c>
      <c r="G87">
        <v>25</v>
      </c>
      <c r="H87">
        <v>0</v>
      </c>
      <c r="I87">
        <v>0</v>
      </c>
      <c r="J87">
        <v>0</v>
      </c>
      <c r="M87">
        <f t="shared" si="9"/>
        <v>5.615384615384615</v>
      </c>
      <c r="N87">
        <f t="shared" si="10"/>
        <v>25</v>
      </c>
      <c r="O87">
        <f t="shared" si="11"/>
        <v>3</v>
      </c>
      <c r="P87">
        <f t="shared" si="12"/>
        <v>4</v>
      </c>
      <c r="Q87">
        <f t="shared" si="8"/>
        <v>4</v>
      </c>
      <c r="R87" t="str">
        <f t="shared" si="7"/>
        <v>4</v>
      </c>
    </row>
    <row r="88" spans="1:18" hidden="1" x14ac:dyDescent="0.25">
      <c r="A88" t="str">
        <f t="shared" si="6"/>
        <v>Caen - Deschateaux</v>
      </c>
      <c r="B88" t="s">
        <v>1109</v>
      </c>
      <c r="C88" t="s">
        <v>12</v>
      </c>
      <c r="D88" t="s">
        <v>517</v>
      </c>
      <c r="E88" t="s">
        <v>518</v>
      </c>
      <c r="F88" t="s">
        <v>56</v>
      </c>
      <c r="G88">
        <v>1</v>
      </c>
      <c r="H88">
        <v>0</v>
      </c>
      <c r="I88">
        <v>0</v>
      </c>
      <c r="J88">
        <v>0</v>
      </c>
      <c r="R88" t="str">
        <f t="shared" si="7"/>
        <v/>
      </c>
    </row>
    <row r="89" spans="1:18" hidden="1" x14ac:dyDescent="0.25">
      <c r="A89" t="str">
        <f t="shared" si="6"/>
        <v xml:space="preserve"> - </v>
      </c>
      <c r="Q89" t="e">
        <f t="shared" ref="Q89:Q120" si="13">VLOOKUP(VLOOKUP($A89,_JOUEURS,2,FALSE),_DATA,7,FALSE)</f>
        <v>#N/A</v>
      </c>
      <c r="R89" t="e">
        <f t="shared" si="7"/>
        <v>#N/A</v>
      </c>
    </row>
    <row r="90" spans="1:18" hidden="1" x14ac:dyDescent="0.25">
      <c r="A90" t="str">
        <f t="shared" si="6"/>
        <v xml:space="preserve"> - </v>
      </c>
      <c r="Q90" t="e">
        <f t="shared" si="13"/>
        <v>#N/A</v>
      </c>
      <c r="R90" t="e">
        <f t="shared" si="7"/>
        <v>#N/A</v>
      </c>
    </row>
    <row r="91" spans="1:18" hidden="1" x14ac:dyDescent="0.25">
      <c r="A91" t="str">
        <f t="shared" si="6"/>
        <v xml:space="preserve"> - </v>
      </c>
      <c r="Q91" t="e">
        <f t="shared" si="13"/>
        <v>#N/A</v>
      </c>
      <c r="R91" t="e">
        <f t="shared" si="7"/>
        <v>#N/A</v>
      </c>
    </row>
    <row r="92" spans="1:18" hidden="1" x14ac:dyDescent="0.25">
      <c r="A92" t="str">
        <f t="shared" si="6"/>
        <v xml:space="preserve"> - </v>
      </c>
      <c r="Q92" t="e">
        <f t="shared" si="13"/>
        <v>#N/A</v>
      </c>
      <c r="R92" t="e">
        <f t="shared" si="7"/>
        <v>#N/A</v>
      </c>
    </row>
    <row r="93" spans="1:18" hidden="1" x14ac:dyDescent="0.25">
      <c r="A93" t="str">
        <f t="shared" si="6"/>
        <v xml:space="preserve"> - </v>
      </c>
      <c r="Q93" t="e">
        <f t="shared" si="13"/>
        <v>#N/A</v>
      </c>
      <c r="R93" t="e">
        <f t="shared" si="7"/>
        <v>#N/A</v>
      </c>
    </row>
    <row r="94" spans="1:18" hidden="1" x14ac:dyDescent="0.25">
      <c r="A94" t="str">
        <f t="shared" si="6"/>
        <v xml:space="preserve"> - </v>
      </c>
      <c r="Q94" t="e">
        <f t="shared" si="13"/>
        <v>#N/A</v>
      </c>
      <c r="R94" t="e">
        <f t="shared" si="7"/>
        <v>#N/A</v>
      </c>
    </row>
    <row r="95" spans="1:18" hidden="1" x14ac:dyDescent="0.25">
      <c r="A95" t="str">
        <f t="shared" si="6"/>
        <v xml:space="preserve"> - </v>
      </c>
      <c r="Q95" t="e">
        <f t="shared" si="13"/>
        <v>#N/A</v>
      </c>
      <c r="R95" t="e">
        <f t="shared" si="7"/>
        <v>#N/A</v>
      </c>
    </row>
    <row r="96" spans="1:18" hidden="1" x14ac:dyDescent="0.25">
      <c r="A96" t="str">
        <f t="shared" si="6"/>
        <v xml:space="preserve"> - </v>
      </c>
      <c r="Q96" t="e">
        <f t="shared" si="13"/>
        <v>#N/A</v>
      </c>
      <c r="R96" t="e">
        <f t="shared" si="7"/>
        <v>#N/A</v>
      </c>
    </row>
    <row r="97" spans="1:18" hidden="1" x14ac:dyDescent="0.25">
      <c r="A97" t="str">
        <f t="shared" si="6"/>
        <v xml:space="preserve"> - </v>
      </c>
      <c r="Q97" t="e">
        <f t="shared" si="13"/>
        <v>#N/A</v>
      </c>
      <c r="R97" t="e">
        <f t="shared" si="7"/>
        <v>#N/A</v>
      </c>
    </row>
    <row r="98" spans="1:18" hidden="1" x14ac:dyDescent="0.25">
      <c r="A98" t="str">
        <f t="shared" si="6"/>
        <v xml:space="preserve"> - </v>
      </c>
      <c r="Q98" t="e">
        <f t="shared" si="13"/>
        <v>#N/A</v>
      </c>
      <c r="R98" t="e">
        <f t="shared" si="7"/>
        <v>#N/A</v>
      </c>
    </row>
    <row r="99" spans="1:18" hidden="1" x14ac:dyDescent="0.25">
      <c r="A99" t="str">
        <f t="shared" si="6"/>
        <v xml:space="preserve"> - </v>
      </c>
      <c r="Q99" t="e">
        <f t="shared" si="13"/>
        <v>#N/A</v>
      </c>
      <c r="R99" t="e">
        <f t="shared" si="7"/>
        <v>#N/A</v>
      </c>
    </row>
    <row r="100" spans="1:18" hidden="1" x14ac:dyDescent="0.25">
      <c r="A100" t="str">
        <f t="shared" si="6"/>
        <v xml:space="preserve"> - </v>
      </c>
      <c r="Q100" t="e">
        <f t="shared" si="13"/>
        <v>#N/A</v>
      </c>
      <c r="R100" t="e">
        <f t="shared" si="7"/>
        <v>#N/A</v>
      </c>
    </row>
    <row r="101" spans="1:18" hidden="1" x14ac:dyDescent="0.25">
      <c r="A101" t="str">
        <f t="shared" si="6"/>
        <v xml:space="preserve"> - </v>
      </c>
      <c r="Q101" t="e">
        <f t="shared" si="13"/>
        <v>#N/A</v>
      </c>
      <c r="R101" t="e">
        <f t="shared" si="7"/>
        <v>#N/A</v>
      </c>
    </row>
    <row r="102" spans="1:18" hidden="1" x14ac:dyDescent="0.25">
      <c r="A102" t="str">
        <f t="shared" si="6"/>
        <v xml:space="preserve"> - </v>
      </c>
      <c r="Q102" t="e">
        <f t="shared" si="13"/>
        <v>#N/A</v>
      </c>
      <c r="R102" t="e">
        <f t="shared" si="7"/>
        <v>#N/A</v>
      </c>
    </row>
    <row r="103" spans="1:18" hidden="1" x14ac:dyDescent="0.25">
      <c r="A103" t="str">
        <f t="shared" si="6"/>
        <v xml:space="preserve"> - </v>
      </c>
      <c r="Q103" t="e">
        <f t="shared" si="13"/>
        <v>#N/A</v>
      </c>
      <c r="R103" t="e">
        <f t="shared" si="7"/>
        <v>#N/A</v>
      </c>
    </row>
    <row r="104" spans="1:18" hidden="1" x14ac:dyDescent="0.25">
      <c r="A104" t="str">
        <f t="shared" si="6"/>
        <v xml:space="preserve"> - </v>
      </c>
      <c r="Q104" t="e">
        <f t="shared" si="13"/>
        <v>#N/A</v>
      </c>
      <c r="R104" t="e">
        <f t="shared" si="7"/>
        <v>#N/A</v>
      </c>
    </row>
    <row r="105" spans="1:18" hidden="1" x14ac:dyDescent="0.25">
      <c r="A105" t="str">
        <f t="shared" si="6"/>
        <v xml:space="preserve"> - </v>
      </c>
      <c r="Q105" t="e">
        <f t="shared" si="13"/>
        <v>#N/A</v>
      </c>
      <c r="R105" t="e">
        <f t="shared" si="7"/>
        <v>#N/A</v>
      </c>
    </row>
    <row r="106" spans="1:18" hidden="1" x14ac:dyDescent="0.25">
      <c r="A106" t="str">
        <f t="shared" si="6"/>
        <v xml:space="preserve"> - </v>
      </c>
      <c r="Q106" t="e">
        <f t="shared" si="13"/>
        <v>#N/A</v>
      </c>
      <c r="R106" t="e">
        <f t="shared" si="7"/>
        <v>#N/A</v>
      </c>
    </row>
    <row r="107" spans="1:18" hidden="1" x14ac:dyDescent="0.25">
      <c r="A107" t="str">
        <f t="shared" si="6"/>
        <v xml:space="preserve"> - </v>
      </c>
      <c r="Q107" t="e">
        <f t="shared" si="13"/>
        <v>#N/A</v>
      </c>
      <c r="R107" t="e">
        <f t="shared" si="7"/>
        <v>#N/A</v>
      </c>
    </row>
    <row r="108" spans="1:18" hidden="1" x14ac:dyDescent="0.25">
      <c r="A108" t="str">
        <f t="shared" si="6"/>
        <v xml:space="preserve"> - </v>
      </c>
      <c r="Q108" t="e">
        <f t="shared" si="13"/>
        <v>#N/A</v>
      </c>
      <c r="R108" t="e">
        <f t="shared" si="7"/>
        <v>#N/A</v>
      </c>
    </row>
    <row r="109" spans="1:18" hidden="1" x14ac:dyDescent="0.25">
      <c r="A109" t="str">
        <f t="shared" si="6"/>
        <v xml:space="preserve"> - </v>
      </c>
      <c r="Q109" t="e">
        <f t="shared" si="13"/>
        <v>#N/A</v>
      </c>
      <c r="R109" t="e">
        <f t="shared" si="7"/>
        <v>#N/A</v>
      </c>
    </row>
    <row r="110" spans="1:18" hidden="1" x14ac:dyDescent="0.25">
      <c r="A110" t="str">
        <f t="shared" si="6"/>
        <v xml:space="preserve"> - </v>
      </c>
      <c r="Q110" t="e">
        <f t="shared" si="13"/>
        <v>#N/A</v>
      </c>
      <c r="R110" t="e">
        <f t="shared" si="7"/>
        <v>#N/A</v>
      </c>
    </row>
    <row r="111" spans="1:18" hidden="1" x14ac:dyDescent="0.25">
      <c r="A111" t="str">
        <f t="shared" si="6"/>
        <v xml:space="preserve"> - </v>
      </c>
      <c r="Q111" t="e">
        <f t="shared" si="13"/>
        <v>#N/A</v>
      </c>
      <c r="R111" t="e">
        <f t="shared" si="7"/>
        <v>#N/A</v>
      </c>
    </row>
    <row r="112" spans="1:18" hidden="1" x14ac:dyDescent="0.25">
      <c r="A112" t="str">
        <f t="shared" si="6"/>
        <v xml:space="preserve"> - </v>
      </c>
      <c r="Q112" t="e">
        <f t="shared" si="13"/>
        <v>#N/A</v>
      </c>
      <c r="R112" t="e">
        <f t="shared" si="7"/>
        <v>#N/A</v>
      </c>
    </row>
    <row r="113" spans="1:18" hidden="1" x14ac:dyDescent="0.25">
      <c r="A113" t="str">
        <f t="shared" si="6"/>
        <v xml:space="preserve"> - </v>
      </c>
      <c r="Q113" t="e">
        <f t="shared" si="13"/>
        <v>#N/A</v>
      </c>
      <c r="R113" t="e">
        <f t="shared" si="7"/>
        <v>#N/A</v>
      </c>
    </row>
    <row r="114" spans="1:18" hidden="1" x14ac:dyDescent="0.25">
      <c r="A114" t="str">
        <f t="shared" si="6"/>
        <v xml:space="preserve"> - </v>
      </c>
      <c r="Q114" t="e">
        <f t="shared" si="13"/>
        <v>#N/A</v>
      </c>
      <c r="R114" t="e">
        <f t="shared" si="7"/>
        <v>#N/A</v>
      </c>
    </row>
    <row r="115" spans="1:18" hidden="1" x14ac:dyDescent="0.25">
      <c r="A115" t="str">
        <f t="shared" si="6"/>
        <v xml:space="preserve"> - </v>
      </c>
      <c r="Q115" t="e">
        <f t="shared" si="13"/>
        <v>#N/A</v>
      </c>
      <c r="R115" t="e">
        <f t="shared" si="7"/>
        <v>#N/A</v>
      </c>
    </row>
    <row r="116" spans="1:18" hidden="1" x14ac:dyDescent="0.25">
      <c r="A116" t="str">
        <f t="shared" si="6"/>
        <v xml:space="preserve"> - </v>
      </c>
      <c r="Q116" t="e">
        <f t="shared" si="13"/>
        <v>#N/A</v>
      </c>
      <c r="R116" t="e">
        <f t="shared" si="7"/>
        <v>#N/A</v>
      </c>
    </row>
    <row r="117" spans="1:18" hidden="1" x14ac:dyDescent="0.25">
      <c r="A117" t="str">
        <f t="shared" si="6"/>
        <v xml:space="preserve"> - </v>
      </c>
      <c r="Q117" t="e">
        <f t="shared" si="13"/>
        <v>#N/A</v>
      </c>
      <c r="R117" t="e">
        <f t="shared" si="7"/>
        <v>#N/A</v>
      </c>
    </row>
    <row r="118" spans="1:18" hidden="1" x14ac:dyDescent="0.25">
      <c r="A118" t="str">
        <f t="shared" si="6"/>
        <v xml:space="preserve"> - </v>
      </c>
      <c r="Q118" t="e">
        <f t="shared" si="13"/>
        <v>#N/A</v>
      </c>
      <c r="R118" t="e">
        <f t="shared" si="7"/>
        <v>#N/A</v>
      </c>
    </row>
    <row r="119" spans="1:18" hidden="1" x14ac:dyDescent="0.25">
      <c r="A119" t="str">
        <f t="shared" si="6"/>
        <v xml:space="preserve"> - </v>
      </c>
      <c r="Q119" t="e">
        <f t="shared" si="13"/>
        <v>#N/A</v>
      </c>
      <c r="R119" t="e">
        <f t="shared" si="7"/>
        <v>#N/A</v>
      </c>
    </row>
    <row r="120" spans="1:18" hidden="1" x14ac:dyDescent="0.25">
      <c r="A120" t="str">
        <f t="shared" si="6"/>
        <v xml:space="preserve"> - </v>
      </c>
      <c r="Q120" t="e">
        <f t="shared" si="13"/>
        <v>#N/A</v>
      </c>
      <c r="R120" t="e">
        <f t="shared" si="7"/>
        <v>#N/A</v>
      </c>
    </row>
    <row r="121" spans="1:18" hidden="1" x14ac:dyDescent="0.25">
      <c r="A121" t="str">
        <f t="shared" si="6"/>
        <v xml:space="preserve"> - </v>
      </c>
      <c r="R121" t="str">
        <f t="shared" si="7"/>
        <v/>
      </c>
    </row>
    <row r="122" spans="1:18" hidden="1" x14ac:dyDescent="0.25">
      <c r="A122" t="str">
        <f t="shared" si="6"/>
        <v xml:space="preserve"> - </v>
      </c>
      <c r="Q122" t="e">
        <f t="shared" ref="Q122:Q153" si="14">VLOOKUP(VLOOKUP($A122,_JOUEURS,2,FALSE),_DATA,7,FALSE)</f>
        <v>#N/A</v>
      </c>
      <c r="R122" t="e">
        <f t="shared" si="7"/>
        <v>#N/A</v>
      </c>
    </row>
    <row r="123" spans="1:18" hidden="1" x14ac:dyDescent="0.25">
      <c r="A123" t="str">
        <f t="shared" si="6"/>
        <v xml:space="preserve"> - </v>
      </c>
      <c r="Q123" t="e">
        <f t="shared" si="14"/>
        <v>#N/A</v>
      </c>
      <c r="R123" t="e">
        <f t="shared" si="7"/>
        <v>#N/A</v>
      </c>
    </row>
    <row r="124" spans="1:18" hidden="1" x14ac:dyDescent="0.25">
      <c r="A124" t="str">
        <f t="shared" si="6"/>
        <v xml:space="preserve"> - </v>
      </c>
      <c r="Q124" t="e">
        <f t="shared" si="14"/>
        <v>#N/A</v>
      </c>
      <c r="R124" t="e">
        <f t="shared" si="7"/>
        <v>#N/A</v>
      </c>
    </row>
    <row r="125" spans="1:18" hidden="1" x14ac:dyDescent="0.25">
      <c r="A125" t="str">
        <f t="shared" si="6"/>
        <v xml:space="preserve"> - </v>
      </c>
      <c r="Q125" t="e">
        <f t="shared" si="14"/>
        <v>#N/A</v>
      </c>
      <c r="R125" t="e">
        <f t="shared" si="7"/>
        <v>#N/A</v>
      </c>
    </row>
    <row r="126" spans="1:18" hidden="1" x14ac:dyDescent="0.25">
      <c r="A126" t="str">
        <f t="shared" si="6"/>
        <v xml:space="preserve"> - </v>
      </c>
      <c r="Q126" t="e">
        <f t="shared" si="14"/>
        <v>#N/A</v>
      </c>
      <c r="R126" t="e">
        <f t="shared" si="7"/>
        <v>#N/A</v>
      </c>
    </row>
    <row r="127" spans="1:18" hidden="1" x14ac:dyDescent="0.25">
      <c r="A127" t="str">
        <f t="shared" si="6"/>
        <v xml:space="preserve"> - </v>
      </c>
      <c r="Q127" t="e">
        <f t="shared" si="14"/>
        <v>#N/A</v>
      </c>
      <c r="R127" t="e">
        <f t="shared" si="7"/>
        <v>#N/A</v>
      </c>
    </row>
    <row r="128" spans="1:18" hidden="1" x14ac:dyDescent="0.25">
      <c r="A128" t="str">
        <f t="shared" si="6"/>
        <v xml:space="preserve"> - </v>
      </c>
      <c r="Q128" t="e">
        <f t="shared" si="14"/>
        <v>#N/A</v>
      </c>
      <c r="R128" t="e">
        <f t="shared" si="7"/>
        <v>#N/A</v>
      </c>
    </row>
    <row r="129" spans="1:18" hidden="1" x14ac:dyDescent="0.25">
      <c r="A129" t="str">
        <f t="shared" si="6"/>
        <v xml:space="preserve"> - </v>
      </c>
      <c r="Q129" t="e">
        <f t="shared" si="14"/>
        <v>#N/A</v>
      </c>
      <c r="R129" t="e">
        <f t="shared" si="7"/>
        <v>#N/A</v>
      </c>
    </row>
    <row r="130" spans="1:18" hidden="1" x14ac:dyDescent="0.25">
      <c r="A130" t="str">
        <f t="shared" si="6"/>
        <v xml:space="preserve"> - </v>
      </c>
      <c r="Q130" t="e">
        <f t="shared" si="14"/>
        <v>#N/A</v>
      </c>
      <c r="R130" t="e">
        <f t="shared" si="7"/>
        <v>#N/A</v>
      </c>
    </row>
    <row r="131" spans="1:18" hidden="1" x14ac:dyDescent="0.25">
      <c r="A131" t="str">
        <f t="shared" ref="A131:A193" si="15">F131 &amp; " - " &amp; D131</f>
        <v xml:space="preserve"> - </v>
      </c>
      <c r="Q131" t="e">
        <f t="shared" si="14"/>
        <v>#N/A</v>
      </c>
      <c r="R131" t="e">
        <f t="shared" ref="R131:R193" si="16">SUBSTITUTE(SUBSTITUTE(SUBSTITUTE(Q131," / ",""),"(-1)",""),"(-2)","")</f>
        <v>#N/A</v>
      </c>
    </row>
    <row r="132" spans="1:18" hidden="1" x14ac:dyDescent="0.25">
      <c r="A132" t="str">
        <f t="shared" si="15"/>
        <v xml:space="preserve"> - </v>
      </c>
      <c r="Q132" t="e">
        <f t="shared" si="14"/>
        <v>#N/A</v>
      </c>
      <c r="R132" t="e">
        <f t="shared" si="16"/>
        <v>#N/A</v>
      </c>
    </row>
    <row r="133" spans="1:18" hidden="1" x14ac:dyDescent="0.25">
      <c r="A133" t="str">
        <f t="shared" si="15"/>
        <v xml:space="preserve"> - </v>
      </c>
      <c r="Q133" t="e">
        <f t="shared" si="14"/>
        <v>#N/A</v>
      </c>
      <c r="R133" t="e">
        <f t="shared" si="16"/>
        <v>#N/A</v>
      </c>
    </row>
    <row r="134" spans="1:18" hidden="1" x14ac:dyDescent="0.25">
      <c r="A134" t="str">
        <f t="shared" si="15"/>
        <v xml:space="preserve"> - </v>
      </c>
      <c r="Q134" t="e">
        <f t="shared" si="14"/>
        <v>#N/A</v>
      </c>
      <c r="R134" t="e">
        <f t="shared" si="16"/>
        <v>#N/A</v>
      </c>
    </row>
    <row r="135" spans="1:18" hidden="1" x14ac:dyDescent="0.25">
      <c r="A135" t="str">
        <f t="shared" si="15"/>
        <v xml:space="preserve"> - </v>
      </c>
      <c r="Q135" t="e">
        <f t="shared" si="14"/>
        <v>#N/A</v>
      </c>
      <c r="R135" t="e">
        <f t="shared" si="16"/>
        <v>#N/A</v>
      </c>
    </row>
    <row r="136" spans="1:18" hidden="1" x14ac:dyDescent="0.25">
      <c r="A136" t="str">
        <f t="shared" si="15"/>
        <v xml:space="preserve"> - </v>
      </c>
      <c r="Q136" t="e">
        <f t="shared" si="14"/>
        <v>#N/A</v>
      </c>
      <c r="R136" t="e">
        <f t="shared" si="16"/>
        <v>#N/A</v>
      </c>
    </row>
    <row r="137" spans="1:18" hidden="1" x14ac:dyDescent="0.25">
      <c r="A137" t="str">
        <f t="shared" si="15"/>
        <v xml:space="preserve"> - </v>
      </c>
      <c r="Q137" t="e">
        <f t="shared" si="14"/>
        <v>#N/A</v>
      </c>
      <c r="R137" t="e">
        <f t="shared" si="16"/>
        <v>#N/A</v>
      </c>
    </row>
    <row r="138" spans="1:18" hidden="1" x14ac:dyDescent="0.25">
      <c r="A138" t="str">
        <f t="shared" si="15"/>
        <v xml:space="preserve"> - </v>
      </c>
      <c r="Q138" t="e">
        <f t="shared" si="14"/>
        <v>#N/A</v>
      </c>
      <c r="R138" t="e">
        <f t="shared" si="16"/>
        <v>#N/A</v>
      </c>
    </row>
    <row r="139" spans="1:18" hidden="1" x14ac:dyDescent="0.25">
      <c r="A139" t="str">
        <f t="shared" si="15"/>
        <v xml:space="preserve"> - </v>
      </c>
      <c r="Q139" t="e">
        <f t="shared" si="14"/>
        <v>#N/A</v>
      </c>
      <c r="R139" t="e">
        <f t="shared" si="16"/>
        <v>#N/A</v>
      </c>
    </row>
    <row r="140" spans="1:18" hidden="1" x14ac:dyDescent="0.25">
      <c r="A140" t="str">
        <f t="shared" si="15"/>
        <v xml:space="preserve"> - </v>
      </c>
      <c r="Q140" t="e">
        <f t="shared" si="14"/>
        <v>#N/A</v>
      </c>
      <c r="R140" t="e">
        <f t="shared" si="16"/>
        <v>#N/A</v>
      </c>
    </row>
    <row r="141" spans="1:18" hidden="1" x14ac:dyDescent="0.25">
      <c r="A141" t="str">
        <f t="shared" si="15"/>
        <v xml:space="preserve"> - </v>
      </c>
      <c r="Q141" t="e">
        <f t="shared" si="14"/>
        <v>#N/A</v>
      </c>
      <c r="R141" t="e">
        <f t="shared" si="16"/>
        <v>#N/A</v>
      </c>
    </row>
    <row r="142" spans="1:18" hidden="1" x14ac:dyDescent="0.25">
      <c r="A142" t="str">
        <f t="shared" si="15"/>
        <v xml:space="preserve"> - </v>
      </c>
      <c r="Q142" t="e">
        <f t="shared" si="14"/>
        <v>#N/A</v>
      </c>
      <c r="R142" t="e">
        <f t="shared" si="16"/>
        <v>#N/A</v>
      </c>
    </row>
    <row r="143" spans="1:18" hidden="1" x14ac:dyDescent="0.25">
      <c r="A143" t="str">
        <f t="shared" si="15"/>
        <v xml:space="preserve"> - </v>
      </c>
      <c r="Q143" t="e">
        <f t="shared" si="14"/>
        <v>#N/A</v>
      </c>
      <c r="R143" t="e">
        <f t="shared" si="16"/>
        <v>#N/A</v>
      </c>
    </row>
    <row r="144" spans="1:18" hidden="1" x14ac:dyDescent="0.25">
      <c r="A144" t="str">
        <f t="shared" si="15"/>
        <v xml:space="preserve"> - </v>
      </c>
      <c r="Q144" t="e">
        <f t="shared" si="14"/>
        <v>#N/A</v>
      </c>
      <c r="R144" t="e">
        <f t="shared" si="16"/>
        <v>#N/A</v>
      </c>
    </row>
    <row r="145" spans="1:18" hidden="1" x14ac:dyDescent="0.25">
      <c r="A145" t="str">
        <f t="shared" si="15"/>
        <v xml:space="preserve"> - </v>
      </c>
      <c r="Q145" t="e">
        <f t="shared" si="14"/>
        <v>#N/A</v>
      </c>
      <c r="R145" t="e">
        <f t="shared" si="16"/>
        <v>#N/A</v>
      </c>
    </row>
    <row r="146" spans="1:18" hidden="1" x14ac:dyDescent="0.25">
      <c r="A146" t="str">
        <f t="shared" si="15"/>
        <v xml:space="preserve"> - </v>
      </c>
      <c r="Q146" t="e">
        <f t="shared" si="14"/>
        <v>#N/A</v>
      </c>
      <c r="R146" t="e">
        <f t="shared" si="16"/>
        <v>#N/A</v>
      </c>
    </row>
    <row r="147" spans="1:18" hidden="1" x14ac:dyDescent="0.25">
      <c r="A147" t="str">
        <f t="shared" si="15"/>
        <v xml:space="preserve"> - </v>
      </c>
      <c r="Q147" t="e">
        <f t="shared" si="14"/>
        <v>#N/A</v>
      </c>
      <c r="R147" t="e">
        <f t="shared" si="16"/>
        <v>#N/A</v>
      </c>
    </row>
    <row r="148" spans="1:18" hidden="1" x14ac:dyDescent="0.25">
      <c r="A148" t="str">
        <f t="shared" si="15"/>
        <v xml:space="preserve"> - </v>
      </c>
      <c r="Q148" t="e">
        <f t="shared" si="14"/>
        <v>#N/A</v>
      </c>
      <c r="R148" t="e">
        <f t="shared" si="16"/>
        <v>#N/A</v>
      </c>
    </row>
    <row r="149" spans="1:18" hidden="1" x14ac:dyDescent="0.25">
      <c r="A149" t="str">
        <f t="shared" si="15"/>
        <v xml:space="preserve"> - </v>
      </c>
      <c r="Q149" t="e">
        <f t="shared" si="14"/>
        <v>#N/A</v>
      </c>
      <c r="R149" t="e">
        <f t="shared" si="16"/>
        <v>#N/A</v>
      </c>
    </row>
    <row r="150" spans="1:18" hidden="1" x14ac:dyDescent="0.25">
      <c r="A150" t="str">
        <f t="shared" si="15"/>
        <v xml:space="preserve"> - </v>
      </c>
      <c r="Q150" t="e">
        <f t="shared" si="14"/>
        <v>#N/A</v>
      </c>
      <c r="R150" t="e">
        <f t="shared" si="16"/>
        <v>#N/A</v>
      </c>
    </row>
    <row r="151" spans="1:18" hidden="1" x14ac:dyDescent="0.25">
      <c r="A151" t="str">
        <f t="shared" si="15"/>
        <v xml:space="preserve"> - </v>
      </c>
      <c r="Q151" t="e">
        <f t="shared" si="14"/>
        <v>#N/A</v>
      </c>
      <c r="R151" t="e">
        <f t="shared" si="16"/>
        <v>#N/A</v>
      </c>
    </row>
    <row r="152" spans="1:18" hidden="1" x14ac:dyDescent="0.25">
      <c r="A152" t="str">
        <f t="shared" si="15"/>
        <v xml:space="preserve"> - </v>
      </c>
      <c r="Q152" t="e">
        <f t="shared" si="14"/>
        <v>#N/A</v>
      </c>
      <c r="R152" t="e">
        <f t="shared" si="16"/>
        <v>#N/A</v>
      </c>
    </row>
    <row r="153" spans="1:18" hidden="1" x14ac:dyDescent="0.25">
      <c r="A153" t="str">
        <f t="shared" si="15"/>
        <v xml:space="preserve"> - </v>
      </c>
      <c r="Q153" t="e">
        <f t="shared" si="14"/>
        <v>#N/A</v>
      </c>
      <c r="R153" t="e">
        <f t="shared" si="16"/>
        <v>#N/A</v>
      </c>
    </row>
    <row r="154" spans="1:18" hidden="1" x14ac:dyDescent="0.25">
      <c r="A154" t="str">
        <f t="shared" si="15"/>
        <v xml:space="preserve"> - </v>
      </c>
      <c r="Q154" t="e">
        <f t="shared" ref="Q154:Q185" si="17">VLOOKUP(VLOOKUP($A154,_JOUEURS,2,FALSE),_DATA,7,FALSE)</f>
        <v>#N/A</v>
      </c>
      <c r="R154" t="e">
        <f t="shared" si="16"/>
        <v>#N/A</v>
      </c>
    </row>
    <row r="155" spans="1:18" hidden="1" x14ac:dyDescent="0.25">
      <c r="A155" t="str">
        <f t="shared" si="15"/>
        <v xml:space="preserve"> - </v>
      </c>
      <c r="Q155" t="e">
        <f t="shared" si="17"/>
        <v>#N/A</v>
      </c>
      <c r="R155" t="e">
        <f t="shared" si="16"/>
        <v>#N/A</v>
      </c>
    </row>
    <row r="156" spans="1:18" hidden="1" x14ac:dyDescent="0.25">
      <c r="A156" t="str">
        <f t="shared" si="15"/>
        <v xml:space="preserve"> - </v>
      </c>
      <c r="Q156" t="e">
        <f t="shared" si="17"/>
        <v>#N/A</v>
      </c>
      <c r="R156" t="e">
        <f t="shared" si="16"/>
        <v>#N/A</v>
      </c>
    </row>
    <row r="157" spans="1:18" hidden="1" x14ac:dyDescent="0.25">
      <c r="A157" t="str">
        <f t="shared" si="15"/>
        <v xml:space="preserve"> - </v>
      </c>
      <c r="Q157" t="e">
        <f t="shared" si="17"/>
        <v>#N/A</v>
      </c>
      <c r="R157" t="e">
        <f t="shared" si="16"/>
        <v>#N/A</v>
      </c>
    </row>
    <row r="158" spans="1:18" hidden="1" x14ac:dyDescent="0.25">
      <c r="A158" t="str">
        <f t="shared" si="15"/>
        <v xml:space="preserve"> - </v>
      </c>
      <c r="Q158" t="e">
        <f t="shared" si="17"/>
        <v>#N/A</v>
      </c>
      <c r="R158" t="e">
        <f t="shared" si="16"/>
        <v>#N/A</v>
      </c>
    </row>
    <row r="159" spans="1:18" hidden="1" x14ac:dyDescent="0.25">
      <c r="A159" t="str">
        <f t="shared" si="15"/>
        <v xml:space="preserve"> - </v>
      </c>
      <c r="Q159" t="e">
        <f t="shared" si="17"/>
        <v>#N/A</v>
      </c>
      <c r="R159" t="e">
        <f t="shared" si="16"/>
        <v>#N/A</v>
      </c>
    </row>
    <row r="160" spans="1:18" hidden="1" x14ac:dyDescent="0.25">
      <c r="A160" t="str">
        <f t="shared" si="15"/>
        <v xml:space="preserve"> - </v>
      </c>
      <c r="Q160" t="e">
        <f t="shared" si="17"/>
        <v>#N/A</v>
      </c>
      <c r="R160" t="e">
        <f t="shared" si="16"/>
        <v>#N/A</v>
      </c>
    </row>
    <row r="161" spans="1:18" hidden="1" x14ac:dyDescent="0.25">
      <c r="A161" t="str">
        <f t="shared" si="15"/>
        <v xml:space="preserve"> - </v>
      </c>
      <c r="Q161" t="e">
        <f t="shared" si="17"/>
        <v>#N/A</v>
      </c>
      <c r="R161" t="e">
        <f t="shared" si="16"/>
        <v>#N/A</v>
      </c>
    </row>
    <row r="162" spans="1:18" hidden="1" x14ac:dyDescent="0.25">
      <c r="A162" t="str">
        <f t="shared" si="15"/>
        <v xml:space="preserve"> - </v>
      </c>
      <c r="Q162" t="e">
        <f t="shared" si="17"/>
        <v>#N/A</v>
      </c>
      <c r="R162" t="e">
        <f t="shared" si="16"/>
        <v>#N/A</v>
      </c>
    </row>
    <row r="163" spans="1:18" hidden="1" x14ac:dyDescent="0.25">
      <c r="A163" t="str">
        <f t="shared" si="15"/>
        <v xml:space="preserve"> - </v>
      </c>
      <c r="Q163" t="e">
        <f t="shared" si="17"/>
        <v>#N/A</v>
      </c>
      <c r="R163" t="e">
        <f t="shared" si="16"/>
        <v>#N/A</v>
      </c>
    </row>
    <row r="164" spans="1:18" hidden="1" x14ac:dyDescent="0.25">
      <c r="A164" t="str">
        <f t="shared" si="15"/>
        <v xml:space="preserve"> - </v>
      </c>
      <c r="Q164" t="e">
        <f t="shared" si="17"/>
        <v>#N/A</v>
      </c>
      <c r="R164" t="e">
        <f t="shared" si="16"/>
        <v>#N/A</v>
      </c>
    </row>
    <row r="165" spans="1:18" hidden="1" x14ac:dyDescent="0.25">
      <c r="A165" t="str">
        <f t="shared" si="15"/>
        <v xml:space="preserve"> - </v>
      </c>
      <c r="Q165" t="e">
        <f t="shared" si="17"/>
        <v>#N/A</v>
      </c>
      <c r="R165" t="e">
        <f t="shared" si="16"/>
        <v>#N/A</v>
      </c>
    </row>
    <row r="166" spans="1:18" hidden="1" x14ac:dyDescent="0.25">
      <c r="A166" t="str">
        <f t="shared" si="15"/>
        <v xml:space="preserve"> - </v>
      </c>
      <c r="Q166" t="e">
        <f t="shared" si="17"/>
        <v>#N/A</v>
      </c>
      <c r="R166" t="e">
        <f t="shared" si="16"/>
        <v>#N/A</v>
      </c>
    </row>
    <row r="167" spans="1:18" hidden="1" x14ac:dyDescent="0.25">
      <c r="A167" t="str">
        <f t="shared" si="15"/>
        <v xml:space="preserve"> - </v>
      </c>
      <c r="Q167" t="e">
        <f t="shared" si="17"/>
        <v>#N/A</v>
      </c>
      <c r="R167" t="e">
        <f t="shared" si="16"/>
        <v>#N/A</v>
      </c>
    </row>
    <row r="168" spans="1:18" hidden="1" x14ac:dyDescent="0.25">
      <c r="A168" t="str">
        <f t="shared" si="15"/>
        <v xml:space="preserve"> - </v>
      </c>
      <c r="Q168" t="e">
        <f t="shared" si="17"/>
        <v>#N/A</v>
      </c>
      <c r="R168" t="e">
        <f t="shared" si="16"/>
        <v>#N/A</v>
      </c>
    </row>
    <row r="169" spans="1:18" hidden="1" x14ac:dyDescent="0.25">
      <c r="A169" t="str">
        <f t="shared" si="15"/>
        <v xml:space="preserve"> - </v>
      </c>
      <c r="Q169" t="e">
        <f t="shared" si="17"/>
        <v>#N/A</v>
      </c>
      <c r="R169" t="e">
        <f t="shared" si="16"/>
        <v>#N/A</v>
      </c>
    </row>
    <row r="170" spans="1:18" hidden="1" x14ac:dyDescent="0.25">
      <c r="A170" t="str">
        <f t="shared" si="15"/>
        <v xml:space="preserve"> - </v>
      </c>
      <c r="Q170" t="e">
        <f t="shared" si="17"/>
        <v>#N/A</v>
      </c>
      <c r="R170" t="e">
        <f t="shared" si="16"/>
        <v>#N/A</v>
      </c>
    </row>
    <row r="171" spans="1:18" hidden="1" x14ac:dyDescent="0.25">
      <c r="A171" t="str">
        <f t="shared" si="15"/>
        <v xml:space="preserve"> - </v>
      </c>
      <c r="Q171" t="e">
        <f t="shared" si="17"/>
        <v>#N/A</v>
      </c>
      <c r="R171" t="e">
        <f t="shared" si="16"/>
        <v>#N/A</v>
      </c>
    </row>
    <row r="172" spans="1:18" hidden="1" x14ac:dyDescent="0.25">
      <c r="A172" t="str">
        <f t="shared" si="15"/>
        <v xml:space="preserve"> - </v>
      </c>
      <c r="Q172" t="e">
        <f t="shared" si="17"/>
        <v>#N/A</v>
      </c>
      <c r="R172" t="e">
        <f t="shared" si="16"/>
        <v>#N/A</v>
      </c>
    </row>
    <row r="173" spans="1:18" hidden="1" x14ac:dyDescent="0.25">
      <c r="A173" t="str">
        <f t="shared" si="15"/>
        <v xml:space="preserve"> - </v>
      </c>
      <c r="Q173" t="e">
        <f t="shared" si="17"/>
        <v>#N/A</v>
      </c>
      <c r="R173" t="e">
        <f t="shared" si="16"/>
        <v>#N/A</v>
      </c>
    </row>
    <row r="174" spans="1:18" hidden="1" x14ac:dyDescent="0.25">
      <c r="A174" t="str">
        <f t="shared" si="15"/>
        <v xml:space="preserve"> - </v>
      </c>
      <c r="Q174" t="e">
        <f t="shared" si="17"/>
        <v>#N/A</v>
      </c>
      <c r="R174" t="e">
        <f t="shared" si="16"/>
        <v>#N/A</v>
      </c>
    </row>
    <row r="175" spans="1:18" hidden="1" x14ac:dyDescent="0.25">
      <c r="A175" t="str">
        <f t="shared" si="15"/>
        <v xml:space="preserve"> - </v>
      </c>
      <c r="Q175" t="e">
        <f t="shared" si="17"/>
        <v>#N/A</v>
      </c>
      <c r="R175" t="e">
        <f t="shared" si="16"/>
        <v>#N/A</v>
      </c>
    </row>
    <row r="176" spans="1:18" hidden="1" x14ac:dyDescent="0.25">
      <c r="A176" t="str">
        <f t="shared" si="15"/>
        <v xml:space="preserve"> - </v>
      </c>
      <c r="Q176" t="e">
        <f t="shared" si="17"/>
        <v>#N/A</v>
      </c>
      <c r="R176" t="e">
        <f t="shared" si="16"/>
        <v>#N/A</v>
      </c>
    </row>
    <row r="177" spans="1:18" hidden="1" x14ac:dyDescent="0.25">
      <c r="A177" t="str">
        <f t="shared" si="15"/>
        <v xml:space="preserve"> - </v>
      </c>
      <c r="Q177" t="e">
        <f t="shared" si="17"/>
        <v>#N/A</v>
      </c>
      <c r="R177" t="e">
        <f t="shared" si="16"/>
        <v>#N/A</v>
      </c>
    </row>
    <row r="178" spans="1:18" hidden="1" x14ac:dyDescent="0.25">
      <c r="A178" t="str">
        <f t="shared" si="15"/>
        <v xml:space="preserve"> - </v>
      </c>
      <c r="Q178" t="e">
        <f t="shared" si="17"/>
        <v>#N/A</v>
      </c>
      <c r="R178" t="e">
        <f t="shared" si="16"/>
        <v>#N/A</v>
      </c>
    </row>
    <row r="179" spans="1:18" hidden="1" x14ac:dyDescent="0.25">
      <c r="A179" t="str">
        <f t="shared" si="15"/>
        <v xml:space="preserve"> - </v>
      </c>
      <c r="Q179" t="e">
        <f t="shared" si="17"/>
        <v>#N/A</v>
      </c>
      <c r="R179" t="e">
        <f t="shared" si="16"/>
        <v>#N/A</v>
      </c>
    </row>
    <row r="180" spans="1:18" hidden="1" x14ac:dyDescent="0.25">
      <c r="A180" t="str">
        <f t="shared" si="15"/>
        <v xml:space="preserve"> - </v>
      </c>
      <c r="Q180" t="e">
        <f t="shared" si="17"/>
        <v>#N/A</v>
      </c>
      <c r="R180" t="e">
        <f t="shared" si="16"/>
        <v>#N/A</v>
      </c>
    </row>
    <row r="181" spans="1:18" hidden="1" x14ac:dyDescent="0.25">
      <c r="A181" t="str">
        <f t="shared" si="15"/>
        <v xml:space="preserve"> - </v>
      </c>
      <c r="Q181" t="e">
        <f t="shared" si="17"/>
        <v>#N/A</v>
      </c>
      <c r="R181" t="e">
        <f t="shared" si="16"/>
        <v>#N/A</v>
      </c>
    </row>
    <row r="182" spans="1:18" hidden="1" x14ac:dyDescent="0.25">
      <c r="A182" t="str">
        <f t="shared" si="15"/>
        <v xml:space="preserve"> - </v>
      </c>
      <c r="Q182" t="e">
        <f t="shared" si="17"/>
        <v>#N/A</v>
      </c>
      <c r="R182" t="e">
        <f t="shared" si="16"/>
        <v>#N/A</v>
      </c>
    </row>
    <row r="183" spans="1:18" hidden="1" x14ac:dyDescent="0.25">
      <c r="A183" t="str">
        <f t="shared" si="15"/>
        <v xml:space="preserve"> - </v>
      </c>
      <c r="Q183" t="e">
        <f t="shared" si="17"/>
        <v>#N/A</v>
      </c>
      <c r="R183" t="e">
        <f t="shared" si="16"/>
        <v>#N/A</v>
      </c>
    </row>
    <row r="184" spans="1:18" hidden="1" x14ac:dyDescent="0.25">
      <c r="A184" t="str">
        <f t="shared" si="15"/>
        <v xml:space="preserve"> - </v>
      </c>
      <c r="Q184" t="e">
        <f t="shared" si="17"/>
        <v>#N/A</v>
      </c>
      <c r="R184" t="e">
        <f t="shared" si="16"/>
        <v>#N/A</v>
      </c>
    </row>
    <row r="185" spans="1:18" hidden="1" x14ac:dyDescent="0.25">
      <c r="A185" t="str">
        <f t="shared" si="15"/>
        <v xml:space="preserve"> - </v>
      </c>
      <c r="Q185" t="e">
        <f t="shared" si="17"/>
        <v>#N/A</v>
      </c>
      <c r="R185" t="e">
        <f t="shared" si="16"/>
        <v>#N/A</v>
      </c>
    </row>
    <row r="186" spans="1:18" hidden="1" x14ac:dyDescent="0.25">
      <c r="A186" t="str">
        <f t="shared" si="15"/>
        <v xml:space="preserve"> - </v>
      </c>
      <c r="Q186" t="e">
        <f t="shared" ref="Q186:Q193" si="18">VLOOKUP(VLOOKUP($A186,_JOUEURS,2,FALSE),_DATA,7,FALSE)</f>
        <v>#N/A</v>
      </c>
      <c r="R186" t="e">
        <f t="shared" si="16"/>
        <v>#N/A</v>
      </c>
    </row>
    <row r="187" spans="1:18" hidden="1" x14ac:dyDescent="0.25">
      <c r="A187" t="str">
        <f t="shared" si="15"/>
        <v xml:space="preserve"> - </v>
      </c>
      <c r="Q187" t="e">
        <f t="shared" si="18"/>
        <v>#N/A</v>
      </c>
      <c r="R187" t="e">
        <f t="shared" si="16"/>
        <v>#N/A</v>
      </c>
    </row>
    <row r="188" spans="1:18" hidden="1" x14ac:dyDescent="0.25">
      <c r="A188" t="str">
        <f t="shared" si="15"/>
        <v xml:space="preserve"> - </v>
      </c>
      <c r="Q188" t="e">
        <f t="shared" si="18"/>
        <v>#N/A</v>
      </c>
      <c r="R188" t="e">
        <f t="shared" si="16"/>
        <v>#N/A</v>
      </c>
    </row>
    <row r="189" spans="1:18" hidden="1" x14ac:dyDescent="0.25">
      <c r="A189" t="str">
        <f t="shared" si="15"/>
        <v xml:space="preserve"> - </v>
      </c>
      <c r="Q189" t="e">
        <f t="shared" si="18"/>
        <v>#N/A</v>
      </c>
      <c r="R189" t="e">
        <f t="shared" si="16"/>
        <v>#N/A</v>
      </c>
    </row>
    <row r="190" spans="1:18" hidden="1" x14ac:dyDescent="0.25">
      <c r="A190" t="str">
        <f t="shared" si="15"/>
        <v xml:space="preserve"> - </v>
      </c>
      <c r="Q190" t="e">
        <f t="shared" si="18"/>
        <v>#N/A</v>
      </c>
      <c r="R190" t="e">
        <f t="shared" si="16"/>
        <v>#N/A</v>
      </c>
    </row>
    <row r="191" spans="1:18" hidden="1" x14ac:dyDescent="0.25">
      <c r="A191" t="str">
        <f t="shared" si="15"/>
        <v xml:space="preserve"> - </v>
      </c>
      <c r="Q191" t="e">
        <f t="shared" si="18"/>
        <v>#N/A</v>
      </c>
      <c r="R191" t="e">
        <f t="shared" si="16"/>
        <v>#N/A</v>
      </c>
    </row>
    <row r="192" spans="1:18" hidden="1" x14ac:dyDescent="0.25">
      <c r="A192" t="str">
        <f t="shared" si="15"/>
        <v xml:space="preserve"> - </v>
      </c>
      <c r="Q192" t="e">
        <f t="shared" si="18"/>
        <v>#N/A</v>
      </c>
      <c r="R192" t="e">
        <f t="shared" si="16"/>
        <v>#N/A</v>
      </c>
    </row>
    <row r="193" spans="1:18" hidden="1" x14ac:dyDescent="0.25">
      <c r="A193" t="str">
        <f t="shared" si="15"/>
        <v xml:space="preserve"> - </v>
      </c>
      <c r="Q193" t="e">
        <f t="shared" si="18"/>
        <v>#N/A</v>
      </c>
      <c r="R193" t="e">
        <f t="shared" si="16"/>
        <v>#N/A</v>
      </c>
    </row>
  </sheetData>
  <autoFilter ref="B2:P193">
    <filterColumn colId="0">
      <filters>
        <filter val="Les Gorets"/>
      </filters>
    </filterColumn>
    <filterColumn colId="1">
      <filters>
        <filter val="Milieu"/>
      </filters>
    </filterColumn>
    <sortState ref="B3:P23">
      <sortCondition descending="1" ref="P2:P193"/>
    </sortState>
  </autoFilter>
  <pageMargins left="0.7" right="0.7" top="0.75" bottom="0.75" header="0.3" footer="0.3"/>
  <pageSetup paperSize="9" orientation="portrait" horizontalDpi="4294967295" verticalDpi="4294967295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212"/>
  <sheetViews>
    <sheetView topLeftCell="A188" workbookViewId="0">
      <selection activeCell="H212" sqref="H212"/>
    </sheetView>
  </sheetViews>
  <sheetFormatPr baseColWidth="10" defaultRowHeight="15" x14ac:dyDescent="0.25"/>
  <cols>
    <col min="1" max="1" width="13" bestFit="1" customWidth="1"/>
    <col min="2" max="2" width="18.28515625" bestFit="1" customWidth="1"/>
    <col min="3" max="3" width="18.28515625" hidden="1" customWidth="1"/>
    <col min="4" max="4" width="18.28515625" bestFit="1" customWidth="1"/>
    <col min="5" max="5" width="18.28515625" hidden="1" customWidth="1"/>
    <col min="6" max="6" width="18.28515625" customWidth="1"/>
    <col min="7" max="7" width="29" bestFit="1" customWidth="1"/>
    <col min="8" max="8" width="23.42578125" bestFit="1" customWidth="1"/>
    <col min="11" max="11" width="13" bestFit="1" customWidth="1"/>
    <col min="12" max="12" width="8.5703125" bestFit="1" customWidth="1"/>
  </cols>
  <sheetData>
    <row r="1" spans="1:12" x14ac:dyDescent="0.25">
      <c r="A1" s="308" t="s">
        <v>75</v>
      </c>
      <c r="B1" s="308"/>
      <c r="C1" s="256"/>
      <c r="D1" s="256" t="s">
        <v>1037</v>
      </c>
      <c r="E1" s="256"/>
      <c r="F1" s="256"/>
      <c r="G1" s="256" t="s">
        <v>1036</v>
      </c>
      <c r="H1" t="s">
        <v>1038</v>
      </c>
      <c r="K1" t="s">
        <v>75</v>
      </c>
      <c r="L1" t="s">
        <v>604</v>
      </c>
    </row>
    <row r="2" spans="1:12" x14ac:dyDescent="0.25">
      <c r="A2" t="s">
        <v>67</v>
      </c>
      <c r="B2" t="s">
        <v>106</v>
      </c>
      <c r="C2" s="257" t="s">
        <v>107</v>
      </c>
      <c r="D2" s="258" t="s">
        <v>106</v>
      </c>
      <c r="E2" t="str">
        <f t="shared" ref="E2:E33" si="0">VLOOKUP(H2,_DATA,1,FALSE)</f>
        <v>PSG - Cavani</v>
      </c>
      <c r="G2" t="str">
        <f>A2&amp; " - " &amp; B2</f>
        <v>Paris - Cavani</v>
      </c>
      <c r="H2" t="str">
        <f t="shared" ref="H2:H33" si="1">VLOOKUP(A2,_EQUIPES,2,FALSE) &amp; " - " &amp; D2</f>
        <v>PSG - Cavani</v>
      </c>
      <c r="K2" t="s">
        <v>261</v>
      </c>
      <c r="L2" t="s">
        <v>1015</v>
      </c>
    </row>
    <row r="3" spans="1:12" x14ac:dyDescent="0.25">
      <c r="A3" t="s">
        <v>261</v>
      </c>
      <c r="B3" t="s">
        <v>403</v>
      </c>
      <c r="C3" s="257"/>
      <c r="D3" s="258" t="s">
        <v>1013</v>
      </c>
      <c r="E3" t="str">
        <f t="shared" si="0"/>
        <v>GFCA - Zoua</v>
      </c>
      <c r="G3" t="str">
        <f t="shared" ref="G3:G66" si="2">A3&amp; " - " &amp; B3</f>
        <v>Ajaccio - Jacques Zoua</v>
      </c>
      <c r="H3" t="str">
        <f t="shared" si="1"/>
        <v>GFCA - Zoua</v>
      </c>
      <c r="K3" t="s">
        <v>258</v>
      </c>
      <c r="L3" t="s">
        <v>1034</v>
      </c>
    </row>
    <row r="4" spans="1:12" x14ac:dyDescent="0.25">
      <c r="A4" t="s">
        <v>252</v>
      </c>
      <c r="B4" t="s">
        <v>109</v>
      </c>
      <c r="C4" s="257" t="s">
        <v>186</v>
      </c>
      <c r="D4" s="258" t="s">
        <v>109</v>
      </c>
      <c r="E4" t="str">
        <f t="shared" si="0"/>
        <v>ESTAC - Jean</v>
      </c>
      <c r="G4" t="str">
        <f t="shared" si="2"/>
        <v>Troyes - Jean</v>
      </c>
      <c r="H4" t="str">
        <f t="shared" si="1"/>
        <v>ESTAC - Jean</v>
      </c>
      <c r="K4" t="s">
        <v>108</v>
      </c>
      <c r="L4" t="s">
        <v>855</v>
      </c>
    </row>
    <row r="5" spans="1:12" x14ac:dyDescent="0.25">
      <c r="A5" t="s">
        <v>56</v>
      </c>
      <c r="B5" t="s">
        <v>461</v>
      </c>
      <c r="C5" s="257" t="s">
        <v>462</v>
      </c>
      <c r="D5" s="258" t="s">
        <v>461</v>
      </c>
      <c r="E5" t="str">
        <f t="shared" si="0"/>
        <v>SMC - Rodelin</v>
      </c>
      <c r="G5" t="str">
        <f t="shared" si="2"/>
        <v>Caen - Rodelin</v>
      </c>
      <c r="H5" t="str">
        <f t="shared" si="1"/>
        <v>SMC - Rodelin</v>
      </c>
      <c r="K5" t="s">
        <v>50</v>
      </c>
      <c r="L5" t="s">
        <v>764</v>
      </c>
    </row>
    <row r="6" spans="1:12" x14ac:dyDescent="0.25">
      <c r="A6" t="s">
        <v>50</v>
      </c>
      <c r="B6" t="s">
        <v>154</v>
      </c>
      <c r="C6" s="257" t="s">
        <v>120</v>
      </c>
      <c r="D6" s="258" t="s">
        <v>154</v>
      </c>
      <c r="E6" t="str">
        <f t="shared" si="0"/>
        <v>FCGB - Saivet</v>
      </c>
      <c r="G6" t="str">
        <f t="shared" si="2"/>
        <v>Bordeaux - Saivet</v>
      </c>
      <c r="H6" t="str">
        <f t="shared" si="1"/>
        <v>FCGB - Saivet</v>
      </c>
      <c r="K6" t="s">
        <v>56</v>
      </c>
      <c r="L6" t="s">
        <v>978</v>
      </c>
    </row>
    <row r="7" spans="1:12" x14ac:dyDescent="0.25">
      <c r="A7" t="s">
        <v>43</v>
      </c>
      <c r="B7" t="s">
        <v>463</v>
      </c>
      <c r="C7" s="257" t="s">
        <v>464</v>
      </c>
      <c r="D7" s="258" t="s">
        <v>463</v>
      </c>
      <c r="E7" t="str">
        <f t="shared" si="0"/>
        <v>FCN - Sala</v>
      </c>
      <c r="G7" t="str">
        <f t="shared" si="2"/>
        <v>Nantes - Sala</v>
      </c>
      <c r="H7" t="str">
        <f t="shared" si="1"/>
        <v>FCN - Sala</v>
      </c>
      <c r="K7" t="s">
        <v>70</v>
      </c>
      <c r="L7" t="s">
        <v>967</v>
      </c>
    </row>
    <row r="8" spans="1:12" x14ac:dyDescent="0.25">
      <c r="A8" t="s">
        <v>258</v>
      </c>
      <c r="B8" t="s">
        <v>465</v>
      </c>
      <c r="C8" s="257" t="s">
        <v>466</v>
      </c>
      <c r="D8" s="258" t="s">
        <v>465</v>
      </c>
      <c r="E8" t="str">
        <f t="shared" si="0"/>
        <v>SCO - Andreu</v>
      </c>
      <c r="G8" t="str">
        <f t="shared" si="2"/>
        <v>Angers - Andreu</v>
      </c>
      <c r="H8" t="str">
        <f t="shared" si="1"/>
        <v>SCO - Andreu</v>
      </c>
      <c r="K8" t="s">
        <v>53</v>
      </c>
      <c r="L8" t="s">
        <v>739</v>
      </c>
    </row>
    <row r="9" spans="1:12" x14ac:dyDescent="0.25">
      <c r="A9" t="s">
        <v>61</v>
      </c>
      <c r="B9" t="s">
        <v>207</v>
      </c>
      <c r="C9" s="257" t="s">
        <v>185</v>
      </c>
      <c r="D9" s="258" t="s">
        <v>207</v>
      </c>
      <c r="E9" t="str">
        <f t="shared" si="0"/>
        <v>SRFC - Armand</v>
      </c>
      <c r="G9" t="str">
        <f t="shared" si="2"/>
        <v>Rennes - Armand</v>
      </c>
      <c r="H9" t="str">
        <f t="shared" si="1"/>
        <v>SRFC - Armand</v>
      </c>
      <c r="K9" t="s">
        <v>57</v>
      </c>
      <c r="L9" t="s">
        <v>784</v>
      </c>
    </row>
    <row r="10" spans="1:12" x14ac:dyDescent="0.25">
      <c r="A10" t="s">
        <v>261</v>
      </c>
      <c r="B10" t="s">
        <v>467</v>
      </c>
      <c r="C10" s="257" t="s">
        <v>46</v>
      </c>
      <c r="D10" s="258" t="s">
        <v>467</v>
      </c>
      <c r="E10" t="str">
        <f t="shared" si="0"/>
        <v>GFCA - Coeff</v>
      </c>
      <c r="G10" t="str">
        <f t="shared" si="2"/>
        <v>Ajaccio - Coeff</v>
      </c>
      <c r="H10" t="str">
        <f t="shared" si="1"/>
        <v>GFCA - Coeff</v>
      </c>
      <c r="K10" t="s">
        <v>47</v>
      </c>
      <c r="L10" t="s">
        <v>672</v>
      </c>
    </row>
    <row r="11" spans="1:12" x14ac:dyDescent="0.25">
      <c r="A11" t="s">
        <v>53</v>
      </c>
      <c r="B11" t="s">
        <v>122</v>
      </c>
      <c r="C11" s="257" t="s">
        <v>123</v>
      </c>
      <c r="D11" s="258" t="s">
        <v>122</v>
      </c>
      <c r="E11" t="str">
        <f t="shared" si="0"/>
        <v>Losc - Corchia</v>
      </c>
      <c r="G11" t="str">
        <f t="shared" si="2"/>
        <v>Lille - Corchia</v>
      </c>
      <c r="H11" t="str">
        <f t="shared" si="1"/>
        <v>Losc - Corchia</v>
      </c>
      <c r="K11" t="s">
        <v>44</v>
      </c>
      <c r="L11" t="s">
        <v>671</v>
      </c>
    </row>
    <row r="12" spans="1:12" x14ac:dyDescent="0.25">
      <c r="A12" t="s">
        <v>43</v>
      </c>
      <c r="B12" t="s">
        <v>468</v>
      </c>
      <c r="C12" s="257" t="s">
        <v>469</v>
      </c>
      <c r="D12" s="258" t="s">
        <v>468</v>
      </c>
      <c r="E12" t="str">
        <f t="shared" si="0"/>
        <v>FCN - Sabaly</v>
      </c>
      <c r="G12" t="str">
        <f t="shared" si="2"/>
        <v>Nantes - Sabaly</v>
      </c>
      <c r="H12" t="str">
        <f t="shared" si="1"/>
        <v>FCN - Sabaly</v>
      </c>
      <c r="K12" t="s">
        <v>41</v>
      </c>
      <c r="L12" t="s">
        <v>942</v>
      </c>
    </row>
    <row r="13" spans="1:12" x14ac:dyDescent="0.25">
      <c r="A13" t="s">
        <v>252</v>
      </c>
      <c r="B13" t="s">
        <v>470</v>
      </c>
      <c r="C13" s="257" t="s">
        <v>471</v>
      </c>
      <c r="D13" s="258" t="s">
        <v>470</v>
      </c>
      <c r="E13" t="str">
        <f t="shared" si="0"/>
        <v>ESTAC - Saunier</v>
      </c>
      <c r="G13" t="str">
        <f t="shared" si="2"/>
        <v>Troyes - Saunier</v>
      </c>
      <c r="H13" t="str">
        <f t="shared" si="1"/>
        <v>ESTAC - Saunier</v>
      </c>
      <c r="K13" t="s">
        <v>40</v>
      </c>
      <c r="L13" t="s">
        <v>806</v>
      </c>
    </row>
    <row r="14" spans="1:12" x14ac:dyDescent="0.25">
      <c r="A14" t="s">
        <v>57</v>
      </c>
      <c r="B14" t="s">
        <v>472</v>
      </c>
      <c r="C14" s="257" t="s">
        <v>473</v>
      </c>
      <c r="D14" s="258" t="s">
        <v>770</v>
      </c>
      <c r="E14" t="str">
        <f t="shared" si="0"/>
        <v>FCL - Z. Touré</v>
      </c>
      <c r="G14" t="str">
        <f t="shared" si="2"/>
        <v>Lorient - Toure</v>
      </c>
      <c r="H14" t="str">
        <f t="shared" si="1"/>
        <v>FCL - Z. Touré</v>
      </c>
      <c r="K14" t="s">
        <v>43</v>
      </c>
      <c r="L14" t="s">
        <v>923</v>
      </c>
    </row>
    <row r="15" spans="1:12" x14ac:dyDescent="0.25">
      <c r="A15" t="s">
        <v>104</v>
      </c>
      <c r="B15" t="s">
        <v>474</v>
      </c>
      <c r="C15" s="257" t="s">
        <v>475</v>
      </c>
      <c r="D15" s="258" t="s">
        <v>756</v>
      </c>
      <c r="E15" t="str">
        <f t="shared" si="0"/>
        <v>SR - Traoré</v>
      </c>
      <c r="G15" t="str">
        <f t="shared" si="2"/>
        <v>Reims - Traore</v>
      </c>
      <c r="H15" t="str">
        <f t="shared" si="1"/>
        <v>SR - Traoré</v>
      </c>
      <c r="K15" t="s">
        <v>59</v>
      </c>
      <c r="L15" t="s">
        <v>696</v>
      </c>
    </row>
    <row r="16" spans="1:12" x14ac:dyDescent="0.25">
      <c r="A16" t="s">
        <v>108</v>
      </c>
      <c r="B16" t="s">
        <v>476</v>
      </c>
      <c r="C16" s="257" t="s">
        <v>477</v>
      </c>
      <c r="D16" s="258" t="s">
        <v>476</v>
      </c>
      <c r="E16" t="str">
        <f t="shared" si="0"/>
        <v>SCB - Leca</v>
      </c>
      <c r="G16" t="str">
        <f t="shared" si="2"/>
        <v>Bastia - Leca</v>
      </c>
      <c r="H16" t="str">
        <f t="shared" si="1"/>
        <v>SCB - Leca</v>
      </c>
      <c r="K16" t="s">
        <v>67</v>
      </c>
      <c r="L16" t="s">
        <v>673</v>
      </c>
    </row>
    <row r="17" spans="1:12" x14ac:dyDescent="0.25">
      <c r="A17" t="s">
        <v>57</v>
      </c>
      <c r="B17" t="s">
        <v>156</v>
      </c>
      <c r="C17" s="257" t="s">
        <v>58</v>
      </c>
      <c r="D17" s="258" t="s">
        <v>156</v>
      </c>
      <c r="E17" t="str">
        <f t="shared" si="0"/>
        <v>FCL - Lecomte</v>
      </c>
      <c r="G17" t="str">
        <f t="shared" si="2"/>
        <v>Lorient - Lecomte</v>
      </c>
      <c r="H17" t="str">
        <f t="shared" si="1"/>
        <v>FCL - Lecomte</v>
      </c>
      <c r="K17" t="s">
        <v>104</v>
      </c>
      <c r="L17" t="s">
        <v>901</v>
      </c>
    </row>
    <row r="18" spans="1:12" x14ac:dyDescent="0.25">
      <c r="A18" t="s">
        <v>108</v>
      </c>
      <c r="B18" t="s">
        <v>478</v>
      </c>
      <c r="C18" s="257" t="s">
        <v>479</v>
      </c>
      <c r="D18" s="258" t="s">
        <v>478</v>
      </c>
      <c r="E18" t="str">
        <f t="shared" si="0"/>
        <v>SCB - Danic</v>
      </c>
      <c r="G18" t="str">
        <f t="shared" si="2"/>
        <v>Bastia - Danic</v>
      </c>
      <c r="H18" t="str">
        <f t="shared" si="1"/>
        <v>SCB - Danic</v>
      </c>
      <c r="K18" t="s">
        <v>61</v>
      </c>
      <c r="L18" t="s">
        <v>881</v>
      </c>
    </row>
    <row r="19" spans="1:12" x14ac:dyDescent="0.25">
      <c r="A19" t="s">
        <v>108</v>
      </c>
      <c r="B19" t="s">
        <v>400</v>
      </c>
      <c r="C19" s="257"/>
      <c r="D19" s="258" t="s">
        <v>851</v>
      </c>
      <c r="E19" t="str">
        <f t="shared" si="0"/>
        <v>SCB - Ayité</v>
      </c>
      <c r="G19" t="str">
        <f t="shared" si="2"/>
        <v>Bastia - Floyd Ayité</v>
      </c>
      <c r="H19" t="str">
        <f t="shared" si="1"/>
        <v>SCB - Ayité</v>
      </c>
      <c r="K19" t="s">
        <v>125</v>
      </c>
      <c r="L19" t="s">
        <v>714</v>
      </c>
    </row>
    <row r="20" spans="1:12" x14ac:dyDescent="0.25">
      <c r="A20" t="s">
        <v>56</v>
      </c>
      <c r="B20" t="s">
        <v>63</v>
      </c>
      <c r="C20" s="257" t="s">
        <v>64</v>
      </c>
      <c r="D20" s="258" t="s">
        <v>63</v>
      </c>
      <c r="E20" t="str">
        <f t="shared" si="0"/>
        <v>SMC - Féret</v>
      </c>
      <c r="G20" t="str">
        <f t="shared" si="2"/>
        <v>Caen - Féret</v>
      </c>
      <c r="H20" t="str">
        <f t="shared" si="1"/>
        <v>SMC - Féret</v>
      </c>
      <c r="K20" t="s">
        <v>60</v>
      </c>
      <c r="L20" t="s">
        <v>836</v>
      </c>
    </row>
    <row r="21" spans="1:12" x14ac:dyDescent="0.25">
      <c r="A21" t="s">
        <v>258</v>
      </c>
      <c r="B21" t="s">
        <v>482</v>
      </c>
      <c r="C21" s="257" t="s">
        <v>49</v>
      </c>
      <c r="D21" s="258" t="s">
        <v>482</v>
      </c>
      <c r="E21" t="str">
        <f t="shared" si="0"/>
        <v>SCO - Mangani</v>
      </c>
      <c r="G21" t="str">
        <f t="shared" si="2"/>
        <v>Angers - Mangani</v>
      </c>
      <c r="H21" t="str">
        <f t="shared" si="1"/>
        <v>SCO - Mangani</v>
      </c>
      <c r="K21" t="s">
        <v>252</v>
      </c>
      <c r="L21" t="s">
        <v>1002</v>
      </c>
    </row>
    <row r="22" spans="1:12" x14ac:dyDescent="0.25">
      <c r="A22" t="s">
        <v>40</v>
      </c>
      <c r="B22" t="s">
        <v>65</v>
      </c>
      <c r="C22" s="257" t="s">
        <v>66</v>
      </c>
      <c r="D22" s="258" t="s">
        <v>795</v>
      </c>
      <c r="E22" t="str">
        <f t="shared" si="0"/>
        <v>MHSC - J. Martin</v>
      </c>
      <c r="G22" t="str">
        <f t="shared" si="2"/>
        <v>Montpellier - Martin</v>
      </c>
      <c r="H22" t="str">
        <f t="shared" si="1"/>
        <v>MHSC - J. Martin</v>
      </c>
    </row>
    <row r="23" spans="1:12" x14ac:dyDescent="0.25">
      <c r="A23" t="s">
        <v>57</v>
      </c>
      <c r="B23" t="s">
        <v>483</v>
      </c>
      <c r="C23" s="257" t="s">
        <v>484</v>
      </c>
      <c r="D23" s="258" t="s">
        <v>483</v>
      </c>
      <c r="E23" t="str">
        <f t="shared" si="0"/>
        <v>FCL - Ndong</v>
      </c>
      <c r="G23" t="str">
        <f t="shared" si="2"/>
        <v>Lorient - Ndong</v>
      </c>
      <c r="H23" t="str">
        <f t="shared" si="1"/>
        <v>FCL - Ndong</v>
      </c>
    </row>
    <row r="24" spans="1:12" x14ac:dyDescent="0.25">
      <c r="A24" t="s">
        <v>258</v>
      </c>
      <c r="B24" t="s">
        <v>485</v>
      </c>
      <c r="C24" s="257" t="s">
        <v>269</v>
      </c>
      <c r="D24" s="258" t="s">
        <v>1039</v>
      </c>
      <c r="E24" t="str">
        <f t="shared" si="0"/>
        <v>SCO - N'Doye</v>
      </c>
      <c r="G24" t="str">
        <f t="shared" si="2"/>
        <v>Angers - Ndoye</v>
      </c>
      <c r="H24" t="str">
        <f t="shared" si="1"/>
        <v>SCO - N'doye</v>
      </c>
    </row>
    <row r="25" spans="1:12" x14ac:dyDescent="0.25">
      <c r="A25" t="s">
        <v>70</v>
      </c>
      <c r="B25" t="s">
        <v>486</v>
      </c>
      <c r="C25" s="257" t="s">
        <v>487</v>
      </c>
      <c r="D25" s="258" t="s">
        <v>486</v>
      </c>
      <c r="E25" t="str">
        <f t="shared" si="0"/>
        <v>EAG - Salibur</v>
      </c>
      <c r="G25" t="str">
        <f t="shared" si="2"/>
        <v>Guingamp - Salibur</v>
      </c>
      <c r="H25" t="str">
        <f t="shared" si="1"/>
        <v>EAG - Salibur</v>
      </c>
    </row>
    <row r="26" spans="1:12" x14ac:dyDescent="0.25">
      <c r="A26" t="s">
        <v>59</v>
      </c>
      <c r="B26" t="s">
        <v>488</v>
      </c>
      <c r="C26" s="257" t="s">
        <v>109</v>
      </c>
      <c r="D26" s="258" t="s">
        <v>488</v>
      </c>
      <c r="E26" t="str">
        <f t="shared" si="0"/>
        <v>OGCN - Seri</v>
      </c>
      <c r="G26" t="str">
        <f t="shared" si="2"/>
        <v>Nice - Seri</v>
      </c>
      <c r="H26" t="str">
        <f t="shared" si="1"/>
        <v>OGCN - Seri</v>
      </c>
    </row>
    <row r="27" spans="1:12" x14ac:dyDescent="0.25">
      <c r="A27" t="s">
        <v>104</v>
      </c>
      <c r="B27" t="s">
        <v>489</v>
      </c>
      <c r="C27" s="257" t="s">
        <v>490</v>
      </c>
      <c r="D27" s="258" t="s">
        <v>489</v>
      </c>
      <c r="E27" t="str">
        <f t="shared" si="0"/>
        <v>SR - Siebatcheu</v>
      </c>
      <c r="G27" t="str">
        <f t="shared" si="2"/>
        <v>Reims - Siebatcheu</v>
      </c>
      <c r="H27" t="str">
        <f t="shared" si="1"/>
        <v>SR - Siebatcheu</v>
      </c>
    </row>
    <row r="28" spans="1:12" x14ac:dyDescent="0.25">
      <c r="A28" t="s">
        <v>125</v>
      </c>
      <c r="B28" t="s">
        <v>491</v>
      </c>
      <c r="C28" s="257" t="s">
        <v>492</v>
      </c>
      <c r="D28" s="258" t="s">
        <v>491</v>
      </c>
      <c r="E28" t="str">
        <f t="shared" si="0"/>
        <v>ASSE - Bamba</v>
      </c>
      <c r="G28" t="str">
        <f t="shared" si="2"/>
        <v>Saint-Etienne - Bamba</v>
      </c>
      <c r="H28" t="str">
        <f t="shared" si="1"/>
        <v>ASSE - Bamba</v>
      </c>
    </row>
    <row r="29" spans="1:12" x14ac:dyDescent="0.25">
      <c r="A29" t="s">
        <v>104</v>
      </c>
      <c r="B29" t="s">
        <v>204</v>
      </c>
      <c r="C29" s="257" t="s">
        <v>87</v>
      </c>
      <c r="D29" s="258" t="s">
        <v>204</v>
      </c>
      <c r="E29" t="str">
        <f t="shared" si="0"/>
        <v>SR - De Préville</v>
      </c>
      <c r="G29" t="str">
        <f t="shared" si="2"/>
        <v>Reims - De Préville</v>
      </c>
      <c r="H29" t="str">
        <f t="shared" si="1"/>
        <v>SR - De Préville</v>
      </c>
    </row>
    <row r="30" spans="1:12" x14ac:dyDescent="0.25">
      <c r="A30" t="s">
        <v>57</v>
      </c>
      <c r="B30" t="s">
        <v>187</v>
      </c>
      <c r="C30" s="257" t="s">
        <v>58</v>
      </c>
      <c r="D30" s="258" t="s">
        <v>187</v>
      </c>
      <c r="E30" t="str">
        <f t="shared" si="0"/>
        <v>FCL - Jeannot</v>
      </c>
      <c r="G30" t="str">
        <f t="shared" si="2"/>
        <v>Lorient - Jeannot</v>
      </c>
      <c r="H30" t="str">
        <f t="shared" si="1"/>
        <v>FCL - Jeannot</v>
      </c>
    </row>
    <row r="31" spans="1:12" x14ac:dyDescent="0.25">
      <c r="A31" t="s">
        <v>47</v>
      </c>
      <c r="B31" t="s">
        <v>257</v>
      </c>
      <c r="C31" s="257" t="s">
        <v>179</v>
      </c>
      <c r="D31" s="258" t="s">
        <v>257</v>
      </c>
      <c r="E31" t="str">
        <f t="shared" si="0"/>
        <v>OL - Kalulu</v>
      </c>
      <c r="G31" t="str">
        <f t="shared" si="2"/>
        <v>Lyon - Kalulu</v>
      </c>
      <c r="H31" t="str">
        <f t="shared" si="1"/>
        <v>OL - Kalulu</v>
      </c>
    </row>
    <row r="32" spans="1:12" x14ac:dyDescent="0.25">
      <c r="A32" t="s">
        <v>44</v>
      </c>
      <c r="B32" t="s">
        <v>230</v>
      </c>
      <c r="C32" s="257"/>
      <c r="D32" s="258" t="s">
        <v>634</v>
      </c>
      <c r="E32" t="str">
        <f t="shared" si="0"/>
        <v>OM - Batshuayi</v>
      </c>
      <c r="G32" t="str">
        <f t="shared" si="2"/>
        <v>Marseille - Michy</v>
      </c>
      <c r="H32" t="str">
        <f t="shared" si="1"/>
        <v>OM - Batshuayi</v>
      </c>
    </row>
    <row r="33" spans="1:8" x14ac:dyDescent="0.25">
      <c r="A33" t="s">
        <v>125</v>
      </c>
      <c r="B33" t="s">
        <v>132</v>
      </c>
      <c r="C33" s="257" t="s">
        <v>133</v>
      </c>
      <c r="D33" s="258" t="s">
        <v>132</v>
      </c>
      <c r="E33" t="str">
        <f t="shared" si="0"/>
        <v>ASSE - Monnet-Paquet</v>
      </c>
      <c r="G33" t="str">
        <f t="shared" si="2"/>
        <v>Saint-Etienne - Monnet-Paquet</v>
      </c>
      <c r="H33" t="str">
        <f t="shared" si="1"/>
        <v>ASSE - Monnet-Paquet</v>
      </c>
    </row>
    <row r="34" spans="1:8" x14ac:dyDescent="0.25">
      <c r="A34" t="s">
        <v>104</v>
      </c>
      <c r="B34" t="s">
        <v>495</v>
      </c>
      <c r="C34" s="257" t="s">
        <v>84</v>
      </c>
      <c r="D34" s="258" t="s">
        <v>1040</v>
      </c>
      <c r="E34" t="str">
        <f t="shared" ref="E34:E65" si="3">VLOOKUP(H34,_DATA,1,FALSE)</f>
        <v>SR - N'Gog</v>
      </c>
      <c r="G34" t="str">
        <f t="shared" si="2"/>
        <v>Reims - Ngog</v>
      </c>
      <c r="H34" t="str">
        <f t="shared" ref="H34:H65" si="4">VLOOKUP(A34,_EQUIPES,2,FALSE) &amp; " - " &amp; D34</f>
        <v>SR - N'gog</v>
      </c>
    </row>
    <row r="35" spans="1:8" x14ac:dyDescent="0.25">
      <c r="A35" t="s">
        <v>56</v>
      </c>
      <c r="B35" t="s">
        <v>496</v>
      </c>
      <c r="C35" s="257" t="s">
        <v>497</v>
      </c>
      <c r="D35" s="258" t="s">
        <v>496</v>
      </c>
      <c r="E35" t="str">
        <f t="shared" si="3"/>
        <v>SMC - Appiah</v>
      </c>
      <c r="G35" t="str">
        <f t="shared" si="2"/>
        <v>Caen - Appiah</v>
      </c>
      <c r="H35" t="str">
        <f t="shared" si="4"/>
        <v>SMC - Appiah</v>
      </c>
    </row>
    <row r="36" spans="1:8" x14ac:dyDescent="0.25">
      <c r="A36" t="s">
        <v>56</v>
      </c>
      <c r="B36" t="s">
        <v>498</v>
      </c>
      <c r="C36" s="257" t="s">
        <v>115</v>
      </c>
      <c r="D36" s="258" t="s">
        <v>498</v>
      </c>
      <c r="E36" t="str">
        <f t="shared" si="3"/>
        <v>SMC - Bessat</v>
      </c>
      <c r="G36" t="str">
        <f t="shared" si="2"/>
        <v>Caen - Bessat</v>
      </c>
      <c r="H36" t="str">
        <f t="shared" si="4"/>
        <v>SMC - Bessat</v>
      </c>
    </row>
    <row r="37" spans="1:8" x14ac:dyDescent="0.25">
      <c r="A37" t="s">
        <v>43</v>
      </c>
      <c r="B37" t="s">
        <v>275</v>
      </c>
      <c r="C37" s="257" t="s">
        <v>276</v>
      </c>
      <c r="D37" s="258" t="s">
        <v>275</v>
      </c>
      <c r="E37" t="str">
        <f t="shared" si="3"/>
        <v>FCN - Cana</v>
      </c>
      <c r="G37" t="str">
        <f t="shared" si="2"/>
        <v>Nantes - Cana</v>
      </c>
      <c r="H37" t="str">
        <f t="shared" si="4"/>
        <v>FCN - Cana</v>
      </c>
    </row>
    <row r="38" spans="1:8" x14ac:dyDescent="0.25">
      <c r="A38" t="s">
        <v>40</v>
      </c>
      <c r="B38" t="s">
        <v>99</v>
      </c>
      <c r="C38" s="257" t="s">
        <v>100</v>
      </c>
      <c r="D38" s="258" t="s">
        <v>99</v>
      </c>
      <c r="E38" t="str">
        <f t="shared" si="3"/>
        <v>MHSC - Congré</v>
      </c>
      <c r="G38" t="str">
        <f t="shared" si="2"/>
        <v>Montpellier - Congré</v>
      </c>
      <c r="H38" t="str">
        <f t="shared" si="4"/>
        <v>MHSC - Congré</v>
      </c>
    </row>
    <row r="39" spans="1:8" x14ac:dyDescent="0.25">
      <c r="A39" t="s">
        <v>261</v>
      </c>
      <c r="B39" t="s">
        <v>285</v>
      </c>
      <c r="C39" s="257" t="s">
        <v>286</v>
      </c>
      <c r="D39" s="258" t="s">
        <v>285</v>
      </c>
      <c r="E39" t="str">
        <f t="shared" si="3"/>
        <v>GFCA - Filippi</v>
      </c>
      <c r="G39" t="str">
        <f t="shared" si="2"/>
        <v>Ajaccio - Filippi</v>
      </c>
      <c r="H39" t="str">
        <f t="shared" si="4"/>
        <v>GFCA - Filippi</v>
      </c>
    </row>
    <row r="40" spans="1:8" x14ac:dyDescent="0.25">
      <c r="A40" t="s">
        <v>261</v>
      </c>
      <c r="B40" t="s">
        <v>499</v>
      </c>
      <c r="C40" s="257" t="s">
        <v>500</v>
      </c>
      <c r="D40" s="258" t="s">
        <v>499</v>
      </c>
      <c r="E40" t="str">
        <f t="shared" si="3"/>
        <v>GFCA - Mangane</v>
      </c>
      <c r="G40" t="str">
        <f t="shared" si="2"/>
        <v>Ajaccio - Mangane</v>
      </c>
      <c r="H40" t="str">
        <f t="shared" si="4"/>
        <v>GFCA - Mangane</v>
      </c>
    </row>
    <row r="41" spans="1:8" x14ac:dyDescent="0.25">
      <c r="A41" t="s">
        <v>261</v>
      </c>
      <c r="B41" t="s">
        <v>501</v>
      </c>
      <c r="C41" s="257" t="s">
        <v>502</v>
      </c>
      <c r="D41" s="258" t="s">
        <v>501</v>
      </c>
      <c r="E41" t="str">
        <f t="shared" si="3"/>
        <v>GFCA - Martinez</v>
      </c>
      <c r="G41" t="str">
        <f t="shared" si="2"/>
        <v>Ajaccio - Martinez</v>
      </c>
      <c r="H41" t="str">
        <f t="shared" si="4"/>
        <v>GFCA - Martinez</v>
      </c>
    </row>
    <row r="42" spans="1:8" x14ac:dyDescent="0.25">
      <c r="A42" t="s">
        <v>261</v>
      </c>
      <c r="B42" t="s">
        <v>503</v>
      </c>
      <c r="C42" s="257" t="s">
        <v>504</v>
      </c>
      <c r="D42" s="258" t="s">
        <v>503</v>
      </c>
      <c r="E42" t="str">
        <f t="shared" si="3"/>
        <v>GFCA - Sylla</v>
      </c>
      <c r="G42" t="str">
        <f t="shared" si="2"/>
        <v>Ajaccio - Sylla</v>
      </c>
      <c r="H42" t="str">
        <f t="shared" si="4"/>
        <v>GFCA - Sylla</v>
      </c>
    </row>
    <row r="43" spans="1:8" x14ac:dyDescent="0.25">
      <c r="A43" t="s">
        <v>56</v>
      </c>
      <c r="B43" t="s">
        <v>505</v>
      </c>
      <c r="C43" s="257" t="s">
        <v>506</v>
      </c>
      <c r="D43" s="258" t="s">
        <v>505</v>
      </c>
      <c r="E43" t="str">
        <f t="shared" si="3"/>
        <v>SMC - Yahia</v>
      </c>
      <c r="G43" t="str">
        <f t="shared" si="2"/>
        <v>Caen - Yahia</v>
      </c>
      <c r="H43" t="str">
        <f t="shared" si="4"/>
        <v>SMC - Yahia</v>
      </c>
    </row>
    <row r="44" spans="1:8" x14ac:dyDescent="0.25">
      <c r="A44" t="s">
        <v>108</v>
      </c>
      <c r="B44" t="s">
        <v>181</v>
      </c>
      <c r="C44" s="257" t="s">
        <v>180</v>
      </c>
      <c r="D44" s="258" t="s">
        <v>181</v>
      </c>
      <c r="E44" t="str">
        <f t="shared" si="3"/>
        <v>SCB - Hansen</v>
      </c>
      <c r="G44" t="str">
        <f t="shared" si="2"/>
        <v>Bastia - Hansen</v>
      </c>
      <c r="H44" t="str">
        <f t="shared" si="4"/>
        <v>SCB - Hansen</v>
      </c>
    </row>
    <row r="45" spans="1:8" x14ac:dyDescent="0.25">
      <c r="A45" t="s">
        <v>43</v>
      </c>
      <c r="B45" t="s">
        <v>89</v>
      </c>
      <c r="C45" s="257" t="s">
        <v>90</v>
      </c>
      <c r="D45" s="258" t="s">
        <v>89</v>
      </c>
      <c r="E45" t="str">
        <f t="shared" si="3"/>
        <v>FCN - Riou</v>
      </c>
      <c r="G45" t="str">
        <f t="shared" si="2"/>
        <v>Nantes - Riou</v>
      </c>
      <c r="H45" t="str">
        <f t="shared" si="4"/>
        <v>FCN - Riou</v>
      </c>
    </row>
    <row r="46" spans="1:8" x14ac:dyDescent="0.25">
      <c r="A46" t="s">
        <v>67</v>
      </c>
      <c r="B46" t="s">
        <v>287</v>
      </c>
      <c r="C46" s="257" t="s">
        <v>133</v>
      </c>
      <c r="D46" s="258" t="s">
        <v>287</v>
      </c>
      <c r="E46" t="str">
        <f t="shared" si="3"/>
        <v>PSG - Trapp</v>
      </c>
      <c r="G46" t="str">
        <f t="shared" si="2"/>
        <v>Paris - Trapp</v>
      </c>
      <c r="H46" t="str">
        <f t="shared" si="4"/>
        <v>PSG - Trapp</v>
      </c>
    </row>
    <row r="47" spans="1:8" x14ac:dyDescent="0.25">
      <c r="A47" t="s">
        <v>44</v>
      </c>
      <c r="B47" t="s">
        <v>150</v>
      </c>
      <c r="C47" s="257" t="s">
        <v>112</v>
      </c>
      <c r="D47" s="258" t="s">
        <v>150</v>
      </c>
      <c r="E47" t="str">
        <f t="shared" si="3"/>
        <v>OM - Alessandrini</v>
      </c>
      <c r="G47" t="str">
        <f t="shared" si="2"/>
        <v>Marseille - Alessandrini</v>
      </c>
      <c r="H47" t="str">
        <f t="shared" si="4"/>
        <v>OM - Alessandrini</v>
      </c>
    </row>
    <row r="48" spans="1:8" x14ac:dyDescent="0.25">
      <c r="A48" t="s">
        <v>59</v>
      </c>
      <c r="B48" t="s">
        <v>267</v>
      </c>
      <c r="C48" s="257" t="s">
        <v>268</v>
      </c>
      <c r="D48" s="258" t="s">
        <v>267</v>
      </c>
      <c r="E48" t="str">
        <f t="shared" si="3"/>
        <v>OGCN - Ben Arfa</v>
      </c>
      <c r="G48" t="str">
        <f t="shared" si="2"/>
        <v>Nice - Ben Arfa</v>
      </c>
      <c r="H48" t="str">
        <f t="shared" si="4"/>
        <v>OGCN - Ben Arfa</v>
      </c>
    </row>
    <row r="49" spans="1:8" x14ac:dyDescent="0.25">
      <c r="A49" t="s">
        <v>252</v>
      </c>
      <c r="B49" t="s">
        <v>507</v>
      </c>
      <c r="C49" s="257" t="s">
        <v>292</v>
      </c>
      <c r="D49" s="258" t="s">
        <v>507</v>
      </c>
      <c r="E49" t="str">
        <f t="shared" si="3"/>
        <v>ESTAC - Cabot</v>
      </c>
      <c r="G49" t="str">
        <f t="shared" si="2"/>
        <v>Troyes - Cabot</v>
      </c>
      <c r="H49" t="str">
        <f t="shared" si="4"/>
        <v>ESTAC - Cabot</v>
      </c>
    </row>
    <row r="50" spans="1:8" x14ac:dyDescent="0.25">
      <c r="A50" t="s">
        <v>47</v>
      </c>
      <c r="B50" t="s">
        <v>459</v>
      </c>
      <c r="C50" s="257" t="s">
        <v>508</v>
      </c>
      <c r="D50" s="258" t="s">
        <v>459</v>
      </c>
      <c r="E50" t="str">
        <f t="shared" si="3"/>
        <v>OL - Fekir</v>
      </c>
      <c r="G50" t="str">
        <f t="shared" si="2"/>
        <v>Lyon - Fekir</v>
      </c>
      <c r="H50" t="str">
        <f t="shared" si="4"/>
        <v>OL - Fekir</v>
      </c>
    </row>
    <row r="51" spans="1:8" x14ac:dyDescent="0.25">
      <c r="A51" t="s">
        <v>258</v>
      </c>
      <c r="B51" t="s">
        <v>324</v>
      </c>
      <c r="C51" s="257"/>
      <c r="D51" s="258" t="s">
        <v>1020</v>
      </c>
      <c r="E51" t="str">
        <f t="shared" si="3"/>
        <v>SCO - I. Traoré</v>
      </c>
      <c r="G51" t="str">
        <f t="shared" si="2"/>
        <v>Angers - Ismael Traoré</v>
      </c>
      <c r="H51" t="str">
        <f t="shared" si="4"/>
        <v>SCO - I. Traoré</v>
      </c>
    </row>
    <row r="52" spans="1:8" x14ac:dyDescent="0.25">
      <c r="A52" t="s">
        <v>258</v>
      </c>
      <c r="B52" t="s">
        <v>509</v>
      </c>
      <c r="C52" s="257" t="s">
        <v>115</v>
      </c>
      <c r="D52" s="258" t="s">
        <v>509</v>
      </c>
      <c r="E52" t="str">
        <f t="shared" si="3"/>
        <v>SCO - Manceau</v>
      </c>
      <c r="G52" t="str">
        <f t="shared" si="2"/>
        <v>Angers - Manceau</v>
      </c>
      <c r="H52" t="str">
        <f t="shared" si="4"/>
        <v>SCO - Manceau</v>
      </c>
    </row>
    <row r="53" spans="1:8" x14ac:dyDescent="0.25">
      <c r="A53" t="s">
        <v>47</v>
      </c>
      <c r="B53" t="s">
        <v>293</v>
      </c>
      <c r="C53" s="257" t="s">
        <v>62</v>
      </c>
      <c r="D53" s="258" t="s">
        <v>293</v>
      </c>
      <c r="E53" t="str">
        <f t="shared" si="3"/>
        <v>OL - Valbuena</v>
      </c>
      <c r="G53" t="str">
        <f t="shared" si="2"/>
        <v>Lyon - Valbuena</v>
      </c>
      <c r="H53" t="str">
        <f t="shared" si="4"/>
        <v>OL - Valbuena</v>
      </c>
    </row>
    <row r="54" spans="1:8" x14ac:dyDescent="0.25">
      <c r="A54" t="s">
        <v>258</v>
      </c>
      <c r="B54" t="s">
        <v>431</v>
      </c>
      <c r="C54" s="257"/>
      <c r="D54" s="258" t="s">
        <v>130</v>
      </c>
      <c r="E54" t="str">
        <f t="shared" si="3"/>
        <v>SCO - Camara</v>
      </c>
      <c r="G54" t="str">
        <f t="shared" si="2"/>
        <v>Angers - Abdoul Camara</v>
      </c>
      <c r="H54" t="str">
        <f t="shared" si="4"/>
        <v>SCO - Camara</v>
      </c>
    </row>
    <row r="55" spans="1:8" x14ac:dyDescent="0.25">
      <c r="A55" t="s">
        <v>60</v>
      </c>
      <c r="B55" t="s">
        <v>128</v>
      </c>
      <c r="C55" s="257" t="s">
        <v>129</v>
      </c>
      <c r="D55" s="258" t="s">
        <v>128</v>
      </c>
      <c r="E55" t="str">
        <f t="shared" si="3"/>
        <v>TFC - Ben Yedder</v>
      </c>
      <c r="G55" t="str">
        <f t="shared" si="2"/>
        <v>Toulouse - Ben Yedder</v>
      </c>
      <c r="H55" t="str">
        <f t="shared" si="4"/>
        <v>TFC - Ben Yedder</v>
      </c>
    </row>
    <row r="56" spans="1:8" x14ac:dyDescent="0.25">
      <c r="A56" t="s">
        <v>53</v>
      </c>
      <c r="B56" t="s">
        <v>510</v>
      </c>
      <c r="C56" s="257" t="s">
        <v>511</v>
      </c>
      <c r="D56" s="258" t="s">
        <v>510</v>
      </c>
      <c r="E56" t="str">
        <f t="shared" si="3"/>
        <v>Losc - Benzia</v>
      </c>
      <c r="G56" t="str">
        <f t="shared" si="2"/>
        <v>Lille - Benzia</v>
      </c>
      <c r="H56" t="str">
        <f t="shared" si="4"/>
        <v>Losc - Benzia</v>
      </c>
    </row>
    <row r="57" spans="1:8" x14ac:dyDescent="0.25">
      <c r="A57" t="s">
        <v>67</v>
      </c>
      <c r="B57" t="s">
        <v>93</v>
      </c>
      <c r="C57" s="257" t="s">
        <v>94</v>
      </c>
      <c r="D57" s="258" t="s">
        <v>93</v>
      </c>
      <c r="E57" t="str">
        <f t="shared" si="3"/>
        <v>PSG - Lavezzi</v>
      </c>
      <c r="G57" t="str">
        <f t="shared" si="2"/>
        <v>Paris - Lavezzi</v>
      </c>
      <c r="H57" t="str">
        <f t="shared" si="4"/>
        <v>PSG - Lavezzi</v>
      </c>
    </row>
    <row r="58" spans="1:8" x14ac:dyDescent="0.25">
      <c r="A58" t="s">
        <v>61</v>
      </c>
      <c r="B58" t="s">
        <v>206</v>
      </c>
      <c r="C58" s="257"/>
      <c r="D58" s="258" t="s">
        <v>876</v>
      </c>
      <c r="E58" t="str">
        <f t="shared" si="3"/>
        <v>SRFC - Ntep</v>
      </c>
      <c r="G58" t="str">
        <f t="shared" si="2"/>
        <v>Rennes - Paul-Georges Ntep</v>
      </c>
      <c r="H58" t="str">
        <f t="shared" si="4"/>
        <v>SRFC - Ntep</v>
      </c>
    </row>
    <row r="59" spans="1:8" x14ac:dyDescent="0.25">
      <c r="A59" t="s">
        <v>56</v>
      </c>
      <c r="B59" t="s">
        <v>54</v>
      </c>
      <c r="C59" s="257" t="s">
        <v>55</v>
      </c>
      <c r="D59" s="258" t="s">
        <v>54</v>
      </c>
      <c r="E59" t="str">
        <f t="shared" si="3"/>
        <v>SMC - Da Silva</v>
      </c>
      <c r="G59" t="str">
        <f t="shared" si="2"/>
        <v>Caen - Da Silva</v>
      </c>
      <c r="H59" t="str">
        <f t="shared" si="4"/>
        <v>SMC - Da Silva</v>
      </c>
    </row>
    <row r="60" spans="1:8" x14ac:dyDescent="0.25">
      <c r="A60" t="s">
        <v>57</v>
      </c>
      <c r="B60" t="s">
        <v>513</v>
      </c>
      <c r="C60" s="257" t="s">
        <v>514</v>
      </c>
      <c r="D60" s="258" t="s">
        <v>513</v>
      </c>
      <c r="E60" t="str">
        <f t="shared" si="3"/>
        <v>FCL - Gassama</v>
      </c>
      <c r="G60" t="str">
        <f t="shared" si="2"/>
        <v>Lorient - Gassama</v>
      </c>
      <c r="H60" t="str">
        <f t="shared" si="4"/>
        <v>FCL - Gassama</v>
      </c>
    </row>
    <row r="61" spans="1:8" x14ac:dyDescent="0.25">
      <c r="A61" t="s">
        <v>47</v>
      </c>
      <c r="B61" t="s">
        <v>110</v>
      </c>
      <c r="C61" s="257" t="s">
        <v>111</v>
      </c>
      <c r="D61" s="258" t="s">
        <v>110</v>
      </c>
      <c r="E61" t="str">
        <f t="shared" si="3"/>
        <v>OL - Jallet</v>
      </c>
      <c r="G61" t="str">
        <f t="shared" si="2"/>
        <v>Lyon - Jallet</v>
      </c>
      <c r="H61" t="str">
        <f t="shared" si="4"/>
        <v>OL - Jallet</v>
      </c>
    </row>
    <row r="62" spans="1:8" x14ac:dyDescent="0.25">
      <c r="A62" t="s">
        <v>47</v>
      </c>
      <c r="B62" t="s">
        <v>136</v>
      </c>
      <c r="C62" s="257" t="s">
        <v>137</v>
      </c>
      <c r="D62" s="258" t="s">
        <v>136</v>
      </c>
      <c r="E62" t="str">
        <f t="shared" si="3"/>
        <v>OL - Morel</v>
      </c>
      <c r="G62" t="str">
        <f t="shared" si="2"/>
        <v>Lyon - Morel</v>
      </c>
      <c r="H62" t="str">
        <f t="shared" si="4"/>
        <v>OL - Morel</v>
      </c>
    </row>
    <row r="63" spans="1:8" x14ac:dyDescent="0.25">
      <c r="A63" t="s">
        <v>125</v>
      </c>
      <c r="B63" t="s">
        <v>515</v>
      </c>
      <c r="C63" s="257" t="s">
        <v>229</v>
      </c>
      <c r="D63" s="258" t="s">
        <v>704</v>
      </c>
      <c r="E63" t="str">
        <f t="shared" si="3"/>
        <v>ASSE - F. Pogba</v>
      </c>
      <c r="G63" t="str">
        <f t="shared" si="2"/>
        <v>Saint-Etienne - Pogba</v>
      </c>
      <c r="H63" t="str">
        <f t="shared" si="4"/>
        <v>ASSE - F. Pogba</v>
      </c>
    </row>
    <row r="64" spans="1:8" x14ac:dyDescent="0.25">
      <c r="A64" t="s">
        <v>125</v>
      </c>
      <c r="B64" t="s">
        <v>146</v>
      </c>
      <c r="C64" s="257" t="s">
        <v>147</v>
      </c>
      <c r="D64" s="258" t="s">
        <v>146</v>
      </c>
      <c r="E64" t="str">
        <f t="shared" si="3"/>
        <v>ASSE - Sall</v>
      </c>
      <c r="G64" t="str">
        <f t="shared" si="2"/>
        <v>Saint-Etienne - Sall</v>
      </c>
      <c r="H64" t="str">
        <f t="shared" si="4"/>
        <v>ASSE - Sall</v>
      </c>
    </row>
    <row r="65" spans="1:8" x14ac:dyDescent="0.25">
      <c r="A65" t="s">
        <v>258</v>
      </c>
      <c r="B65" t="s">
        <v>49</v>
      </c>
      <c r="C65" s="257" t="s">
        <v>112</v>
      </c>
      <c r="D65" s="258" t="s">
        <v>49</v>
      </c>
      <c r="E65" t="str">
        <f t="shared" si="3"/>
        <v>SCO - Thomas</v>
      </c>
      <c r="G65" t="str">
        <f t="shared" si="2"/>
        <v>Angers - Thomas</v>
      </c>
      <c r="H65" t="str">
        <f t="shared" si="4"/>
        <v>SCO - Thomas</v>
      </c>
    </row>
    <row r="66" spans="1:8" x14ac:dyDescent="0.25">
      <c r="A66" t="s">
        <v>47</v>
      </c>
      <c r="B66" t="s">
        <v>516</v>
      </c>
      <c r="C66" s="257" t="s">
        <v>113</v>
      </c>
      <c r="D66" s="258" t="s">
        <v>648</v>
      </c>
      <c r="E66" t="str">
        <f t="shared" ref="E66:E97" si="5">VLOOKUP(H66,_DATA,1,FALSE)</f>
        <v>OL - S. Umtiti</v>
      </c>
      <c r="G66" t="str">
        <f t="shared" si="2"/>
        <v>Lyon - Umtiti</v>
      </c>
      <c r="H66" t="str">
        <f t="shared" ref="H66:H97" si="6">VLOOKUP(A66,_EQUIPES,2,FALSE) &amp; " - " &amp; D66</f>
        <v>OL - S. Umtiti</v>
      </c>
    </row>
    <row r="67" spans="1:8" x14ac:dyDescent="0.25">
      <c r="A67" t="s">
        <v>61</v>
      </c>
      <c r="B67" t="s">
        <v>192</v>
      </c>
      <c r="C67" s="257" t="s">
        <v>190</v>
      </c>
      <c r="D67" s="258" t="s">
        <v>192</v>
      </c>
      <c r="E67" t="str">
        <f t="shared" si="5"/>
        <v>SRFC - Zeffane</v>
      </c>
      <c r="G67" t="str">
        <f t="shared" ref="G67:G130" si="7">A67&amp; " - " &amp; B67</f>
        <v>Rennes - Zeffane</v>
      </c>
      <c r="H67" t="str">
        <f t="shared" si="6"/>
        <v>SRFC - Zeffane</v>
      </c>
    </row>
    <row r="68" spans="1:8" x14ac:dyDescent="0.25">
      <c r="A68" t="s">
        <v>56</v>
      </c>
      <c r="B68" t="s">
        <v>517</v>
      </c>
      <c r="C68" s="257" t="s">
        <v>518</v>
      </c>
      <c r="D68" s="258" t="s">
        <v>517</v>
      </c>
      <c r="E68" t="e">
        <f t="shared" si="5"/>
        <v>#N/A</v>
      </c>
      <c r="G68" t="str">
        <f t="shared" si="7"/>
        <v>Caen - Deschateaux</v>
      </c>
      <c r="H68" t="str">
        <f t="shared" si="6"/>
        <v>SMC - Deschateaux</v>
      </c>
    </row>
    <row r="69" spans="1:8" x14ac:dyDescent="0.25">
      <c r="A69" t="s">
        <v>56</v>
      </c>
      <c r="B69" t="s">
        <v>519</v>
      </c>
      <c r="C69" s="257" t="s">
        <v>176</v>
      </c>
      <c r="D69" s="258" t="s">
        <v>519</v>
      </c>
      <c r="E69" t="str">
        <f t="shared" si="5"/>
        <v>SMC - Reulet</v>
      </c>
      <c r="G69" t="str">
        <f t="shared" si="7"/>
        <v>Caen - Reulet</v>
      </c>
      <c r="H69" t="str">
        <f t="shared" si="6"/>
        <v>SMC - Reulet</v>
      </c>
    </row>
    <row r="70" spans="1:8" x14ac:dyDescent="0.25">
      <c r="A70" t="s">
        <v>56</v>
      </c>
      <c r="B70" t="s">
        <v>116</v>
      </c>
      <c r="C70" s="257" t="s">
        <v>90</v>
      </c>
      <c r="D70" s="258" t="s">
        <v>116</v>
      </c>
      <c r="E70" t="str">
        <f t="shared" si="5"/>
        <v>SMC - Vercoutre</v>
      </c>
      <c r="G70" t="str">
        <f t="shared" si="7"/>
        <v>Caen - Vercoutre</v>
      </c>
      <c r="H70" t="str">
        <f t="shared" si="6"/>
        <v>SMC - Vercoutre</v>
      </c>
    </row>
    <row r="71" spans="1:8" x14ac:dyDescent="0.25">
      <c r="A71" t="s">
        <v>67</v>
      </c>
      <c r="B71" t="s">
        <v>376</v>
      </c>
      <c r="C71" s="257" t="s">
        <v>521</v>
      </c>
      <c r="D71" s="258" t="s">
        <v>376</v>
      </c>
      <c r="E71" t="str">
        <f t="shared" si="5"/>
        <v>PSG - Augustin</v>
      </c>
      <c r="G71" t="str">
        <f t="shared" si="7"/>
        <v>Paris - Augustin</v>
      </c>
      <c r="H71" t="str">
        <f t="shared" si="6"/>
        <v>PSG - Augustin</v>
      </c>
    </row>
    <row r="72" spans="1:8" x14ac:dyDescent="0.25">
      <c r="A72" t="s">
        <v>47</v>
      </c>
      <c r="B72" t="s">
        <v>183</v>
      </c>
      <c r="C72" s="257" t="s">
        <v>184</v>
      </c>
      <c r="D72" s="258" t="s">
        <v>183</v>
      </c>
      <c r="E72" t="str">
        <f t="shared" si="5"/>
        <v>OL - Beauvue</v>
      </c>
      <c r="G72" t="str">
        <f t="shared" si="7"/>
        <v>Lyon - Beauvue</v>
      </c>
      <c r="H72" t="str">
        <f t="shared" si="6"/>
        <v>OL - Beauvue</v>
      </c>
    </row>
    <row r="73" spans="1:8" x14ac:dyDescent="0.25">
      <c r="A73" t="s">
        <v>70</v>
      </c>
      <c r="B73" t="s">
        <v>178</v>
      </c>
      <c r="C73" s="257" t="s">
        <v>87</v>
      </c>
      <c r="D73" s="258" t="s">
        <v>178</v>
      </c>
      <c r="E73" t="str">
        <f t="shared" si="5"/>
        <v>EAG - Benezet</v>
      </c>
      <c r="G73" t="str">
        <f t="shared" si="7"/>
        <v>Guingamp - Benezet</v>
      </c>
      <c r="H73" t="str">
        <f t="shared" si="6"/>
        <v>EAG - Benezet</v>
      </c>
    </row>
    <row r="74" spans="1:8" x14ac:dyDescent="0.25">
      <c r="A74" t="s">
        <v>40</v>
      </c>
      <c r="B74" t="s">
        <v>522</v>
      </c>
      <c r="C74" s="257" t="s">
        <v>523</v>
      </c>
      <c r="D74" s="258" t="s">
        <v>522</v>
      </c>
      <c r="E74" t="str">
        <f t="shared" si="5"/>
        <v>MHSC - Boudebouz</v>
      </c>
      <c r="G74" t="str">
        <f t="shared" si="7"/>
        <v>Montpellier - Boudebouz</v>
      </c>
      <c r="H74" t="str">
        <f t="shared" si="6"/>
        <v>MHSC - Boudebouz</v>
      </c>
    </row>
    <row r="75" spans="1:8" x14ac:dyDescent="0.25">
      <c r="A75" t="s">
        <v>47</v>
      </c>
      <c r="B75" t="s">
        <v>289</v>
      </c>
      <c r="C75" s="257" t="s">
        <v>290</v>
      </c>
      <c r="D75" s="258" t="s">
        <v>289</v>
      </c>
      <c r="E75" t="str">
        <f t="shared" si="5"/>
        <v>OL - Darder</v>
      </c>
      <c r="G75" t="str">
        <f t="shared" si="7"/>
        <v>Lyon - Darder</v>
      </c>
      <c r="H75" t="str">
        <f t="shared" si="6"/>
        <v>OL - Darder</v>
      </c>
    </row>
    <row r="76" spans="1:8" x14ac:dyDescent="0.25">
      <c r="A76" t="s">
        <v>47</v>
      </c>
      <c r="B76" t="s">
        <v>524</v>
      </c>
      <c r="C76" s="257" t="s">
        <v>138</v>
      </c>
      <c r="D76" s="258" t="s">
        <v>650</v>
      </c>
      <c r="E76" t="str">
        <f t="shared" si="5"/>
        <v>OL - C. Grenier</v>
      </c>
      <c r="G76" t="str">
        <f t="shared" si="7"/>
        <v>Lyon - Grenier</v>
      </c>
      <c r="H76" t="str">
        <f t="shared" si="6"/>
        <v>OL - C. Grenier</v>
      </c>
    </row>
    <row r="77" spans="1:8" x14ac:dyDescent="0.25">
      <c r="A77" t="s">
        <v>59</v>
      </c>
      <c r="B77" t="s">
        <v>525</v>
      </c>
      <c r="C77" s="257" t="s">
        <v>115</v>
      </c>
      <c r="D77" s="258" t="s">
        <v>525</v>
      </c>
      <c r="E77" t="str">
        <f t="shared" si="5"/>
        <v>OGCN - Koziello</v>
      </c>
      <c r="G77" t="str">
        <f t="shared" si="7"/>
        <v>Nice - Koziello</v>
      </c>
      <c r="H77" t="str">
        <f t="shared" si="6"/>
        <v>OGCN - Koziello</v>
      </c>
    </row>
    <row r="78" spans="1:8" x14ac:dyDescent="0.25">
      <c r="A78" t="s">
        <v>67</v>
      </c>
      <c r="B78" t="s">
        <v>102</v>
      </c>
      <c r="C78" s="257" t="s">
        <v>103</v>
      </c>
      <c r="D78" s="258" t="s">
        <v>102</v>
      </c>
      <c r="E78" t="str">
        <f t="shared" si="5"/>
        <v>PSG - Matuidi</v>
      </c>
      <c r="G78" t="str">
        <f t="shared" si="7"/>
        <v>Paris - Matuidi</v>
      </c>
      <c r="H78" t="str">
        <f t="shared" si="6"/>
        <v>PSG - Matuidi</v>
      </c>
    </row>
    <row r="79" spans="1:8" x14ac:dyDescent="0.25">
      <c r="A79" t="s">
        <v>104</v>
      </c>
      <c r="B79" t="s">
        <v>526</v>
      </c>
      <c r="C79" s="257" t="s">
        <v>527</v>
      </c>
      <c r="D79" s="258" t="s">
        <v>526</v>
      </c>
      <c r="E79" t="str">
        <f t="shared" si="5"/>
        <v>SR - Oniangue</v>
      </c>
      <c r="G79" t="str">
        <f t="shared" si="7"/>
        <v>Reims - Oniangue</v>
      </c>
      <c r="H79" t="str">
        <f t="shared" si="6"/>
        <v>SR - Oniangue</v>
      </c>
    </row>
    <row r="80" spans="1:8" x14ac:dyDescent="0.25">
      <c r="A80" t="s">
        <v>70</v>
      </c>
      <c r="B80" t="s">
        <v>291</v>
      </c>
      <c r="C80" s="257" t="s">
        <v>292</v>
      </c>
      <c r="D80" s="258" t="s">
        <v>291</v>
      </c>
      <c r="E80" t="str">
        <f t="shared" si="5"/>
        <v>EAG - Briand</v>
      </c>
      <c r="G80" t="str">
        <f t="shared" si="7"/>
        <v>Guingamp - Briand</v>
      </c>
      <c r="H80" t="str">
        <f t="shared" si="6"/>
        <v>EAG - Briand</v>
      </c>
    </row>
    <row r="81" spans="1:8" x14ac:dyDescent="0.25">
      <c r="A81" t="s">
        <v>56</v>
      </c>
      <c r="B81" t="s">
        <v>265</v>
      </c>
      <c r="C81" s="257" t="s">
        <v>266</v>
      </c>
      <c r="D81" s="258" t="s">
        <v>265</v>
      </c>
      <c r="E81" t="str">
        <f t="shared" si="5"/>
        <v>SMC - Delort</v>
      </c>
      <c r="G81" t="str">
        <f t="shared" si="7"/>
        <v>Caen - Delort</v>
      </c>
      <c r="H81" t="str">
        <f t="shared" si="6"/>
        <v>SMC - Delort</v>
      </c>
    </row>
    <row r="82" spans="1:8" x14ac:dyDescent="0.25">
      <c r="A82" t="s">
        <v>108</v>
      </c>
      <c r="B82" t="s">
        <v>528</v>
      </c>
      <c r="C82" s="257" t="s">
        <v>529</v>
      </c>
      <c r="D82" s="258" t="s">
        <v>528</v>
      </c>
      <c r="E82" t="str">
        <f t="shared" si="5"/>
        <v>SCB - Kamano</v>
      </c>
      <c r="G82" t="str">
        <f t="shared" si="7"/>
        <v>Bastia - Kamano</v>
      </c>
      <c r="H82" t="str">
        <f t="shared" si="6"/>
        <v>SCB - Kamano</v>
      </c>
    </row>
    <row r="83" spans="1:8" x14ac:dyDescent="0.25">
      <c r="A83" t="s">
        <v>57</v>
      </c>
      <c r="B83" t="s">
        <v>384</v>
      </c>
      <c r="C83" s="257"/>
      <c r="D83" s="258" t="s">
        <v>781</v>
      </c>
      <c r="E83" t="str">
        <f t="shared" si="5"/>
        <v>FCL - Waris</v>
      </c>
      <c r="G83" t="str">
        <f t="shared" si="7"/>
        <v>Lorient - Majeed Waris</v>
      </c>
      <c r="H83" t="str">
        <f t="shared" si="6"/>
        <v>FCL - Waris</v>
      </c>
    </row>
    <row r="84" spans="1:8" x14ac:dyDescent="0.25">
      <c r="A84" t="s">
        <v>57</v>
      </c>
      <c r="B84" t="s">
        <v>119</v>
      </c>
      <c r="C84" s="257" t="s">
        <v>58</v>
      </c>
      <c r="D84" s="258" t="s">
        <v>119</v>
      </c>
      <c r="E84" t="str">
        <f t="shared" si="5"/>
        <v>FCL - Moukandjo</v>
      </c>
      <c r="G84" t="str">
        <f t="shared" si="7"/>
        <v>Lorient - Moukandjo</v>
      </c>
      <c r="H84" t="str">
        <f t="shared" si="6"/>
        <v>FCL - Moukandjo</v>
      </c>
    </row>
    <row r="85" spans="1:8" x14ac:dyDescent="0.25">
      <c r="A85" t="s">
        <v>40</v>
      </c>
      <c r="B85" t="s">
        <v>531</v>
      </c>
      <c r="C85" s="257" t="s">
        <v>532</v>
      </c>
      <c r="D85" s="258" t="s">
        <v>531</v>
      </c>
      <c r="E85" t="str">
        <f t="shared" si="5"/>
        <v>MHSC - Yatabaré</v>
      </c>
      <c r="G85" t="str">
        <f t="shared" si="7"/>
        <v>Montpellier - Yatabaré</v>
      </c>
      <c r="H85" t="str">
        <f t="shared" si="6"/>
        <v>MHSC - Yatabaré</v>
      </c>
    </row>
    <row r="86" spans="1:8" x14ac:dyDescent="0.25">
      <c r="A86" t="s">
        <v>258</v>
      </c>
      <c r="B86" t="s">
        <v>533</v>
      </c>
      <c r="C86" s="257" t="s">
        <v>534</v>
      </c>
      <c r="D86" s="258" t="s">
        <v>533</v>
      </c>
      <c r="E86" t="str">
        <f t="shared" si="5"/>
        <v>SCO - Angoula</v>
      </c>
      <c r="G86" t="str">
        <f t="shared" si="7"/>
        <v>Angers - Angoula</v>
      </c>
      <c r="H86" t="str">
        <f t="shared" si="6"/>
        <v>SCO - Angoula</v>
      </c>
    </row>
    <row r="87" spans="1:8" x14ac:dyDescent="0.25">
      <c r="A87" t="s">
        <v>53</v>
      </c>
      <c r="B87" t="s">
        <v>51</v>
      </c>
      <c r="C87" s="257" t="s">
        <v>52</v>
      </c>
      <c r="D87" s="258" t="s">
        <v>51</v>
      </c>
      <c r="E87" t="str">
        <f t="shared" si="5"/>
        <v>Losc - Basa</v>
      </c>
      <c r="G87" t="str">
        <f t="shared" si="7"/>
        <v>Lille - Basa</v>
      </c>
      <c r="H87" t="str">
        <f t="shared" si="6"/>
        <v>Losc - Basa</v>
      </c>
    </row>
    <row r="88" spans="1:8" x14ac:dyDescent="0.25">
      <c r="A88" t="s">
        <v>125</v>
      </c>
      <c r="B88" t="s">
        <v>535</v>
      </c>
      <c r="C88" s="257" t="s">
        <v>536</v>
      </c>
      <c r="D88" s="258" t="s">
        <v>535</v>
      </c>
      <c r="E88" t="str">
        <f t="shared" si="5"/>
        <v>ASSE - Karamoko</v>
      </c>
      <c r="G88" t="str">
        <f t="shared" si="7"/>
        <v>Saint-Etienne - Karamoko</v>
      </c>
      <c r="H88" t="str">
        <f t="shared" si="6"/>
        <v>ASSE - Karamoko</v>
      </c>
    </row>
    <row r="89" spans="1:8" x14ac:dyDescent="0.25">
      <c r="A89" t="s">
        <v>108</v>
      </c>
      <c r="B89" t="s">
        <v>168</v>
      </c>
      <c r="C89" s="257" t="s">
        <v>169</v>
      </c>
      <c r="D89" s="258" t="s">
        <v>168</v>
      </c>
      <c r="E89" t="str">
        <f t="shared" si="5"/>
        <v>SCB - Palmieri</v>
      </c>
      <c r="G89" t="str">
        <f t="shared" si="7"/>
        <v>Bastia - Palmieri</v>
      </c>
      <c r="H89" t="str">
        <f t="shared" si="6"/>
        <v>SCB - Palmieri</v>
      </c>
    </row>
    <row r="90" spans="1:8" x14ac:dyDescent="0.25">
      <c r="A90" t="s">
        <v>125</v>
      </c>
      <c r="B90" t="s">
        <v>144</v>
      </c>
      <c r="C90" s="257" t="s">
        <v>145</v>
      </c>
      <c r="D90" s="258" t="s">
        <v>144</v>
      </c>
      <c r="E90" t="str">
        <f t="shared" si="5"/>
        <v>ASSE - Perrin</v>
      </c>
      <c r="G90" t="str">
        <f t="shared" si="7"/>
        <v>Saint-Etienne - Perrin</v>
      </c>
      <c r="H90" t="str">
        <f t="shared" si="6"/>
        <v>ASSE - Perrin</v>
      </c>
    </row>
    <row r="91" spans="1:8" x14ac:dyDescent="0.25">
      <c r="A91" t="s">
        <v>258</v>
      </c>
      <c r="B91" t="s">
        <v>537</v>
      </c>
      <c r="C91" s="257" t="s">
        <v>112</v>
      </c>
      <c r="D91" s="258" t="s">
        <v>1029</v>
      </c>
      <c r="E91" t="str">
        <f t="shared" si="5"/>
        <v>SCO - Saïss</v>
      </c>
      <c r="G91" t="str">
        <f t="shared" si="7"/>
        <v>Angers - Saiss</v>
      </c>
      <c r="H91" t="str">
        <f t="shared" si="6"/>
        <v>SCO - Saïss</v>
      </c>
    </row>
    <row r="92" spans="1:8" x14ac:dyDescent="0.25">
      <c r="A92" t="s">
        <v>108</v>
      </c>
      <c r="B92" t="s">
        <v>170</v>
      </c>
      <c r="C92" s="257" t="s">
        <v>123</v>
      </c>
      <c r="D92" s="258" t="s">
        <v>170</v>
      </c>
      <c r="E92" t="str">
        <f t="shared" si="5"/>
        <v>SCB - Squillaci</v>
      </c>
      <c r="G92" t="str">
        <f t="shared" si="7"/>
        <v>Bastia - Squillaci</v>
      </c>
      <c r="H92" t="str">
        <f t="shared" si="6"/>
        <v>SCB - Squillaci</v>
      </c>
    </row>
    <row r="93" spans="1:8" x14ac:dyDescent="0.25">
      <c r="A93" t="s">
        <v>125</v>
      </c>
      <c r="B93" t="s">
        <v>538</v>
      </c>
      <c r="C93" s="257" t="s">
        <v>539</v>
      </c>
      <c r="D93" s="258" t="s">
        <v>538</v>
      </c>
      <c r="E93" t="str">
        <f t="shared" si="5"/>
        <v>ASSE - Moulin</v>
      </c>
      <c r="G93" t="str">
        <f t="shared" si="7"/>
        <v>Saint-Etienne - Moulin</v>
      </c>
      <c r="H93" t="str">
        <f t="shared" si="6"/>
        <v>ASSE - Moulin</v>
      </c>
    </row>
    <row r="94" spans="1:8" x14ac:dyDescent="0.25">
      <c r="A94" t="s">
        <v>125</v>
      </c>
      <c r="B94" t="s">
        <v>148</v>
      </c>
      <c r="C94" s="257" t="s">
        <v>149</v>
      </c>
      <c r="D94" s="258" t="s">
        <v>148</v>
      </c>
      <c r="E94" t="str">
        <f t="shared" si="5"/>
        <v>ASSE - Ruffier</v>
      </c>
      <c r="G94" t="str">
        <f t="shared" si="7"/>
        <v>Saint-Etienne - Ruffier</v>
      </c>
      <c r="H94" t="str">
        <f t="shared" si="6"/>
        <v>ASSE - Ruffier</v>
      </c>
    </row>
    <row r="95" spans="1:8" x14ac:dyDescent="0.25">
      <c r="A95" t="s">
        <v>41</v>
      </c>
      <c r="B95" t="s">
        <v>540</v>
      </c>
      <c r="C95" s="257" t="s">
        <v>508</v>
      </c>
      <c r="D95" s="258" t="s">
        <v>540</v>
      </c>
      <c r="E95" t="str">
        <f t="shared" si="5"/>
        <v>ASM - Dirar</v>
      </c>
      <c r="G95" t="str">
        <f t="shared" si="7"/>
        <v>Monaco - Dirar</v>
      </c>
      <c r="H95" t="str">
        <f t="shared" si="6"/>
        <v>ASM - Dirar</v>
      </c>
    </row>
    <row r="96" spans="1:8" x14ac:dyDescent="0.25">
      <c r="A96" t="s">
        <v>125</v>
      </c>
      <c r="B96" t="s">
        <v>203</v>
      </c>
      <c r="C96" s="257" t="s">
        <v>173</v>
      </c>
      <c r="D96" s="258" t="s">
        <v>203</v>
      </c>
      <c r="E96" t="str">
        <f t="shared" si="5"/>
        <v>ASSE - Eysseric</v>
      </c>
      <c r="G96" t="str">
        <f t="shared" si="7"/>
        <v>Saint-Etienne - Eysseric</v>
      </c>
      <c r="H96" t="str">
        <f t="shared" si="6"/>
        <v>ASSE - Eysseric</v>
      </c>
    </row>
    <row r="97" spans="1:8" x14ac:dyDescent="0.25">
      <c r="A97" t="s">
        <v>47</v>
      </c>
      <c r="B97" t="s">
        <v>139</v>
      </c>
      <c r="C97" s="257" t="s">
        <v>105</v>
      </c>
      <c r="D97" s="258" t="s">
        <v>139</v>
      </c>
      <c r="E97" t="str">
        <f t="shared" si="5"/>
        <v>OL - Ferri</v>
      </c>
      <c r="G97" t="str">
        <f t="shared" si="7"/>
        <v>Lyon - Ferri</v>
      </c>
      <c r="H97" t="str">
        <f t="shared" si="6"/>
        <v>OL - Ferri</v>
      </c>
    </row>
    <row r="98" spans="1:8" x14ac:dyDescent="0.25">
      <c r="A98" t="s">
        <v>258</v>
      </c>
      <c r="B98" t="s">
        <v>541</v>
      </c>
      <c r="C98" s="257" t="s">
        <v>542</v>
      </c>
      <c r="D98" s="258" t="s">
        <v>541</v>
      </c>
      <c r="E98" t="str">
        <f t="shared" ref="E98:E129" si="8">VLOOKUP(H98,_DATA,1,FALSE)</f>
        <v>SCO - Ketkeophomphone</v>
      </c>
      <c r="G98" t="str">
        <f t="shared" si="7"/>
        <v>Angers - Ketkeophomphone</v>
      </c>
      <c r="H98" t="str">
        <f t="shared" ref="H98:H129" si="9">VLOOKUP(A98,_EQUIPES,2,FALSE) &amp; " - " &amp; D98</f>
        <v>SCO - Ketkeophomphone</v>
      </c>
    </row>
    <row r="99" spans="1:8" x14ac:dyDescent="0.25">
      <c r="A99" t="s">
        <v>44</v>
      </c>
      <c r="B99" t="s">
        <v>543</v>
      </c>
      <c r="C99" s="257" t="s">
        <v>544</v>
      </c>
      <c r="D99" s="258" t="s">
        <v>627</v>
      </c>
      <c r="E99" t="str">
        <f t="shared" si="8"/>
        <v>OM - Nkoudou</v>
      </c>
      <c r="G99" t="str">
        <f t="shared" si="7"/>
        <v>Marseille - Nkoudou Mbida</v>
      </c>
      <c r="H99" t="str">
        <f t="shared" si="9"/>
        <v>OM - Nkoudou</v>
      </c>
    </row>
    <row r="100" spans="1:8" x14ac:dyDescent="0.25">
      <c r="A100" t="s">
        <v>59</v>
      </c>
      <c r="B100" t="s">
        <v>68</v>
      </c>
      <c r="C100" s="257" t="s">
        <v>69</v>
      </c>
      <c r="D100" s="258" t="s">
        <v>68</v>
      </c>
      <c r="E100" t="str">
        <f t="shared" si="8"/>
        <v>OGCN - Pied</v>
      </c>
      <c r="G100" t="str">
        <f t="shared" si="7"/>
        <v>Nice - Pied</v>
      </c>
      <c r="H100" t="str">
        <f t="shared" si="9"/>
        <v>OGCN - Pied</v>
      </c>
    </row>
    <row r="101" spans="1:8" x14ac:dyDescent="0.25">
      <c r="A101" t="s">
        <v>61</v>
      </c>
      <c r="B101" t="s">
        <v>545</v>
      </c>
      <c r="C101" s="257" t="s">
        <v>546</v>
      </c>
      <c r="D101" s="258" t="s">
        <v>545</v>
      </c>
      <c r="E101" t="str">
        <f t="shared" si="8"/>
        <v>SRFC - Quintero</v>
      </c>
      <c r="G101" t="str">
        <f t="shared" si="7"/>
        <v>Rennes - Quintero</v>
      </c>
      <c r="H101" t="str">
        <f t="shared" si="9"/>
        <v>SRFC - Quintero</v>
      </c>
    </row>
    <row r="102" spans="1:8" x14ac:dyDescent="0.25">
      <c r="A102" t="s">
        <v>258</v>
      </c>
      <c r="B102" t="s">
        <v>191</v>
      </c>
      <c r="C102" s="257" t="s">
        <v>167</v>
      </c>
      <c r="D102" s="258" t="s">
        <v>191</v>
      </c>
      <c r="E102" t="str">
        <f t="shared" si="8"/>
        <v>SCO - Sunu</v>
      </c>
      <c r="G102" t="str">
        <f t="shared" si="7"/>
        <v>Angers - Sunu</v>
      </c>
      <c r="H102" t="str">
        <f t="shared" si="9"/>
        <v>SCO - Sunu</v>
      </c>
    </row>
    <row r="103" spans="1:8" x14ac:dyDescent="0.25">
      <c r="A103" t="s">
        <v>40</v>
      </c>
      <c r="B103" t="s">
        <v>547</v>
      </c>
      <c r="C103" s="257" t="s">
        <v>548</v>
      </c>
      <c r="D103" s="258" t="s">
        <v>547</v>
      </c>
      <c r="E103" t="str">
        <f t="shared" si="8"/>
        <v>MHSC - Bakar</v>
      </c>
      <c r="G103" t="str">
        <f t="shared" si="7"/>
        <v>Montpellier - Bakar</v>
      </c>
      <c r="H103" t="str">
        <f t="shared" si="9"/>
        <v>MHSC - Bakar</v>
      </c>
    </row>
    <row r="104" spans="1:8" x14ac:dyDescent="0.25">
      <c r="A104" t="s">
        <v>43</v>
      </c>
      <c r="B104" t="s">
        <v>549</v>
      </c>
      <c r="C104" s="257" t="s">
        <v>550</v>
      </c>
      <c r="D104" s="258" t="s">
        <v>549</v>
      </c>
      <c r="E104" t="str">
        <f t="shared" si="8"/>
        <v>FCN - Bammou</v>
      </c>
      <c r="G104" t="str">
        <f t="shared" si="7"/>
        <v>Nantes - Bammou</v>
      </c>
      <c r="H104" t="str">
        <f t="shared" si="9"/>
        <v>FCN - Bammou</v>
      </c>
    </row>
    <row r="105" spans="1:8" x14ac:dyDescent="0.25">
      <c r="A105" t="s">
        <v>50</v>
      </c>
      <c r="B105" t="s">
        <v>171</v>
      </c>
      <c r="C105" s="257" t="s">
        <v>172</v>
      </c>
      <c r="D105" s="258" t="s">
        <v>171</v>
      </c>
      <c r="E105" t="str">
        <f t="shared" si="8"/>
        <v>FCGB - Crivelli</v>
      </c>
      <c r="G105" t="str">
        <f t="shared" si="7"/>
        <v>Bordeaux - Crivelli</v>
      </c>
      <c r="H105" t="str">
        <f t="shared" si="9"/>
        <v>FCGB - Crivelli</v>
      </c>
    </row>
    <row r="106" spans="1:8" x14ac:dyDescent="0.25">
      <c r="A106" t="s">
        <v>41</v>
      </c>
      <c r="B106" t="s">
        <v>551</v>
      </c>
      <c r="C106" s="257"/>
      <c r="D106" s="258" t="s">
        <v>939</v>
      </c>
      <c r="E106" t="str">
        <f t="shared" si="8"/>
        <v>ASM - Helder Costa</v>
      </c>
      <c r="G106" t="str">
        <f t="shared" si="7"/>
        <v>Monaco - Hélder Costa</v>
      </c>
      <c r="H106" t="str">
        <f t="shared" si="9"/>
        <v>ASM - Helder Costa</v>
      </c>
    </row>
    <row r="107" spans="1:8" x14ac:dyDescent="0.25">
      <c r="A107" t="s">
        <v>50</v>
      </c>
      <c r="B107" t="s">
        <v>95</v>
      </c>
      <c r="C107" s="257" t="s">
        <v>96</v>
      </c>
      <c r="D107" s="258" t="s">
        <v>95</v>
      </c>
      <c r="E107" t="str">
        <f t="shared" si="8"/>
        <v>FCGB - Rolan</v>
      </c>
      <c r="G107" t="str">
        <f t="shared" si="7"/>
        <v>Bordeaux - Rolan</v>
      </c>
      <c r="H107" t="str">
        <f t="shared" si="9"/>
        <v>FCGB - Rolan</v>
      </c>
    </row>
    <row r="108" spans="1:8" x14ac:dyDescent="0.25">
      <c r="A108" t="s">
        <v>125</v>
      </c>
      <c r="B108" t="s">
        <v>142</v>
      </c>
      <c r="C108" s="257" t="s">
        <v>143</v>
      </c>
      <c r="D108" s="258" t="s">
        <v>142</v>
      </c>
      <c r="E108" t="str">
        <f t="shared" si="8"/>
        <v>ASSE - Roux</v>
      </c>
      <c r="G108" t="str">
        <f t="shared" si="7"/>
        <v>Saint-Etienne - Roux</v>
      </c>
      <c r="H108" t="str">
        <f t="shared" si="9"/>
        <v>ASSE - Roux</v>
      </c>
    </row>
    <row r="109" spans="1:8" x14ac:dyDescent="0.25">
      <c r="A109" t="s">
        <v>50</v>
      </c>
      <c r="B109" t="s">
        <v>552</v>
      </c>
      <c r="C109" s="257" t="s">
        <v>553</v>
      </c>
      <c r="D109" s="258" t="s">
        <v>552</v>
      </c>
      <c r="E109" t="str">
        <f t="shared" si="8"/>
        <v>FCGB - Thelin</v>
      </c>
      <c r="G109" t="str">
        <f t="shared" si="7"/>
        <v>Bordeaux - Thelin</v>
      </c>
      <c r="H109" t="str">
        <f t="shared" si="9"/>
        <v>FCGB - Thelin</v>
      </c>
    </row>
    <row r="110" spans="1:8" x14ac:dyDescent="0.25">
      <c r="A110" t="s">
        <v>261</v>
      </c>
      <c r="B110" t="s">
        <v>554</v>
      </c>
      <c r="C110" s="257" t="s">
        <v>555</v>
      </c>
      <c r="D110" s="258" t="s">
        <v>554</v>
      </c>
      <c r="E110" t="str">
        <f t="shared" si="8"/>
        <v>GFCA - Bréchet</v>
      </c>
      <c r="G110" t="str">
        <f t="shared" si="7"/>
        <v>Ajaccio - Bréchet</v>
      </c>
      <c r="H110" t="str">
        <f t="shared" si="9"/>
        <v>GFCA - Bréchet</v>
      </c>
    </row>
    <row r="111" spans="1:8" x14ac:dyDescent="0.25">
      <c r="A111" t="s">
        <v>53</v>
      </c>
      <c r="B111" t="s">
        <v>277</v>
      </c>
      <c r="C111" s="257" t="s">
        <v>278</v>
      </c>
      <c r="D111" s="258" t="s">
        <v>277</v>
      </c>
      <c r="E111" t="str">
        <f t="shared" si="8"/>
        <v>Losc - Civelli</v>
      </c>
      <c r="G111" t="str">
        <f t="shared" si="7"/>
        <v>Lille - Civelli</v>
      </c>
      <c r="H111" t="str">
        <f t="shared" si="9"/>
        <v>Losc - Civelli</v>
      </c>
    </row>
    <row r="112" spans="1:8" x14ac:dyDescent="0.25">
      <c r="A112" t="s">
        <v>67</v>
      </c>
      <c r="B112" t="s">
        <v>14</v>
      </c>
      <c r="C112" s="257"/>
      <c r="D112" s="258" t="s">
        <v>14</v>
      </c>
      <c r="E112" t="str">
        <f t="shared" si="8"/>
        <v>PSG - David Luiz</v>
      </c>
      <c r="G112" t="str">
        <f t="shared" si="7"/>
        <v>Paris - David Luiz</v>
      </c>
      <c r="H112" t="str">
        <f t="shared" si="9"/>
        <v>PSG - David Luiz</v>
      </c>
    </row>
    <row r="113" spans="1:8" x14ac:dyDescent="0.25">
      <c r="A113" t="s">
        <v>44</v>
      </c>
      <c r="B113" t="s">
        <v>279</v>
      </c>
      <c r="C113" s="257" t="s">
        <v>280</v>
      </c>
      <c r="D113" s="258" t="s">
        <v>279</v>
      </c>
      <c r="E113" t="str">
        <f t="shared" si="8"/>
        <v>OM - Isla</v>
      </c>
      <c r="G113" t="str">
        <f t="shared" si="7"/>
        <v>Marseille - Isla</v>
      </c>
      <c r="H113" t="str">
        <f t="shared" si="9"/>
        <v>OM - Isla</v>
      </c>
    </row>
    <row r="114" spans="1:8" x14ac:dyDescent="0.25">
      <c r="A114" t="s">
        <v>44</v>
      </c>
      <c r="B114" t="s">
        <v>239</v>
      </c>
      <c r="C114" s="257"/>
      <c r="D114" s="258" t="s">
        <v>239</v>
      </c>
      <c r="E114" t="str">
        <f t="shared" si="8"/>
        <v>OM - Rolando</v>
      </c>
      <c r="G114" t="str">
        <f t="shared" si="7"/>
        <v>Marseille - Rolando</v>
      </c>
      <c r="H114" t="str">
        <f t="shared" si="9"/>
        <v>OM - Rolando</v>
      </c>
    </row>
    <row r="115" spans="1:8" x14ac:dyDescent="0.25">
      <c r="A115" t="s">
        <v>40</v>
      </c>
      <c r="B115" t="s">
        <v>556</v>
      </c>
      <c r="C115" s="257" t="s">
        <v>557</v>
      </c>
      <c r="D115" s="258" t="s">
        <v>556</v>
      </c>
      <c r="E115" t="str">
        <f t="shared" si="8"/>
        <v>MHSC - Roussillon</v>
      </c>
      <c r="G115" t="str">
        <f t="shared" si="7"/>
        <v>Montpellier - Roussillon</v>
      </c>
      <c r="H115" t="str">
        <f t="shared" si="9"/>
        <v>MHSC - Roussillon</v>
      </c>
    </row>
    <row r="116" spans="1:8" x14ac:dyDescent="0.25">
      <c r="A116" t="s">
        <v>104</v>
      </c>
      <c r="B116" t="s">
        <v>558</v>
      </c>
      <c r="C116" s="257" t="s">
        <v>91</v>
      </c>
      <c r="D116" s="258" t="s">
        <v>558</v>
      </c>
      <c r="E116" t="str">
        <f t="shared" si="8"/>
        <v>SR - Weber</v>
      </c>
      <c r="G116" t="str">
        <f t="shared" si="7"/>
        <v>Reims - Weber</v>
      </c>
      <c r="H116" t="str">
        <f t="shared" si="9"/>
        <v>SR - Weber</v>
      </c>
    </row>
    <row r="117" spans="1:8" x14ac:dyDescent="0.25">
      <c r="A117" t="s">
        <v>53</v>
      </c>
      <c r="B117" t="s">
        <v>114</v>
      </c>
      <c r="C117" s="257" t="s">
        <v>115</v>
      </c>
      <c r="D117" s="258" t="s">
        <v>114</v>
      </c>
      <c r="E117" t="str">
        <f t="shared" si="8"/>
        <v>Losc - Enyeama</v>
      </c>
      <c r="G117" t="str">
        <f t="shared" si="7"/>
        <v>Lille - Enyeama</v>
      </c>
      <c r="H117" t="str">
        <f t="shared" si="9"/>
        <v>Losc - Enyeama</v>
      </c>
    </row>
    <row r="118" spans="1:8" x14ac:dyDescent="0.25">
      <c r="A118" t="s">
        <v>261</v>
      </c>
      <c r="B118" t="s">
        <v>211</v>
      </c>
      <c r="C118" s="257" t="s">
        <v>138</v>
      </c>
      <c r="D118" s="258" t="s">
        <v>211</v>
      </c>
      <c r="E118" t="str">
        <f t="shared" si="8"/>
        <v>GFCA - Maury</v>
      </c>
      <c r="G118" t="str">
        <f t="shared" si="7"/>
        <v>Ajaccio - Maury</v>
      </c>
      <c r="H118" t="str">
        <f t="shared" si="9"/>
        <v>GFCA - Maury</v>
      </c>
    </row>
    <row r="119" spans="1:8" x14ac:dyDescent="0.25">
      <c r="A119" t="s">
        <v>70</v>
      </c>
      <c r="B119" t="s">
        <v>559</v>
      </c>
      <c r="C119" s="257" t="s">
        <v>560</v>
      </c>
      <c r="D119" s="258" t="s">
        <v>559</v>
      </c>
      <c r="E119" t="str">
        <f t="shared" si="8"/>
        <v>EAG - Samassa</v>
      </c>
      <c r="G119" t="str">
        <f t="shared" si="7"/>
        <v>Guingamp - Samassa</v>
      </c>
      <c r="H119" t="str">
        <f t="shared" si="9"/>
        <v>EAG - Samassa</v>
      </c>
    </row>
    <row r="120" spans="1:8" x14ac:dyDescent="0.25">
      <c r="A120" t="s">
        <v>53</v>
      </c>
      <c r="B120" t="s">
        <v>281</v>
      </c>
      <c r="C120" s="257" t="s">
        <v>282</v>
      </c>
      <c r="D120" s="258" t="s">
        <v>281</v>
      </c>
      <c r="E120" t="str">
        <f t="shared" si="8"/>
        <v>Losc - Boufal</v>
      </c>
      <c r="G120" t="str">
        <f t="shared" si="7"/>
        <v>Lille - Boufal</v>
      </c>
      <c r="H120" t="str">
        <f t="shared" si="9"/>
        <v>Losc - Boufal</v>
      </c>
    </row>
    <row r="121" spans="1:8" x14ac:dyDescent="0.25">
      <c r="A121" t="s">
        <v>261</v>
      </c>
      <c r="B121" t="s">
        <v>263</v>
      </c>
      <c r="C121" s="257" t="s">
        <v>264</v>
      </c>
      <c r="D121" s="258" t="s">
        <v>263</v>
      </c>
      <c r="E121" t="e">
        <f t="shared" si="8"/>
        <v>#N/A</v>
      </c>
      <c r="G121" t="str">
        <f t="shared" si="7"/>
        <v>Ajaccio - Feddaoui</v>
      </c>
      <c r="H121" t="str">
        <f t="shared" si="9"/>
        <v>GFCA - Feddaoui</v>
      </c>
    </row>
    <row r="122" spans="1:8" x14ac:dyDescent="0.25">
      <c r="A122" t="s">
        <v>41</v>
      </c>
      <c r="B122" t="s">
        <v>177</v>
      </c>
      <c r="C122" s="257" t="s">
        <v>49</v>
      </c>
      <c r="D122" s="258" t="s">
        <v>177</v>
      </c>
      <c r="E122" t="str">
        <f t="shared" si="8"/>
        <v>ASM - Lemar</v>
      </c>
      <c r="G122" t="str">
        <f t="shared" si="7"/>
        <v>Monaco - Lemar</v>
      </c>
      <c r="H122" t="str">
        <f t="shared" si="9"/>
        <v>ASM - Lemar</v>
      </c>
    </row>
    <row r="123" spans="1:8" x14ac:dyDescent="0.25">
      <c r="A123" t="s">
        <v>67</v>
      </c>
      <c r="B123" t="s">
        <v>385</v>
      </c>
      <c r="C123" s="257"/>
      <c r="D123" s="258" t="s">
        <v>140</v>
      </c>
      <c r="E123" t="str">
        <f t="shared" si="8"/>
        <v>PSG - Lucas</v>
      </c>
      <c r="G123" t="str">
        <f t="shared" si="7"/>
        <v>Paris - Lucas Moura</v>
      </c>
      <c r="H123" t="str">
        <f t="shared" si="9"/>
        <v>PSG - Lucas</v>
      </c>
    </row>
    <row r="124" spans="1:8" x14ac:dyDescent="0.25">
      <c r="A124" t="s">
        <v>59</v>
      </c>
      <c r="B124" t="s">
        <v>561</v>
      </c>
      <c r="C124" s="257" t="s">
        <v>46</v>
      </c>
      <c r="D124" s="258" t="s">
        <v>693</v>
      </c>
      <c r="E124" t="str">
        <f t="shared" si="8"/>
        <v>OGCN - A. Mendy</v>
      </c>
      <c r="G124" t="str">
        <f t="shared" si="7"/>
        <v>Nice - Mendy</v>
      </c>
      <c r="H124" t="str">
        <f t="shared" si="9"/>
        <v>OGCN - A. Mendy</v>
      </c>
    </row>
    <row r="125" spans="1:8" x14ac:dyDescent="0.25">
      <c r="A125" t="s">
        <v>59</v>
      </c>
      <c r="B125" t="s">
        <v>561</v>
      </c>
      <c r="C125" s="257" t="s">
        <v>283</v>
      </c>
      <c r="D125" s="258" t="s">
        <v>685</v>
      </c>
      <c r="E125" t="str">
        <f t="shared" si="8"/>
        <v>OGCN - N. Mendy</v>
      </c>
      <c r="G125" t="str">
        <f t="shared" si="7"/>
        <v>Nice - Mendy</v>
      </c>
      <c r="H125" t="str">
        <f t="shared" si="9"/>
        <v>OGCN - N. Mendy</v>
      </c>
    </row>
    <row r="126" spans="1:8" x14ac:dyDescent="0.25">
      <c r="A126" t="s">
        <v>50</v>
      </c>
      <c r="B126" t="s">
        <v>562</v>
      </c>
      <c r="C126" s="257" t="s">
        <v>563</v>
      </c>
      <c r="D126" s="258" t="s">
        <v>562</v>
      </c>
      <c r="E126" t="str">
        <f t="shared" si="8"/>
        <v>FCGB - Ounas</v>
      </c>
      <c r="G126" t="str">
        <f t="shared" si="7"/>
        <v>Bordeaux - Ounas</v>
      </c>
      <c r="H126" t="str">
        <f t="shared" si="9"/>
        <v>FCGB - Ounas</v>
      </c>
    </row>
    <row r="127" spans="1:8" x14ac:dyDescent="0.25">
      <c r="A127" t="s">
        <v>57</v>
      </c>
      <c r="B127" t="s">
        <v>253</v>
      </c>
      <c r="C127" s="257" t="s">
        <v>112</v>
      </c>
      <c r="D127" s="258" t="s">
        <v>253</v>
      </c>
      <c r="E127" t="str">
        <f t="shared" si="8"/>
        <v>FCL - Philippoteaux</v>
      </c>
      <c r="G127" t="str">
        <f t="shared" si="7"/>
        <v>Lorient - Philippoteaux</v>
      </c>
      <c r="H127" t="str">
        <f t="shared" si="9"/>
        <v>FCL - Philippoteaux</v>
      </c>
    </row>
    <row r="128" spans="1:8" x14ac:dyDescent="0.25">
      <c r="A128" t="s">
        <v>56</v>
      </c>
      <c r="B128" t="s">
        <v>564</v>
      </c>
      <c r="C128" s="257" t="s">
        <v>565</v>
      </c>
      <c r="D128" s="258" t="s">
        <v>564</v>
      </c>
      <c r="E128" t="str">
        <f t="shared" si="8"/>
        <v>SMC - Bazile</v>
      </c>
      <c r="G128" t="str">
        <f t="shared" si="7"/>
        <v>Caen - Bazile</v>
      </c>
      <c r="H128" t="str">
        <f t="shared" si="9"/>
        <v>SMC - Bazile</v>
      </c>
    </row>
    <row r="129" spans="1:8" x14ac:dyDescent="0.25">
      <c r="A129" t="s">
        <v>40</v>
      </c>
      <c r="B129" t="s">
        <v>130</v>
      </c>
      <c r="C129" s="257" t="s">
        <v>131</v>
      </c>
      <c r="D129" s="258" t="s">
        <v>130</v>
      </c>
      <c r="E129" t="str">
        <f t="shared" si="8"/>
        <v>MHSC - Camara</v>
      </c>
      <c r="G129" t="str">
        <f t="shared" si="7"/>
        <v>Montpellier - Camara</v>
      </c>
      <c r="H129" t="str">
        <f t="shared" si="9"/>
        <v>MHSC - Camara</v>
      </c>
    </row>
    <row r="130" spans="1:8" x14ac:dyDescent="0.25">
      <c r="A130" t="s">
        <v>67</v>
      </c>
      <c r="B130" t="s">
        <v>85</v>
      </c>
      <c r="C130" s="257" t="s">
        <v>86</v>
      </c>
      <c r="D130" s="258" t="s">
        <v>85</v>
      </c>
      <c r="E130" t="str">
        <f t="shared" ref="E130:E161" si="10">VLOOKUP(H130,_DATA,1,FALSE)</f>
        <v>PSG - Ibrahimovic</v>
      </c>
      <c r="G130" t="str">
        <f t="shared" si="7"/>
        <v>Paris - Ibrahimovic</v>
      </c>
      <c r="H130" t="str">
        <f t="shared" ref="H130:H161" si="11">VLOOKUP(A130,_EQUIPES,2,FALSE) &amp; " - " &amp; D130</f>
        <v>PSG - Ibrahimovic</v>
      </c>
    </row>
    <row r="131" spans="1:8" x14ac:dyDescent="0.25">
      <c r="A131" t="s">
        <v>47</v>
      </c>
      <c r="B131" t="s">
        <v>45</v>
      </c>
      <c r="C131" s="257" t="s">
        <v>46</v>
      </c>
      <c r="D131" s="258" t="s">
        <v>45</v>
      </c>
      <c r="E131" t="str">
        <f t="shared" si="10"/>
        <v>OL - Lacazette</v>
      </c>
      <c r="G131" t="str">
        <f t="shared" ref="G131:G194" si="12">A131&amp; " - " &amp; B131</f>
        <v>Lyon - Lacazette</v>
      </c>
      <c r="H131" t="str">
        <f t="shared" si="11"/>
        <v>OL - Lacazette</v>
      </c>
    </row>
    <row r="132" spans="1:8" x14ac:dyDescent="0.25">
      <c r="A132" t="s">
        <v>258</v>
      </c>
      <c r="B132" t="s">
        <v>566</v>
      </c>
      <c r="C132" s="257" t="s">
        <v>567</v>
      </c>
      <c r="D132" s="258" t="s">
        <v>566</v>
      </c>
      <c r="E132" t="str">
        <f t="shared" si="10"/>
        <v>SCO - Sissoko</v>
      </c>
      <c r="G132" t="str">
        <f t="shared" si="12"/>
        <v>Angers - Sissoko</v>
      </c>
      <c r="H132" t="str">
        <f t="shared" si="11"/>
        <v>SCO - Sissoko</v>
      </c>
    </row>
    <row r="133" spans="1:8" x14ac:dyDescent="0.25">
      <c r="A133" t="s">
        <v>108</v>
      </c>
      <c r="B133" t="s">
        <v>568</v>
      </c>
      <c r="C133" s="257" t="s">
        <v>167</v>
      </c>
      <c r="D133" s="258" t="s">
        <v>568</v>
      </c>
      <c r="E133" t="str">
        <f t="shared" si="10"/>
        <v>SCB - Cioni</v>
      </c>
      <c r="G133" t="str">
        <f t="shared" si="12"/>
        <v>Bastia - Cioni</v>
      </c>
      <c r="H133" t="str">
        <f t="shared" si="11"/>
        <v>SCB - Cioni</v>
      </c>
    </row>
    <row r="134" spans="1:8" x14ac:dyDescent="0.25">
      <c r="A134" t="s">
        <v>67</v>
      </c>
      <c r="B134" t="s">
        <v>134</v>
      </c>
      <c r="C134" s="257" t="s">
        <v>135</v>
      </c>
      <c r="D134" s="258" t="s">
        <v>134</v>
      </c>
      <c r="E134" t="str">
        <f t="shared" si="10"/>
        <v>PSG - Kurzawa</v>
      </c>
      <c r="G134" t="str">
        <f t="shared" si="12"/>
        <v>Paris - Kurzawa</v>
      </c>
      <c r="H134" t="str">
        <f t="shared" si="11"/>
        <v>PSG - Kurzawa</v>
      </c>
    </row>
    <row r="135" spans="1:8" x14ac:dyDescent="0.25">
      <c r="A135" t="s">
        <v>57</v>
      </c>
      <c r="B135" t="s">
        <v>188</v>
      </c>
      <c r="C135" s="257" t="s">
        <v>189</v>
      </c>
      <c r="D135" s="258" t="s">
        <v>188</v>
      </c>
      <c r="E135" t="str">
        <f t="shared" si="10"/>
        <v>FCL - Lautoa</v>
      </c>
      <c r="G135" t="str">
        <f t="shared" si="12"/>
        <v>Lorient - Lautoa</v>
      </c>
      <c r="H135" t="str">
        <f t="shared" si="11"/>
        <v>FCL - Lautoa</v>
      </c>
    </row>
    <row r="136" spans="1:8" x14ac:dyDescent="0.25">
      <c r="A136" t="s">
        <v>125</v>
      </c>
      <c r="B136" t="s">
        <v>569</v>
      </c>
      <c r="C136" s="257" t="s">
        <v>133</v>
      </c>
      <c r="D136" s="258" t="s">
        <v>569</v>
      </c>
      <c r="E136" t="str">
        <f t="shared" si="10"/>
        <v>ASSE - Malcuit</v>
      </c>
      <c r="G136" t="str">
        <f t="shared" si="12"/>
        <v>Saint-Etienne - Malcuit</v>
      </c>
      <c r="H136" t="str">
        <f t="shared" si="11"/>
        <v>ASSE - Malcuit</v>
      </c>
    </row>
    <row r="137" spans="1:8" x14ac:dyDescent="0.25">
      <c r="A137" t="s">
        <v>252</v>
      </c>
      <c r="B137" t="s">
        <v>270</v>
      </c>
      <c r="C137" s="257" t="s">
        <v>271</v>
      </c>
      <c r="D137" s="258" t="s">
        <v>270</v>
      </c>
      <c r="E137" t="str">
        <f t="shared" si="10"/>
        <v>ESTAC - Ngcongca</v>
      </c>
      <c r="G137" t="str">
        <f t="shared" si="12"/>
        <v>Troyes - Ngcongca</v>
      </c>
      <c r="H137" t="str">
        <f t="shared" si="11"/>
        <v>ESTAC - Ngcongca</v>
      </c>
    </row>
    <row r="138" spans="1:8" x14ac:dyDescent="0.25">
      <c r="A138" t="s">
        <v>104</v>
      </c>
      <c r="B138" t="s">
        <v>205</v>
      </c>
      <c r="C138" s="257" t="s">
        <v>121</v>
      </c>
      <c r="D138" s="258" t="s">
        <v>205</v>
      </c>
      <c r="E138" t="str">
        <f t="shared" si="10"/>
        <v>SR - Signorino</v>
      </c>
      <c r="G138" t="str">
        <f t="shared" si="12"/>
        <v>Reims - Signorino</v>
      </c>
      <c r="H138" t="str">
        <f t="shared" si="11"/>
        <v>SR - Signorino</v>
      </c>
    </row>
    <row r="139" spans="1:8" x14ac:dyDescent="0.25">
      <c r="A139" t="s">
        <v>43</v>
      </c>
      <c r="B139" t="s">
        <v>199</v>
      </c>
      <c r="C139" s="257" t="s">
        <v>200</v>
      </c>
      <c r="D139" s="258" t="s">
        <v>199</v>
      </c>
      <c r="E139" t="str">
        <f t="shared" si="10"/>
        <v>FCN - Vizcarrondo</v>
      </c>
      <c r="G139" t="str">
        <f t="shared" si="12"/>
        <v>Nantes - Vizcarrondo</v>
      </c>
      <c r="H139" t="str">
        <f t="shared" si="11"/>
        <v>FCN - Vizcarrondo</v>
      </c>
    </row>
    <row r="140" spans="1:8" x14ac:dyDescent="0.25">
      <c r="A140" t="s">
        <v>50</v>
      </c>
      <c r="B140" t="s">
        <v>570</v>
      </c>
      <c r="C140" s="257" t="s">
        <v>101</v>
      </c>
      <c r="D140" s="258" t="s">
        <v>746</v>
      </c>
      <c r="E140" t="str">
        <f t="shared" si="10"/>
        <v>FCGB - Yambére</v>
      </c>
      <c r="G140" t="str">
        <f t="shared" si="12"/>
        <v>Bordeaux - Yambéré</v>
      </c>
      <c r="H140" t="str">
        <f t="shared" si="11"/>
        <v>FCGB - Yambére</v>
      </c>
    </row>
    <row r="141" spans="1:8" x14ac:dyDescent="0.25">
      <c r="A141" t="s">
        <v>44</v>
      </c>
      <c r="B141" t="s">
        <v>458</v>
      </c>
      <c r="C141" s="257" t="s">
        <v>571</v>
      </c>
      <c r="D141" s="258" t="s">
        <v>458</v>
      </c>
      <c r="E141" t="str">
        <f t="shared" si="10"/>
        <v>OM - Mandanda</v>
      </c>
      <c r="G141" t="str">
        <f t="shared" si="12"/>
        <v>Marseille - Mandanda</v>
      </c>
      <c r="H141" t="str">
        <f t="shared" si="11"/>
        <v>OM - Mandanda</v>
      </c>
    </row>
    <row r="142" spans="1:8" x14ac:dyDescent="0.25">
      <c r="A142" t="s">
        <v>104</v>
      </c>
      <c r="B142" t="s">
        <v>572</v>
      </c>
      <c r="C142" s="257" t="s">
        <v>573</v>
      </c>
      <c r="D142" s="258" t="s">
        <v>572</v>
      </c>
      <c r="E142" t="str">
        <f t="shared" si="10"/>
        <v>SR - Placide</v>
      </c>
      <c r="G142" t="str">
        <f t="shared" si="12"/>
        <v>Reims - Placide</v>
      </c>
      <c r="H142" t="str">
        <f t="shared" si="11"/>
        <v>SR - Placide</v>
      </c>
    </row>
    <row r="143" spans="1:8" x14ac:dyDescent="0.25">
      <c r="A143" t="s">
        <v>67</v>
      </c>
      <c r="B143" t="s">
        <v>574</v>
      </c>
      <c r="C143" s="257" t="s">
        <v>262</v>
      </c>
      <c r="D143" s="258" t="s">
        <v>668</v>
      </c>
      <c r="E143" t="str">
        <f t="shared" si="10"/>
        <v>PSG - Di Maria</v>
      </c>
      <c r="G143" t="str">
        <f t="shared" si="12"/>
        <v>Paris - Di María</v>
      </c>
      <c r="H143" t="str">
        <f t="shared" si="11"/>
        <v>PSG - Di Maria</v>
      </c>
    </row>
    <row r="144" spans="1:8" x14ac:dyDescent="0.25">
      <c r="A144" t="s">
        <v>104</v>
      </c>
      <c r="B144" t="s">
        <v>96</v>
      </c>
      <c r="C144" s="257"/>
      <c r="D144" s="258" t="s">
        <v>96</v>
      </c>
      <c r="E144" t="str">
        <f t="shared" si="10"/>
        <v>SR - Diego</v>
      </c>
      <c r="G144" t="str">
        <f t="shared" si="12"/>
        <v>Reims - Diego</v>
      </c>
      <c r="H144" t="str">
        <f t="shared" si="11"/>
        <v>SR - Diego</v>
      </c>
    </row>
    <row r="145" spans="1:8" x14ac:dyDescent="0.25">
      <c r="A145" t="s">
        <v>61</v>
      </c>
      <c r="B145" t="s">
        <v>208</v>
      </c>
      <c r="C145" s="257" t="s">
        <v>209</v>
      </c>
      <c r="D145" s="258" t="s">
        <v>208</v>
      </c>
      <c r="E145" t="str">
        <f t="shared" si="10"/>
        <v>SRFC - Henrique</v>
      </c>
      <c r="G145" t="str">
        <f t="shared" si="12"/>
        <v>Rennes - Henrique</v>
      </c>
      <c r="H145" t="str">
        <f t="shared" si="11"/>
        <v>SRFC - Henrique</v>
      </c>
    </row>
    <row r="146" spans="1:8" x14ac:dyDescent="0.25">
      <c r="A146" t="s">
        <v>59</v>
      </c>
      <c r="B146" t="s">
        <v>575</v>
      </c>
      <c r="C146" s="257" t="s">
        <v>576</v>
      </c>
      <c r="D146" s="258" t="s">
        <v>575</v>
      </c>
      <c r="E146" t="str">
        <f t="shared" si="10"/>
        <v>OGCN - Hult</v>
      </c>
      <c r="G146" t="str">
        <f t="shared" si="12"/>
        <v>Nice - Hult</v>
      </c>
      <c r="H146" t="str">
        <f t="shared" si="11"/>
        <v>OGCN - Hult</v>
      </c>
    </row>
    <row r="147" spans="1:8" x14ac:dyDescent="0.25">
      <c r="A147" t="s">
        <v>261</v>
      </c>
      <c r="B147" t="s">
        <v>577</v>
      </c>
      <c r="C147" s="257" t="s">
        <v>578</v>
      </c>
      <c r="D147" s="258" t="s">
        <v>577</v>
      </c>
      <c r="E147" t="str">
        <f t="shared" si="10"/>
        <v>GFCA - Le Moigne</v>
      </c>
      <c r="G147" t="str">
        <f t="shared" si="12"/>
        <v>Ajaccio - Le Moigne</v>
      </c>
      <c r="H147" t="str">
        <f t="shared" si="11"/>
        <v>GFCA - Le Moigne</v>
      </c>
    </row>
    <row r="148" spans="1:8" x14ac:dyDescent="0.25">
      <c r="A148" t="s">
        <v>56</v>
      </c>
      <c r="B148" t="s">
        <v>579</v>
      </c>
      <c r="C148" s="257" t="s">
        <v>580</v>
      </c>
      <c r="D148" s="258" t="s">
        <v>579</v>
      </c>
      <c r="E148" t="str">
        <f t="shared" si="10"/>
        <v>SMC - Makengo</v>
      </c>
      <c r="G148" t="str">
        <f t="shared" si="12"/>
        <v>Caen - Makengo</v>
      </c>
      <c r="H148" t="str">
        <f t="shared" si="11"/>
        <v>SMC - Makengo</v>
      </c>
    </row>
    <row r="149" spans="1:8" x14ac:dyDescent="0.25">
      <c r="A149" t="s">
        <v>53</v>
      </c>
      <c r="B149" t="s">
        <v>65</v>
      </c>
      <c r="C149" s="257" t="s">
        <v>581</v>
      </c>
      <c r="D149" s="258" t="s">
        <v>65</v>
      </c>
      <c r="E149" t="str">
        <f t="shared" si="10"/>
        <v>Losc - Martin</v>
      </c>
      <c r="G149" t="str">
        <f t="shared" si="12"/>
        <v>Lille - Martin</v>
      </c>
      <c r="H149" t="str">
        <f t="shared" si="11"/>
        <v>Losc - Martin</v>
      </c>
    </row>
    <row r="150" spans="1:8" x14ac:dyDescent="0.25">
      <c r="A150" t="s">
        <v>56</v>
      </c>
      <c r="B150" t="s">
        <v>582</v>
      </c>
      <c r="C150" s="257" t="s">
        <v>87</v>
      </c>
      <c r="D150" s="258" t="s">
        <v>582</v>
      </c>
      <c r="E150" t="str">
        <f t="shared" si="10"/>
        <v>SMC - Seube</v>
      </c>
      <c r="G150" t="str">
        <f t="shared" si="12"/>
        <v>Caen - Seube</v>
      </c>
      <c r="H150" t="str">
        <f t="shared" si="11"/>
        <v>SMC - Seube</v>
      </c>
    </row>
    <row r="151" spans="1:8" x14ac:dyDescent="0.25">
      <c r="A151" t="s">
        <v>252</v>
      </c>
      <c r="B151" t="s">
        <v>328</v>
      </c>
      <c r="C151" s="257"/>
      <c r="D151" s="258" t="s">
        <v>993</v>
      </c>
      <c r="E151" t="str">
        <f t="shared" si="10"/>
        <v>ESTAC - Thiago</v>
      </c>
      <c r="G151" t="str">
        <f t="shared" si="12"/>
        <v>Troyes - Thiago Xavier</v>
      </c>
      <c r="H151" t="str">
        <f t="shared" si="11"/>
        <v>ESTAC - Thiago</v>
      </c>
    </row>
    <row r="152" spans="1:8" x14ac:dyDescent="0.25">
      <c r="A152" t="s">
        <v>47</v>
      </c>
      <c r="B152" t="s">
        <v>284</v>
      </c>
      <c r="C152" s="257" t="s">
        <v>17</v>
      </c>
      <c r="D152" s="258" t="s">
        <v>284</v>
      </c>
      <c r="E152" t="str">
        <f t="shared" si="10"/>
        <v>OL - Cornet</v>
      </c>
      <c r="G152" t="str">
        <f t="shared" si="12"/>
        <v>Lyon - Cornet</v>
      </c>
      <c r="H152" t="str">
        <f t="shared" si="11"/>
        <v>OL - Cornet</v>
      </c>
    </row>
    <row r="153" spans="1:8" x14ac:dyDescent="0.25">
      <c r="A153" t="s">
        <v>50</v>
      </c>
      <c r="B153" t="s">
        <v>92</v>
      </c>
      <c r="C153" s="257" t="s">
        <v>88</v>
      </c>
      <c r="D153" s="258" t="s">
        <v>92</v>
      </c>
      <c r="E153" t="str">
        <f t="shared" si="10"/>
        <v>FCGB - Diabaté</v>
      </c>
      <c r="G153" t="str">
        <f t="shared" si="12"/>
        <v>Bordeaux - Diabaté</v>
      </c>
      <c r="H153" t="str">
        <f t="shared" si="11"/>
        <v>FCGB - Diabaté</v>
      </c>
    </row>
    <row r="154" spans="1:8" x14ac:dyDescent="0.25">
      <c r="A154" t="s">
        <v>61</v>
      </c>
      <c r="B154" t="s">
        <v>583</v>
      </c>
      <c r="C154" s="257" t="s">
        <v>584</v>
      </c>
      <c r="D154" s="258" t="s">
        <v>583</v>
      </c>
      <c r="E154" t="str">
        <f t="shared" si="10"/>
        <v>SRFC - Grosicki</v>
      </c>
      <c r="G154" t="str">
        <f t="shared" si="12"/>
        <v>Rennes - Grosicki</v>
      </c>
      <c r="H154" t="str">
        <f t="shared" si="11"/>
        <v>SRFC - Grosicki</v>
      </c>
    </row>
    <row r="155" spans="1:8" x14ac:dyDescent="0.25">
      <c r="A155" t="s">
        <v>41</v>
      </c>
      <c r="B155" t="s">
        <v>249</v>
      </c>
      <c r="C155" s="257"/>
      <c r="D155" s="258" t="s">
        <v>934</v>
      </c>
      <c r="E155" t="str">
        <f t="shared" si="10"/>
        <v>ASM - L. Traoré</v>
      </c>
      <c r="G155" t="str">
        <f t="shared" si="12"/>
        <v>Monaco - Lacina Traoré</v>
      </c>
      <c r="H155" t="str">
        <f t="shared" si="11"/>
        <v>ASM - L. Traoré</v>
      </c>
    </row>
    <row r="156" spans="1:8" x14ac:dyDescent="0.25">
      <c r="A156" t="s">
        <v>70</v>
      </c>
      <c r="B156" t="s">
        <v>174</v>
      </c>
      <c r="C156" s="257" t="s">
        <v>175</v>
      </c>
      <c r="D156" s="258" t="s">
        <v>174</v>
      </c>
      <c r="E156" t="str">
        <f t="shared" si="10"/>
        <v>EAG - Privat</v>
      </c>
      <c r="G156" t="str">
        <f t="shared" si="12"/>
        <v>Guingamp - Privat</v>
      </c>
      <c r="H156" t="str">
        <f t="shared" si="11"/>
        <v>EAG - Privat</v>
      </c>
    </row>
    <row r="157" spans="1:8" x14ac:dyDescent="0.25">
      <c r="A157" t="s">
        <v>67</v>
      </c>
      <c r="B157" t="s">
        <v>155</v>
      </c>
      <c r="C157" s="257" t="s">
        <v>42</v>
      </c>
      <c r="D157" s="258" t="s">
        <v>155</v>
      </c>
      <c r="E157" t="str">
        <f t="shared" si="10"/>
        <v>PSG - Aurier</v>
      </c>
      <c r="G157" t="str">
        <f t="shared" si="12"/>
        <v>Paris - Aurier</v>
      </c>
      <c r="H157" t="str">
        <f t="shared" si="11"/>
        <v>PSG - Aurier</v>
      </c>
    </row>
    <row r="158" spans="1:8" x14ac:dyDescent="0.25">
      <c r="A158" t="s">
        <v>59</v>
      </c>
      <c r="B158" t="s">
        <v>210</v>
      </c>
      <c r="C158" s="257" t="s">
        <v>176</v>
      </c>
      <c r="D158" s="258" t="s">
        <v>210</v>
      </c>
      <c r="E158" t="str">
        <f t="shared" si="10"/>
        <v>OGCN - Baysse</v>
      </c>
      <c r="G158" t="str">
        <f t="shared" si="12"/>
        <v>Nice - Baysse</v>
      </c>
      <c r="H158" t="str">
        <f t="shared" si="11"/>
        <v>OGCN - Baysse</v>
      </c>
    </row>
    <row r="159" spans="1:8" x14ac:dyDescent="0.25">
      <c r="A159" t="s">
        <v>56</v>
      </c>
      <c r="B159" t="s">
        <v>585</v>
      </c>
      <c r="C159" s="257" t="s">
        <v>586</v>
      </c>
      <c r="D159" s="258" t="s">
        <v>585</v>
      </c>
      <c r="E159" t="str">
        <f t="shared" si="10"/>
        <v>SMC - Ben Youssef</v>
      </c>
      <c r="G159" t="str">
        <f t="shared" si="12"/>
        <v>Caen - Ben Youssef</v>
      </c>
      <c r="H159" t="str">
        <f t="shared" si="11"/>
        <v>SMC - Ben Youssef</v>
      </c>
    </row>
    <row r="160" spans="1:8" x14ac:dyDescent="0.25">
      <c r="A160" t="s">
        <v>41</v>
      </c>
      <c r="B160" t="s">
        <v>97</v>
      </c>
      <c r="C160" s="257" t="s">
        <v>98</v>
      </c>
      <c r="D160" s="258" t="s">
        <v>97</v>
      </c>
      <c r="E160" t="str">
        <f t="shared" si="10"/>
        <v>ASM - Carvalho</v>
      </c>
      <c r="G160" t="str">
        <f t="shared" si="12"/>
        <v>Monaco - Carvalho</v>
      </c>
      <c r="H160" t="str">
        <f t="shared" si="11"/>
        <v>ASM - Carvalho</v>
      </c>
    </row>
    <row r="161" spans="1:8" x14ac:dyDescent="0.25">
      <c r="A161" t="s">
        <v>67</v>
      </c>
      <c r="B161" t="s">
        <v>17</v>
      </c>
      <c r="C161" s="257"/>
      <c r="D161" s="258" t="s">
        <v>17</v>
      </c>
      <c r="E161" t="str">
        <f t="shared" si="10"/>
        <v>PSG - Maxwell</v>
      </c>
      <c r="G161" t="str">
        <f t="shared" si="12"/>
        <v>Paris - Maxwell</v>
      </c>
      <c r="H161" t="str">
        <f t="shared" si="11"/>
        <v>PSG - Maxwell</v>
      </c>
    </row>
    <row r="162" spans="1:8" x14ac:dyDescent="0.25">
      <c r="A162" t="s">
        <v>44</v>
      </c>
      <c r="B162" t="s">
        <v>561</v>
      </c>
      <c r="C162" s="257" t="s">
        <v>58</v>
      </c>
      <c r="D162" s="258" t="s">
        <v>621</v>
      </c>
      <c r="E162" t="str">
        <f t="shared" ref="E162:E193" si="13">VLOOKUP(H162,_DATA,1,FALSE)</f>
        <v>OM - B. Mendy</v>
      </c>
      <c r="G162" t="str">
        <f t="shared" si="12"/>
        <v>Marseille - Mendy</v>
      </c>
      <c r="H162" t="str">
        <f t="shared" ref="H162:H212" si="14">VLOOKUP(A162,_EQUIPES,2,FALSE) &amp; " - " &amp; D162</f>
        <v>OM - B. Mendy</v>
      </c>
    </row>
    <row r="163" spans="1:8" x14ac:dyDescent="0.25">
      <c r="A163" t="s">
        <v>44</v>
      </c>
      <c r="B163" t="s">
        <v>587</v>
      </c>
      <c r="C163" s="257" t="s">
        <v>87</v>
      </c>
      <c r="D163" s="258" t="s">
        <v>1041</v>
      </c>
      <c r="E163" t="str">
        <f t="shared" si="13"/>
        <v>OM - Nkoulou</v>
      </c>
      <c r="G163" t="str">
        <f t="shared" si="12"/>
        <v>Marseille - N'Koulou</v>
      </c>
      <c r="H163" t="str">
        <f t="shared" si="14"/>
        <v>OM - NKoulou</v>
      </c>
    </row>
    <row r="164" spans="1:8" x14ac:dyDescent="0.25">
      <c r="A164" t="s">
        <v>41</v>
      </c>
      <c r="B164" t="s">
        <v>48</v>
      </c>
      <c r="C164" s="257" t="s">
        <v>588</v>
      </c>
      <c r="D164" s="258" t="s">
        <v>48</v>
      </c>
      <c r="E164" t="str">
        <f t="shared" si="13"/>
        <v>ASM - Touré</v>
      </c>
      <c r="G164" t="str">
        <f t="shared" si="12"/>
        <v>Monaco - Touré</v>
      </c>
      <c r="H164" t="str">
        <f t="shared" si="14"/>
        <v>ASM - Touré</v>
      </c>
    </row>
    <row r="165" spans="1:8" x14ac:dyDescent="0.25">
      <c r="A165" t="s">
        <v>41</v>
      </c>
      <c r="B165" t="s">
        <v>438</v>
      </c>
      <c r="C165" s="257"/>
      <c r="D165" s="258" t="s">
        <v>438</v>
      </c>
      <c r="E165" t="str">
        <f t="shared" si="13"/>
        <v>ASM - Wallace</v>
      </c>
      <c r="G165" t="str">
        <f t="shared" si="12"/>
        <v>Monaco - Wallace</v>
      </c>
      <c r="H165" t="str">
        <f t="shared" si="14"/>
        <v>ASM - Wallace</v>
      </c>
    </row>
    <row r="166" spans="1:8" x14ac:dyDescent="0.25">
      <c r="A166" t="s">
        <v>59</v>
      </c>
      <c r="B166" t="s">
        <v>589</v>
      </c>
      <c r="C166" s="257" t="s">
        <v>466</v>
      </c>
      <c r="D166" s="258" t="s">
        <v>589</v>
      </c>
      <c r="E166" t="str">
        <f t="shared" si="13"/>
        <v>OGCN - Cardinale</v>
      </c>
      <c r="G166" t="str">
        <f t="shared" si="12"/>
        <v>Nice - Cardinale</v>
      </c>
      <c r="H166" t="str">
        <f t="shared" si="14"/>
        <v>OGCN - Cardinale</v>
      </c>
    </row>
    <row r="167" spans="1:8" x14ac:dyDescent="0.25">
      <c r="A167" t="s">
        <v>47</v>
      </c>
      <c r="B167" t="s">
        <v>124</v>
      </c>
      <c r="C167" s="257" t="s">
        <v>91</v>
      </c>
      <c r="D167" s="258" t="s">
        <v>124</v>
      </c>
      <c r="E167" t="str">
        <f t="shared" si="13"/>
        <v>OL - Lopes</v>
      </c>
      <c r="G167" t="str">
        <f t="shared" si="12"/>
        <v>Lyon - Lopes</v>
      </c>
      <c r="H167" t="str">
        <f t="shared" si="14"/>
        <v>OL - Lopes</v>
      </c>
    </row>
    <row r="168" spans="1:8" x14ac:dyDescent="0.25">
      <c r="A168" t="s">
        <v>53</v>
      </c>
      <c r="B168" t="s">
        <v>201</v>
      </c>
      <c r="C168" s="257" t="s">
        <v>202</v>
      </c>
      <c r="D168" s="258" t="s">
        <v>201</v>
      </c>
      <c r="E168" t="str">
        <f t="shared" si="13"/>
        <v>Losc - Bauthéac</v>
      </c>
      <c r="G168" t="str">
        <f t="shared" si="12"/>
        <v>Lille - Bauthéac</v>
      </c>
      <c r="H168" t="str">
        <f t="shared" si="14"/>
        <v>Losc - Bauthéac</v>
      </c>
    </row>
    <row r="169" spans="1:8" x14ac:dyDescent="0.25">
      <c r="A169" t="s">
        <v>44</v>
      </c>
      <c r="B169" t="s">
        <v>288</v>
      </c>
      <c r="C169" s="257" t="s">
        <v>90</v>
      </c>
      <c r="D169" s="258" t="s">
        <v>288</v>
      </c>
      <c r="E169" t="str">
        <f t="shared" si="13"/>
        <v>OM - Cabella</v>
      </c>
      <c r="G169" t="str">
        <f t="shared" si="12"/>
        <v>Marseille - Cabella</v>
      </c>
      <c r="H169" t="str">
        <f t="shared" si="14"/>
        <v>OM - Cabella</v>
      </c>
    </row>
    <row r="170" spans="1:8" x14ac:dyDescent="0.25">
      <c r="A170" t="s">
        <v>47</v>
      </c>
      <c r="B170" t="s">
        <v>117</v>
      </c>
      <c r="C170" s="257" t="s">
        <v>118</v>
      </c>
      <c r="D170" s="258" t="s">
        <v>117</v>
      </c>
      <c r="E170" t="str">
        <f t="shared" si="13"/>
        <v>OL - Gonalons</v>
      </c>
      <c r="G170" t="str">
        <f t="shared" si="12"/>
        <v>Lyon - Gonalons</v>
      </c>
      <c r="H170" t="str">
        <f t="shared" si="14"/>
        <v>OL - Gonalons</v>
      </c>
    </row>
    <row r="171" spans="1:8" x14ac:dyDescent="0.25">
      <c r="A171" t="s">
        <v>125</v>
      </c>
      <c r="B171" t="s">
        <v>151</v>
      </c>
      <c r="C171" s="257" t="s">
        <v>112</v>
      </c>
      <c r="D171" s="258" t="s">
        <v>151</v>
      </c>
      <c r="E171" t="str">
        <f t="shared" si="13"/>
        <v>ASSE - Hamouma</v>
      </c>
      <c r="G171" t="str">
        <f t="shared" si="12"/>
        <v>Saint-Etienne - Hamouma</v>
      </c>
      <c r="H171" t="str">
        <f t="shared" si="14"/>
        <v>ASSE - Hamouma</v>
      </c>
    </row>
    <row r="172" spans="1:8" x14ac:dyDescent="0.25">
      <c r="A172" t="s">
        <v>261</v>
      </c>
      <c r="B172" t="s">
        <v>590</v>
      </c>
      <c r="C172" s="257" t="s">
        <v>591</v>
      </c>
      <c r="D172" s="258" t="s">
        <v>590</v>
      </c>
      <c r="E172" t="str">
        <f t="shared" si="13"/>
        <v>GFCA - Larbi</v>
      </c>
      <c r="G172" t="str">
        <f t="shared" si="12"/>
        <v>Ajaccio - Larbi</v>
      </c>
      <c r="H172" t="str">
        <f t="shared" si="14"/>
        <v>GFCA - Larbi</v>
      </c>
    </row>
    <row r="173" spans="1:8" x14ac:dyDescent="0.25">
      <c r="A173" t="s">
        <v>41</v>
      </c>
      <c r="B173" t="s">
        <v>126</v>
      </c>
      <c r="C173" s="257" t="s">
        <v>127</v>
      </c>
      <c r="D173" s="258" t="s">
        <v>126</v>
      </c>
      <c r="E173" t="str">
        <f t="shared" si="13"/>
        <v>ASM - Moutinho</v>
      </c>
      <c r="G173" t="str">
        <f t="shared" si="12"/>
        <v>Monaco - Moutinho</v>
      </c>
      <c r="H173" t="str">
        <f t="shared" si="14"/>
        <v>ASM - Moutinho</v>
      </c>
    </row>
    <row r="174" spans="1:8" x14ac:dyDescent="0.25">
      <c r="A174" t="s">
        <v>41</v>
      </c>
      <c r="B174" t="s">
        <v>592</v>
      </c>
      <c r="C174" s="257" t="s">
        <v>593</v>
      </c>
      <c r="D174" s="258" t="s">
        <v>592</v>
      </c>
      <c r="E174" t="str">
        <f t="shared" si="13"/>
        <v>ASM - Pasalic</v>
      </c>
      <c r="G174" t="str">
        <f t="shared" si="12"/>
        <v>Monaco - Pasalic</v>
      </c>
      <c r="H174" t="str">
        <f t="shared" si="14"/>
        <v>ASM - Pasalic</v>
      </c>
    </row>
    <row r="175" spans="1:8" x14ac:dyDescent="0.25">
      <c r="A175" t="s">
        <v>60</v>
      </c>
      <c r="B175" t="s">
        <v>141</v>
      </c>
      <c r="C175" s="257" t="s">
        <v>65</v>
      </c>
      <c r="D175" s="258" t="s">
        <v>141</v>
      </c>
      <c r="E175" t="str">
        <f t="shared" si="13"/>
        <v>TFC - Braithwaite</v>
      </c>
      <c r="G175" t="str">
        <f t="shared" si="12"/>
        <v>Toulouse - Braithwaite</v>
      </c>
      <c r="H175" t="str">
        <f t="shared" si="14"/>
        <v>TFC - Braithwaite</v>
      </c>
    </row>
    <row r="176" spans="1:8" x14ac:dyDescent="0.25">
      <c r="A176" t="s">
        <v>59</v>
      </c>
      <c r="B176" t="s">
        <v>195</v>
      </c>
      <c r="C176" s="257" t="s">
        <v>196</v>
      </c>
      <c r="D176" s="258" t="s">
        <v>195</v>
      </c>
      <c r="E176" t="str">
        <f t="shared" si="13"/>
        <v>OGCN - Germain</v>
      </c>
      <c r="G176" t="str">
        <f t="shared" si="12"/>
        <v>Nice - Germain</v>
      </c>
      <c r="H176" t="str">
        <f t="shared" si="14"/>
        <v>OGCN - Germain</v>
      </c>
    </row>
    <row r="177" spans="1:8" x14ac:dyDescent="0.25">
      <c r="A177" t="s">
        <v>40</v>
      </c>
      <c r="B177" t="s">
        <v>308</v>
      </c>
      <c r="C177" s="257"/>
      <c r="D177" s="258" t="s">
        <v>804</v>
      </c>
      <c r="E177" t="str">
        <f t="shared" si="13"/>
        <v>MHSC - Ninga</v>
      </c>
      <c r="G177" t="str">
        <f t="shared" si="12"/>
        <v>Montpellier - Rodrigue Ninga</v>
      </c>
      <c r="H177" t="str">
        <f t="shared" si="14"/>
        <v>MHSC - Ninga</v>
      </c>
    </row>
    <row r="178" spans="1:8" x14ac:dyDescent="0.25">
      <c r="A178" t="s">
        <v>61</v>
      </c>
      <c r="B178" t="s">
        <v>273</v>
      </c>
      <c r="C178" s="257" t="s">
        <v>274</v>
      </c>
      <c r="D178" s="258" t="s">
        <v>273</v>
      </c>
      <c r="E178" t="str">
        <f t="shared" si="13"/>
        <v>SRFC - Sio</v>
      </c>
      <c r="G178" t="str">
        <f t="shared" si="12"/>
        <v>Rennes - Sio</v>
      </c>
      <c r="H178" t="str">
        <f t="shared" si="14"/>
        <v>SRFC - Sio</v>
      </c>
    </row>
    <row r="179" spans="1:8" x14ac:dyDescent="0.25">
      <c r="A179" t="s">
        <v>41</v>
      </c>
      <c r="B179" t="s">
        <v>30</v>
      </c>
      <c r="C179" s="257"/>
      <c r="D179" s="258" t="s">
        <v>30</v>
      </c>
      <c r="E179" t="str">
        <f t="shared" si="13"/>
        <v>ASM - Fabinho</v>
      </c>
      <c r="G179" t="str">
        <f t="shared" si="12"/>
        <v>Monaco - Fabinho</v>
      </c>
      <c r="H179" t="str">
        <f t="shared" si="14"/>
        <v>ASM - Fabinho</v>
      </c>
    </row>
    <row r="180" spans="1:8" x14ac:dyDescent="0.25">
      <c r="A180" t="s">
        <v>40</v>
      </c>
      <c r="B180" t="s">
        <v>197</v>
      </c>
      <c r="C180" s="257" t="s">
        <v>198</v>
      </c>
      <c r="D180" s="258" t="s">
        <v>197</v>
      </c>
      <c r="E180" t="str">
        <f t="shared" si="13"/>
        <v>MHSC - Hilton</v>
      </c>
      <c r="G180" t="str">
        <f t="shared" si="12"/>
        <v>Montpellier - Hilton</v>
      </c>
      <c r="H180" t="str">
        <f t="shared" si="14"/>
        <v>MHSC - Hilton</v>
      </c>
    </row>
    <row r="181" spans="1:8" x14ac:dyDescent="0.25">
      <c r="A181" t="s">
        <v>70</v>
      </c>
      <c r="B181" t="s">
        <v>594</v>
      </c>
      <c r="C181" s="257" t="s">
        <v>595</v>
      </c>
      <c r="D181" s="258" t="s">
        <v>594</v>
      </c>
      <c r="E181" t="str">
        <f t="shared" si="13"/>
        <v>EAG - Lemaître</v>
      </c>
      <c r="G181" t="str">
        <f t="shared" si="12"/>
        <v>Guingamp - Lemaître</v>
      </c>
      <c r="H181" t="str">
        <f t="shared" si="14"/>
        <v>EAG - Lemaître</v>
      </c>
    </row>
    <row r="182" spans="1:8" x14ac:dyDescent="0.25">
      <c r="A182" t="s">
        <v>53</v>
      </c>
      <c r="B182" t="s">
        <v>596</v>
      </c>
      <c r="C182" s="257" t="s">
        <v>166</v>
      </c>
      <c r="D182" s="258" t="s">
        <v>719</v>
      </c>
      <c r="E182" t="str">
        <f t="shared" si="13"/>
        <v>Losc - Sidibé</v>
      </c>
      <c r="G182" t="str">
        <f t="shared" si="12"/>
        <v>Lille - Sidibe</v>
      </c>
      <c r="H182" t="str">
        <f t="shared" si="14"/>
        <v>Losc - Sidibé</v>
      </c>
    </row>
    <row r="183" spans="1:8" x14ac:dyDescent="0.25">
      <c r="A183" t="s">
        <v>67</v>
      </c>
      <c r="B183" t="s">
        <v>25</v>
      </c>
      <c r="C183" s="257"/>
      <c r="D183" s="258" t="s">
        <v>25</v>
      </c>
      <c r="E183" t="str">
        <f t="shared" si="13"/>
        <v>PSG - Thiago Silva</v>
      </c>
      <c r="G183" t="str">
        <f t="shared" si="12"/>
        <v>Paris - Thiago Silva</v>
      </c>
      <c r="H183" t="str">
        <f t="shared" si="14"/>
        <v>PSG - Thiago Silva</v>
      </c>
    </row>
    <row r="184" spans="1:8" x14ac:dyDescent="0.25">
      <c r="A184" t="s">
        <v>60</v>
      </c>
      <c r="B184" t="s">
        <v>335</v>
      </c>
      <c r="C184" s="257"/>
      <c r="D184" s="258" t="s">
        <v>816</v>
      </c>
      <c r="E184" t="str">
        <f t="shared" si="13"/>
        <v>TFC - Matheus</v>
      </c>
      <c r="G184" t="str">
        <f t="shared" si="12"/>
        <v>Toulouse - William Matheus</v>
      </c>
      <c r="H184" t="str">
        <f t="shared" si="14"/>
        <v>TFC - Matheus</v>
      </c>
    </row>
    <row r="185" spans="1:8" x14ac:dyDescent="0.25">
      <c r="A185" t="s">
        <v>70</v>
      </c>
      <c r="B185" t="s">
        <v>597</v>
      </c>
      <c r="C185" s="257" t="s">
        <v>598</v>
      </c>
      <c r="D185" s="258" t="s">
        <v>597</v>
      </c>
      <c r="E185" t="str">
        <f t="shared" si="13"/>
        <v>EAG - Guivarch</v>
      </c>
      <c r="G185" t="str">
        <f t="shared" si="12"/>
        <v>Guingamp - Guivarch</v>
      </c>
      <c r="H185" t="str">
        <f t="shared" si="14"/>
        <v>EAG - Guivarch</v>
      </c>
    </row>
    <row r="186" spans="1:8" x14ac:dyDescent="0.25">
      <c r="A186" t="s">
        <v>59</v>
      </c>
      <c r="B186" t="s">
        <v>599</v>
      </c>
      <c r="C186" s="257" t="s">
        <v>600</v>
      </c>
      <c r="D186" s="258" t="s">
        <v>599</v>
      </c>
      <c r="E186" t="str">
        <f t="shared" si="13"/>
        <v>OGCN - Hassen</v>
      </c>
      <c r="G186" t="str">
        <f t="shared" si="12"/>
        <v>Nice - Hassen</v>
      </c>
      <c r="H186" t="str">
        <f t="shared" si="14"/>
        <v>OGCN - Hassen</v>
      </c>
    </row>
    <row r="187" spans="1:8" x14ac:dyDescent="0.25">
      <c r="A187" t="s">
        <v>70</v>
      </c>
      <c r="B187" t="s">
        <v>182</v>
      </c>
      <c r="C187" s="257"/>
      <c r="D187" s="258" t="s">
        <v>943</v>
      </c>
      <c r="E187" t="str">
        <f t="shared" si="13"/>
        <v>EAG - Lössl</v>
      </c>
      <c r="G187" t="str">
        <f t="shared" si="12"/>
        <v>Guingamp - Jonas Lössl</v>
      </c>
      <c r="H187" t="str">
        <f t="shared" si="14"/>
        <v>EAG - Lössl</v>
      </c>
    </row>
    <row r="188" spans="1:8" x14ac:dyDescent="0.25">
      <c r="A188" t="s">
        <v>44</v>
      </c>
      <c r="B188" t="s">
        <v>193</v>
      </c>
      <c r="C188" s="257" t="s">
        <v>194</v>
      </c>
      <c r="D188" s="258" t="s">
        <v>193</v>
      </c>
      <c r="E188" t="str">
        <f t="shared" si="13"/>
        <v>OM - Barrada</v>
      </c>
      <c r="G188" t="str">
        <f t="shared" si="12"/>
        <v>Marseille - Barrada</v>
      </c>
      <c r="H188" t="str">
        <f t="shared" si="14"/>
        <v>OM - Barrada</v>
      </c>
    </row>
    <row r="189" spans="1:8" x14ac:dyDescent="0.25">
      <c r="A189" t="s">
        <v>43</v>
      </c>
      <c r="B189" t="s">
        <v>601</v>
      </c>
      <c r="C189" s="257" t="s">
        <v>140</v>
      </c>
      <c r="D189" s="258" t="s">
        <v>601</v>
      </c>
      <c r="E189" t="str">
        <f t="shared" si="13"/>
        <v>FCN - Deaux</v>
      </c>
      <c r="G189" t="str">
        <f t="shared" si="12"/>
        <v>Nantes - Deaux</v>
      </c>
      <c r="H189" t="str">
        <f t="shared" si="14"/>
        <v>FCN - Deaux</v>
      </c>
    </row>
    <row r="190" spans="1:8" x14ac:dyDescent="0.25">
      <c r="A190" t="s">
        <v>60</v>
      </c>
      <c r="B190" t="s">
        <v>602</v>
      </c>
      <c r="C190" s="257" t="s">
        <v>603</v>
      </c>
      <c r="D190" s="258" t="s">
        <v>602</v>
      </c>
      <c r="E190" t="str">
        <f t="shared" si="13"/>
        <v>TFC - Didot</v>
      </c>
      <c r="G190" t="str">
        <f t="shared" si="12"/>
        <v>Toulouse - Didot</v>
      </c>
      <c r="H190" t="str">
        <f t="shared" si="14"/>
        <v>TFC - Didot</v>
      </c>
    </row>
    <row r="191" spans="1:8" x14ac:dyDescent="0.25">
      <c r="A191" t="s">
        <v>50</v>
      </c>
      <c r="B191" t="s">
        <v>152</v>
      </c>
      <c r="C191" s="257" t="s">
        <v>153</v>
      </c>
      <c r="D191" s="258" t="s">
        <v>152</v>
      </c>
      <c r="E191" t="str">
        <f t="shared" si="13"/>
        <v>FCGB - Khazri</v>
      </c>
      <c r="G191" t="str">
        <f t="shared" si="12"/>
        <v>Bordeaux - Khazri</v>
      </c>
      <c r="H191" t="str">
        <f t="shared" si="14"/>
        <v>FCGB - Khazri</v>
      </c>
    </row>
    <row r="192" spans="1:8" x14ac:dyDescent="0.25">
      <c r="A192" t="s">
        <v>44</v>
      </c>
      <c r="B192" t="s">
        <v>244</v>
      </c>
      <c r="C192" s="257"/>
      <c r="D192" s="258" t="s">
        <v>629</v>
      </c>
      <c r="E192" t="str">
        <f t="shared" si="13"/>
        <v>OM - Diarra</v>
      </c>
      <c r="G192" t="str">
        <f t="shared" si="12"/>
        <v>Marseille - Lass Diarra</v>
      </c>
      <c r="H192" t="str">
        <f t="shared" si="14"/>
        <v>OM - Diarra</v>
      </c>
    </row>
    <row r="193" spans="1:8" x14ac:dyDescent="0.25">
      <c r="A193" t="s">
        <v>41</v>
      </c>
      <c r="B193" t="s">
        <v>157</v>
      </c>
      <c r="C193" s="257" t="s">
        <v>158</v>
      </c>
      <c r="D193" s="258" t="s">
        <v>378</v>
      </c>
      <c r="E193" t="str">
        <f t="shared" si="13"/>
        <v>ASM - Bernardo Silva</v>
      </c>
      <c r="G193" t="str">
        <f t="shared" si="12"/>
        <v>Monaco - Silva</v>
      </c>
      <c r="H193" t="str">
        <f t="shared" si="14"/>
        <v>ASM - Bernardo Silva</v>
      </c>
    </row>
    <row r="194" spans="1:8" x14ac:dyDescent="0.25">
      <c r="A194" t="s">
        <v>70</v>
      </c>
      <c r="B194" t="s">
        <v>949</v>
      </c>
      <c r="D194" s="258" t="s">
        <v>949</v>
      </c>
      <c r="G194" t="str">
        <f t="shared" si="12"/>
        <v>Guingamp - Sorbon</v>
      </c>
      <c r="H194" t="str">
        <f t="shared" si="14"/>
        <v>EAG - Sorbon</v>
      </c>
    </row>
    <row r="195" spans="1:8" x14ac:dyDescent="0.25">
      <c r="A195" t="s">
        <v>53</v>
      </c>
      <c r="B195" t="s">
        <v>718</v>
      </c>
      <c r="D195" s="258" t="s">
        <v>718</v>
      </c>
      <c r="G195" t="str">
        <f t="shared" ref="G195:G212" si="15">A195&amp; " - " &amp; B195</f>
        <v>Lille - Soumaoro</v>
      </c>
      <c r="H195" t="str">
        <f t="shared" si="14"/>
        <v>Losc - Soumaoro</v>
      </c>
    </row>
    <row r="196" spans="1:8" x14ac:dyDescent="0.25">
      <c r="A196" t="s">
        <v>41</v>
      </c>
      <c r="B196" t="s">
        <v>925</v>
      </c>
      <c r="D196" s="258" t="s">
        <v>925</v>
      </c>
      <c r="G196" t="str">
        <f t="shared" si="15"/>
        <v>Monaco - Subasic</v>
      </c>
      <c r="H196" t="str">
        <f t="shared" si="14"/>
        <v>ASM - Subasic</v>
      </c>
    </row>
    <row r="197" spans="1:8" x14ac:dyDescent="0.25">
      <c r="A197" t="s">
        <v>61</v>
      </c>
      <c r="B197" t="s">
        <v>1101</v>
      </c>
      <c r="D197" s="258" t="s">
        <v>877</v>
      </c>
      <c r="G197" t="str">
        <f t="shared" si="15"/>
        <v>Rennes - Dembele</v>
      </c>
      <c r="H197" t="str">
        <f t="shared" si="14"/>
        <v>SRFC - Dembélé</v>
      </c>
    </row>
    <row r="198" spans="1:8" x14ac:dyDescent="0.25">
      <c r="A198" t="s">
        <v>61</v>
      </c>
      <c r="B198" t="s">
        <v>861</v>
      </c>
      <c r="D198" s="258" t="s">
        <v>861</v>
      </c>
      <c r="G198" t="str">
        <f t="shared" si="15"/>
        <v>Rennes - Diagne</v>
      </c>
      <c r="H198" t="str">
        <f t="shared" si="14"/>
        <v>SRFC - Diagne</v>
      </c>
    </row>
    <row r="199" spans="1:8" x14ac:dyDescent="0.25">
      <c r="A199" t="s">
        <v>41</v>
      </c>
      <c r="B199" t="s">
        <v>1104</v>
      </c>
      <c r="D199" s="258" t="s">
        <v>928</v>
      </c>
      <c r="G199" t="str">
        <f t="shared" si="15"/>
        <v>Monaco - Fábio Coentrão</v>
      </c>
      <c r="H199" t="str">
        <f t="shared" si="14"/>
        <v>ASM - Coentrao</v>
      </c>
    </row>
    <row r="200" spans="1:8" x14ac:dyDescent="0.25">
      <c r="A200" t="s">
        <v>67</v>
      </c>
      <c r="B200" t="s">
        <v>660</v>
      </c>
      <c r="D200" s="258" t="s">
        <v>660</v>
      </c>
      <c r="G200" t="str">
        <f t="shared" si="15"/>
        <v>Paris - Marquinhos</v>
      </c>
      <c r="H200" t="str">
        <f t="shared" si="14"/>
        <v>PSG - Marquinhos</v>
      </c>
    </row>
    <row r="201" spans="1:8" x14ac:dyDescent="0.25">
      <c r="A201" t="s">
        <v>47</v>
      </c>
      <c r="B201" t="s">
        <v>651</v>
      </c>
      <c r="D201" s="258" t="s">
        <v>651</v>
      </c>
      <c r="G201" t="str">
        <f t="shared" si="15"/>
        <v>Lyon - Ghezzal</v>
      </c>
      <c r="H201" t="str">
        <f t="shared" si="14"/>
        <v>OL - Ghezzal</v>
      </c>
    </row>
    <row r="202" spans="1:8" x14ac:dyDescent="0.25">
      <c r="A202" t="s">
        <v>59</v>
      </c>
      <c r="B202" t="s">
        <v>680</v>
      </c>
      <c r="D202" s="258" t="s">
        <v>680</v>
      </c>
      <c r="G202" t="str">
        <f t="shared" si="15"/>
        <v>Nice - Ricardo Pereira</v>
      </c>
      <c r="H202" t="str">
        <f t="shared" si="14"/>
        <v>OGCN - Ricardo Pereira</v>
      </c>
    </row>
    <row r="203" spans="1:8" x14ac:dyDescent="0.25">
      <c r="A203" t="s">
        <v>40</v>
      </c>
      <c r="B203" t="s">
        <v>790</v>
      </c>
      <c r="D203" s="258" t="s">
        <v>790</v>
      </c>
      <c r="G203" t="str">
        <f t="shared" si="15"/>
        <v>Montpellier - Dabo</v>
      </c>
      <c r="H203" t="str">
        <f t="shared" si="14"/>
        <v>MHSC - Dabo</v>
      </c>
    </row>
    <row r="204" spans="1:8" x14ac:dyDescent="0.25">
      <c r="A204" t="s">
        <v>61</v>
      </c>
      <c r="B204" t="s">
        <v>1045</v>
      </c>
      <c r="D204" s="258" t="s">
        <v>1045</v>
      </c>
      <c r="G204" t="str">
        <f t="shared" si="15"/>
        <v>Rennes - Gourcuff</v>
      </c>
      <c r="H204" t="str">
        <f t="shared" si="14"/>
        <v>SRFC - Gourcuff</v>
      </c>
    </row>
    <row r="205" spans="1:8" x14ac:dyDescent="0.25">
      <c r="A205" t="s">
        <v>70</v>
      </c>
      <c r="B205" t="s">
        <v>961</v>
      </c>
      <c r="D205" s="258" t="s">
        <v>961</v>
      </c>
      <c r="G205" t="str">
        <f t="shared" si="15"/>
        <v>Guingamp - Sankharé</v>
      </c>
      <c r="H205" t="str">
        <f t="shared" si="14"/>
        <v>EAG - Sankharé</v>
      </c>
    </row>
    <row r="206" spans="1:8" x14ac:dyDescent="0.25">
      <c r="A206" t="s">
        <v>70</v>
      </c>
      <c r="B206" t="s">
        <v>1047</v>
      </c>
      <c r="D206" s="258" t="s">
        <v>1047</v>
      </c>
      <c r="G206" t="str">
        <f t="shared" si="15"/>
        <v>Guingamp - Erding</v>
      </c>
      <c r="H206" t="str">
        <f t="shared" si="14"/>
        <v>EAG - Erding</v>
      </c>
    </row>
    <row r="207" spans="1:8" x14ac:dyDescent="0.25">
      <c r="A207" t="s">
        <v>41</v>
      </c>
      <c r="B207" t="s">
        <v>1111</v>
      </c>
      <c r="D207" s="258" t="s">
        <v>1068</v>
      </c>
      <c r="G207" t="str">
        <f t="shared" si="15"/>
        <v>Monaco - Vágner Love</v>
      </c>
      <c r="H207" t="str">
        <f t="shared" si="14"/>
        <v>ASM - Love</v>
      </c>
    </row>
    <row r="208" spans="1:8" x14ac:dyDescent="0.25">
      <c r="A208" t="s">
        <v>47</v>
      </c>
      <c r="B208" t="s">
        <v>646</v>
      </c>
      <c r="D208" s="258" t="s">
        <v>646</v>
      </c>
      <c r="G208" t="str">
        <f t="shared" si="15"/>
        <v>Lyon - Yanga-Mbiwa</v>
      </c>
      <c r="H208" t="str">
        <f t="shared" si="14"/>
        <v>OL - Yanga-Mbiwa</v>
      </c>
    </row>
    <row r="209" spans="1:8" x14ac:dyDescent="0.25">
      <c r="A209" t="s">
        <v>56</v>
      </c>
      <c r="B209" t="s">
        <v>517</v>
      </c>
      <c r="D209" s="258" t="s">
        <v>517</v>
      </c>
      <c r="G209" t="str">
        <f t="shared" si="15"/>
        <v>Caen - Deschateaux</v>
      </c>
      <c r="H209" t="str">
        <f t="shared" si="14"/>
        <v>SMC - Deschateaux</v>
      </c>
    </row>
    <row r="210" spans="1:8" x14ac:dyDescent="0.25">
      <c r="A210" t="s">
        <v>57</v>
      </c>
      <c r="B210" t="s">
        <v>507</v>
      </c>
      <c r="D210" s="258" t="s">
        <v>507</v>
      </c>
      <c r="G210" t="str">
        <f t="shared" si="15"/>
        <v>Lorient - Cabot</v>
      </c>
      <c r="H210" t="str">
        <f t="shared" si="14"/>
        <v>FCL - Cabot</v>
      </c>
    </row>
    <row r="211" spans="1:8" x14ac:dyDescent="0.25">
      <c r="A211" t="s">
        <v>59</v>
      </c>
      <c r="B211" t="s">
        <v>684</v>
      </c>
      <c r="D211" s="258" t="s">
        <v>684</v>
      </c>
      <c r="G211" t="str">
        <f t="shared" si="15"/>
        <v>Nice - Pléa</v>
      </c>
      <c r="H211" t="str">
        <f t="shared" si="14"/>
        <v>OGCN - Pléa</v>
      </c>
    </row>
    <row r="212" spans="1:8" x14ac:dyDescent="0.25">
      <c r="A212" t="s">
        <v>47</v>
      </c>
      <c r="B212" t="s">
        <v>653</v>
      </c>
      <c r="D212" s="258" t="s">
        <v>653</v>
      </c>
      <c r="G212" t="str">
        <f t="shared" si="15"/>
        <v>Lyon - Tolisso</v>
      </c>
      <c r="H212" t="str">
        <f t="shared" si="14"/>
        <v>OL - Tolisso</v>
      </c>
    </row>
  </sheetData>
  <sortState ref="K2:K21">
    <sortCondition ref="K2:K21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5:AR658"/>
  <sheetViews>
    <sheetView topLeftCell="A395" workbookViewId="0">
      <selection activeCell="E408" sqref="E408"/>
    </sheetView>
  </sheetViews>
  <sheetFormatPr baseColWidth="10" defaultRowHeight="15" x14ac:dyDescent="0.25"/>
  <cols>
    <col min="2" max="2" width="25.5703125" bestFit="1" customWidth="1"/>
  </cols>
  <sheetData>
    <row r="15" spans="2:44" ht="15.75" thickBot="1" x14ac:dyDescent="0.3">
      <c r="C15" t="s">
        <v>79</v>
      </c>
      <c r="D15" t="s">
        <v>0</v>
      </c>
      <c r="E15" t="s">
        <v>71</v>
      </c>
      <c r="F15" t="s">
        <v>347</v>
      </c>
      <c r="G15" t="s">
        <v>348</v>
      </c>
      <c r="H15" t="s">
        <v>349</v>
      </c>
      <c r="I15" t="s">
        <v>350</v>
      </c>
      <c r="J15" t="s">
        <v>351</v>
      </c>
      <c r="K15" t="s">
        <v>352</v>
      </c>
      <c r="L15" t="s">
        <v>353</v>
      </c>
      <c r="M15" t="s">
        <v>354</v>
      </c>
      <c r="N15" t="s">
        <v>355</v>
      </c>
      <c r="O15" t="s">
        <v>356</v>
      </c>
      <c r="P15" t="s">
        <v>357</v>
      </c>
      <c r="Q15" t="s">
        <v>358</v>
      </c>
      <c r="R15" t="s">
        <v>359</v>
      </c>
      <c r="S15" t="s">
        <v>360</v>
      </c>
      <c r="T15" t="s">
        <v>361</v>
      </c>
      <c r="U15" t="s">
        <v>362</v>
      </c>
      <c r="V15" t="s">
        <v>363</v>
      </c>
      <c r="W15" t="s">
        <v>364</v>
      </c>
      <c r="X15" t="s">
        <v>365</v>
      </c>
      <c r="Y15" t="s">
        <v>366</v>
      </c>
      <c r="Z15" t="s">
        <v>367</v>
      </c>
      <c r="AA15" t="s">
        <v>368</v>
      </c>
      <c r="AB15" t="s">
        <v>369</v>
      </c>
      <c r="AC15" t="s">
        <v>370</v>
      </c>
      <c r="AD15" t="s">
        <v>371</v>
      </c>
      <c r="AE15" t="s">
        <v>372</v>
      </c>
      <c r="AF15" t="s">
        <v>373</v>
      </c>
      <c r="AG15" t="s">
        <v>374</v>
      </c>
      <c r="AH15" t="s">
        <v>375</v>
      </c>
      <c r="AI15" t="s">
        <v>1072</v>
      </c>
      <c r="AJ15" t="s">
        <v>1073</v>
      </c>
      <c r="AK15" t="s">
        <v>1074</v>
      </c>
      <c r="AL15" t="s">
        <v>1075</v>
      </c>
      <c r="AM15" t="s">
        <v>1076</v>
      </c>
      <c r="AN15" t="s">
        <v>1077</v>
      </c>
      <c r="AO15" t="s">
        <v>1078</v>
      </c>
      <c r="AP15" t="s">
        <v>1079</v>
      </c>
      <c r="AQ15" t="s">
        <v>1080</v>
      </c>
      <c r="AR15" t="s">
        <v>1094</v>
      </c>
    </row>
    <row r="16" spans="2:44" x14ac:dyDescent="0.25">
      <c r="B16" t="str">
        <f t="shared" ref="B16:B38" si="0">C16 &amp; " - " &amp;E16</f>
        <v>ASM - Carrillo</v>
      </c>
      <c r="C16" t="s">
        <v>942</v>
      </c>
      <c r="D16" s="16" t="s">
        <v>633</v>
      </c>
      <c r="E16" s="227" t="s">
        <v>937</v>
      </c>
      <c r="F16" s="18">
        <v>15</v>
      </c>
      <c r="G16" s="19">
        <v>10</v>
      </c>
      <c r="H16" s="289" t="s">
        <v>1092</v>
      </c>
      <c r="I16" s="20">
        <f>AVERAGE(K16,L16,N16,O16,P16,R16,T16,V16,W16,X16,Y16,AC16,AD16,AE16,AF16,AJ16,AK16)</f>
        <v>4.4705882352941178</v>
      </c>
      <c r="J16" s="37" t="s">
        <v>611</v>
      </c>
      <c r="K16" s="21">
        <v>4</v>
      </c>
      <c r="L16" s="37">
        <v>4</v>
      </c>
      <c r="M16" s="37" t="s">
        <v>611</v>
      </c>
      <c r="N16" s="37">
        <v>4</v>
      </c>
      <c r="O16" s="37">
        <v>4</v>
      </c>
      <c r="P16" s="241">
        <v>2</v>
      </c>
      <c r="Q16" s="37"/>
      <c r="R16" s="37">
        <v>4</v>
      </c>
      <c r="S16" s="37" t="s">
        <v>611</v>
      </c>
      <c r="T16" s="37">
        <v>4</v>
      </c>
      <c r="U16" s="37" t="s">
        <v>611</v>
      </c>
      <c r="V16" s="37">
        <v>4</v>
      </c>
      <c r="W16" s="24">
        <v>4</v>
      </c>
      <c r="X16" s="37">
        <v>5</v>
      </c>
      <c r="Y16" s="77">
        <v>6</v>
      </c>
      <c r="Z16" s="37"/>
      <c r="AA16" s="37"/>
      <c r="AB16" s="37"/>
      <c r="AC16" s="26">
        <v>4</v>
      </c>
      <c r="AD16" s="37">
        <v>5</v>
      </c>
      <c r="AE16" s="254">
        <v>7</v>
      </c>
      <c r="AF16" s="259">
        <v>3</v>
      </c>
      <c r="AG16" s="37" t="s">
        <v>611</v>
      </c>
      <c r="AH16" s="26" t="s">
        <v>611</v>
      </c>
      <c r="AI16" s="37" t="s">
        <v>611</v>
      </c>
      <c r="AJ16" s="75">
        <v>8</v>
      </c>
      <c r="AK16" s="37">
        <v>4</v>
      </c>
      <c r="AL16" s="76" t="s">
        <v>611</v>
      </c>
      <c r="AM16" s="37"/>
      <c r="AN16" s="37"/>
      <c r="AO16" s="27"/>
      <c r="AP16" s="27"/>
      <c r="AQ16" s="76"/>
      <c r="AR16">
        <f t="shared" ref="AR16:AR38" si="1">F16 +G16</f>
        <v>25</v>
      </c>
    </row>
    <row r="17" spans="1:44" x14ac:dyDescent="0.25">
      <c r="B17" t="str">
        <f t="shared" si="0"/>
        <v>OM - Pelé</v>
      </c>
      <c r="C17" t="s">
        <v>671</v>
      </c>
      <c r="D17" s="29" t="s">
        <v>605</v>
      </c>
      <c r="E17" s="30" t="s">
        <v>606</v>
      </c>
      <c r="F17" s="31">
        <v>1</v>
      </c>
      <c r="G17" s="32"/>
      <c r="H17" s="33"/>
      <c r="I17" s="34">
        <f>AVERAGE(AF17)</f>
        <v>5</v>
      </c>
      <c r="J17" s="35"/>
      <c r="K17" s="36"/>
      <c r="L17" s="22"/>
      <c r="M17" s="22"/>
      <c r="N17" s="24"/>
      <c r="O17" s="22"/>
      <c r="P17" s="22"/>
      <c r="Q17" s="24"/>
      <c r="R17" s="24"/>
      <c r="S17" s="22"/>
      <c r="T17" s="24"/>
      <c r="U17" s="24"/>
      <c r="V17" s="24"/>
      <c r="W17" s="24"/>
      <c r="X17" s="22"/>
      <c r="Y17" s="24"/>
      <c r="Z17" s="24"/>
      <c r="AA17" s="24"/>
      <c r="AB17" s="24"/>
      <c r="AC17" s="37"/>
      <c r="AD17" s="24"/>
      <c r="AE17" s="24"/>
      <c r="AF17" s="143">
        <v>5</v>
      </c>
      <c r="AG17" s="38"/>
      <c r="AH17" s="24"/>
      <c r="AI17" s="24"/>
      <c r="AJ17" s="24"/>
      <c r="AK17" s="24"/>
      <c r="AL17" s="22"/>
      <c r="AM17" s="22"/>
      <c r="AN17" s="24"/>
      <c r="AO17" s="24"/>
      <c r="AP17" s="27"/>
      <c r="AQ17" s="24"/>
      <c r="AR17">
        <f t="shared" si="1"/>
        <v>1</v>
      </c>
    </row>
    <row r="18" spans="1:44" x14ac:dyDescent="0.25">
      <c r="B18" t="str">
        <f t="shared" si="0"/>
        <v>OM - Samba</v>
      </c>
      <c r="C18" t="s">
        <v>671</v>
      </c>
      <c r="D18" s="39" t="s">
        <v>605</v>
      </c>
      <c r="E18" s="40" t="s">
        <v>607</v>
      </c>
      <c r="F18" s="41"/>
      <c r="G18" s="42"/>
      <c r="H18" s="43"/>
      <c r="I18" s="44"/>
      <c r="J18" s="45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7"/>
      <c r="AE18" s="46"/>
      <c r="AF18" s="47"/>
      <c r="AG18" s="45"/>
      <c r="AH18" s="46"/>
      <c r="AI18" s="47"/>
      <c r="AJ18" s="46"/>
      <c r="AK18" s="46"/>
      <c r="AL18" s="46"/>
      <c r="AM18" s="46"/>
      <c r="AN18" s="46"/>
      <c r="AO18" s="46"/>
      <c r="AP18" s="47"/>
      <c r="AQ18" s="47"/>
      <c r="AR18">
        <f t="shared" si="1"/>
        <v>0</v>
      </c>
    </row>
    <row r="19" spans="1:44" x14ac:dyDescent="0.25">
      <c r="A19">
        <v>1</v>
      </c>
      <c r="B19" t="str">
        <f t="shared" si="0"/>
        <v>OL - Gonalons</v>
      </c>
      <c r="C19" t="s">
        <v>672</v>
      </c>
      <c r="D19" s="29" t="s">
        <v>622</v>
      </c>
      <c r="E19" s="30" t="s">
        <v>117</v>
      </c>
      <c r="F19" s="31">
        <v>27</v>
      </c>
      <c r="G19" s="30"/>
      <c r="H19" s="197" t="s">
        <v>647</v>
      </c>
      <c r="I19" s="34">
        <f>AVERAGE(AA19,Y19,X19,K19,L19,M19,N19,O19,P19,R19,S19,T19,U19,V19,W19,AB19,AC19,AD19,AE19,AF19,AG19,AH19,AI19,AK19,AL19,AM19,AN19)</f>
        <v>5.5925925925925926</v>
      </c>
      <c r="J19" s="36"/>
      <c r="K19" s="74">
        <v>5</v>
      </c>
      <c r="L19" s="24">
        <v>5</v>
      </c>
      <c r="M19" s="37">
        <v>5</v>
      </c>
      <c r="N19" s="24">
        <v>5</v>
      </c>
      <c r="O19" s="24">
        <v>6</v>
      </c>
      <c r="P19" s="24">
        <v>6</v>
      </c>
      <c r="Q19" s="24"/>
      <c r="R19" s="24">
        <v>6</v>
      </c>
      <c r="S19" s="24">
        <v>5</v>
      </c>
      <c r="T19" s="24">
        <v>6</v>
      </c>
      <c r="U19" s="24">
        <v>5</v>
      </c>
      <c r="V19" s="24">
        <v>4</v>
      </c>
      <c r="W19" s="24">
        <v>5</v>
      </c>
      <c r="X19" s="24">
        <v>4</v>
      </c>
      <c r="Y19" s="24">
        <v>6</v>
      </c>
      <c r="Z19" s="24"/>
      <c r="AA19" s="24">
        <v>4</v>
      </c>
      <c r="AB19" s="24">
        <v>6</v>
      </c>
      <c r="AC19" s="27">
        <v>6</v>
      </c>
      <c r="AD19" s="24">
        <v>6</v>
      </c>
      <c r="AE19" s="27">
        <v>6</v>
      </c>
      <c r="AF19" s="27">
        <v>5</v>
      </c>
      <c r="AG19" s="66">
        <v>7</v>
      </c>
      <c r="AH19" s="165">
        <v>7</v>
      </c>
      <c r="AI19" s="66">
        <v>7</v>
      </c>
      <c r="AJ19" s="24"/>
      <c r="AK19" s="24">
        <v>6</v>
      </c>
      <c r="AL19" s="66">
        <v>7</v>
      </c>
      <c r="AM19" s="23">
        <v>5</v>
      </c>
      <c r="AN19" s="24">
        <v>6</v>
      </c>
      <c r="AO19" s="27"/>
      <c r="AP19" s="27"/>
      <c r="AQ19" s="24"/>
      <c r="AR19">
        <f t="shared" si="1"/>
        <v>27</v>
      </c>
    </row>
    <row r="20" spans="1:44" x14ac:dyDescent="0.25">
      <c r="B20" t="str">
        <f t="shared" si="0"/>
        <v>OM - Sparagna</v>
      </c>
      <c r="C20" t="s">
        <v>671</v>
      </c>
      <c r="D20" s="29" t="s">
        <v>608</v>
      </c>
      <c r="E20" s="49" t="s">
        <v>610</v>
      </c>
      <c r="F20" s="31">
        <v>2</v>
      </c>
      <c r="G20" s="32">
        <v>6</v>
      </c>
      <c r="H20" s="33"/>
      <c r="I20" s="34">
        <f>AVERAGE(J20,V20)</f>
        <v>5</v>
      </c>
      <c r="J20" s="24">
        <v>6</v>
      </c>
      <c r="K20" s="37" t="s">
        <v>611</v>
      </c>
      <c r="L20" s="37" t="s">
        <v>611</v>
      </c>
      <c r="M20" s="37" t="s">
        <v>611</v>
      </c>
      <c r="N20" s="37"/>
      <c r="O20" s="37"/>
      <c r="P20" s="24"/>
      <c r="Q20" s="24"/>
      <c r="R20" s="24"/>
      <c r="S20" s="24"/>
      <c r="T20" s="37" t="s">
        <v>611</v>
      </c>
      <c r="U20" s="37" t="s">
        <v>611</v>
      </c>
      <c r="V20" s="24">
        <v>4</v>
      </c>
      <c r="W20" s="24"/>
      <c r="X20" s="24"/>
      <c r="Y20" s="24"/>
      <c r="Z20" s="24"/>
      <c r="AA20" s="24"/>
      <c r="AB20" s="37" t="s">
        <v>611</v>
      </c>
      <c r="AC20" s="26"/>
      <c r="AD20" s="24"/>
      <c r="AE20" s="27"/>
      <c r="AF20" s="48"/>
      <c r="AG20" s="24"/>
      <c r="AH20" s="27"/>
      <c r="AI20" s="24"/>
      <c r="AJ20" s="24"/>
      <c r="AK20" s="37"/>
      <c r="AL20" s="24"/>
      <c r="AM20" s="24"/>
      <c r="AN20" s="24"/>
      <c r="AO20" s="27"/>
      <c r="AP20" s="27"/>
      <c r="AQ20" s="24"/>
      <c r="AR20">
        <f t="shared" si="1"/>
        <v>8</v>
      </c>
    </row>
    <row r="21" spans="1:44" x14ac:dyDescent="0.25">
      <c r="B21" t="str">
        <f t="shared" si="0"/>
        <v>OM - Doria</v>
      </c>
      <c r="C21" t="s">
        <v>671</v>
      </c>
      <c r="D21" s="50" t="s">
        <v>608</v>
      </c>
      <c r="E21" s="51" t="s">
        <v>612</v>
      </c>
      <c r="F21" s="52"/>
      <c r="G21" s="53"/>
      <c r="H21" s="54"/>
      <c r="I21" s="34"/>
      <c r="J21" s="46"/>
      <c r="K21" s="55"/>
      <c r="L21" s="55"/>
      <c r="M21" s="55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56"/>
      <c r="AD21" s="46"/>
      <c r="AE21" s="47"/>
      <c r="AF21" s="45"/>
      <c r="AG21" s="46"/>
      <c r="AH21" s="47"/>
      <c r="AI21" s="46"/>
      <c r="AJ21" s="46"/>
      <c r="AK21" s="46"/>
      <c r="AL21" s="46"/>
      <c r="AM21" s="46"/>
      <c r="AN21" s="46"/>
      <c r="AO21" s="47"/>
      <c r="AP21" s="47"/>
      <c r="AQ21" s="46"/>
      <c r="AR21">
        <f t="shared" si="1"/>
        <v>0</v>
      </c>
    </row>
    <row r="22" spans="1:44" x14ac:dyDescent="0.25">
      <c r="B22" t="str">
        <f t="shared" si="0"/>
        <v>OM - Dja Djedje</v>
      </c>
      <c r="C22" t="s">
        <v>671</v>
      </c>
      <c r="D22" s="29" t="s">
        <v>608</v>
      </c>
      <c r="E22" s="30" t="s">
        <v>613</v>
      </c>
      <c r="F22" s="31">
        <v>14</v>
      </c>
      <c r="G22" s="32">
        <v>2</v>
      </c>
      <c r="H22" s="33"/>
      <c r="I22" s="34">
        <f>AVERAGE(K22,J22,W22,X22,Y22,Z22,AA22,AD22,AE22,AF22,AG22,AH22,AI22,AN22)</f>
        <v>5.2142857142857144</v>
      </c>
      <c r="J22" s="24">
        <v>5</v>
      </c>
      <c r="K22" s="37">
        <v>5</v>
      </c>
      <c r="L22" s="37"/>
      <c r="M22" s="37"/>
      <c r="N22" s="24"/>
      <c r="O22" s="24"/>
      <c r="P22" s="24"/>
      <c r="Q22" s="37" t="s">
        <v>611</v>
      </c>
      <c r="R22" s="37" t="s">
        <v>611</v>
      </c>
      <c r="S22" s="24"/>
      <c r="T22" s="24"/>
      <c r="U22" s="24"/>
      <c r="V22" s="24"/>
      <c r="W22" s="24">
        <v>5</v>
      </c>
      <c r="X22" s="24">
        <v>5</v>
      </c>
      <c r="Y22" s="24">
        <v>6</v>
      </c>
      <c r="Z22" s="24">
        <v>5</v>
      </c>
      <c r="AA22" s="24">
        <v>6</v>
      </c>
      <c r="AB22" s="24"/>
      <c r="AC22" s="26"/>
      <c r="AD22" s="24">
        <v>6</v>
      </c>
      <c r="AE22" s="27">
        <v>5</v>
      </c>
      <c r="AF22" s="27">
        <v>6</v>
      </c>
      <c r="AG22" s="24">
        <v>6</v>
      </c>
      <c r="AH22" s="27">
        <v>5</v>
      </c>
      <c r="AI22" s="24">
        <v>5</v>
      </c>
      <c r="AJ22" s="24"/>
      <c r="AK22" s="24"/>
      <c r="AL22" s="24"/>
      <c r="AM22" s="24"/>
      <c r="AN22" s="82">
        <v>3</v>
      </c>
      <c r="AO22" s="27"/>
      <c r="AP22" s="27"/>
      <c r="AQ22" s="24"/>
      <c r="AR22">
        <f t="shared" si="1"/>
        <v>16</v>
      </c>
    </row>
    <row r="23" spans="1:44" x14ac:dyDescent="0.25">
      <c r="B23" t="str">
        <f t="shared" si="0"/>
        <v>OM - Aloé</v>
      </c>
      <c r="C23" t="s">
        <v>671</v>
      </c>
      <c r="D23" s="50" t="s">
        <v>608</v>
      </c>
      <c r="E23" s="57" t="s">
        <v>614</v>
      </c>
      <c r="F23" s="52"/>
      <c r="G23" s="53"/>
      <c r="H23" s="54"/>
      <c r="I23" s="34" t="s">
        <v>615</v>
      </c>
      <c r="J23" s="46"/>
      <c r="K23" s="55"/>
      <c r="L23" s="55"/>
      <c r="M23" s="55"/>
      <c r="N23" s="46"/>
      <c r="O23" s="46"/>
      <c r="P23" s="46"/>
      <c r="Q23" s="46"/>
      <c r="R23" s="46"/>
      <c r="S23" s="46"/>
      <c r="T23" s="46"/>
      <c r="U23" s="55"/>
      <c r="V23" s="46"/>
      <c r="W23" s="46"/>
      <c r="X23" s="55"/>
      <c r="Y23" s="46"/>
      <c r="Z23" s="55"/>
      <c r="AA23" s="46"/>
      <c r="AB23" s="46"/>
      <c r="AC23" s="56"/>
      <c r="AD23" s="55"/>
      <c r="AE23" s="47"/>
      <c r="AF23" s="58"/>
      <c r="AG23" s="46"/>
      <c r="AH23" s="56"/>
      <c r="AI23" s="55"/>
      <c r="AJ23" s="46"/>
      <c r="AK23" s="59"/>
      <c r="AL23" s="55"/>
      <c r="AM23" s="46"/>
      <c r="AN23" s="46"/>
      <c r="AO23" s="47"/>
      <c r="AP23" s="47"/>
      <c r="AQ23" s="46"/>
      <c r="AR23">
        <f t="shared" si="1"/>
        <v>0</v>
      </c>
    </row>
    <row r="24" spans="1:44" x14ac:dyDescent="0.25">
      <c r="B24" t="str">
        <f t="shared" si="0"/>
        <v>OM - Andonian</v>
      </c>
      <c r="C24" t="s">
        <v>671</v>
      </c>
      <c r="D24" s="50" t="s">
        <v>608</v>
      </c>
      <c r="E24" s="57" t="s">
        <v>616</v>
      </c>
      <c r="F24" s="52"/>
      <c r="G24" s="53"/>
      <c r="H24" s="54"/>
      <c r="I24" s="34"/>
      <c r="J24" s="46"/>
      <c r="K24" s="55"/>
      <c r="L24" s="55"/>
      <c r="M24" s="55"/>
      <c r="N24" s="46"/>
      <c r="O24" s="46"/>
      <c r="P24" s="46"/>
      <c r="Q24" s="46"/>
      <c r="R24" s="46"/>
      <c r="S24" s="46"/>
      <c r="T24" s="46"/>
      <c r="U24" s="55"/>
      <c r="V24" s="46"/>
      <c r="W24" s="46"/>
      <c r="X24" s="55"/>
      <c r="Y24" s="46"/>
      <c r="Z24" s="55"/>
      <c r="AA24" s="46"/>
      <c r="AB24" s="46"/>
      <c r="AC24" s="56"/>
      <c r="AD24" s="55"/>
      <c r="AE24" s="47"/>
      <c r="AF24" s="58"/>
      <c r="AG24" s="46"/>
      <c r="AH24" s="56"/>
      <c r="AI24" s="55"/>
      <c r="AJ24" s="46"/>
      <c r="AK24" s="59"/>
      <c r="AL24" s="55"/>
      <c r="AM24" s="46"/>
      <c r="AN24" s="46"/>
      <c r="AO24" s="47"/>
      <c r="AP24" s="47"/>
      <c r="AQ24" s="46"/>
      <c r="AR24">
        <f t="shared" si="1"/>
        <v>0</v>
      </c>
    </row>
    <row r="25" spans="1:44" x14ac:dyDescent="0.25">
      <c r="B25" t="str">
        <f t="shared" si="0"/>
        <v>OM - Tuiloma</v>
      </c>
      <c r="C25" t="s">
        <v>671</v>
      </c>
      <c r="D25" s="50" t="s">
        <v>608</v>
      </c>
      <c r="E25" s="57" t="s">
        <v>617</v>
      </c>
      <c r="F25" s="52"/>
      <c r="G25" s="53"/>
      <c r="H25" s="54"/>
      <c r="I25" s="34"/>
      <c r="J25" s="53"/>
      <c r="K25" s="61"/>
      <c r="L25" s="61"/>
      <c r="M25" s="61"/>
      <c r="N25" s="53"/>
      <c r="O25" s="53"/>
      <c r="P25" s="53"/>
      <c r="Q25" s="53"/>
      <c r="R25" s="53"/>
      <c r="S25" s="53"/>
      <c r="T25" s="53"/>
      <c r="U25" s="61"/>
      <c r="V25" s="53"/>
      <c r="W25" s="53"/>
      <c r="X25" s="53"/>
      <c r="Y25" s="53"/>
      <c r="Z25" s="53"/>
      <c r="AA25" s="53"/>
      <c r="AB25" s="53"/>
      <c r="AC25" s="62"/>
      <c r="AD25" s="53"/>
      <c r="AE25" s="63"/>
      <c r="AF25" s="64"/>
      <c r="AG25" s="61"/>
      <c r="AH25" s="62"/>
      <c r="AI25" s="53"/>
      <c r="AJ25" s="53"/>
      <c r="AK25" s="53"/>
      <c r="AL25" s="53"/>
      <c r="AM25" s="53"/>
      <c r="AN25" s="53"/>
      <c r="AO25" s="63"/>
      <c r="AP25" s="63"/>
      <c r="AQ25" s="53"/>
      <c r="AR25">
        <f t="shared" si="1"/>
        <v>0</v>
      </c>
    </row>
    <row r="26" spans="1:44" x14ac:dyDescent="0.25">
      <c r="B26" t="str">
        <f t="shared" si="0"/>
        <v>OM - Rekik</v>
      </c>
      <c r="C26" t="s">
        <v>671</v>
      </c>
      <c r="D26" s="29" t="s">
        <v>608</v>
      </c>
      <c r="E26" s="65" t="s">
        <v>618</v>
      </c>
      <c r="F26" s="31">
        <v>16</v>
      </c>
      <c r="G26" s="32">
        <v>1</v>
      </c>
      <c r="H26" s="33">
        <v>1</v>
      </c>
      <c r="I26" s="34">
        <f>AVERAGE(K26,L26,M26,J26,N26,O26,P26,U26,V26,W26,X26,Y26,Z26,AL26,AK26,AM26)</f>
        <v>5</v>
      </c>
      <c r="J26" s="24">
        <v>5</v>
      </c>
      <c r="K26" s="37">
        <v>5</v>
      </c>
      <c r="L26" s="37">
        <v>5</v>
      </c>
      <c r="M26" s="37">
        <v>5</v>
      </c>
      <c r="N26" s="24">
        <v>5</v>
      </c>
      <c r="O26" s="22">
        <v>6</v>
      </c>
      <c r="P26" s="24">
        <v>4</v>
      </c>
      <c r="Q26" s="24"/>
      <c r="R26" s="24"/>
      <c r="S26" s="24"/>
      <c r="T26" s="24"/>
      <c r="U26" s="37">
        <v>6</v>
      </c>
      <c r="V26" s="24">
        <v>4</v>
      </c>
      <c r="W26" s="24">
        <v>5</v>
      </c>
      <c r="X26" s="24">
        <v>5</v>
      </c>
      <c r="Y26" s="24">
        <v>6</v>
      </c>
      <c r="Z26" s="24">
        <v>4</v>
      </c>
      <c r="AA26" s="24"/>
      <c r="AB26" s="24"/>
      <c r="AC26" s="26"/>
      <c r="AD26" s="24"/>
      <c r="AE26" s="27"/>
      <c r="AF26" s="48"/>
      <c r="AG26" s="37"/>
      <c r="AH26" s="26"/>
      <c r="AI26" s="24"/>
      <c r="AJ26" s="37" t="s">
        <v>611</v>
      </c>
      <c r="AK26" s="24">
        <v>5</v>
      </c>
      <c r="AL26" s="24">
        <v>5</v>
      </c>
      <c r="AM26" s="24">
        <v>5</v>
      </c>
      <c r="AN26" s="24"/>
      <c r="AO26" s="27"/>
      <c r="AP26" s="27"/>
      <c r="AQ26" s="24"/>
      <c r="AR26">
        <f t="shared" si="1"/>
        <v>17</v>
      </c>
    </row>
    <row r="27" spans="1:44" x14ac:dyDescent="0.25">
      <c r="B27" t="str">
        <f t="shared" si="0"/>
        <v>TFC - Somalia</v>
      </c>
      <c r="C27" t="s">
        <v>836</v>
      </c>
      <c r="D27" s="285" t="s">
        <v>622</v>
      </c>
      <c r="E27" s="127" t="s">
        <v>831</v>
      </c>
      <c r="F27" s="31">
        <v>21</v>
      </c>
      <c r="G27" s="32">
        <v>5</v>
      </c>
      <c r="H27" s="197" t="s">
        <v>647</v>
      </c>
      <c r="I27" s="34">
        <f>AVERAGE(AB27,M27,N27,T27,U27,V27,W27,X27,Y27,Z27,AA27,AC27,AD27,AE27,AF27,AG27,AH27,AJ27,AK27,AL27,AN27)</f>
        <v>4.7619047619047619</v>
      </c>
      <c r="J27" s="37"/>
      <c r="K27" s="37" t="s">
        <v>611</v>
      </c>
      <c r="L27" s="79" t="s">
        <v>611</v>
      </c>
      <c r="M27" s="74">
        <v>4</v>
      </c>
      <c r="N27" s="37">
        <v>5</v>
      </c>
      <c r="O27" s="37" t="s">
        <v>641</v>
      </c>
      <c r="P27" s="37"/>
      <c r="Q27" s="37"/>
      <c r="R27" s="24"/>
      <c r="S27" s="24"/>
      <c r="T27" s="24">
        <v>5</v>
      </c>
      <c r="U27" s="37">
        <v>5</v>
      </c>
      <c r="V27" s="172">
        <v>3</v>
      </c>
      <c r="W27" s="24">
        <v>6</v>
      </c>
      <c r="X27" s="24">
        <v>6</v>
      </c>
      <c r="Y27" s="24">
        <v>5</v>
      </c>
      <c r="Z27" s="24">
        <v>5</v>
      </c>
      <c r="AA27" s="24">
        <v>5</v>
      </c>
      <c r="AB27" s="24">
        <v>5</v>
      </c>
      <c r="AC27" s="27">
        <v>6</v>
      </c>
      <c r="AD27" s="24">
        <v>5</v>
      </c>
      <c r="AE27" s="244">
        <v>3</v>
      </c>
      <c r="AF27" s="27">
        <v>4</v>
      </c>
      <c r="AG27" s="24">
        <v>4</v>
      </c>
      <c r="AH27" s="26">
        <v>6</v>
      </c>
      <c r="AI27" s="37" t="s">
        <v>611</v>
      </c>
      <c r="AJ27" s="24">
        <v>5</v>
      </c>
      <c r="AK27" s="24">
        <v>5</v>
      </c>
      <c r="AL27" s="24">
        <v>4</v>
      </c>
      <c r="AM27" s="37" t="s">
        <v>611</v>
      </c>
      <c r="AN27" s="24">
        <v>4</v>
      </c>
      <c r="AO27" s="27"/>
      <c r="AP27" s="27"/>
      <c r="AQ27" s="37"/>
      <c r="AR27">
        <f t="shared" si="1"/>
        <v>26</v>
      </c>
    </row>
    <row r="28" spans="1:44" x14ac:dyDescent="0.25">
      <c r="B28" t="str">
        <f t="shared" si="0"/>
        <v>OM - Rolando</v>
      </c>
      <c r="C28" t="s">
        <v>671</v>
      </c>
      <c r="D28" s="29" t="s">
        <v>608</v>
      </c>
      <c r="E28" s="65" t="s">
        <v>239</v>
      </c>
      <c r="F28" s="31">
        <v>16</v>
      </c>
      <c r="G28" s="32">
        <v>1</v>
      </c>
      <c r="H28" s="33">
        <v>1</v>
      </c>
      <c r="I28" s="34">
        <f>AVERAGE(Q28,R28,S28,T28,AA28,AB28,AC28,AD28,AE28,AF28,AG28,AH28,AI28,AJ28,AL28,AN28)</f>
        <v>5.0625</v>
      </c>
      <c r="J28" s="24"/>
      <c r="K28" s="37"/>
      <c r="L28" s="37"/>
      <c r="M28" s="37"/>
      <c r="N28" s="24"/>
      <c r="O28" s="24"/>
      <c r="P28" s="24"/>
      <c r="Q28" s="24">
        <v>5</v>
      </c>
      <c r="R28" s="24">
        <v>5</v>
      </c>
      <c r="S28" s="24">
        <v>5</v>
      </c>
      <c r="T28" s="24">
        <v>6</v>
      </c>
      <c r="U28" s="37"/>
      <c r="V28" s="24"/>
      <c r="W28" s="24"/>
      <c r="X28" s="24"/>
      <c r="Y28" s="24"/>
      <c r="Z28" s="24"/>
      <c r="AA28" s="24">
        <v>5</v>
      </c>
      <c r="AB28" s="24">
        <v>5</v>
      </c>
      <c r="AC28" s="26">
        <v>6</v>
      </c>
      <c r="AD28" s="24">
        <v>6</v>
      </c>
      <c r="AE28" s="27">
        <v>5</v>
      </c>
      <c r="AF28" s="27">
        <v>6</v>
      </c>
      <c r="AG28" s="37">
        <v>5</v>
      </c>
      <c r="AH28" s="26">
        <v>4</v>
      </c>
      <c r="AI28" s="24">
        <v>6</v>
      </c>
      <c r="AJ28" s="24">
        <v>5</v>
      </c>
      <c r="AK28" s="24"/>
      <c r="AL28" s="24">
        <v>5</v>
      </c>
      <c r="AM28" s="37" t="s">
        <v>611</v>
      </c>
      <c r="AN28" s="274">
        <v>2</v>
      </c>
      <c r="AO28" s="27"/>
      <c r="AP28" s="27"/>
      <c r="AQ28" s="24"/>
      <c r="AR28">
        <f t="shared" si="1"/>
        <v>17</v>
      </c>
    </row>
    <row r="29" spans="1:44" x14ac:dyDescent="0.25">
      <c r="B29" t="str">
        <f t="shared" si="0"/>
        <v>OM - De Ceglie</v>
      </c>
      <c r="C29" t="s">
        <v>671</v>
      </c>
      <c r="D29" s="29" t="s">
        <v>608</v>
      </c>
      <c r="E29" s="65" t="s">
        <v>620</v>
      </c>
      <c r="F29" s="31">
        <v>3</v>
      </c>
      <c r="G29" s="32">
        <v>4</v>
      </c>
      <c r="H29" s="33"/>
      <c r="I29" s="34">
        <f>AVERAGE(P29,Q29,R29,AF29)</f>
        <v>4.5</v>
      </c>
      <c r="J29" s="24"/>
      <c r="K29" s="37"/>
      <c r="L29" s="37"/>
      <c r="M29" s="37"/>
      <c r="N29" s="37" t="s">
        <v>611</v>
      </c>
      <c r="O29" s="24"/>
      <c r="P29" s="24">
        <v>4</v>
      </c>
      <c r="Q29" s="24">
        <v>5</v>
      </c>
      <c r="R29" s="24">
        <v>4</v>
      </c>
      <c r="S29" s="24"/>
      <c r="T29" s="24"/>
      <c r="U29" s="37"/>
      <c r="V29" s="24"/>
      <c r="W29" s="24"/>
      <c r="X29" s="24"/>
      <c r="Y29" s="24"/>
      <c r="Z29" s="24"/>
      <c r="AA29" s="24"/>
      <c r="AB29" s="24"/>
      <c r="AC29" s="26"/>
      <c r="AD29" s="24"/>
      <c r="AE29" s="26" t="s">
        <v>611</v>
      </c>
      <c r="AF29" s="48">
        <v>5</v>
      </c>
      <c r="AG29" s="37" t="s">
        <v>611</v>
      </c>
      <c r="AH29" s="26"/>
      <c r="AI29" s="24"/>
      <c r="AJ29" s="24"/>
      <c r="AK29" s="24"/>
      <c r="AL29" s="24"/>
      <c r="AM29" s="24"/>
      <c r="AN29" s="24"/>
      <c r="AO29" s="27"/>
      <c r="AP29" s="27"/>
      <c r="AQ29" s="24"/>
      <c r="AR29">
        <f t="shared" si="1"/>
        <v>7</v>
      </c>
    </row>
    <row r="30" spans="1:44" x14ac:dyDescent="0.25">
      <c r="B30" t="str">
        <f t="shared" si="0"/>
        <v>OM - Isla</v>
      </c>
      <c r="C30" t="s">
        <v>671</v>
      </c>
      <c r="D30" s="29" t="s">
        <v>608</v>
      </c>
      <c r="E30" s="65" t="s">
        <v>279</v>
      </c>
      <c r="F30" s="31">
        <v>18</v>
      </c>
      <c r="G30" s="32">
        <v>3</v>
      </c>
      <c r="H30" s="33">
        <v>2</v>
      </c>
      <c r="I30" s="34">
        <f>AVERAGE(P30,W30,X30,Y30,Z30,AA30,AC30,AD30,AE30,AF30,AG30,AH30,AI30,AJ30,AL30,AK30,AM30,AN30)</f>
        <v>5.5555555555555554</v>
      </c>
      <c r="J30" s="24"/>
      <c r="K30" s="37"/>
      <c r="L30" s="37"/>
      <c r="M30" s="37"/>
      <c r="N30" s="24"/>
      <c r="O30" s="37" t="s">
        <v>611</v>
      </c>
      <c r="P30" s="24">
        <v>5</v>
      </c>
      <c r="Q30" s="24"/>
      <c r="R30" s="24"/>
      <c r="S30" s="24"/>
      <c r="T30" s="37" t="s">
        <v>611</v>
      </c>
      <c r="U30" s="37"/>
      <c r="V30" s="37" t="s">
        <v>611</v>
      </c>
      <c r="W30" s="24">
        <v>5</v>
      </c>
      <c r="X30" s="24">
        <v>4</v>
      </c>
      <c r="Y30" s="66">
        <v>7</v>
      </c>
      <c r="Z30" s="24">
        <v>6</v>
      </c>
      <c r="AA30" s="24">
        <v>5</v>
      </c>
      <c r="AB30" s="24"/>
      <c r="AC30" s="26">
        <v>6</v>
      </c>
      <c r="AD30" s="24">
        <v>6</v>
      </c>
      <c r="AE30" s="27">
        <v>5</v>
      </c>
      <c r="AF30" s="27">
        <v>5</v>
      </c>
      <c r="AG30" s="84">
        <v>7</v>
      </c>
      <c r="AH30" s="26">
        <v>6</v>
      </c>
      <c r="AI30" s="25">
        <v>7</v>
      </c>
      <c r="AJ30" s="24">
        <v>5</v>
      </c>
      <c r="AK30" s="24">
        <v>5</v>
      </c>
      <c r="AL30" s="24">
        <v>6</v>
      </c>
      <c r="AM30" s="25">
        <v>7</v>
      </c>
      <c r="AN30" s="82">
        <v>3</v>
      </c>
      <c r="AO30" s="27"/>
      <c r="AP30" s="27"/>
      <c r="AQ30" s="24"/>
      <c r="AR30">
        <f t="shared" si="1"/>
        <v>21</v>
      </c>
    </row>
    <row r="31" spans="1:44" x14ac:dyDescent="0.25">
      <c r="B31" t="str">
        <f t="shared" si="0"/>
        <v>OM - B. Mendy</v>
      </c>
      <c r="C31" t="s">
        <v>671</v>
      </c>
      <c r="D31" s="67" t="s">
        <v>608</v>
      </c>
      <c r="E31" s="68" t="s">
        <v>621</v>
      </c>
      <c r="F31" s="69">
        <v>17</v>
      </c>
      <c r="G31" s="70">
        <v>2</v>
      </c>
      <c r="H31" s="71">
        <v>1</v>
      </c>
      <c r="I31" s="72">
        <f>AVERAGE(AB31,K31,L31,M31,J31,N31,O31,S31,T31,U31,V31,X31,Y31,Z31,AA31,AL31,AK31)</f>
        <v>5.3529411764705879</v>
      </c>
      <c r="J31" s="21">
        <v>5</v>
      </c>
      <c r="K31" s="37">
        <v>4</v>
      </c>
      <c r="L31" s="37">
        <v>6</v>
      </c>
      <c r="M31" s="37">
        <v>5</v>
      </c>
      <c r="N31" s="25">
        <v>7</v>
      </c>
      <c r="O31" s="24">
        <v>5</v>
      </c>
      <c r="P31" s="37" t="s">
        <v>611</v>
      </c>
      <c r="Q31" s="24"/>
      <c r="R31" s="24"/>
      <c r="S31" s="24">
        <v>6</v>
      </c>
      <c r="T31" s="24">
        <v>5</v>
      </c>
      <c r="U31" s="24">
        <v>6</v>
      </c>
      <c r="V31" s="24">
        <v>5</v>
      </c>
      <c r="W31" s="24"/>
      <c r="X31" s="24">
        <v>5</v>
      </c>
      <c r="Y31" s="24">
        <v>6</v>
      </c>
      <c r="Z31" s="37">
        <v>5</v>
      </c>
      <c r="AA31" s="24">
        <v>5</v>
      </c>
      <c r="AB31" s="24">
        <v>5</v>
      </c>
      <c r="AC31" s="26"/>
      <c r="AD31" s="24"/>
      <c r="AE31" s="27"/>
      <c r="AF31" s="27"/>
      <c r="AG31" s="24"/>
      <c r="AH31" s="27"/>
      <c r="AI31" s="24"/>
      <c r="AJ31" s="24"/>
      <c r="AK31" s="24">
        <v>5</v>
      </c>
      <c r="AL31" s="37">
        <v>6</v>
      </c>
      <c r="AM31" s="24" t="s">
        <v>641</v>
      </c>
      <c r="AN31" s="24"/>
      <c r="AO31" s="27"/>
      <c r="AP31" s="27"/>
      <c r="AQ31" s="24"/>
      <c r="AR31">
        <f t="shared" si="1"/>
        <v>19</v>
      </c>
    </row>
    <row r="32" spans="1:44" x14ac:dyDescent="0.25">
      <c r="B32" t="str">
        <f t="shared" si="0"/>
        <v>OM - Alessandrini</v>
      </c>
      <c r="C32" t="s">
        <v>671</v>
      </c>
      <c r="D32" s="29" t="s">
        <v>622</v>
      </c>
      <c r="E32" s="73" t="s">
        <v>150</v>
      </c>
      <c r="F32" s="31">
        <v>13</v>
      </c>
      <c r="G32" s="32">
        <v>5</v>
      </c>
      <c r="H32" s="33">
        <v>5</v>
      </c>
      <c r="I32" s="34">
        <f>AVERAGE(K32,L32,M32,J32,N32,R32,S32,T32,U32,X32,Y32,AI32)</f>
        <v>5.25</v>
      </c>
      <c r="J32" s="21">
        <v>4</v>
      </c>
      <c r="K32" s="74">
        <v>4</v>
      </c>
      <c r="L32" s="75">
        <v>9</v>
      </c>
      <c r="M32" s="37">
        <v>4</v>
      </c>
      <c r="N32" s="75">
        <v>7</v>
      </c>
      <c r="O32" s="76" t="s">
        <v>623</v>
      </c>
      <c r="P32" s="37"/>
      <c r="Q32" s="37"/>
      <c r="R32" s="37">
        <v>4</v>
      </c>
      <c r="S32" s="37">
        <v>5</v>
      </c>
      <c r="T32" s="77">
        <v>6</v>
      </c>
      <c r="U32" s="24">
        <v>4</v>
      </c>
      <c r="V32" s="24"/>
      <c r="W32" s="24"/>
      <c r="X32" s="77">
        <v>6</v>
      </c>
      <c r="Y32" s="24">
        <v>4</v>
      </c>
      <c r="Z32" s="24"/>
      <c r="AA32" s="24"/>
      <c r="AB32" s="24"/>
      <c r="AC32" s="26"/>
      <c r="AD32" s="24"/>
      <c r="AE32" s="27"/>
      <c r="AF32" s="48"/>
      <c r="AG32" s="37" t="s">
        <v>611</v>
      </c>
      <c r="AH32" s="26" t="s">
        <v>611</v>
      </c>
      <c r="AI32" s="37">
        <v>6</v>
      </c>
      <c r="AJ32" s="37" t="s">
        <v>611</v>
      </c>
      <c r="AK32" s="24"/>
      <c r="AL32" s="37" t="s">
        <v>611</v>
      </c>
      <c r="AM32" s="24"/>
      <c r="AN32" s="76" t="s">
        <v>611</v>
      </c>
      <c r="AO32" s="27"/>
      <c r="AP32" s="27"/>
      <c r="AQ32" s="24"/>
      <c r="AR32">
        <f t="shared" si="1"/>
        <v>18</v>
      </c>
    </row>
    <row r="33" spans="1:44" x14ac:dyDescent="0.25">
      <c r="B33" t="str">
        <f t="shared" si="0"/>
        <v>OM - Barrada</v>
      </c>
      <c r="C33" t="s">
        <v>671</v>
      </c>
      <c r="D33" s="29" t="s">
        <v>622</v>
      </c>
      <c r="E33" s="78" t="s">
        <v>193</v>
      </c>
      <c r="F33" s="31">
        <v>15</v>
      </c>
      <c r="G33" s="32">
        <v>5</v>
      </c>
      <c r="H33" s="33">
        <v>1</v>
      </c>
      <c r="I33" s="34">
        <f>AVERAGE(AB33,L33,M33,J33,N33,O33,P33,Q33,R33,U33,V33,Z33,AA33,AC33,AD33,AH33,AL33)</f>
        <v>5.6470588235294121</v>
      </c>
      <c r="J33" s="24">
        <v>6</v>
      </c>
      <c r="K33" s="37"/>
      <c r="L33" s="75">
        <v>8</v>
      </c>
      <c r="M33" s="76">
        <v>5</v>
      </c>
      <c r="N33" s="24">
        <v>5</v>
      </c>
      <c r="O33" s="24">
        <v>6</v>
      </c>
      <c r="P33" s="66">
        <v>7</v>
      </c>
      <c r="Q33" s="37">
        <v>5</v>
      </c>
      <c r="R33" s="66">
        <v>7</v>
      </c>
      <c r="S33" s="37"/>
      <c r="T33" s="37"/>
      <c r="U33" s="24">
        <v>5</v>
      </c>
      <c r="V33" s="37">
        <v>5</v>
      </c>
      <c r="W33" s="37" t="s">
        <v>611</v>
      </c>
      <c r="X33" s="24"/>
      <c r="Y33" s="37" t="s">
        <v>611</v>
      </c>
      <c r="Z33" s="24">
        <v>5</v>
      </c>
      <c r="AA33" s="24">
        <v>4</v>
      </c>
      <c r="AB33" s="24">
        <v>6</v>
      </c>
      <c r="AC33" s="26">
        <v>6</v>
      </c>
      <c r="AD33" s="66">
        <v>7</v>
      </c>
      <c r="AE33" s="27"/>
      <c r="AF33" s="87" t="s">
        <v>611</v>
      </c>
      <c r="AG33" s="24"/>
      <c r="AH33" s="27">
        <v>4</v>
      </c>
      <c r="AI33" s="24"/>
      <c r="AJ33" s="24"/>
      <c r="AK33" s="24"/>
      <c r="AL33" s="37">
        <v>5</v>
      </c>
      <c r="AM33" s="24"/>
      <c r="AN33" s="24"/>
      <c r="AO33" s="27"/>
      <c r="AP33" s="27"/>
      <c r="AQ33" s="24"/>
      <c r="AR33">
        <f t="shared" si="1"/>
        <v>20</v>
      </c>
    </row>
    <row r="34" spans="1:44" x14ac:dyDescent="0.25">
      <c r="B34" t="str">
        <f t="shared" si="0"/>
        <v>OM - Romao</v>
      </c>
      <c r="C34" t="s">
        <v>671</v>
      </c>
      <c r="D34" s="29" t="s">
        <v>622</v>
      </c>
      <c r="E34" s="30" t="s">
        <v>624</v>
      </c>
      <c r="F34" s="31">
        <v>11</v>
      </c>
      <c r="G34" s="32">
        <v>9</v>
      </c>
      <c r="H34" s="33">
        <v>1</v>
      </c>
      <c r="I34" s="34">
        <f>AVERAGE(K34,J34,V34,Y34,Z34,AB34,AC34,AE34,AG34,AJ34,AK34,AM34)</f>
        <v>5.166666666666667</v>
      </c>
      <c r="J34" s="24">
        <v>5</v>
      </c>
      <c r="K34" s="37">
        <v>5</v>
      </c>
      <c r="L34" s="37"/>
      <c r="M34" s="37"/>
      <c r="N34" s="37" t="s">
        <v>611</v>
      </c>
      <c r="O34" s="24"/>
      <c r="P34" s="24"/>
      <c r="Q34" s="24"/>
      <c r="R34" s="22"/>
      <c r="S34" s="37" t="s">
        <v>611</v>
      </c>
      <c r="T34" s="37" t="s">
        <v>611</v>
      </c>
      <c r="U34" s="37" t="s">
        <v>611</v>
      </c>
      <c r="V34" s="24">
        <v>5</v>
      </c>
      <c r="W34" s="37" t="s">
        <v>611</v>
      </c>
      <c r="X34" s="37"/>
      <c r="Y34" s="37">
        <v>5</v>
      </c>
      <c r="Z34" s="24">
        <v>5</v>
      </c>
      <c r="AA34" s="37" t="s">
        <v>611</v>
      </c>
      <c r="AB34" s="77">
        <v>6</v>
      </c>
      <c r="AC34" s="26">
        <v>5</v>
      </c>
      <c r="AD34" s="76" t="s">
        <v>611</v>
      </c>
      <c r="AE34" s="27">
        <v>5</v>
      </c>
      <c r="AF34" s="27"/>
      <c r="AG34" s="24">
        <v>5</v>
      </c>
      <c r="AH34" s="27"/>
      <c r="AI34" s="37" t="s">
        <v>611</v>
      </c>
      <c r="AJ34" s="37">
        <v>5</v>
      </c>
      <c r="AK34" s="24">
        <v>6</v>
      </c>
      <c r="AL34" s="24"/>
      <c r="AM34" s="23">
        <v>5</v>
      </c>
      <c r="AN34" s="24"/>
      <c r="AO34" s="27"/>
      <c r="AP34" s="27"/>
      <c r="AQ34" s="24"/>
      <c r="AR34">
        <f t="shared" si="1"/>
        <v>20</v>
      </c>
    </row>
    <row r="35" spans="1:44" x14ac:dyDescent="0.25">
      <c r="B35" t="str">
        <f t="shared" si="0"/>
        <v>OM - Boutobba</v>
      </c>
      <c r="C35" t="s">
        <v>671</v>
      </c>
      <c r="D35" s="29" t="s">
        <v>622</v>
      </c>
      <c r="E35" s="78" t="s">
        <v>625</v>
      </c>
      <c r="F35" s="31"/>
      <c r="G35" s="30"/>
      <c r="H35" s="33"/>
      <c r="I35" s="34"/>
      <c r="J35" s="24"/>
      <c r="K35" s="79"/>
      <c r="L35" s="37"/>
      <c r="M35" s="77"/>
      <c r="N35" s="22"/>
      <c r="O35" s="24"/>
      <c r="P35" s="24"/>
      <c r="Q35" s="24"/>
      <c r="R35" s="24"/>
      <c r="S35" s="24"/>
      <c r="T35" s="24"/>
      <c r="U35" s="22"/>
      <c r="V35" s="24"/>
      <c r="W35" s="24"/>
      <c r="X35" s="24"/>
      <c r="Y35" s="24"/>
      <c r="Z35" s="24"/>
      <c r="AA35" s="37"/>
      <c r="AB35" s="24"/>
      <c r="AC35" s="26"/>
      <c r="AD35" s="24"/>
      <c r="AE35" s="26"/>
      <c r="AF35" s="48"/>
      <c r="AG35" s="24"/>
      <c r="AH35" s="27"/>
      <c r="AI35" s="24"/>
      <c r="AJ35" s="24"/>
      <c r="AK35" s="24"/>
      <c r="AL35" s="24"/>
      <c r="AM35" s="24"/>
      <c r="AN35" s="24"/>
      <c r="AO35" s="27"/>
      <c r="AP35" s="27"/>
      <c r="AQ35" s="24"/>
      <c r="AR35">
        <f t="shared" si="1"/>
        <v>0</v>
      </c>
    </row>
    <row r="36" spans="1:44" x14ac:dyDescent="0.25">
      <c r="B36" t="str">
        <f t="shared" si="0"/>
        <v>OM - Lemina</v>
      </c>
      <c r="C36" t="s">
        <v>671</v>
      </c>
      <c r="D36" s="50" t="s">
        <v>622</v>
      </c>
      <c r="E36" s="57" t="s">
        <v>626</v>
      </c>
      <c r="F36" s="52">
        <v>4</v>
      </c>
      <c r="G36" s="57"/>
      <c r="H36" s="54"/>
      <c r="I36" s="80">
        <f>AVERAGE(L36,M36,K36,J36)</f>
        <v>5</v>
      </c>
      <c r="J36" s="53">
        <v>5</v>
      </c>
      <c r="K36" s="61"/>
      <c r="L36" s="61">
        <v>5</v>
      </c>
      <c r="M36" s="61">
        <v>5</v>
      </c>
      <c r="N36" s="55"/>
      <c r="O36" s="46"/>
      <c r="P36" s="46"/>
      <c r="Q36" s="55"/>
      <c r="R36" s="46"/>
      <c r="S36" s="55"/>
      <c r="T36" s="46"/>
      <c r="U36" s="46"/>
      <c r="V36" s="46"/>
      <c r="W36" s="59"/>
      <c r="X36" s="46"/>
      <c r="Y36" s="46"/>
      <c r="Z36" s="55"/>
      <c r="AA36" s="46"/>
      <c r="AB36" s="46"/>
      <c r="AC36" s="56"/>
      <c r="AD36" s="81"/>
      <c r="AE36" s="47"/>
      <c r="AF36" s="45"/>
      <c r="AG36" s="46"/>
      <c r="AH36" s="47"/>
      <c r="AI36" s="46"/>
      <c r="AJ36" s="46"/>
      <c r="AK36" s="46"/>
      <c r="AL36" s="46"/>
      <c r="AM36" s="55"/>
      <c r="AN36" s="46"/>
      <c r="AO36" s="47"/>
      <c r="AP36" s="56"/>
      <c r="AQ36" s="46"/>
      <c r="AR36">
        <f t="shared" si="1"/>
        <v>4</v>
      </c>
    </row>
    <row r="37" spans="1:44" x14ac:dyDescent="0.25">
      <c r="B37" t="str">
        <f t="shared" si="0"/>
        <v>SCB - Modesto</v>
      </c>
      <c r="C37" t="s">
        <v>855</v>
      </c>
      <c r="D37" s="29" t="s">
        <v>608</v>
      </c>
      <c r="E37" s="30" t="s">
        <v>841</v>
      </c>
      <c r="F37" s="31">
        <v>23</v>
      </c>
      <c r="G37" s="30">
        <v>2</v>
      </c>
      <c r="H37" s="197" t="s">
        <v>647</v>
      </c>
      <c r="I37" s="34">
        <f>AVERAGE(K37,L37,J37,N37,O37,P37,U37,V37,W37,X37,Y37,Z37,AA37,AB37,AC37,AD37,AE37,AG37,AI37,AK37,AJ37,AM37,AN37)</f>
        <v>4.9565217391304346</v>
      </c>
      <c r="J37" s="37">
        <v>5</v>
      </c>
      <c r="K37" s="37">
        <v>5</v>
      </c>
      <c r="L37" s="37">
        <v>5</v>
      </c>
      <c r="M37" s="37" t="s">
        <v>611</v>
      </c>
      <c r="N37" s="24">
        <v>5</v>
      </c>
      <c r="O37" s="37">
        <v>5</v>
      </c>
      <c r="P37" s="24">
        <v>6</v>
      </c>
      <c r="Q37" s="24"/>
      <c r="R37" s="37"/>
      <c r="S37" s="24"/>
      <c r="T37" s="37" t="s">
        <v>611</v>
      </c>
      <c r="U37" s="24">
        <v>5</v>
      </c>
      <c r="V37" s="24">
        <v>5</v>
      </c>
      <c r="W37" s="24">
        <v>5</v>
      </c>
      <c r="X37" s="23">
        <v>5</v>
      </c>
      <c r="Y37" s="24">
        <v>6</v>
      </c>
      <c r="Z37" s="24">
        <v>4</v>
      </c>
      <c r="AA37" s="24">
        <v>4</v>
      </c>
      <c r="AB37" s="24">
        <v>5</v>
      </c>
      <c r="AC37" s="143">
        <v>4</v>
      </c>
      <c r="AD37" s="24">
        <v>6</v>
      </c>
      <c r="AE37" s="27">
        <v>5</v>
      </c>
      <c r="AF37" s="27"/>
      <c r="AG37" s="24">
        <v>4</v>
      </c>
      <c r="AH37" s="27"/>
      <c r="AI37" s="24">
        <v>5</v>
      </c>
      <c r="AJ37" s="24">
        <v>5</v>
      </c>
      <c r="AK37" s="24">
        <v>6</v>
      </c>
      <c r="AL37" s="24"/>
      <c r="AM37" s="24">
        <v>4</v>
      </c>
      <c r="AN37" s="24">
        <v>5</v>
      </c>
      <c r="AO37" s="27"/>
      <c r="AP37" s="27"/>
      <c r="AQ37" s="24"/>
      <c r="AR37">
        <f t="shared" si="1"/>
        <v>25</v>
      </c>
    </row>
    <row r="38" spans="1:44" x14ac:dyDescent="0.25">
      <c r="B38" t="str">
        <f t="shared" si="0"/>
        <v>OM - Sarr</v>
      </c>
      <c r="C38" t="s">
        <v>671</v>
      </c>
      <c r="D38" s="29" t="s">
        <v>622</v>
      </c>
      <c r="E38" s="38" t="s">
        <v>628</v>
      </c>
      <c r="F38" s="31">
        <v>6</v>
      </c>
      <c r="G38" s="30">
        <v>13</v>
      </c>
      <c r="H38" s="33">
        <v>2</v>
      </c>
      <c r="I38" s="34">
        <f>AVERAGE(Q38,Z38,AB38,AD38,AE38,AF38,AG38)</f>
        <v>4.8571428571428568</v>
      </c>
      <c r="J38" s="37" t="s">
        <v>611</v>
      </c>
      <c r="K38" s="37" t="s">
        <v>611</v>
      </c>
      <c r="L38" s="37" t="s">
        <v>611</v>
      </c>
      <c r="M38" s="37" t="s">
        <v>611</v>
      </c>
      <c r="N38" s="37"/>
      <c r="O38" s="24"/>
      <c r="P38" s="37" t="s">
        <v>611</v>
      </c>
      <c r="Q38" s="37">
        <v>5</v>
      </c>
      <c r="R38" s="37" t="s">
        <v>611</v>
      </c>
      <c r="S38" s="37" t="s">
        <v>611</v>
      </c>
      <c r="T38" s="24"/>
      <c r="U38" s="24"/>
      <c r="V38" s="37" t="s">
        <v>611</v>
      </c>
      <c r="W38" s="22"/>
      <c r="X38" s="24"/>
      <c r="Y38" s="24"/>
      <c r="Z38" s="77">
        <v>6</v>
      </c>
      <c r="AA38" s="24"/>
      <c r="AB38" s="24">
        <v>4</v>
      </c>
      <c r="AC38" s="26"/>
      <c r="AD38" s="77">
        <v>5</v>
      </c>
      <c r="AE38" s="27">
        <v>4</v>
      </c>
      <c r="AF38" s="27">
        <v>5</v>
      </c>
      <c r="AG38" s="24">
        <v>5</v>
      </c>
      <c r="AH38" s="26" t="s">
        <v>611</v>
      </c>
      <c r="AI38" s="24"/>
      <c r="AJ38" s="24"/>
      <c r="AK38" s="37" t="s">
        <v>611</v>
      </c>
      <c r="AL38" s="24"/>
      <c r="AM38" s="37" t="s">
        <v>611</v>
      </c>
      <c r="AN38" s="76" t="s">
        <v>611</v>
      </c>
      <c r="AO38" s="27"/>
      <c r="AP38" s="26"/>
      <c r="AQ38" s="24"/>
      <c r="AR38">
        <f t="shared" si="1"/>
        <v>19</v>
      </c>
    </row>
    <row r="39" spans="1:44" x14ac:dyDescent="0.25">
      <c r="A39">
        <v>1</v>
      </c>
      <c r="B39" t="str">
        <f t="shared" ref="B39:B102" si="2">C39 &amp; " - " &amp;E39</f>
        <v>GFCA - Sylla</v>
      </c>
      <c r="C39" t="s">
        <v>1015</v>
      </c>
      <c r="D39" s="29" t="s">
        <v>608</v>
      </c>
      <c r="E39" s="155" t="s">
        <v>503</v>
      </c>
      <c r="F39" s="31">
        <v>22</v>
      </c>
      <c r="G39" s="30">
        <v>5</v>
      </c>
      <c r="H39" s="197" t="s">
        <v>647</v>
      </c>
      <c r="I39" s="34">
        <f>AVERAGE(AC39,AA39,Z39,K39,L39,M39,N39,J39,O39,Q39,R39,V39,X39,Y39,AB39,AD39,AH39,AF39,AJ39,AL39,AK39,AM39,AN39)</f>
        <v>5.0909090909090908</v>
      </c>
      <c r="J39" s="76">
        <v>5</v>
      </c>
      <c r="K39" s="24">
        <v>5</v>
      </c>
      <c r="L39" s="37">
        <v>5</v>
      </c>
      <c r="M39" s="24">
        <v>4</v>
      </c>
      <c r="N39" s="37">
        <v>5</v>
      </c>
      <c r="O39" s="37" t="s">
        <v>623</v>
      </c>
      <c r="P39" s="24"/>
      <c r="Q39" s="37">
        <v>5</v>
      </c>
      <c r="R39" s="24">
        <v>5</v>
      </c>
      <c r="S39" s="76" t="s">
        <v>611</v>
      </c>
      <c r="T39" s="24"/>
      <c r="U39" s="37" t="s">
        <v>611</v>
      </c>
      <c r="V39" s="66">
        <v>7</v>
      </c>
      <c r="W39" s="37"/>
      <c r="X39" s="24">
        <v>5</v>
      </c>
      <c r="Y39" s="23">
        <v>6</v>
      </c>
      <c r="Z39" s="37">
        <v>5</v>
      </c>
      <c r="AA39" s="24">
        <v>4</v>
      </c>
      <c r="AB39" s="24">
        <v>6</v>
      </c>
      <c r="AC39" s="27">
        <v>5</v>
      </c>
      <c r="AD39" s="76">
        <v>5</v>
      </c>
      <c r="AE39" s="26" t="s">
        <v>611</v>
      </c>
      <c r="AF39" s="116">
        <v>4</v>
      </c>
      <c r="AG39" s="37" t="s">
        <v>611</v>
      </c>
      <c r="AH39" s="27">
        <v>6</v>
      </c>
      <c r="AI39" s="24"/>
      <c r="AJ39" s="24">
        <v>5</v>
      </c>
      <c r="AK39" s="32">
        <v>5</v>
      </c>
      <c r="AL39" s="37">
        <v>5</v>
      </c>
      <c r="AM39" s="84">
        <v>7</v>
      </c>
      <c r="AN39" s="82">
        <v>3</v>
      </c>
      <c r="AO39" s="26"/>
      <c r="AP39" s="26"/>
      <c r="AQ39" s="24"/>
      <c r="AR39">
        <f t="shared" ref="AR39:AR102" si="3">F39 +G39</f>
        <v>27</v>
      </c>
    </row>
    <row r="40" spans="1:44" x14ac:dyDescent="0.25">
      <c r="B40" t="str">
        <f t="shared" si="2"/>
        <v>OM - Diarra</v>
      </c>
      <c r="C40" t="s">
        <v>671</v>
      </c>
      <c r="D40" s="29" t="s">
        <v>622</v>
      </c>
      <c r="E40" s="38" t="s">
        <v>629</v>
      </c>
      <c r="F40" s="31">
        <v>22</v>
      </c>
      <c r="G40" s="30"/>
      <c r="H40" s="33">
        <v>1</v>
      </c>
      <c r="I40" s="34">
        <f>AVERAGE(AB40,L40,M40,N40,O40,P40,Q40,R40,S40,T40,U40,W40,X40,Y40,AA40,AC40,AD40,AH40,AI40,AJ40,AL40,AN40)</f>
        <v>5.5</v>
      </c>
      <c r="J40" s="24"/>
      <c r="K40" s="37"/>
      <c r="L40" s="75">
        <v>7</v>
      </c>
      <c r="M40" s="37">
        <v>4</v>
      </c>
      <c r="N40" s="84">
        <v>7</v>
      </c>
      <c r="O40" s="66">
        <v>7</v>
      </c>
      <c r="P40" s="24">
        <v>5</v>
      </c>
      <c r="Q40" s="37">
        <v>5</v>
      </c>
      <c r="R40" s="84">
        <v>7</v>
      </c>
      <c r="S40" s="37">
        <v>6</v>
      </c>
      <c r="T40" s="24">
        <v>5</v>
      </c>
      <c r="U40" s="24">
        <v>4</v>
      </c>
      <c r="V40" s="24"/>
      <c r="W40" s="83">
        <v>7</v>
      </c>
      <c r="X40" s="24">
        <v>6</v>
      </c>
      <c r="Y40" s="24">
        <v>5</v>
      </c>
      <c r="Z40" s="37"/>
      <c r="AA40" s="24">
        <v>6</v>
      </c>
      <c r="AB40" s="24">
        <v>4</v>
      </c>
      <c r="AC40" s="26">
        <v>6</v>
      </c>
      <c r="AD40" s="76">
        <v>5</v>
      </c>
      <c r="AE40" s="27"/>
      <c r="AF40" s="48"/>
      <c r="AG40" s="24"/>
      <c r="AH40" s="27">
        <v>6</v>
      </c>
      <c r="AI40" s="24">
        <v>6</v>
      </c>
      <c r="AJ40" s="24">
        <v>4</v>
      </c>
      <c r="AK40" s="24"/>
      <c r="AL40" s="24">
        <v>5</v>
      </c>
      <c r="AM40" s="37"/>
      <c r="AN40" s="24">
        <v>4</v>
      </c>
      <c r="AO40" s="27"/>
      <c r="AP40" s="26"/>
      <c r="AQ40" s="24"/>
      <c r="AR40">
        <f t="shared" si="3"/>
        <v>22</v>
      </c>
    </row>
    <row r="41" spans="1:44" x14ac:dyDescent="0.25">
      <c r="B41" t="str">
        <f t="shared" si="2"/>
        <v>OM - Lucas Silva</v>
      </c>
      <c r="C41" t="s">
        <v>671</v>
      </c>
      <c r="D41" s="29" t="s">
        <v>622</v>
      </c>
      <c r="E41" s="65" t="s">
        <v>630</v>
      </c>
      <c r="F41" s="31">
        <v>9</v>
      </c>
      <c r="G41" s="30">
        <v>10</v>
      </c>
      <c r="H41" s="33"/>
      <c r="I41" s="34">
        <f>AVERAGE(N41,O41,P41,Q41,R41,S41,T41,U41,V41,AF41,AM41)</f>
        <v>4.9090909090909092</v>
      </c>
      <c r="J41" s="24"/>
      <c r="K41" s="37"/>
      <c r="L41" s="37"/>
      <c r="M41" s="37"/>
      <c r="N41" s="37">
        <v>5</v>
      </c>
      <c r="O41" s="24">
        <v>5</v>
      </c>
      <c r="P41" s="24">
        <v>5</v>
      </c>
      <c r="Q41" s="37">
        <v>5</v>
      </c>
      <c r="R41" s="37">
        <v>5</v>
      </c>
      <c r="S41" s="37">
        <v>5</v>
      </c>
      <c r="T41" s="24">
        <v>5</v>
      </c>
      <c r="U41" s="24">
        <v>5</v>
      </c>
      <c r="V41" s="24">
        <v>4</v>
      </c>
      <c r="W41" s="76" t="s">
        <v>611</v>
      </c>
      <c r="X41" s="37" t="s">
        <v>611</v>
      </c>
      <c r="Y41" s="24"/>
      <c r="Z41" s="37" t="s">
        <v>611</v>
      </c>
      <c r="AA41" s="37" t="s">
        <v>611</v>
      </c>
      <c r="AB41" s="37" t="s">
        <v>611</v>
      </c>
      <c r="AC41" s="26"/>
      <c r="AD41" s="76" t="s">
        <v>611</v>
      </c>
      <c r="AE41" s="26" t="s">
        <v>611</v>
      </c>
      <c r="AF41" s="48">
        <v>5</v>
      </c>
      <c r="AG41" s="24"/>
      <c r="AH41" s="27"/>
      <c r="AI41" s="24"/>
      <c r="AJ41" s="24"/>
      <c r="AK41" s="37" t="s">
        <v>611</v>
      </c>
      <c r="AL41" s="24"/>
      <c r="AM41" s="37">
        <v>5</v>
      </c>
      <c r="AN41" s="24"/>
      <c r="AO41" s="27"/>
      <c r="AP41" s="26"/>
      <c r="AQ41" s="24"/>
      <c r="AR41">
        <f t="shared" si="3"/>
        <v>19</v>
      </c>
    </row>
    <row r="42" spans="1:44" x14ac:dyDescent="0.25">
      <c r="B42" t="str">
        <f t="shared" si="2"/>
        <v>OM - Zambo Anguissa</v>
      </c>
      <c r="C42" t="s">
        <v>671</v>
      </c>
      <c r="D42" s="29" t="s">
        <v>622</v>
      </c>
      <c r="E42" s="65" t="s">
        <v>631</v>
      </c>
      <c r="F42" s="31">
        <v>1</v>
      </c>
      <c r="G42" s="30">
        <v>4</v>
      </c>
      <c r="H42" s="33"/>
      <c r="I42" s="34">
        <f>AVERAGE(Q42,AC42)</f>
        <v>4.5</v>
      </c>
      <c r="J42" s="24"/>
      <c r="K42" s="37"/>
      <c r="L42" s="37"/>
      <c r="M42" s="37"/>
      <c r="N42" s="37"/>
      <c r="O42" s="37" t="s">
        <v>611</v>
      </c>
      <c r="P42" s="24"/>
      <c r="Q42" s="37">
        <v>4</v>
      </c>
      <c r="R42" s="37"/>
      <c r="S42" s="37"/>
      <c r="T42" s="24"/>
      <c r="U42" s="24"/>
      <c r="V42" s="37" t="s">
        <v>611</v>
      </c>
      <c r="W42" s="22"/>
      <c r="X42" s="24"/>
      <c r="Y42" s="24"/>
      <c r="Z42" s="37"/>
      <c r="AA42" s="24"/>
      <c r="AB42" s="24"/>
      <c r="AC42" s="26">
        <v>5</v>
      </c>
      <c r="AD42" s="77"/>
      <c r="AE42" s="26" t="s">
        <v>611</v>
      </c>
      <c r="AF42" s="48"/>
      <c r="AG42" s="24"/>
      <c r="AH42" s="27"/>
      <c r="AI42" s="24"/>
      <c r="AJ42" s="24"/>
      <c r="AK42" s="24"/>
      <c r="AL42" s="24"/>
      <c r="AM42" s="37"/>
      <c r="AN42" s="24"/>
      <c r="AO42" s="27"/>
      <c r="AP42" s="26"/>
      <c r="AQ42" s="24"/>
      <c r="AR42">
        <f t="shared" si="3"/>
        <v>5</v>
      </c>
    </row>
    <row r="43" spans="1:44" x14ac:dyDescent="0.25">
      <c r="B43" t="str">
        <f t="shared" si="2"/>
        <v>OM - Thauvin</v>
      </c>
      <c r="C43" t="s">
        <v>671</v>
      </c>
      <c r="D43" s="29" t="s">
        <v>622</v>
      </c>
      <c r="E43" s="155" t="s">
        <v>1052</v>
      </c>
      <c r="F43" s="31">
        <v>3</v>
      </c>
      <c r="G43" s="38">
        <v>4</v>
      </c>
      <c r="H43" s="33">
        <v>1</v>
      </c>
      <c r="I43" s="34">
        <f>AVERAGE(AJ43,AM43,AN43)</f>
        <v>5</v>
      </c>
      <c r="J43" s="24"/>
      <c r="K43" s="37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37"/>
      <c r="W43" s="24"/>
      <c r="X43" s="24"/>
      <c r="Y43" s="24"/>
      <c r="Z43" s="24"/>
      <c r="AA43" s="24"/>
      <c r="AB43" s="24"/>
      <c r="AC43" s="26"/>
      <c r="AD43" s="24"/>
      <c r="AE43" s="27"/>
      <c r="AF43" s="181"/>
      <c r="AG43" s="37" t="s">
        <v>611</v>
      </c>
      <c r="AH43" s="27"/>
      <c r="AI43" s="37" t="s">
        <v>611</v>
      </c>
      <c r="AJ43" s="24">
        <v>5</v>
      </c>
      <c r="AK43" s="37" t="s">
        <v>611</v>
      </c>
      <c r="AL43" s="37" t="s">
        <v>611</v>
      </c>
      <c r="AM43" s="24">
        <v>5</v>
      </c>
      <c r="AN43" s="22">
        <v>5</v>
      </c>
      <c r="AO43" s="27"/>
      <c r="AP43" s="27"/>
      <c r="AQ43" s="24"/>
      <c r="AR43">
        <f t="shared" si="3"/>
        <v>7</v>
      </c>
    </row>
    <row r="44" spans="1:44" x14ac:dyDescent="0.25">
      <c r="B44" t="str">
        <f t="shared" si="2"/>
        <v>OM - Diaby</v>
      </c>
      <c r="C44" t="s">
        <v>671</v>
      </c>
      <c r="D44" s="29" t="s">
        <v>622</v>
      </c>
      <c r="E44" s="155" t="s">
        <v>1081</v>
      </c>
      <c r="F44" s="31"/>
      <c r="G44" s="38">
        <v>1</v>
      </c>
      <c r="H44" s="33"/>
      <c r="I44" s="34"/>
      <c r="J44" s="24"/>
      <c r="K44" s="37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37"/>
      <c r="W44" s="24"/>
      <c r="X44" s="24"/>
      <c r="Y44" s="24"/>
      <c r="Z44" s="24"/>
      <c r="AA44" s="24"/>
      <c r="AB44" s="24"/>
      <c r="AC44" s="26"/>
      <c r="AD44" s="24"/>
      <c r="AE44" s="27"/>
      <c r="AF44" s="181"/>
      <c r="AG44" s="37"/>
      <c r="AH44" s="27"/>
      <c r="AI44" s="37"/>
      <c r="AJ44" s="24"/>
      <c r="AK44" s="37"/>
      <c r="AL44" s="37"/>
      <c r="AM44" s="24"/>
      <c r="AN44" s="76" t="s">
        <v>611</v>
      </c>
      <c r="AO44" s="27"/>
      <c r="AP44" s="27"/>
      <c r="AQ44" s="24"/>
      <c r="AR44">
        <f t="shared" si="3"/>
        <v>1</v>
      </c>
    </row>
    <row r="45" spans="1:44" x14ac:dyDescent="0.25">
      <c r="B45" t="str">
        <f t="shared" si="2"/>
        <v>OM - Ocampos</v>
      </c>
      <c r="C45" t="s">
        <v>671</v>
      </c>
      <c r="D45" s="67" t="s">
        <v>622</v>
      </c>
      <c r="E45" s="85" t="s">
        <v>632</v>
      </c>
      <c r="F45" s="69">
        <v>6</v>
      </c>
      <c r="G45" s="86">
        <v>10</v>
      </c>
      <c r="H45" s="71">
        <v>1</v>
      </c>
      <c r="I45" s="72">
        <f>AVERAGE(K45,J45,P45,S45,V45,W45,Y45)</f>
        <v>4.4285714285714288</v>
      </c>
      <c r="J45" s="24">
        <v>4</v>
      </c>
      <c r="K45" s="37">
        <v>5</v>
      </c>
      <c r="L45" s="77" t="s">
        <v>611</v>
      </c>
      <c r="M45" s="37" t="s">
        <v>611</v>
      </c>
      <c r="N45" s="37" t="s">
        <v>611</v>
      </c>
      <c r="O45" s="24"/>
      <c r="P45" s="24">
        <v>4</v>
      </c>
      <c r="Q45" s="37" t="s">
        <v>611</v>
      </c>
      <c r="R45" s="37" t="s">
        <v>611</v>
      </c>
      <c r="S45" s="37">
        <v>4</v>
      </c>
      <c r="T45" s="24"/>
      <c r="U45" s="24"/>
      <c r="V45" s="24">
        <v>5</v>
      </c>
      <c r="W45" s="37">
        <v>5</v>
      </c>
      <c r="X45" s="37" t="s">
        <v>611</v>
      </c>
      <c r="Y45" s="37">
        <v>4</v>
      </c>
      <c r="Z45" s="37"/>
      <c r="AA45" s="37" t="s">
        <v>611</v>
      </c>
      <c r="AB45" s="37" t="s">
        <v>611</v>
      </c>
      <c r="AC45" s="26" t="s">
        <v>641</v>
      </c>
      <c r="AD45" s="77"/>
      <c r="AE45" s="27"/>
      <c r="AF45" s="48"/>
      <c r="AG45" s="77"/>
      <c r="AH45" s="27"/>
      <c r="AI45" s="24"/>
      <c r="AJ45" s="24"/>
      <c r="AK45" s="24"/>
      <c r="AL45" s="37"/>
      <c r="AM45" s="37"/>
      <c r="AN45" s="37"/>
      <c r="AO45" s="26"/>
      <c r="AP45" s="26"/>
      <c r="AQ45" s="24"/>
      <c r="AR45">
        <f t="shared" si="3"/>
        <v>16</v>
      </c>
    </row>
    <row r="46" spans="1:44" x14ac:dyDescent="0.25">
      <c r="A46">
        <v>1</v>
      </c>
      <c r="B46" t="str">
        <f t="shared" si="2"/>
        <v>EAG - Sorbon</v>
      </c>
      <c r="C46" t="s">
        <v>967</v>
      </c>
      <c r="D46" s="29" t="s">
        <v>608</v>
      </c>
      <c r="E46" s="30" t="s">
        <v>949</v>
      </c>
      <c r="F46" s="31">
        <v>27</v>
      </c>
      <c r="G46" s="30"/>
      <c r="H46" s="197" t="s">
        <v>647</v>
      </c>
      <c r="I46" s="34">
        <f>AVERAGE(AB46,Y46,X46,W46,L46,M46,J46,N46,O46,P46,Q46,R46,S46,T46,U46,V46,Z46,AA46,AC46,AD46,AE46,AF46,AG46,AH46,AI46,AM46,AN46)</f>
        <v>5.0740740740740744</v>
      </c>
      <c r="J46" s="241">
        <v>3</v>
      </c>
      <c r="K46" s="36"/>
      <c r="L46" s="74">
        <v>4</v>
      </c>
      <c r="M46" s="24">
        <v>6</v>
      </c>
      <c r="N46" s="37">
        <v>5</v>
      </c>
      <c r="O46" s="37">
        <v>5</v>
      </c>
      <c r="P46" s="24">
        <v>5</v>
      </c>
      <c r="Q46" s="37">
        <v>5</v>
      </c>
      <c r="R46" s="24">
        <v>5</v>
      </c>
      <c r="S46" s="23">
        <v>5</v>
      </c>
      <c r="T46" s="24">
        <v>6</v>
      </c>
      <c r="U46" s="24">
        <v>5</v>
      </c>
      <c r="V46" s="24">
        <v>5</v>
      </c>
      <c r="W46" s="37">
        <v>5</v>
      </c>
      <c r="X46" s="24">
        <v>4</v>
      </c>
      <c r="Y46" s="24">
        <v>4</v>
      </c>
      <c r="Z46" s="37">
        <v>5</v>
      </c>
      <c r="AA46" s="24">
        <v>5</v>
      </c>
      <c r="AB46" s="24">
        <v>4</v>
      </c>
      <c r="AC46" s="27">
        <v>6</v>
      </c>
      <c r="AD46" s="37">
        <v>5</v>
      </c>
      <c r="AE46" s="27">
        <v>6</v>
      </c>
      <c r="AF46" s="38">
        <v>5</v>
      </c>
      <c r="AG46" s="66">
        <v>7</v>
      </c>
      <c r="AH46" s="27">
        <v>6</v>
      </c>
      <c r="AI46" s="24">
        <v>4</v>
      </c>
      <c r="AJ46" s="24"/>
      <c r="AK46" s="24"/>
      <c r="AL46" s="24"/>
      <c r="AM46" s="37">
        <v>6</v>
      </c>
      <c r="AN46" s="24">
        <v>6</v>
      </c>
      <c r="AO46" s="27"/>
      <c r="AP46" s="26"/>
      <c r="AQ46" s="37"/>
      <c r="AR46">
        <f t="shared" si="3"/>
        <v>27</v>
      </c>
    </row>
    <row r="47" spans="1:44" x14ac:dyDescent="0.25">
      <c r="B47" t="str">
        <f t="shared" si="2"/>
        <v>OM - Porsan</v>
      </c>
      <c r="C47" t="s">
        <v>671</v>
      </c>
      <c r="D47" s="29" t="s">
        <v>633</v>
      </c>
      <c r="E47" s="60" t="s">
        <v>635</v>
      </c>
      <c r="F47" s="31"/>
      <c r="G47" s="38">
        <v>1</v>
      </c>
      <c r="H47" s="33"/>
      <c r="I47" s="34"/>
      <c r="J47" s="24"/>
      <c r="K47" s="37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37"/>
      <c r="W47" s="24"/>
      <c r="X47" s="24"/>
      <c r="Y47" s="24"/>
      <c r="Z47" s="24"/>
      <c r="AA47" s="24"/>
      <c r="AB47" s="24"/>
      <c r="AC47" s="26" t="s">
        <v>611</v>
      </c>
      <c r="AD47" s="24"/>
      <c r="AE47" s="27"/>
      <c r="AF47" s="48"/>
      <c r="AG47" s="24"/>
      <c r="AH47" s="27"/>
      <c r="AI47" s="24"/>
      <c r="AJ47" s="24"/>
      <c r="AK47" s="24"/>
      <c r="AL47" s="24"/>
      <c r="AM47" s="24"/>
      <c r="AN47" s="24"/>
      <c r="AO47" s="27"/>
      <c r="AP47" s="27"/>
      <c r="AQ47" s="24"/>
      <c r="AR47">
        <f t="shared" si="3"/>
        <v>1</v>
      </c>
    </row>
    <row r="48" spans="1:44" x14ac:dyDescent="0.25">
      <c r="B48" t="str">
        <f t="shared" si="2"/>
        <v>OM - Rabillard</v>
      </c>
      <c r="C48" t="s">
        <v>671</v>
      </c>
      <c r="D48" s="29" t="s">
        <v>633</v>
      </c>
      <c r="E48" s="65" t="s">
        <v>1042</v>
      </c>
      <c r="F48" s="31">
        <v>1</v>
      </c>
      <c r="G48" s="38">
        <v>2</v>
      </c>
      <c r="H48" s="33">
        <v>1</v>
      </c>
      <c r="I48" s="34">
        <f>AVERAGE(AG48)</f>
        <v>4</v>
      </c>
      <c r="J48" s="24"/>
      <c r="K48" s="37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37"/>
      <c r="W48" s="24"/>
      <c r="X48" s="24"/>
      <c r="Y48" s="24"/>
      <c r="Z48" s="24"/>
      <c r="AA48" s="24"/>
      <c r="AB48" s="24"/>
      <c r="AC48" s="26" t="s">
        <v>611</v>
      </c>
      <c r="AD48" s="24"/>
      <c r="AE48" s="27"/>
      <c r="AF48" s="181" t="s">
        <v>611</v>
      </c>
      <c r="AG48" s="24">
        <v>4</v>
      </c>
      <c r="AH48" s="27"/>
      <c r="AI48" s="24"/>
      <c r="AJ48" s="24"/>
      <c r="AK48" s="24"/>
      <c r="AL48" s="24"/>
      <c r="AM48" s="24"/>
      <c r="AN48" s="24"/>
      <c r="AO48" s="27"/>
      <c r="AP48" s="27"/>
      <c r="AQ48" s="24"/>
      <c r="AR48">
        <f t="shared" si="3"/>
        <v>3</v>
      </c>
    </row>
    <row r="49" spans="2:44" x14ac:dyDescent="0.25">
      <c r="B49" t="str">
        <f t="shared" si="2"/>
        <v>OM - Fletcher</v>
      </c>
      <c r="C49" t="s">
        <v>671</v>
      </c>
      <c r="D49" s="29" t="s">
        <v>633</v>
      </c>
      <c r="E49" s="65" t="s">
        <v>1053</v>
      </c>
      <c r="F49" s="31">
        <v>3</v>
      </c>
      <c r="G49" s="38">
        <v>2</v>
      </c>
      <c r="H49" s="33"/>
      <c r="I49" s="34">
        <f>AVERAGE(AJ49,AL49,AK49)</f>
        <v>5</v>
      </c>
      <c r="J49" s="24"/>
      <c r="K49" s="37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37"/>
      <c r="W49" s="24"/>
      <c r="X49" s="24"/>
      <c r="Y49" s="24"/>
      <c r="Z49" s="24"/>
      <c r="AA49" s="24"/>
      <c r="AB49" s="24"/>
      <c r="AC49" s="26"/>
      <c r="AD49" s="24"/>
      <c r="AE49" s="27"/>
      <c r="AF49" s="181"/>
      <c r="AG49" s="37"/>
      <c r="AH49" s="26" t="s">
        <v>611</v>
      </c>
      <c r="AI49" s="37" t="s">
        <v>611</v>
      </c>
      <c r="AJ49" s="24">
        <v>5</v>
      </c>
      <c r="AK49" s="24">
        <v>4</v>
      </c>
      <c r="AL49" s="24">
        <v>6</v>
      </c>
      <c r="AM49" s="24"/>
      <c r="AN49" s="24"/>
      <c r="AO49" s="27"/>
      <c r="AP49" s="27"/>
      <c r="AQ49" s="24"/>
      <c r="AR49">
        <f t="shared" si="3"/>
        <v>5</v>
      </c>
    </row>
    <row r="50" spans="2:44" ht="15.75" thickBot="1" x14ac:dyDescent="0.3">
      <c r="B50" t="str">
        <f t="shared" si="2"/>
        <v>OM - Omrani</v>
      </c>
      <c r="C50" t="s">
        <v>671</v>
      </c>
      <c r="D50" s="88" t="s">
        <v>633</v>
      </c>
      <c r="E50" s="89" t="s">
        <v>636</v>
      </c>
      <c r="F50" s="90"/>
      <c r="G50" s="91"/>
      <c r="H50" s="92"/>
      <c r="I50" s="93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37"/>
      <c r="X50" s="24"/>
      <c r="Y50" s="24"/>
      <c r="Z50" s="24"/>
      <c r="AA50" s="24"/>
      <c r="AB50" s="24"/>
      <c r="AC50" s="94"/>
      <c r="AD50" s="24"/>
      <c r="AE50" s="26"/>
      <c r="AF50" s="87"/>
      <c r="AG50" s="24"/>
      <c r="AH50" s="27"/>
      <c r="AI50" s="24"/>
      <c r="AJ50" s="24"/>
      <c r="AK50" s="24"/>
      <c r="AL50" s="24"/>
      <c r="AM50" s="24"/>
      <c r="AN50" s="24"/>
      <c r="AO50" s="27"/>
      <c r="AP50" s="27"/>
      <c r="AQ50" s="24"/>
      <c r="AR50">
        <f t="shared" si="3"/>
        <v>0</v>
      </c>
    </row>
    <row r="51" spans="2:44" x14ac:dyDescent="0.25">
      <c r="B51" t="str">
        <f t="shared" si="2"/>
        <v>PSG - Ibrahimovic</v>
      </c>
      <c r="C51" t="s">
        <v>673</v>
      </c>
      <c r="D51" s="16" t="s">
        <v>633</v>
      </c>
      <c r="E51" s="17" t="s">
        <v>85</v>
      </c>
      <c r="F51" s="18">
        <v>23</v>
      </c>
      <c r="G51" s="95">
        <v>2</v>
      </c>
      <c r="H51" s="160">
        <v>27</v>
      </c>
      <c r="I51" s="20">
        <f>AVERAGE(AA51,M51,O51,P51,Q51,R51,S51,T51,V51,W51,X51,Z51,AB51,AC51,AD51,AE51,AF51,AG51,AH51,AJ51,AK51,AM51,AN51)</f>
        <v>6.8695652173913047</v>
      </c>
      <c r="J51" s="97"/>
      <c r="K51" s="37"/>
      <c r="L51" s="37"/>
      <c r="M51" s="76">
        <v>6</v>
      </c>
      <c r="N51" s="24"/>
      <c r="O51" s="24">
        <v>4</v>
      </c>
      <c r="P51" s="25">
        <v>7</v>
      </c>
      <c r="Q51" s="25">
        <v>7</v>
      </c>
      <c r="R51" s="25">
        <v>8</v>
      </c>
      <c r="S51" s="25">
        <v>8</v>
      </c>
      <c r="T51" s="25">
        <v>7</v>
      </c>
      <c r="U51" s="24"/>
      <c r="V51" s="77">
        <v>8</v>
      </c>
      <c r="W51" s="24">
        <v>5</v>
      </c>
      <c r="X51" s="25">
        <v>7</v>
      </c>
      <c r="Y51" s="37" t="s">
        <v>611</v>
      </c>
      <c r="Z51" s="25">
        <v>8</v>
      </c>
      <c r="AA51" s="25">
        <v>8</v>
      </c>
      <c r="AB51" s="25">
        <v>7</v>
      </c>
      <c r="AC51" s="24">
        <v>5</v>
      </c>
      <c r="AD51" s="25">
        <v>7</v>
      </c>
      <c r="AE51" s="254">
        <v>7</v>
      </c>
      <c r="AF51" s="25">
        <v>8</v>
      </c>
      <c r="AG51" s="25">
        <v>8</v>
      </c>
      <c r="AH51" s="25">
        <v>7</v>
      </c>
      <c r="AI51" s="24"/>
      <c r="AJ51" s="25">
        <v>9</v>
      </c>
      <c r="AK51" s="23">
        <v>4</v>
      </c>
      <c r="AL51" s="76" t="s">
        <v>611</v>
      </c>
      <c r="AM51" s="25">
        <v>9</v>
      </c>
      <c r="AN51" s="27">
        <v>4</v>
      </c>
      <c r="AO51" s="24"/>
      <c r="AP51" s="24"/>
      <c r="AQ51" s="27"/>
      <c r="AR51">
        <f t="shared" si="3"/>
        <v>25</v>
      </c>
    </row>
    <row r="52" spans="2:44" x14ac:dyDescent="0.25">
      <c r="B52" t="str">
        <f t="shared" si="2"/>
        <v>OL - Gorgelin</v>
      </c>
      <c r="C52" t="s">
        <v>672</v>
      </c>
      <c r="D52" s="98" t="s">
        <v>605</v>
      </c>
      <c r="E52" s="78" t="s">
        <v>637</v>
      </c>
      <c r="F52" s="31">
        <v>1</v>
      </c>
      <c r="G52" s="99"/>
      <c r="H52" s="73"/>
      <c r="I52" s="100">
        <f>AVERAGE(Y52)</f>
        <v>7</v>
      </c>
      <c r="J52" s="101"/>
      <c r="K52" s="37"/>
      <c r="L52" s="24"/>
      <c r="M52" s="37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5">
        <v>7</v>
      </c>
      <c r="Z52" s="24"/>
      <c r="AA52" s="24"/>
      <c r="AB52" s="24"/>
      <c r="AC52" s="24"/>
      <c r="AD52" s="24"/>
      <c r="AE52" s="27"/>
      <c r="AF52" s="48"/>
      <c r="AG52" s="24"/>
      <c r="AH52" s="24"/>
      <c r="AI52" s="24"/>
      <c r="AJ52" s="24"/>
      <c r="AK52" s="24"/>
      <c r="AL52" s="24"/>
      <c r="AM52" s="24"/>
      <c r="AN52" s="27"/>
      <c r="AO52" s="24"/>
      <c r="AP52" s="24"/>
      <c r="AQ52" s="27"/>
      <c r="AR52">
        <f t="shared" si="3"/>
        <v>1</v>
      </c>
    </row>
    <row r="53" spans="2:44" x14ac:dyDescent="0.25">
      <c r="B53" t="str">
        <f t="shared" si="2"/>
        <v>OL - Mocio</v>
      </c>
      <c r="C53" t="s">
        <v>672</v>
      </c>
      <c r="D53" s="102" t="s">
        <v>605</v>
      </c>
      <c r="E53" s="103" t="s">
        <v>638</v>
      </c>
      <c r="F53" s="104"/>
      <c r="G53" s="105"/>
      <c r="H53" s="106"/>
      <c r="I53" s="44"/>
      <c r="J53" s="107"/>
      <c r="K53" s="108"/>
      <c r="L53" s="109"/>
      <c r="M53" s="108"/>
      <c r="N53" s="109"/>
      <c r="O53" s="109"/>
      <c r="P53" s="109"/>
      <c r="Q53" s="109"/>
      <c r="R53" s="109"/>
      <c r="S53" s="109"/>
      <c r="T53" s="109"/>
      <c r="U53" s="109"/>
      <c r="V53" s="109"/>
      <c r="W53" s="109"/>
      <c r="X53" s="109"/>
      <c r="Y53" s="109"/>
      <c r="Z53" s="109"/>
      <c r="AA53" s="109"/>
      <c r="AB53" s="109"/>
      <c r="AC53" s="109"/>
      <c r="AD53" s="109"/>
      <c r="AE53" s="110"/>
      <c r="AF53" s="111"/>
      <c r="AG53" s="109"/>
      <c r="AH53" s="109"/>
      <c r="AI53" s="109"/>
      <c r="AJ53" s="109"/>
      <c r="AK53" s="109"/>
      <c r="AL53" s="109"/>
      <c r="AM53" s="109"/>
      <c r="AN53" s="110"/>
      <c r="AO53" s="109"/>
      <c r="AP53" s="109"/>
      <c r="AQ53" s="110"/>
      <c r="AR53">
        <f t="shared" si="3"/>
        <v>0</v>
      </c>
    </row>
    <row r="54" spans="2:44" x14ac:dyDescent="0.25">
      <c r="B54" t="str">
        <f t="shared" si="2"/>
        <v>OL - B. Koné</v>
      </c>
      <c r="C54" t="s">
        <v>672</v>
      </c>
      <c r="D54" s="29" t="s">
        <v>608</v>
      </c>
      <c r="E54" s="73" t="s">
        <v>639</v>
      </c>
      <c r="F54" s="31">
        <v>4</v>
      </c>
      <c r="G54" s="99">
        <v>1</v>
      </c>
      <c r="H54" s="73"/>
      <c r="I54" s="34">
        <f>AVERAGE(Y54,Z54,AB54,AM54)</f>
        <v>4.5</v>
      </c>
      <c r="J54" s="101"/>
      <c r="K54" s="24"/>
      <c r="L54" s="24"/>
      <c r="M54" s="24"/>
      <c r="N54" s="37"/>
      <c r="O54" s="24"/>
      <c r="P54" s="24"/>
      <c r="Q54" s="22"/>
      <c r="R54" s="37"/>
      <c r="S54" s="24"/>
      <c r="T54" s="24"/>
      <c r="U54" s="24"/>
      <c r="V54" s="37"/>
      <c r="W54" s="24"/>
      <c r="X54" s="24"/>
      <c r="Y54" s="24">
        <v>5</v>
      </c>
      <c r="Z54" s="24">
        <v>4</v>
      </c>
      <c r="AA54" s="24"/>
      <c r="AB54" s="24">
        <v>5</v>
      </c>
      <c r="AC54" s="24"/>
      <c r="AD54" s="24"/>
      <c r="AE54" s="27"/>
      <c r="AF54" s="48"/>
      <c r="AG54" s="24"/>
      <c r="AH54" s="24"/>
      <c r="AI54" s="24"/>
      <c r="AJ54" s="24"/>
      <c r="AK54" s="76" t="s">
        <v>611</v>
      </c>
      <c r="AL54" s="24"/>
      <c r="AM54" s="24">
        <v>4</v>
      </c>
      <c r="AN54" s="27"/>
      <c r="AO54" s="24"/>
      <c r="AP54" s="24"/>
      <c r="AQ54" s="27"/>
      <c r="AR54">
        <f t="shared" si="3"/>
        <v>5</v>
      </c>
    </row>
    <row r="55" spans="2:44" x14ac:dyDescent="0.25">
      <c r="B55" t="str">
        <f t="shared" si="2"/>
        <v>OL - Bedimo</v>
      </c>
      <c r="C55" t="s">
        <v>672</v>
      </c>
      <c r="D55" s="29" t="s">
        <v>608</v>
      </c>
      <c r="E55" s="30" t="s">
        <v>640</v>
      </c>
      <c r="F55" s="31">
        <v>10</v>
      </c>
      <c r="G55" s="99">
        <v>2</v>
      </c>
      <c r="H55" s="73"/>
      <c r="I55" s="34">
        <f>AVERAGE(L55,J55,N55,Y55,Z55,AA55,AB55,AI55,AK55)</f>
        <v>4.7777777777777777</v>
      </c>
      <c r="J55" s="101">
        <v>6</v>
      </c>
      <c r="K55" s="37"/>
      <c r="L55" s="24">
        <v>5</v>
      </c>
      <c r="M55" s="37"/>
      <c r="N55" s="24">
        <v>5</v>
      </c>
      <c r="O55" s="37" t="s">
        <v>641</v>
      </c>
      <c r="P55" s="24"/>
      <c r="Q55" s="24"/>
      <c r="R55" s="24"/>
      <c r="S55" s="24"/>
      <c r="T55" s="24"/>
      <c r="U55" s="37" t="s">
        <v>611</v>
      </c>
      <c r="V55" s="37" t="s">
        <v>611</v>
      </c>
      <c r="W55" s="24"/>
      <c r="X55" s="24"/>
      <c r="Y55" s="24">
        <v>6</v>
      </c>
      <c r="Z55" s="24">
        <v>4</v>
      </c>
      <c r="AA55" s="82">
        <v>3</v>
      </c>
      <c r="AB55" s="37">
        <v>4</v>
      </c>
      <c r="AC55" s="24"/>
      <c r="AD55" s="24"/>
      <c r="AE55" s="27"/>
      <c r="AF55" s="48"/>
      <c r="AG55" s="24"/>
      <c r="AH55" s="24"/>
      <c r="AI55" s="24">
        <v>5</v>
      </c>
      <c r="AJ55" s="24"/>
      <c r="AK55" s="24">
        <v>5</v>
      </c>
      <c r="AL55" s="24"/>
      <c r="AM55" s="24"/>
      <c r="AN55" s="27"/>
      <c r="AO55" s="24"/>
      <c r="AP55" s="24"/>
      <c r="AQ55" s="27"/>
      <c r="AR55">
        <f t="shared" si="3"/>
        <v>12</v>
      </c>
    </row>
    <row r="56" spans="2:44" x14ac:dyDescent="0.25">
      <c r="B56" t="str">
        <f t="shared" si="2"/>
        <v>OL - Rose</v>
      </c>
      <c r="C56" t="s">
        <v>672</v>
      </c>
      <c r="D56" s="50" t="s">
        <v>608</v>
      </c>
      <c r="E56" s="146" t="s">
        <v>642</v>
      </c>
      <c r="F56" s="52">
        <v>1</v>
      </c>
      <c r="G56" s="63"/>
      <c r="H56" s="146"/>
      <c r="I56" s="80">
        <f>AVERAGE(Q56)</f>
        <v>5</v>
      </c>
      <c r="J56" s="260"/>
      <c r="K56" s="61"/>
      <c r="L56" s="53"/>
      <c r="M56" s="61"/>
      <c r="N56" s="53"/>
      <c r="O56" s="53"/>
      <c r="P56" s="53"/>
      <c r="Q56" s="53">
        <v>5</v>
      </c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63"/>
      <c r="AF56" s="63"/>
      <c r="AG56" s="53"/>
      <c r="AH56" s="53"/>
      <c r="AI56" s="53"/>
      <c r="AJ56" s="53"/>
      <c r="AK56" s="53"/>
      <c r="AL56" s="53"/>
      <c r="AM56" s="53"/>
      <c r="AN56" s="63"/>
      <c r="AO56" s="53"/>
      <c r="AP56" s="53"/>
      <c r="AQ56" s="63"/>
      <c r="AR56">
        <f t="shared" si="3"/>
        <v>1</v>
      </c>
    </row>
    <row r="57" spans="2:44" x14ac:dyDescent="0.25">
      <c r="B57" t="str">
        <f t="shared" si="2"/>
        <v>OL - Jallet</v>
      </c>
      <c r="C57" t="s">
        <v>672</v>
      </c>
      <c r="D57" s="29" t="s">
        <v>608</v>
      </c>
      <c r="E57" s="30" t="s">
        <v>110</v>
      </c>
      <c r="F57" s="31">
        <v>16</v>
      </c>
      <c r="G57" s="99">
        <v>3</v>
      </c>
      <c r="H57" s="73">
        <v>1</v>
      </c>
      <c r="I57" s="34">
        <f>AVERAGE(N57,O57,P57,Q57,R57,S57,T57,U57,AC57,AD57,AE57,AF57,AG57,AH57,AI57,AJ57)</f>
        <v>5.5625</v>
      </c>
      <c r="J57" s="112"/>
      <c r="K57" s="79"/>
      <c r="L57" s="24"/>
      <c r="M57" s="37" t="s">
        <v>611</v>
      </c>
      <c r="N57" s="24">
        <v>5</v>
      </c>
      <c r="O57" s="24">
        <v>5</v>
      </c>
      <c r="P57" s="24">
        <v>6</v>
      </c>
      <c r="Q57" s="24">
        <v>5</v>
      </c>
      <c r="R57" s="24">
        <v>5</v>
      </c>
      <c r="S57" s="24">
        <v>5</v>
      </c>
      <c r="T57" s="24">
        <v>6</v>
      </c>
      <c r="U57" s="25">
        <v>7</v>
      </c>
      <c r="V57" s="37" t="s">
        <v>611</v>
      </c>
      <c r="W57" s="24"/>
      <c r="X57" s="24"/>
      <c r="Y57" s="24"/>
      <c r="Z57" s="24"/>
      <c r="AA57" s="23"/>
      <c r="AB57" s="24"/>
      <c r="AC57" s="24">
        <v>6</v>
      </c>
      <c r="AD57" s="24">
        <v>5</v>
      </c>
      <c r="AE57" s="27">
        <v>5</v>
      </c>
      <c r="AF57" s="24">
        <v>5</v>
      </c>
      <c r="AG57" s="66">
        <v>8</v>
      </c>
      <c r="AH57" s="25">
        <v>7</v>
      </c>
      <c r="AI57" s="24">
        <v>5</v>
      </c>
      <c r="AJ57" s="24">
        <v>4</v>
      </c>
      <c r="AK57" s="24"/>
      <c r="AL57" s="37" t="s">
        <v>611</v>
      </c>
      <c r="AM57" s="24"/>
      <c r="AN57" s="27"/>
      <c r="AO57" s="24"/>
      <c r="AP57" s="22"/>
      <c r="AQ57" s="27"/>
      <c r="AR57">
        <f t="shared" si="3"/>
        <v>19</v>
      </c>
    </row>
    <row r="58" spans="2:44" x14ac:dyDescent="0.25">
      <c r="B58" t="str">
        <f t="shared" si="2"/>
        <v>OL - Bisevac</v>
      </c>
      <c r="C58" t="s">
        <v>672</v>
      </c>
      <c r="D58" s="50" t="s">
        <v>608</v>
      </c>
      <c r="E58" s="146" t="s">
        <v>643</v>
      </c>
      <c r="F58" s="52">
        <v>6</v>
      </c>
      <c r="G58" s="63"/>
      <c r="H58" s="146"/>
      <c r="I58" s="80">
        <f>AVERAGE(K58,J58,O58,P58,X58)</f>
        <v>5.2</v>
      </c>
      <c r="J58" s="260">
        <v>6</v>
      </c>
      <c r="K58" s="61">
        <v>6</v>
      </c>
      <c r="L58" s="53"/>
      <c r="M58" s="61"/>
      <c r="N58" s="53"/>
      <c r="O58" s="53">
        <v>4</v>
      </c>
      <c r="P58" s="53">
        <v>5</v>
      </c>
      <c r="Q58" s="53"/>
      <c r="R58" s="53" t="s">
        <v>641</v>
      </c>
      <c r="S58" s="53"/>
      <c r="T58" s="53"/>
      <c r="U58" s="53"/>
      <c r="V58" s="53"/>
      <c r="W58" s="53"/>
      <c r="X58" s="53">
        <v>5</v>
      </c>
      <c r="Y58" s="53"/>
      <c r="Z58" s="53"/>
      <c r="AA58" s="53"/>
      <c r="AB58" s="53"/>
      <c r="AC58" s="53"/>
      <c r="AD58" s="53"/>
      <c r="AE58" s="63"/>
      <c r="AF58" s="63"/>
      <c r="AG58" s="53"/>
      <c r="AH58" s="53"/>
      <c r="AI58" s="53"/>
      <c r="AJ58" s="53"/>
      <c r="AK58" s="53"/>
      <c r="AL58" s="53"/>
      <c r="AM58" s="53"/>
      <c r="AN58" s="63"/>
      <c r="AO58" s="53"/>
      <c r="AP58" s="53"/>
      <c r="AQ58" s="63"/>
      <c r="AR58">
        <f t="shared" si="3"/>
        <v>6</v>
      </c>
    </row>
    <row r="59" spans="2:44" x14ac:dyDescent="0.25">
      <c r="B59" t="str">
        <f t="shared" si="2"/>
        <v>OL - Lacazette</v>
      </c>
      <c r="C59" t="s">
        <v>672</v>
      </c>
      <c r="D59" s="29" t="s">
        <v>633</v>
      </c>
      <c r="E59" s="73" t="s">
        <v>45</v>
      </c>
      <c r="F59" s="31">
        <v>27</v>
      </c>
      <c r="G59" s="99"/>
      <c r="H59" s="73">
        <v>14</v>
      </c>
      <c r="I59" s="34">
        <f>AVERAGE(Y59,X59,K59,L59,J59,N59,O59,P59,R59,S59,T59,U59,V59,W59,Z59,AC59,AD59,AE59,AF59,AG59,AH59,AI59,AJ59,AK59,AL59,AM59,AN59)</f>
        <v>5.4074074074074074</v>
      </c>
      <c r="J59" s="116">
        <v>4</v>
      </c>
      <c r="K59" s="76">
        <v>4</v>
      </c>
      <c r="L59" s="37">
        <v>5</v>
      </c>
      <c r="M59" s="77"/>
      <c r="N59" s="24">
        <v>5</v>
      </c>
      <c r="O59" s="22">
        <v>6</v>
      </c>
      <c r="P59" s="23">
        <v>5</v>
      </c>
      <c r="Q59" s="24"/>
      <c r="R59" s="22">
        <v>6</v>
      </c>
      <c r="S59" s="23">
        <v>5</v>
      </c>
      <c r="T59" s="24">
        <v>5</v>
      </c>
      <c r="U59" s="23">
        <v>5</v>
      </c>
      <c r="V59" s="25">
        <v>9</v>
      </c>
      <c r="W59" s="24">
        <v>4</v>
      </c>
      <c r="X59" s="22">
        <v>5</v>
      </c>
      <c r="Y59" s="23">
        <v>5</v>
      </c>
      <c r="Z59" s="23">
        <v>4</v>
      </c>
      <c r="AA59" s="22"/>
      <c r="AB59" s="22"/>
      <c r="AC59" s="22">
        <v>6</v>
      </c>
      <c r="AD59" s="23">
        <v>4</v>
      </c>
      <c r="AE59" s="143">
        <v>5</v>
      </c>
      <c r="AF59" s="143">
        <v>4</v>
      </c>
      <c r="AG59" s="25">
        <v>8</v>
      </c>
      <c r="AH59" s="24">
        <v>4</v>
      </c>
      <c r="AI59" s="22">
        <v>6</v>
      </c>
      <c r="AJ59" s="24">
        <v>4</v>
      </c>
      <c r="AK59" s="83">
        <v>7</v>
      </c>
      <c r="AL59" s="25">
        <v>8</v>
      </c>
      <c r="AM59" s="25">
        <v>7</v>
      </c>
      <c r="AN59" s="28">
        <v>6</v>
      </c>
      <c r="AO59" s="22"/>
      <c r="AP59" s="24"/>
      <c r="AQ59" s="28"/>
      <c r="AR59">
        <f t="shared" si="3"/>
        <v>27</v>
      </c>
    </row>
    <row r="60" spans="2:44" x14ac:dyDescent="0.25">
      <c r="B60" t="str">
        <f t="shared" si="2"/>
        <v>OL - Rafael</v>
      </c>
      <c r="C60" t="s">
        <v>672</v>
      </c>
      <c r="D60" s="29" t="s">
        <v>608</v>
      </c>
      <c r="E60" s="113" t="s">
        <v>644</v>
      </c>
      <c r="F60" s="31">
        <v>15</v>
      </c>
      <c r="G60" s="99">
        <v>2</v>
      </c>
      <c r="H60" s="114" t="s">
        <v>938</v>
      </c>
      <c r="I60" s="34">
        <f>AVERAGE(K60,L60,M60,J60,S60,V60,W60,X60,AA60,AK60,AL60,AM60,AN60)</f>
        <v>5.0769230769230766</v>
      </c>
      <c r="J60" s="101">
        <v>5</v>
      </c>
      <c r="K60" s="37">
        <v>5</v>
      </c>
      <c r="L60" s="24">
        <v>4</v>
      </c>
      <c r="M60" s="37">
        <v>5</v>
      </c>
      <c r="N60" s="37" t="s">
        <v>611</v>
      </c>
      <c r="O60" s="24"/>
      <c r="P60" s="24"/>
      <c r="Q60" s="24"/>
      <c r="R60" s="24"/>
      <c r="S60" s="22">
        <v>6</v>
      </c>
      <c r="T60" s="24"/>
      <c r="U60" s="37" t="s">
        <v>611</v>
      </c>
      <c r="V60" s="24">
        <v>5</v>
      </c>
      <c r="W60" s="24">
        <v>5</v>
      </c>
      <c r="X60" s="24">
        <v>5</v>
      </c>
      <c r="Y60" s="37" t="s">
        <v>645</v>
      </c>
      <c r="Z60" s="24"/>
      <c r="AA60" s="24">
        <v>5</v>
      </c>
      <c r="AB60" s="24" t="s">
        <v>641</v>
      </c>
      <c r="AC60" s="24"/>
      <c r="AD60" s="24"/>
      <c r="AE60" s="27"/>
      <c r="AF60" s="27"/>
      <c r="AG60" s="24"/>
      <c r="AH60" s="24"/>
      <c r="AI60" s="24"/>
      <c r="AJ60" s="24"/>
      <c r="AK60" s="24">
        <v>6</v>
      </c>
      <c r="AL60" s="24">
        <v>5</v>
      </c>
      <c r="AM60" s="24">
        <v>5</v>
      </c>
      <c r="AN60" s="27">
        <v>5</v>
      </c>
      <c r="AO60" s="24"/>
      <c r="AP60" s="24"/>
      <c r="AQ60" s="27"/>
      <c r="AR60">
        <f t="shared" si="3"/>
        <v>17</v>
      </c>
    </row>
    <row r="61" spans="2:44" x14ac:dyDescent="0.25">
      <c r="B61" t="str">
        <f t="shared" si="2"/>
        <v>OL - Yanga-Mbiwa</v>
      </c>
      <c r="C61" t="s">
        <v>672</v>
      </c>
      <c r="D61" s="29" t="s">
        <v>608</v>
      </c>
      <c r="E61" s="78" t="s">
        <v>646</v>
      </c>
      <c r="F61" s="31">
        <v>20</v>
      </c>
      <c r="G61" s="99"/>
      <c r="H61" s="114" t="s">
        <v>647</v>
      </c>
      <c r="I61" s="34">
        <f>AVERAGE(L61,M61,N61,S61,U61,V61,W61,AA61,AB61,AC61,AD61,AE61,AF61,AG61,AH61,AI61,AJ61,AK61,AL61,AN61)</f>
        <v>5.0999999999999996</v>
      </c>
      <c r="J61" s="101"/>
      <c r="K61" s="37"/>
      <c r="L61" s="24">
        <v>4</v>
      </c>
      <c r="M61" s="37">
        <v>5</v>
      </c>
      <c r="N61" s="24">
        <v>6</v>
      </c>
      <c r="O61" s="24"/>
      <c r="P61" s="24"/>
      <c r="Q61" s="24"/>
      <c r="R61" s="24"/>
      <c r="S61" s="24">
        <v>4</v>
      </c>
      <c r="T61" s="24"/>
      <c r="U61" s="24">
        <v>6</v>
      </c>
      <c r="V61" s="24">
        <v>5</v>
      </c>
      <c r="W61" s="24">
        <v>4</v>
      </c>
      <c r="X61" s="24"/>
      <c r="Y61" s="24"/>
      <c r="Z61" s="24"/>
      <c r="AA61" s="82">
        <v>2</v>
      </c>
      <c r="AB61" s="24">
        <v>5</v>
      </c>
      <c r="AC61" s="24">
        <v>5</v>
      </c>
      <c r="AD61" s="24">
        <v>5</v>
      </c>
      <c r="AE61" s="27">
        <v>5</v>
      </c>
      <c r="AF61" s="27">
        <v>5</v>
      </c>
      <c r="AG61" s="24">
        <v>6</v>
      </c>
      <c r="AH61" s="24">
        <v>6</v>
      </c>
      <c r="AI61" s="24">
        <v>6</v>
      </c>
      <c r="AJ61" s="24">
        <v>5</v>
      </c>
      <c r="AK61" s="24">
        <v>5</v>
      </c>
      <c r="AL61" s="24">
        <v>6</v>
      </c>
      <c r="AM61" s="24"/>
      <c r="AN61" s="165">
        <v>7</v>
      </c>
      <c r="AO61" s="24"/>
      <c r="AP61" s="24"/>
      <c r="AQ61" s="27"/>
      <c r="AR61">
        <f t="shared" si="3"/>
        <v>20</v>
      </c>
    </row>
    <row r="62" spans="2:44" x14ac:dyDescent="0.25">
      <c r="B62" t="str">
        <f t="shared" si="2"/>
        <v>OL - S. Umtiti</v>
      </c>
      <c r="C62" t="s">
        <v>672</v>
      </c>
      <c r="D62" s="67" t="s">
        <v>608</v>
      </c>
      <c r="E62" s="68" t="s">
        <v>648</v>
      </c>
      <c r="F62" s="69">
        <v>23</v>
      </c>
      <c r="G62" s="115"/>
      <c r="H62" s="68">
        <v>1</v>
      </c>
      <c r="I62" s="72">
        <f>AVERAGE(K62,L62,M62,J62,N62,O62,P62,Q62,R62,S62,T62,V62,AC62,AD62,AE62,AF62,AG62,AH62,AI62,AJ62,AL62,AM62,AN62)</f>
        <v>5.5217391304347823</v>
      </c>
      <c r="J62" s="101">
        <v>5</v>
      </c>
      <c r="K62" s="37">
        <v>6</v>
      </c>
      <c r="L62" s="24">
        <v>5</v>
      </c>
      <c r="M62" s="37">
        <v>6</v>
      </c>
      <c r="N62" s="24">
        <v>6</v>
      </c>
      <c r="O62" s="23">
        <v>5</v>
      </c>
      <c r="P62" s="24">
        <v>5</v>
      </c>
      <c r="Q62" s="24">
        <v>4</v>
      </c>
      <c r="R62" s="24">
        <v>6</v>
      </c>
      <c r="S62" s="24">
        <v>5</v>
      </c>
      <c r="T62" s="24">
        <v>6</v>
      </c>
      <c r="U62" s="24"/>
      <c r="V62" s="24">
        <v>5</v>
      </c>
      <c r="W62" s="24"/>
      <c r="X62" s="24"/>
      <c r="Y62" s="24"/>
      <c r="Z62" s="24"/>
      <c r="AA62" s="24"/>
      <c r="AB62" s="24"/>
      <c r="AC62" s="24">
        <v>5</v>
      </c>
      <c r="AD62" s="24">
        <v>5</v>
      </c>
      <c r="AE62" s="27">
        <v>6</v>
      </c>
      <c r="AF62" s="27">
        <v>5</v>
      </c>
      <c r="AG62" s="24">
        <v>6</v>
      </c>
      <c r="AH62" s="24">
        <v>6</v>
      </c>
      <c r="AI62" s="25">
        <v>7</v>
      </c>
      <c r="AJ62" s="24">
        <v>5</v>
      </c>
      <c r="AK62" s="24"/>
      <c r="AL62" s="24">
        <v>6</v>
      </c>
      <c r="AM62" s="24">
        <v>6</v>
      </c>
      <c r="AN62" s="27">
        <v>6</v>
      </c>
      <c r="AO62" s="24"/>
      <c r="AP62" s="24"/>
      <c r="AQ62" s="27"/>
      <c r="AR62">
        <f t="shared" si="3"/>
        <v>23</v>
      </c>
    </row>
    <row r="63" spans="2:44" x14ac:dyDescent="0.25">
      <c r="B63" t="str">
        <f t="shared" si="2"/>
        <v>OL - G. Fofana</v>
      </c>
      <c r="C63" t="s">
        <v>672</v>
      </c>
      <c r="D63" s="29" t="s">
        <v>622</v>
      </c>
      <c r="E63" s="73" t="s">
        <v>649</v>
      </c>
      <c r="F63" s="31"/>
      <c r="G63" s="99"/>
      <c r="H63" s="73"/>
      <c r="I63" s="34"/>
      <c r="J63" s="101"/>
      <c r="K63" s="37"/>
      <c r="L63" s="24"/>
      <c r="M63" s="37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7"/>
      <c r="AF63" s="48"/>
      <c r="AG63" s="24"/>
      <c r="AH63" s="24"/>
      <c r="AI63" s="24"/>
      <c r="AJ63" s="24"/>
      <c r="AK63" s="24"/>
      <c r="AL63" s="24"/>
      <c r="AM63" s="24"/>
      <c r="AN63" s="27"/>
      <c r="AO63" s="24"/>
      <c r="AP63" s="24"/>
      <c r="AQ63" s="27"/>
      <c r="AR63">
        <f t="shared" si="3"/>
        <v>0</v>
      </c>
    </row>
    <row r="64" spans="2:44" x14ac:dyDescent="0.25">
      <c r="B64" t="str">
        <f t="shared" si="2"/>
        <v>OL - C. Grenier</v>
      </c>
      <c r="C64" t="s">
        <v>672</v>
      </c>
      <c r="D64" s="29" t="s">
        <v>622</v>
      </c>
      <c r="E64" s="73" t="s">
        <v>650</v>
      </c>
      <c r="F64" s="31">
        <v>9</v>
      </c>
      <c r="G64" s="99">
        <v>4</v>
      </c>
      <c r="H64" s="73">
        <v>1</v>
      </c>
      <c r="I64" s="34">
        <f>AVERAGE(AA64,AB64,AC64,AD64,AE64,AG64,AH64,AF64,AJ64,AL64)</f>
        <v>5.2</v>
      </c>
      <c r="J64" s="101"/>
      <c r="K64" s="37"/>
      <c r="L64" s="24"/>
      <c r="M64" s="37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37" t="s">
        <v>611</v>
      </c>
      <c r="Y64" s="24"/>
      <c r="Z64" s="37" t="s">
        <v>611</v>
      </c>
      <c r="AA64" s="24">
        <v>4</v>
      </c>
      <c r="AB64" s="77">
        <v>6</v>
      </c>
      <c r="AC64" s="66">
        <v>7</v>
      </c>
      <c r="AD64" s="24">
        <v>4</v>
      </c>
      <c r="AE64" s="27">
        <v>5</v>
      </c>
      <c r="AF64" s="87">
        <v>4</v>
      </c>
      <c r="AG64" s="24">
        <v>6</v>
      </c>
      <c r="AH64" s="24">
        <v>5</v>
      </c>
      <c r="AI64" s="24"/>
      <c r="AJ64" s="24">
        <v>5</v>
      </c>
      <c r="AK64" s="24"/>
      <c r="AL64" s="24">
        <v>6</v>
      </c>
      <c r="AM64" s="37" t="s">
        <v>611</v>
      </c>
      <c r="AN64" s="27"/>
      <c r="AO64" s="37"/>
      <c r="AP64" s="37"/>
      <c r="AQ64" s="27"/>
      <c r="AR64">
        <f t="shared" si="3"/>
        <v>13</v>
      </c>
    </row>
    <row r="65" spans="1:44" x14ac:dyDescent="0.25">
      <c r="B65" t="str">
        <f t="shared" si="2"/>
        <v>OL - Ghezzal</v>
      </c>
      <c r="C65" t="s">
        <v>672</v>
      </c>
      <c r="D65" s="29" t="s">
        <v>622</v>
      </c>
      <c r="E65" s="73" t="s">
        <v>651</v>
      </c>
      <c r="F65" s="31">
        <v>10</v>
      </c>
      <c r="G65" s="99">
        <v>13</v>
      </c>
      <c r="H65" s="73">
        <v>5</v>
      </c>
      <c r="I65" s="34">
        <f>AVERAGE(S65,AC65,AD65,AE65,AF65,AH65,AJ65,AK65,AL65,AM65,AN65)</f>
        <v>6.1818181818181817</v>
      </c>
      <c r="J65" s="101" t="s">
        <v>611</v>
      </c>
      <c r="K65" s="37" t="s">
        <v>611</v>
      </c>
      <c r="L65" s="37" t="s">
        <v>611</v>
      </c>
      <c r="M65" s="37"/>
      <c r="N65" s="24"/>
      <c r="O65" s="24"/>
      <c r="P65" s="24"/>
      <c r="Q65" s="37" t="s">
        <v>611</v>
      </c>
      <c r="R65" s="37" t="s">
        <v>611</v>
      </c>
      <c r="S65" s="24">
        <v>6</v>
      </c>
      <c r="T65" s="37" t="s">
        <v>611</v>
      </c>
      <c r="U65" s="37"/>
      <c r="V65" s="37"/>
      <c r="W65" s="24"/>
      <c r="X65" s="77" t="s">
        <v>611</v>
      </c>
      <c r="Y65" s="37" t="s">
        <v>611</v>
      </c>
      <c r="Z65" s="37"/>
      <c r="AA65" s="37" t="s">
        <v>611</v>
      </c>
      <c r="AB65" s="37" t="s">
        <v>611</v>
      </c>
      <c r="AC65" s="25">
        <v>7</v>
      </c>
      <c r="AD65" s="24">
        <v>5</v>
      </c>
      <c r="AE65" s="27">
        <v>6</v>
      </c>
      <c r="AF65" s="87">
        <v>4</v>
      </c>
      <c r="AG65" s="37" t="s">
        <v>611</v>
      </c>
      <c r="AH65" s="25">
        <v>7</v>
      </c>
      <c r="AI65" s="37" t="s">
        <v>611</v>
      </c>
      <c r="AJ65" s="24">
        <v>4</v>
      </c>
      <c r="AK65" s="37">
        <v>6</v>
      </c>
      <c r="AL65" s="25">
        <v>9</v>
      </c>
      <c r="AM65" s="25">
        <v>8</v>
      </c>
      <c r="AN65" s="26">
        <v>6</v>
      </c>
      <c r="AO65" s="24"/>
      <c r="AP65" s="37"/>
      <c r="AQ65" s="27"/>
      <c r="AR65">
        <f t="shared" si="3"/>
        <v>23</v>
      </c>
    </row>
    <row r="66" spans="1:44" x14ac:dyDescent="0.25">
      <c r="B66" t="str">
        <f t="shared" si="2"/>
        <v>PSG - Cavani</v>
      </c>
      <c r="C66" t="s">
        <v>673</v>
      </c>
      <c r="D66" s="29" t="s">
        <v>633</v>
      </c>
      <c r="E66" t="s">
        <v>106</v>
      </c>
      <c r="F66" s="31">
        <v>21</v>
      </c>
      <c r="G66" s="99">
        <v>6</v>
      </c>
      <c r="H66" s="73">
        <v>14</v>
      </c>
      <c r="I66" s="34">
        <f>AVERAGE(AA66,Z66,K66,L66,M66,J66,N66,P66,R66,S66,T66,V66,X66,Y66,AD66,AG66,AI66,AJ66,AK66,AL66,AM66,AN66)</f>
        <v>5.4545454545454541</v>
      </c>
      <c r="J66" s="38">
        <v>5</v>
      </c>
      <c r="K66" s="76">
        <v>5</v>
      </c>
      <c r="L66" s="37">
        <v>4</v>
      </c>
      <c r="M66" s="75">
        <v>8</v>
      </c>
      <c r="N66" s="25">
        <v>8</v>
      </c>
      <c r="O66" s="22" t="s">
        <v>611</v>
      </c>
      <c r="P66" s="24">
        <v>5</v>
      </c>
      <c r="Q66" s="77" t="s">
        <v>611</v>
      </c>
      <c r="R66" s="24">
        <v>4</v>
      </c>
      <c r="S66" s="23">
        <v>6</v>
      </c>
      <c r="T66" s="25">
        <v>7</v>
      </c>
      <c r="U66" s="22"/>
      <c r="V66" s="23">
        <v>5</v>
      </c>
      <c r="W66" s="37"/>
      <c r="X66" s="22">
        <v>6</v>
      </c>
      <c r="Y66" s="23">
        <v>5</v>
      </c>
      <c r="Z66" s="75">
        <v>7</v>
      </c>
      <c r="AA66" s="22">
        <v>6</v>
      </c>
      <c r="AB66" s="24"/>
      <c r="AC66" s="24"/>
      <c r="AD66" s="76">
        <v>4</v>
      </c>
      <c r="AE66" s="26" t="s">
        <v>611</v>
      </c>
      <c r="AF66" s="26" t="s">
        <v>611</v>
      </c>
      <c r="AG66" s="22">
        <v>6</v>
      </c>
      <c r="AH66" s="37" t="s">
        <v>611</v>
      </c>
      <c r="AI66" s="82">
        <v>3</v>
      </c>
      <c r="AJ66" s="25">
        <v>7</v>
      </c>
      <c r="AK66" s="37">
        <v>4</v>
      </c>
      <c r="AL66" s="172">
        <v>3</v>
      </c>
      <c r="AM66" s="25">
        <v>8</v>
      </c>
      <c r="AN66" s="27">
        <v>4</v>
      </c>
      <c r="AO66" s="22"/>
      <c r="AP66" s="22"/>
      <c r="AQ66" s="28"/>
      <c r="AR66">
        <f t="shared" si="3"/>
        <v>27</v>
      </c>
    </row>
    <row r="67" spans="1:44" x14ac:dyDescent="0.25">
      <c r="B67" t="str">
        <f t="shared" si="2"/>
        <v>OL - Malbranque</v>
      </c>
      <c r="C67" t="s">
        <v>672</v>
      </c>
      <c r="D67" s="29" t="s">
        <v>622</v>
      </c>
      <c r="E67" s="30" t="s">
        <v>652</v>
      </c>
      <c r="F67" s="31">
        <v>5</v>
      </c>
      <c r="G67" s="99">
        <v>7</v>
      </c>
      <c r="H67" s="73"/>
      <c r="I67" s="34">
        <f>AVERAGE(J67,P67,Y67,Z67,AB67)</f>
        <v>4.8</v>
      </c>
      <c r="J67" s="116">
        <v>5</v>
      </c>
      <c r="K67" s="37"/>
      <c r="L67" s="24"/>
      <c r="M67" s="37"/>
      <c r="N67" s="24"/>
      <c r="O67" s="24"/>
      <c r="P67" s="24">
        <v>5</v>
      </c>
      <c r="Q67" s="37" t="s">
        <v>611</v>
      </c>
      <c r="R67" s="37" t="s">
        <v>611</v>
      </c>
      <c r="S67" s="77"/>
      <c r="T67" s="37" t="s">
        <v>611</v>
      </c>
      <c r="U67" s="24"/>
      <c r="V67" s="24" t="s">
        <v>641</v>
      </c>
      <c r="W67" s="37" t="s">
        <v>611</v>
      </c>
      <c r="X67" s="24"/>
      <c r="Y67" s="24">
        <v>5</v>
      </c>
      <c r="Z67" s="24">
        <v>4</v>
      </c>
      <c r="AA67" s="37" t="s">
        <v>611</v>
      </c>
      <c r="AB67" s="24">
        <v>5</v>
      </c>
      <c r="AC67" s="37"/>
      <c r="AD67" s="37"/>
      <c r="AE67" s="27"/>
      <c r="AF67" s="48"/>
      <c r="AG67" s="37"/>
      <c r="AH67" s="24"/>
      <c r="AI67" s="37"/>
      <c r="AJ67" s="37"/>
      <c r="AK67" s="37"/>
      <c r="AL67" s="37" t="s">
        <v>611</v>
      </c>
      <c r="AM67" s="37"/>
      <c r="AN67" s="27"/>
      <c r="AO67" s="24"/>
      <c r="AP67" s="24"/>
      <c r="AQ67" s="26"/>
      <c r="AR67">
        <f t="shared" si="3"/>
        <v>12</v>
      </c>
    </row>
    <row r="68" spans="1:44" x14ac:dyDescent="0.25">
      <c r="B68" t="str">
        <f t="shared" si="2"/>
        <v>OM - Batshuayi</v>
      </c>
      <c r="C68" t="s">
        <v>671</v>
      </c>
      <c r="D68" s="29" t="s">
        <v>633</v>
      </c>
      <c r="E68" s="60" t="s">
        <v>634</v>
      </c>
      <c r="F68" s="31">
        <v>28</v>
      </c>
      <c r="G68" s="99">
        <v>2</v>
      </c>
      <c r="H68" s="73">
        <v>13</v>
      </c>
      <c r="I68" s="34">
        <f>AVERAGE(AB68,X68,K68,L68,M68,J68,N68,O68,Q68,R68,S68,T68,U68,V68,W68,Y68,Z68,AA68,AC68,AD68,AE68,AF68,AH68,AI68,AL68,AK68,AM68,AN68)</f>
        <v>5.2857142857142856</v>
      </c>
      <c r="J68" s="101">
        <v>4</v>
      </c>
      <c r="K68" s="37">
        <v>4</v>
      </c>
      <c r="L68" s="25">
        <v>8</v>
      </c>
      <c r="M68" s="37">
        <v>5</v>
      </c>
      <c r="N68" s="25">
        <v>7</v>
      </c>
      <c r="O68" s="24">
        <v>5</v>
      </c>
      <c r="P68" s="77" t="s">
        <v>611</v>
      </c>
      <c r="Q68" s="22">
        <v>6</v>
      </c>
      <c r="R68" s="25">
        <v>7</v>
      </c>
      <c r="S68" s="22">
        <v>6</v>
      </c>
      <c r="T68" s="22">
        <v>6</v>
      </c>
      <c r="U68" s="24">
        <v>6</v>
      </c>
      <c r="V68" s="37">
        <v>4</v>
      </c>
      <c r="W68" s="75">
        <v>7</v>
      </c>
      <c r="X68" s="22">
        <v>6</v>
      </c>
      <c r="Y68" s="37">
        <v>5</v>
      </c>
      <c r="Z68" s="24">
        <v>5</v>
      </c>
      <c r="AA68" s="77">
        <v>6</v>
      </c>
      <c r="AB68" s="23">
        <v>4</v>
      </c>
      <c r="AC68" s="172">
        <v>3</v>
      </c>
      <c r="AD68" s="25">
        <v>7</v>
      </c>
      <c r="AE68" s="27">
        <v>5</v>
      </c>
      <c r="AF68" s="37">
        <v>4</v>
      </c>
      <c r="AG68" s="24"/>
      <c r="AH68" s="24">
        <v>4</v>
      </c>
      <c r="AI68" s="241">
        <v>3</v>
      </c>
      <c r="AJ68" s="77" t="s">
        <v>611</v>
      </c>
      <c r="AK68" s="23">
        <v>6</v>
      </c>
      <c r="AL68" s="37">
        <v>5</v>
      </c>
      <c r="AM68" s="23">
        <v>6</v>
      </c>
      <c r="AN68" s="26">
        <v>4</v>
      </c>
      <c r="AO68" s="37"/>
      <c r="AP68" s="24"/>
      <c r="AQ68" s="94"/>
      <c r="AR68">
        <f t="shared" si="3"/>
        <v>30</v>
      </c>
    </row>
    <row r="69" spans="1:44" x14ac:dyDescent="0.25">
      <c r="A69">
        <v>0</v>
      </c>
      <c r="B69" t="str">
        <f t="shared" si="2"/>
        <v>OGCN - Ben Arfa</v>
      </c>
      <c r="C69" t="s">
        <v>696</v>
      </c>
      <c r="D69" s="252" t="s">
        <v>622</v>
      </c>
      <c r="E69" s="78" t="s">
        <v>267</v>
      </c>
      <c r="F69" s="31">
        <v>26</v>
      </c>
      <c r="G69" s="99">
        <v>1</v>
      </c>
      <c r="H69" s="73">
        <v>12</v>
      </c>
      <c r="I69" s="34">
        <f>AVERAGE(AB69,AA69,Z69,X69,K69,L69,M69,J69,N69,O69,P69,Q69,S69,T69,U69,R69,V69,W69,AC69,AD69,AE69,AF69,AG69,AH69,AM69,AN69)</f>
        <v>5.4230769230769234</v>
      </c>
      <c r="J69" s="48">
        <v>4</v>
      </c>
      <c r="K69" s="25">
        <v>7</v>
      </c>
      <c r="L69" s="25">
        <v>7</v>
      </c>
      <c r="M69" s="24">
        <v>6</v>
      </c>
      <c r="N69" s="24">
        <v>5</v>
      </c>
      <c r="O69" s="37">
        <v>4</v>
      </c>
      <c r="P69" s="25">
        <v>7</v>
      </c>
      <c r="Q69" s="25">
        <v>8</v>
      </c>
      <c r="R69" s="24">
        <v>5</v>
      </c>
      <c r="S69" s="25">
        <v>8</v>
      </c>
      <c r="T69" s="24">
        <v>4</v>
      </c>
      <c r="U69" s="37">
        <v>5</v>
      </c>
      <c r="V69" s="24">
        <v>5</v>
      </c>
      <c r="W69" s="24">
        <v>5</v>
      </c>
      <c r="X69" s="24">
        <v>4</v>
      </c>
      <c r="Y69" s="24"/>
      <c r="Z69" s="24">
        <v>4</v>
      </c>
      <c r="AA69" s="24">
        <v>4</v>
      </c>
      <c r="AB69" s="24">
        <v>5</v>
      </c>
      <c r="AC69" s="24">
        <v>4</v>
      </c>
      <c r="AD69" s="25">
        <v>7</v>
      </c>
      <c r="AE69" s="28">
        <v>6</v>
      </c>
      <c r="AF69" s="24">
        <v>4</v>
      </c>
      <c r="AG69" s="22">
        <v>5</v>
      </c>
      <c r="AH69" s="24">
        <v>4</v>
      </c>
      <c r="AI69" s="24"/>
      <c r="AJ69" s="24"/>
      <c r="AK69" s="37"/>
      <c r="AL69" s="37" t="s">
        <v>611</v>
      </c>
      <c r="AM69" s="37">
        <v>6</v>
      </c>
      <c r="AN69" s="254">
        <v>8</v>
      </c>
      <c r="AO69" s="24"/>
      <c r="AP69" s="24"/>
      <c r="AQ69" s="27"/>
      <c r="AR69">
        <f t="shared" si="3"/>
        <v>27</v>
      </c>
    </row>
    <row r="70" spans="1:44" x14ac:dyDescent="0.25">
      <c r="B70" t="str">
        <f t="shared" si="2"/>
        <v>OL - Mvuemba</v>
      </c>
      <c r="C70" t="s">
        <v>672</v>
      </c>
      <c r="D70" s="29" t="s">
        <v>622</v>
      </c>
      <c r="E70" s="73" t="s">
        <v>654</v>
      </c>
      <c r="F70" s="31">
        <v>3</v>
      </c>
      <c r="G70" s="99">
        <v>3</v>
      </c>
      <c r="H70" s="73"/>
      <c r="I70" s="34">
        <f>AVERAGE(Q70,Y70,Z70)</f>
        <v>4.666666666666667</v>
      </c>
      <c r="J70" s="112" t="s">
        <v>611</v>
      </c>
      <c r="K70" s="79"/>
      <c r="L70" s="24"/>
      <c r="M70" s="37" t="s">
        <v>611</v>
      </c>
      <c r="N70" s="24"/>
      <c r="O70" s="24"/>
      <c r="P70" s="37" t="s">
        <v>611</v>
      </c>
      <c r="Q70" s="37">
        <v>4</v>
      </c>
      <c r="R70" s="24"/>
      <c r="S70" s="37"/>
      <c r="T70" s="37"/>
      <c r="U70" s="37"/>
      <c r="V70" s="37"/>
      <c r="W70" s="24"/>
      <c r="X70" s="37"/>
      <c r="Y70" s="24">
        <v>6</v>
      </c>
      <c r="Z70" s="24">
        <v>4</v>
      </c>
      <c r="AA70" s="37"/>
      <c r="AB70" s="24"/>
      <c r="AC70" s="24"/>
      <c r="AD70" s="37"/>
      <c r="AE70" s="27"/>
      <c r="AF70" s="48"/>
      <c r="AG70" s="37"/>
      <c r="AH70" s="24"/>
      <c r="AI70" s="24"/>
      <c r="AJ70" s="24"/>
      <c r="AK70" s="24"/>
      <c r="AL70" s="24"/>
      <c r="AM70" s="24"/>
      <c r="AN70" s="27"/>
      <c r="AO70" s="24"/>
      <c r="AP70" s="24"/>
      <c r="AQ70" s="27"/>
      <c r="AR70">
        <f t="shared" si="3"/>
        <v>6</v>
      </c>
    </row>
    <row r="71" spans="1:44" x14ac:dyDescent="0.25">
      <c r="B71" t="str">
        <f t="shared" si="2"/>
        <v>OL - Fekir</v>
      </c>
      <c r="C71" t="s">
        <v>672</v>
      </c>
      <c r="D71" s="29" t="s">
        <v>622</v>
      </c>
      <c r="E71" s="73" t="s">
        <v>459</v>
      </c>
      <c r="F71" s="31">
        <v>4</v>
      </c>
      <c r="G71" s="99"/>
      <c r="H71" s="73">
        <v>4</v>
      </c>
      <c r="I71" s="34">
        <f>AVERAGE(K71,L71,M71,J71)</f>
        <v>6.75</v>
      </c>
      <c r="J71" s="117">
        <v>7</v>
      </c>
      <c r="K71" s="37">
        <v>5</v>
      </c>
      <c r="L71" s="22">
        <v>6</v>
      </c>
      <c r="M71" s="75">
        <v>9</v>
      </c>
      <c r="N71" s="22"/>
      <c r="O71" s="24"/>
      <c r="P71" s="22"/>
      <c r="Q71" s="24"/>
      <c r="R71" s="24"/>
      <c r="S71" s="22"/>
      <c r="T71" s="24"/>
      <c r="U71" s="22"/>
      <c r="V71" s="22"/>
      <c r="W71" s="24"/>
      <c r="X71" s="24"/>
      <c r="Y71" s="24"/>
      <c r="Z71" s="24"/>
      <c r="AA71" s="23"/>
      <c r="AB71" s="22"/>
      <c r="AC71" s="22"/>
      <c r="AD71" s="24"/>
      <c r="AE71" s="27"/>
      <c r="AF71" s="48"/>
      <c r="AG71" s="24"/>
      <c r="AH71" s="24"/>
      <c r="AI71" s="22"/>
      <c r="AJ71" s="24"/>
      <c r="AK71" s="22"/>
      <c r="AL71" s="24"/>
      <c r="AM71" s="24"/>
      <c r="AN71" s="28"/>
      <c r="AO71" s="24"/>
      <c r="AP71" s="24"/>
      <c r="AQ71" s="27"/>
      <c r="AR71">
        <f t="shared" si="3"/>
        <v>4</v>
      </c>
    </row>
    <row r="72" spans="1:44" x14ac:dyDescent="0.25">
      <c r="B72" t="str">
        <f t="shared" si="2"/>
        <v>OL - Valbuena</v>
      </c>
      <c r="C72" t="s">
        <v>672</v>
      </c>
      <c r="D72" s="29" t="s">
        <v>622</v>
      </c>
      <c r="E72" s="73" t="s">
        <v>293</v>
      </c>
      <c r="F72" s="31">
        <v>20</v>
      </c>
      <c r="G72" s="99">
        <v>1</v>
      </c>
      <c r="H72" s="73">
        <v>1</v>
      </c>
      <c r="I72" s="34">
        <f>AVERAGE(X72,K72,L72,M72,N72,O72,Q72,R72,S72,T72,U72,V72,W72,Z72,AE72,AF72,AG72,AH72,AI72,AJ72)</f>
        <v>5.4</v>
      </c>
      <c r="J72" s="112"/>
      <c r="K72" s="37">
        <v>4</v>
      </c>
      <c r="L72" s="24">
        <v>4</v>
      </c>
      <c r="M72" s="37">
        <v>6</v>
      </c>
      <c r="N72" s="83">
        <v>7</v>
      </c>
      <c r="O72" s="24">
        <v>5</v>
      </c>
      <c r="P72" s="22"/>
      <c r="Q72" s="24">
        <v>5</v>
      </c>
      <c r="R72" s="24">
        <v>5</v>
      </c>
      <c r="S72" s="23">
        <v>5</v>
      </c>
      <c r="T72" s="25">
        <v>8</v>
      </c>
      <c r="U72" s="83">
        <v>7</v>
      </c>
      <c r="V72" s="83">
        <v>7</v>
      </c>
      <c r="W72" s="24">
        <v>4</v>
      </c>
      <c r="X72" s="24">
        <v>5</v>
      </c>
      <c r="Y72" s="24"/>
      <c r="Z72" s="24">
        <v>5</v>
      </c>
      <c r="AA72" s="23"/>
      <c r="AB72" s="22"/>
      <c r="AC72" s="22"/>
      <c r="AD72" s="76" t="s">
        <v>611</v>
      </c>
      <c r="AE72" s="165">
        <v>7</v>
      </c>
      <c r="AF72" s="48">
        <v>4</v>
      </c>
      <c r="AG72" s="24">
        <v>4</v>
      </c>
      <c r="AH72" s="24">
        <v>6</v>
      </c>
      <c r="AI72" s="23">
        <v>6</v>
      </c>
      <c r="AJ72" s="24">
        <v>4</v>
      </c>
      <c r="AK72" s="22"/>
      <c r="AL72" s="24"/>
      <c r="AM72" s="24"/>
      <c r="AN72" s="28"/>
      <c r="AO72" s="24"/>
      <c r="AP72" s="24"/>
      <c r="AQ72" s="27"/>
      <c r="AR72">
        <f t="shared" si="3"/>
        <v>21</v>
      </c>
    </row>
    <row r="73" spans="1:44" x14ac:dyDescent="0.25">
      <c r="B73" t="str">
        <f t="shared" si="2"/>
        <v>OL - Darder</v>
      </c>
      <c r="C73" t="s">
        <v>672</v>
      </c>
      <c r="D73" s="29" t="s">
        <v>622</v>
      </c>
      <c r="E73" s="113" t="s">
        <v>289</v>
      </c>
      <c r="F73" s="31">
        <v>14</v>
      </c>
      <c r="G73" s="99">
        <v>7</v>
      </c>
      <c r="H73" s="73">
        <v>2</v>
      </c>
      <c r="I73" s="34">
        <f>AVERAGE(O73,P73,R73,S73,T73,U73,V73,W73,X73,AC73,AE73,AK73,AL73,AM73,AN73)</f>
        <v>5</v>
      </c>
      <c r="J73" s="112"/>
      <c r="K73" s="37"/>
      <c r="L73" s="24"/>
      <c r="M73" s="37"/>
      <c r="N73" s="22"/>
      <c r="O73" s="24">
        <v>4</v>
      </c>
      <c r="P73" s="23">
        <v>5</v>
      </c>
      <c r="Q73" s="24"/>
      <c r="R73" s="24">
        <v>4</v>
      </c>
      <c r="S73" s="23">
        <v>4</v>
      </c>
      <c r="T73" s="22">
        <v>6</v>
      </c>
      <c r="U73" s="23">
        <v>5</v>
      </c>
      <c r="V73" s="23">
        <v>5</v>
      </c>
      <c r="W73" s="24">
        <v>4</v>
      </c>
      <c r="X73" s="24">
        <v>5</v>
      </c>
      <c r="Y73" s="24"/>
      <c r="Z73" s="37" t="s">
        <v>611</v>
      </c>
      <c r="AA73" s="76" t="s">
        <v>611</v>
      </c>
      <c r="AB73" s="76" t="s">
        <v>611</v>
      </c>
      <c r="AC73" s="23">
        <v>6</v>
      </c>
      <c r="AD73" s="24"/>
      <c r="AE73" s="27">
        <v>6</v>
      </c>
      <c r="AF73" s="48"/>
      <c r="AG73" s="24"/>
      <c r="AH73" s="37" t="s">
        <v>611</v>
      </c>
      <c r="AI73" s="76" t="s">
        <v>611</v>
      </c>
      <c r="AJ73" s="37" t="s">
        <v>611</v>
      </c>
      <c r="AK73" s="22">
        <v>6</v>
      </c>
      <c r="AL73" s="24">
        <v>6</v>
      </c>
      <c r="AM73" s="24">
        <v>4</v>
      </c>
      <c r="AN73" s="143">
        <v>5</v>
      </c>
      <c r="AO73" s="24"/>
      <c r="AP73" s="24"/>
      <c r="AQ73" s="27"/>
      <c r="AR73">
        <f t="shared" si="3"/>
        <v>21</v>
      </c>
    </row>
    <row r="74" spans="1:44" x14ac:dyDescent="0.25">
      <c r="B74" t="str">
        <f t="shared" si="2"/>
        <v>OL - Tousart</v>
      </c>
      <c r="C74" t="s">
        <v>672</v>
      </c>
      <c r="D74" s="29" t="s">
        <v>622</v>
      </c>
      <c r="E74" s="113" t="s">
        <v>655</v>
      </c>
      <c r="F74" s="31">
        <v>1</v>
      </c>
      <c r="G74" s="99"/>
      <c r="H74" s="73"/>
      <c r="I74" s="34">
        <f>AVERAGE(Z74)</f>
        <v>5</v>
      </c>
      <c r="J74" s="112"/>
      <c r="K74" s="37"/>
      <c r="L74" s="24"/>
      <c r="M74" s="37"/>
      <c r="N74" s="22"/>
      <c r="O74" s="24"/>
      <c r="P74" s="22"/>
      <c r="Q74" s="24"/>
      <c r="R74" s="24"/>
      <c r="S74" s="23"/>
      <c r="T74" s="24"/>
      <c r="U74" s="22"/>
      <c r="V74" s="22"/>
      <c r="W74" s="24"/>
      <c r="X74" s="24"/>
      <c r="Y74" s="24"/>
      <c r="Z74" s="24">
        <v>5</v>
      </c>
      <c r="AA74" s="23"/>
      <c r="AB74" s="22"/>
      <c r="AC74" s="22"/>
      <c r="AD74" s="24"/>
      <c r="AE74" s="27"/>
      <c r="AF74" s="48"/>
      <c r="AG74" s="24"/>
      <c r="AH74" s="24"/>
      <c r="AI74" s="22"/>
      <c r="AJ74" s="24"/>
      <c r="AK74" s="22"/>
      <c r="AL74" s="24"/>
      <c r="AM74" s="24"/>
      <c r="AN74" s="28"/>
      <c r="AO74" s="24"/>
      <c r="AP74" s="24"/>
      <c r="AQ74" s="27"/>
      <c r="AR74">
        <f t="shared" si="3"/>
        <v>1</v>
      </c>
    </row>
    <row r="75" spans="1:44" x14ac:dyDescent="0.25">
      <c r="B75" t="str">
        <f t="shared" si="2"/>
        <v>OL - Kemen</v>
      </c>
      <c r="C75" t="s">
        <v>672</v>
      </c>
      <c r="D75" s="29" t="s">
        <v>622</v>
      </c>
      <c r="E75" s="113" t="s">
        <v>656</v>
      </c>
      <c r="F75" s="31"/>
      <c r="G75" s="99">
        <v>1</v>
      </c>
      <c r="H75" s="73"/>
      <c r="I75" s="34"/>
      <c r="J75" s="112"/>
      <c r="K75" s="37"/>
      <c r="L75" s="24"/>
      <c r="M75" s="37"/>
      <c r="N75" s="22"/>
      <c r="O75" s="24"/>
      <c r="P75" s="22"/>
      <c r="Q75" s="24"/>
      <c r="R75" s="24"/>
      <c r="S75" s="23"/>
      <c r="T75" s="24"/>
      <c r="U75" s="22"/>
      <c r="V75" s="22"/>
      <c r="W75" s="24"/>
      <c r="X75" s="24"/>
      <c r="Y75" s="24"/>
      <c r="Z75" s="24"/>
      <c r="AA75" s="23"/>
      <c r="AB75" s="22"/>
      <c r="AC75" s="22"/>
      <c r="AD75" s="24"/>
      <c r="AE75" s="27"/>
      <c r="AF75" s="48"/>
      <c r="AG75" s="24"/>
      <c r="AH75" s="24"/>
      <c r="AI75" s="22"/>
      <c r="AJ75" s="24"/>
      <c r="AK75" s="76" t="s">
        <v>611</v>
      </c>
      <c r="AL75" s="24"/>
      <c r="AM75" s="24"/>
      <c r="AN75" s="28"/>
      <c r="AO75" s="24"/>
      <c r="AP75" s="24"/>
      <c r="AQ75" s="27"/>
      <c r="AR75">
        <f t="shared" si="3"/>
        <v>1</v>
      </c>
    </row>
    <row r="76" spans="1:44" x14ac:dyDescent="0.25">
      <c r="B76" t="str">
        <f t="shared" si="2"/>
        <v>OL - Perrin</v>
      </c>
      <c r="C76" t="s">
        <v>672</v>
      </c>
      <c r="D76" s="29" t="s">
        <v>622</v>
      </c>
      <c r="E76" s="113" t="s">
        <v>144</v>
      </c>
      <c r="F76" s="31"/>
      <c r="G76" s="99">
        <v>3</v>
      </c>
      <c r="H76" s="73">
        <v>1</v>
      </c>
      <c r="I76" s="34"/>
      <c r="J76" s="112"/>
      <c r="K76" s="37"/>
      <c r="L76" s="24"/>
      <c r="M76" s="37"/>
      <c r="N76" s="22"/>
      <c r="O76" s="24"/>
      <c r="P76" s="22"/>
      <c r="Q76" s="24"/>
      <c r="R76" s="24"/>
      <c r="S76" s="23"/>
      <c r="T76" s="24"/>
      <c r="U76" s="22"/>
      <c r="V76" s="22"/>
      <c r="W76" s="24"/>
      <c r="X76" s="24"/>
      <c r="Y76" s="24"/>
      <c r="Z76" s="24"/>
      <c r="AA76" s="23"/>
      <c r="AB76" s="22"/>
      <c r="AC76" s="22"/>
      <c r="AD76" s="24"/>
      <c r="AE76" s="27"/>
      <c r="AF76" s="48"/>
      <c r="AG76" s="24"/>
      <c r="AH76" s="24"/>
      <c r="AI76" s="76" t="s">
        <v>611</v>
      </c>
      <c r="AJ76" s="37" t="s">
        <v>611</v>
      </c>
      <c r="AK76" s="22"/>
      <c r="AL76" s="24"/>
      <c r="AM76" s="24"/>
      <c r="AN76" s="94" t="s">
        <v>611</v>
      </c>
      <c r="AO76" s="24"/>
      <c r="AP76" s="24"/>
      <c r="AQ76" s="27"/>
      <c r="AR76">
        <f t="shared" si="3"/>
        <v>3</v>
      </c>
    </row>
    <row r="77" spans="1:44" x14ac:dyDescent="0.25">
      <c r="B77" t="str">
        <f t="shared" si="2"/>
        <v>OL - Del Castillo</v>
      </c>
      <c r="C77" t="s">
        <v>672</v>
      </c>
      <c r="D77" s="29" t="s">
        <v>622</v>
      </c>
      <c r="E77" s="113" t="s">
        <v>657</v>
      </c>
      <c r="F77" s="31"/>
      <c r="G77" s="99">
        <v>2</v>
      </c>
      <c r="H77" s="73"/>
      <c r="I77" s="34"/>
      <c r="J77" s="112"/>
      <c r="K77" s="37"/>
      <c r="L77" s="24"/>
      <c r="M77" s="37"/>
      <c r="N77" s="22"/>
      <c r="O77" s="24"/>
      <c r="P77" s="22"/>
      <c r="Q77" s="24"/>
      <c r="R77" s="24"/>
      <c r="S77" s="23"/>
      <c r="T77" s="24"/>
      <c r="U77" s="22"/>
      <c r="V77" s="22"/>
      <c r="W77" s="37" t="s">
        <v>611</v>
      </c>
      <c r="X77" s="24"/>
      <c r="Y77" s="37" t="s">
        <v>611</v>
      </c>
      <c r="Z77" s="24"/>
      <c r="AA77" s="23"/>
      <c r="AB77" s="22"/>
      <c r="AC77" s="22"/>
      <c r="AD77" s="24"/>
      <c r="AE77" s="27"/>
      <c r="AF77" s="48"/>
      <c r="AG77" s="24"/>
      <c r="AH77" s="24"/>
      <c r="AI77" s="22"/>
      <c r="AJ77" s="24"/>
      <c r="AK77" s="22"/>
      <c r="AL77" s="24"/>
      <c r="AM77" s="24"/>
      <c r="AN77" s="28"/>
      <c r="AO77" s="24"/>
      <c r="AP77" s="24"/>
      <c r="AQ77" s="27"/>
      <c r="AR77">
        <f t="shared" si="3"/>
        <v>2</v>
      </c>
    </row>
    <row r="78" spans="1:44" x14ac:dyDescent="0.25">
      <c r="B78" t="str">
        <f t="shared" si="2"/>
        <v>OL - Beauvue</v>
      </c>
      <c r="C78" t="s">
        <v>672</v>
      </c>
      <c r="D78" s="39" t="s">
        <v>622</v>
      </c>
      <c r="E78" s="40" t="s">
        <v>183</v>
      </c>
      <c r="F78" s="41">
        <v>15</v>
      </c>
      <c r="G78" s="233">
        <v>4</v>
      </c>
      <c r="H78" s="40">
        <v>5</v>
      </c>
      <c r="I78" s="270">
        <f>AVERAGE(AA78,Y78,M78,J78,N78,O78,Q78,R78,S78,T78,U78,V78,W78,X78,AB78)</f>
        <v>4.7333333333333334</v>
      </c>
      <c r="J78" s="271">
        <v>5</v>
      </c>
      <c r="K78" s="81" t="s">
        <v>611</v>
      </c>
      <c r="L78" s="61" t="s">
        <v>611</v>
      </c>
      <c r="M78" s="81">
        <v>6</v>
      </c>
      <c r="N78" s="53">
        <v>4</v>
      </c>
      <c r="O78" s="53">
        <v>4</v>
      </c>
      <c r="P78" s="61" t="s">
        <v>611</v>
      </c>
      <c r="Q78" s="59">
        <v>6</v>
      </c>
      <c r="R78" s="53">
        <v>4</v>
      </c>
      <c r="S78" s="53">
        <v>4</v>
      </c>
      <c r="T78" s="53">
        <v>7</v>
      </c>
      <c r="U78" s="59">
        <v>6</v>
      </c>
      <c r="V78" s="53">
        <v>4</v>
      </c>
      <c r="W78" s="53">
        <v>4</v>
      </c>
      <c r="X78" s="53">
        <v>4</v>
      </c>
      <c r="Y78" s="53">
        <v>5</v>
      </c>
      <c r="Z78" s="53"/>
      <c r="AA78" s="53">
        <v>4</v>
      </c>
      <c r="AB78" s="53">
        <v>4</v>
      </c>
      <c r="AC78" s="81" t="s">
        <v>611</v>
      </c>
      <c r="AD78" s="53"/>
      <c r="AE78" s="63"/>
      <c r="AF78" s="64"/>
      <c r="AG78" s="53"/>
      <c r="AH78" s="53"/>
      <c r="AI78" s="59"/>
      <c r="AJ78" s="53"/>
      <c r="AK78" s="59"/>
      <c r="AL78" s="53"/>
      <c r="AM78" s="53"/>
      <c r="AN78" s="166"/>
      <c r="AO78" s="53"/>
      <c r="AP78" s="53"/>
      <c r="AQ78" s="63"/>
      <c r="AR78">
        <f t="shared" si="3"/>
        <v>19</v>
      </c>
    </row>
    <row r="79" spans="1:44" x14ac:dyDescent="0.25">
      <c r="B79" t="str">
        <f t="shared" si="2"/>
        <v>FCL - Moukandjo</v>
      </c>
      <c r="C79" t="s">
        <v>784</v>
      </c>
      <c r="D79" s="29" t="s">
        <v>633</v>
      </c>
      <c r="E79" s="155" t="s">
        <v>119</v>
      </c>
      <c r="F79" s="31">
        <v>21</v>
      </c>
      <c r="G79" s="99">
        <v>4</v>
      </c>
      <c r="H79" s="73">
        <v>12</v>
      </c>
      <c r="I79" s="34">
        <f>AVERAGE(AA79,Y79,X79,K79,L79,M79,J79,N79,O79,P79,Q79,R79,S79,T79,U79,V79,W79,AB79,AF79,AH79,AI79)</f>
        <v>5.2380952380952381</v>
      </c>
      <c r="J79" s="179">
        <v>4</v>
      </c>
      <c r="K79" s="77">
        <v>6</v>
      </c>
      <c r="L79" s="37">
        <v>5</v>
      </c>
      <c r="M79" s="76">
        <v>4</v>
      </c>
      <c r="N79" s="37">
        <v>4</v>
      </c>
      <c r="O79" s="77">
        <v>6</v>
      </c>
      <c r="P79" s="77">
        <v>6</v>
      </c>
      <c r="Q79" s="37">
        <v>4</v>
      </c>
      <c r="R79" s="22">
        <v>6</v>
      </c>
      <c r="S79" s="77">
        <v>5</v>
      </c>
      <c r="T79" s="37">
        <v>5</v>
      </c>
      <c r="U79" s="25">
        <v>7</v>
      </c>
      <c r="V79" s="25">
        <v>8</v>
      </c>
      <c r="W79" s="22">
        <v>6</v>
      </c>
      <c r="X79" s="22">
        <v>6</v>
      </c>
      <c r="Y79" s="37">
        <v>4</v>
      </c>
      <c r="Z79" s="37" t="s">
        <v>611</v>
      </c>
      <c r="AA79" s="24">
        <v>4</v>
      </c>
      <c r="AB79" s="24">
        <v>5</v>
      </c>
      <c r="AC79" s="24"/>
      <c r="AD79" s="24"/>
      <c r="AE79" s="26" t="s">
        <v>611</v>
      </c>
      <c r="AF79" s="37">
        <v>5</v>
      </c>
      <c r="AG79" s="37" t="s">
        <v>611</v>
      </c>
      <c r="AH79" s="37">
        <v>5</v>
      </c>
      <c r="AI79" s="22">
        <v>5</v>
      </c>
      <c r="AJ79" s="24" t="s">
        <v>641</v>
      </c>
      <c r="AK79" s="24"/>
      <c r="AL79" s="37"/>
      <c r="AM79" s="24"/>
      <c r="AN79" s="27"/>
      <c r="AO79" s="24"/>
      <c r="AP79" s="24"/>
      <c r="AQ79" s="27"/>
      <c r="AR79">
        <f t="shared" si="3"/>
        <v>25</v>
      </c>
    </row>
    <row r="80" spans="1:44" x14ac:dyDescent="0.25">
      <c r="B80" t="str">
        <f t="shared" si="2"/>
        <v>OL - Kalulu</v>
      </c>
      <c r="C80" t="s">
        <v>672</v>
      </c>
      <c r="D80" s="29" t="s">
        <v>633</v>
      </c>
      <c r="E80" s="118" t="s">
        <v>257</v>
      </c>
      <c r="F80" s="31">
        <v>1</v>
      </c>
      <c r="G80" s="99">
        <v>9</v>
      </c>
      <c r="H80" s="73">
        <v>2</v>
      </c>
      <c r="I80" s="34">
        <f>AVERAGE(P80)</f>
        <v>6</v>
      </c>
      <c r="J80" s="116"/>
      <c r="K80" s="76"/>
      <c r="L80" s="37"/>
      <c r="M80" s="77"/>
      <c r="N80" s="37" t="s">
        <v>611</v>
      </c>
      <c r="O80" s="37" t="s">
        <v>611</v>
      </c>
      <c r="P80" s="22">
        <v>6</v>
      </c>
      <c r="Q80" s="37" t="s">
        <v>611</v>
      </c>
      <c r="R80" s="22"/>
      <c r="S80" s="22"/>
      <c r="T80" s="24"/>
      <c r="U80" s="22"/>
      <c r="V80" s="22"/>
      <c r="W80" s="24"/>
      <c r="X80" s="24"/>
      <c r="Y80" s="23"/>
      <c r="Z80" s="22"/>
      <c r="AA80" s="22"/>
      <c r="AB80" s="22"/>
      <c r="AC80" s="76" t="s">
        <v>611</v>
      </c>
      <c r="AD80" s="76" t="s">
        <v>611</v>
      </c>
      <c r="AE80" s="140" t="s">
        <v>611</v>
      </c>
      <c r="AF80" s="140" t="s">
        <v>611</v>
      </c>
      <c r="AG80" s="77" t="s">
        <v>611</v>
      </c>
      <c r="AH80" s="24"/>
      <c r="AI80" s="24"/>
      <c r="AJ80" s="24"/>
      <c r="AK80" s="22"/>
      <c r="AL80" s="24"/>
      <c r="AM80" s="24"/>
      <c r="AN80" s="140" t="s">
        <v>611</v>
      </c>
      <c r="AO80" s="22"/>
      <c r="AP80" s="24"/>
      <c r="AQ80" s="28"/>
      <c r="AR80">
        <f t="shared" si="3"/>
        <v>10</v>
      </c>
    </row>
    <row r="81" spans="1:44" x14ac:dyDescent="0.25">
      <c r="B81" t="str">
        <f t="shared" si="2"/>
        <v>OL - Labidi</v>
      </c>
      <c r="C81" t="s">
        <v>672</v>
      </c>
      <c r="D81" s="29" t="s">
        <v>633</v>
      </c>
      <c r="E81" s="118" t="s">
        <v>1082</v>
      </c>
      <c r="F81" s="31"/>
      <c r="G81" s="99">
        <v>3</v>
      </c>
      <c r="H81" s="73"/>
      <c r="I81" s="34"/>
      <c r="J81" s="116"/>
      <c r="K81" s="76"/>
      <c r="L81" s="37"/>
      <c r="M81" s="77"/>
      <c r="N81" s="37"/>
      <c r="O81" s="37"/>
      <c r="P81" s="22"/>
      <c r="Q81" s="37"/>
      <c r="R81" s="22"/>
      <c r="S81" s="22"/>
      <c r="T81" s="24"/>
      <c r="U81" s="22"/>
      <c r="V81" s="22"/>
      <c r="W81" s="24"/>
      <c r="X81" s="24"/>
      <c r="Y81" s="23"/>
      <c r="Z81" s="22"/>
      <c r="AA81" s="22"/>
      <c r="AB81" s="22"/>
      <c r="AC81" s="76"/>
      <c r="AD81" s="76"/>
      <c r="AE81" s="140"/>
      <c r="AF81" s="116"/>
      <c r="AG81" s="77"/>
      <c r="AH81" s="24"/>
      <c r="AI81" s="24"/>
      <c r="AJ81" s="37" t="s">
        <v>611</v>
      </c>
      <c r="AK81" s="76" t="s">
        <v>611</v>
      </c>
      <c r="AL81" s="37" t="s">
        <v>611</v>
      </c>
      <c r="AM81" s="24"/>
      <c r="AN81" s="28"/>
      <c r="AO81" s="22"/>
      <c r="AP81" s="24"/>
      <c r="AQ81" s="28"/>
      <c r="AR81">
        <f t="shared" si="3"/>
        <v>3</v>
      </c>
    </row>
    <row r="82" spans="1:44" ht="15.75" thickBot="1" x14ac:dyDescent="0.3">
      <c r="B82" t="str">
        <f t="shared" si="2"/>
        <v>TFC - Ben Yedder</v>
      </c>
      <c r="C82" t="s">
        <v>836</v>
      </c>
      <c r="D82" s="88" t="s">
        <v>633</v>
      </c>
      <c r="E82" s="89" t="s">
        <v>128</v>
      </c>
      <c r="F82" s="90">
        <v>27</v>
      </c>
      <c r="G82" s="120">
        <v>1</v>
      </c>
      <c r="H82" s="89">
        <v>12</v>
      </c>
      <c r="I82" s="121">
        <f>AVERAGE(AB82,Z82,Y82,K82,L82,J82,N82,P82,Q82,S82,T82,U82,W82,X82,AA82,AC82,AD82,AE82,AF82,AG82,AH82,AI82,AJ82,AK82,AL82,AM82,AN82)</f>
        <v>5.0740740740740744</v>
      </c>
      <c r="J82" s="181">
        <v>5</v>
      </c>
      <c r="K82" s="77">
        <v>4</v>
      </c>
      <c r="L82" s="74">
        <v>4</v>
      </c>
      <c r="M82" s="37"/>
      <c r="N82" s="37">
        <v>5</v>
      </c>
      <c r="O82" s="22"/>
      <c r="P82" s="23">
        <v>4</v>
      </c>
      <c r="Q82" s="23">
        <v>4</v>
      </c>
      <c r="R82" s="76" t="s">
        <v>611</v>
      </c>
      <c r="S82" s="24">
        <v>6</v>
      </c>
      <c r="T82" s="24">
        <v>4</v>
      </c>
      <c r="U82" s="37">
        <v>5</v>
      </c>
      <c r="V82" s="22"/>
      <c r="W82" s="24">
        <v>5</v>
      </c>
      <c r="X82" s="22">
        <v>6</v>
      </c>
      <c r="Y82" s="24">
        <v>5</v>
      </c>
      <c r="Z82" s="25">
        <v>7</v>
      </c>
      <c r="AA82" s="24">
        <v>5</v>
      </c>
      <c r="AB82" s="22">
        <v>6</v>
      </c>
      <c r="AC82" s="25">
        <v>8</v>
      </c>
      <c r="AD82" s="24">
        <v>5</v>
      </c>
      <c r="AE82" s="244">
        <v>2</v>
      </c>
      <c r="AF82" s="300">
        <v>4</v>
      </c>
      <c r="AG82" s="24">
        <v>5</v>
      </c>
      <c r="AH82" s="24">
        <v>5</v>
      </c>
      <c r="AI82" s="23">
        <v>5</v>
      </c>
      <c r="AJ82" s="24">
        <v>4</v>
      </c>
      <c r="AK82" s="77">
        <v>6</v>
      </c>
      <c r="AL82" s="22">
        <v>6</v>
      </c>
      <c r="AM82" s="25">
        <v>8</v>
      </c>
      <c r="AN82" s="143">
        <v>4</v>
      </c>
      <c r="AO82" s="24"/>
      <c r="AP82" s="24"/>
      <c r="AQ82" s="27"/>
      <c r="AR82">
        <f t="shared" si="3"/>
        <v>28</v>
      </c>
    </row>
    <row r="83" spans="1:44" x14ac:dyDescent="0.25">
      <c r="B83" t="str">
        <f t="shared" si="2"/>
        <v>PSG - Sirigu</v>
      </c>
      <c r="C83" t="s">
        <v>673</v>
      </c>
      <c r="D83" s="29" t="s">
        <v>605</v>
      </c>
      <c r="E83" t="s">
        <v>658</v>
      </c>
      <c r="F83" s="18">
        <v>1</v>
      </c>
      <c r="G83" s="95"/>
      <c r="H83" s="96"/>
      <c r="I83" s="20">
        <f>AVERAGE(S83)</f>
        <v>5</v>
      </c>
      <c r="J83" s="37"/>
      <c r="K83" s="22"/>
      <c r="L83" s="22"/>
      <c r="M83" s="22"/>
      <c r="N83" s="24"/>
      <c r="O83" s="24"/>
      <c r="P83" s="22"/>
      <c r="Q83" s="24"/>
      <c r="R83" s="24"/>
      <c r="S83" s="22">
        <v>5</v>
      </c>
      <c r="T83" s="22"/>
      <c r="U83" s="109"/>
      <c r="V83" s="22"/>
      <c r="W83" s="24"/>
      <c r="X83" s="22"/>
      <c r="Y83" s="24"/>
      <c r="Z83" s="23"/>
      <c r="AA83" s="24"/>
      <c r="AB83" s="22"/>
      <c r="AC83" s="27"/>
      <c r="AD83" s="24"/>
      <c r="AE83" s="22"/>
      <c r="AF83" s="22"/>
      <c r="AG83" s="27"/>
      <c r="AH83" s="24"/>
      <c r="AI83" s="27"/>
      <c r="AJ83" s="22"/>
      <c r="AK83" s="27"/>
      <c r="AL83" s="24"/>
      <c r="AM83" s="24"/>
      <c r="AN83" s="24"/>
      <c r="AO83" s="27"/>
      <c r="AP83" s="24"/>
      <c r="AQ83" s="22"/>
      <c r="AR83">
        <f t="shared" si="3"/>
        <v>1</v>
      </c>
    </row>
    <row r="84" spans="1:44" x14ac:dyDescent="0.25">
      <c r="B84" t="str">
        <f t="shared" si="2"/>
        <v>PSG - Douchez</v>
      </c>
      <c r="C84" t="s">
        <v>673</v>
      </c>
      <c r="D84" s="29" t="s">
        <v>605</v>
      </c>
      <c r="E84" s="30" t="s">
        <v>659</v>
      </c>
      <c r="F84" s="31"/>
      <c r="G84" s="99"/>
      <c r="H84" s="73"/>
      <c r="I84" s="34"/>
      <c r="J84" s="37"/>
      <c r="K84" s="24"/>
      <c r="L84" s="24"/>
      <c r="M84" s="27"/>
      <c r="N84" s="48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7"/>
      <c r="AH84" s="24"/>
      <c r="AI84" s="27"/>
      <c r="AJ84" s="24"/>
      <c r="AK84" s="27"/>
      <c r="AL84" s="24"/>
      <c r="AM84" s="24"/>
      <c r="AN84" s="24"/>
      <c r="AO84" s="27"/>
      <c r="AP84" s="24"/>
      <c r="AQ84" s="24"/>
      <c r="AR84">
        <f t="shared" si="3"/>
        <v>0</v>
      </c>
    </row>
    <row r="85" spans="1:44" x14ac:dyDescent="0.25">
      <c r="B85" t="str">
        <f t="shared" si="2"/>
        <v>OGCN - Germain</v>
      </c>
      <c r="C85" t="s">
        <v>696</v>
      </c>
      <c r="D85" s="67" t="s">
        <v>633</v>
      </c>
      <c r="E85" s="164" t="s">
        <v>195</v>
      </c>
      <c r="F85" s="69">
        <v>29</v>
      </c>
      <c r="G85" s="115">
        <v>2</v>
      </c>
      <c r="H85" s="68">
        <v>10</v>
      </c>
      <c r="I85" s="72">
        <f>AVERAGE(AB85,AA85,Z85,X85,K85,L85,M85,J85,N85,O85,P85,Q85,S85,T85,U85,R85,V85,W85,AC85,AD85,AE85,AF85,AH85,AI85,AJ85,AK85,AL85,AM85,AN85)</f>
        <v>5.1034482758620694</v>
      </c>
      <c r="J85" s="75">
        <v>7</v>
      </c>
      <c r="K85" s="21">
        <v>6</v>
      </c>
      <c r="L85" s="37">
        <v>4</v>
      </c>
      <c r="M85" s="94">
        <v>6</v>
      </c>
      <c r="N85" s="38">
        <v>4</v>
      </c>
      <c r="O85" s="77">
        <v>6</v>
      </c>
      <c r="P85" s="22">
        <v>6</v>
      </c>
      <c r="Q85" s="24">
        <v>5</v>
      </c>
      <c r="R85" s="24">
        <v>4</v>
      </c>
      <c r="S85" s="24">
        <v>4</v>
      </c>
      <c r="T85" s="24">
        <v>4</v>
      </c>
      <c r="U85" s="24">
        <v>5</v>
      </c>
      <c r="V85" s="22">
        <v>6</v>
      </c>
      <c r="W85" s="22">
        <v>6</v>
      </c>
      <c r="X85" s="24">
        <v>4</v>
      </c>
      <c r="Y85" s="37" t="s">
        <v>611</v>
      </c>
      <c r="Z85" s="24">
        <v>4</v>
      </c>
      <c r="AA85" s="22">
        <v>6</v>
      </c>
      <c r="AB85" s="24">
        <v>4</v>
      </c>
      <c r="AC85" s="24">
        <v>4</v>
      </c>
      <c r="AD85" s="24">
        <v>4</v>
      </c>
      <c r="AE85" s="37">
        <v>6</v>
      </c>
      <c r="AF85" s="37">
        <v>5</v>
      </c>
      <c r="AG85" s="26" t="s">
        <v>611</v>
      </c>
      <c r="AH85" s="24">
        <v>4</v>
      </c>
      <c r="AI85" s="28">
        <v>6</v>
      </c>
      <c r="AJ85" s="24">
        <v>5</v>
      </c>
      <c r="AK85" s="26">
        <v>4</v>
      </c>
      <c r="AL85" s="25">
        <v>7</v>
      </c>
      <c r="AM85" s="22">
        <v>6</v>
      </c>
      <c r="AN85" s="24">
        <v>6</v>
      </c>
      <c r="AO85" s="27"/>
      <c r="AP85" s="24"/>
      <c r="AQ85" s="24"/>
      <c r="AR85">
        <f t="shared" si="3"/>
        <v>31</v>
      </c>
    </row>
    <row r="86" spans="1:44" x14ac:dyDescent="0.25">
      <c r="B86" t="str">
        <f t="shared" si="2"/>
        <v>SMC - Delort</v>
      </c>
      <c r="C86" t="s">
        <v>978</v>
      </c>
      <c r="D86" s="29" t="s">
        <v>633</v>
      </c>
      <c r="E86" s="38" t="s">
        <v>265</v>
      </c>
      <c r="F86" s="31">
        <v>28</v>
      </c>
      <c r="G86" s="99">
        <v>2</v>
      </c>
      <c r="H86" s="73">
        <v>10</v>
      </c>
      <c r="I86" s="34">
        <f>AVERAGE(AB86,Y86,X86,W86,K86,L86,M86,J86,N86,O86,P86,Q86,R86,S86,T86,U86,V86,Z86,AA86,AC86,AD86,AE86,AF86,AH86,AG86,AI86,AJ86,AK86,AM86,AN86)</f>
        <v>5.2333333333333334</v>
      </c>
      <c r="J86" s="76">
        <v>6</v>
      </c>
      <c r="K86" s="24">
        <v>5</v>
      </c>
      <c r="L86" s="75">
        <v>7</v>
      </c>
      <c r="M86" s="27">
        <v>5</v>
      </c>
      <c r="N86" s="101">
        <v>5</v>
      </c>
      <c r="O86" s="76">
        <v>5</v>
      </c>
      <c r="P86" s="24">
        <v>4</v>
      </c>
      <c r="Q86" s="37">
        <v>6</v>
      </c>
      <c r="R86" s="25">
        <v>7</v>
      </c>
      <c r="S86" s="23">
        <v>6</v>
      </c>
      <c r="T86" s="23">
        <v>5</v>
      </c>
      <c r="U86" s="24">
        <v>5</v>
      </c>
      <c r="V86" s="75">
        <v>7</v>
      </c>
      <c r="W86" s="37">
        <v>5</v>
      </c>
      <c r="X86" s="25">
        <v>7</v>
      </c>
      <c r="Y86" s="24">
        <v>4</v>
      </c>
      <c r="Z86" s="77">
        <v>5</v>
      </c>
      <c r="AA86" s="24">
        <v>4</v>
      </c>
      <c r="AB86" s="37">
        <v>5</v>
      </c>
      <c r="AC86" s="24">
        <v>4</v>
      </c>
      <c r="AD86" s="37">
        <v>4</v>
      </c>
      <c r="AE86" s="22">
        <v>6</v>
      </c>
      <c r="AF86" s="77">
        <v>6</v>
      </c>
      <c r="AG86" s="26">
        <v>4</v>
      </c>
      <c r="AH86" s="23">
        <v>4</v>
      </c>
      <c r="AI86" s="28">
        <v>6</v>
      </c>
      <c r="AJ86" s="23">
        <v>4</v>
      </c>
      <c r="AK86" s="254">
        <v>7</v>
      </c>
      <c r="AL86" s="37"/>
      <c r="AM86" s="37">
        <v>4</v>
      </c>
      <c r="AN86" s="76">
        <v>5</v>
      </c>
      <c r="AO86" s="27"/>
      <c r="AP86" s="37"/>
      <c r="AQ86" s="24"/>
      <c r="AR86">
        <f t="shared" si="3"/>
        <v>30</v>
      </c>
    </row>
    <row r="87" spans="1:44" x14ac:dyDescent="0.25">
      <c r="B87" t="str">
        <f t="shared" si="2"/>
        <v>PSG - Marquinhos</v>
      </c>
      <c r="C87" t="s">
        <v>673</v>
      </c>
      <c r="D87" s="29" t="s">
        <v>608</v>
      </c>
      <c r="E87" t="s">
        <v>660</v>
      </c>
      <c r="F87" s="31">
        <v>13</v>
      </c>
      <c r="G87" s="99">
        <v>9</v>
      </c>
      <c r="H87" s="73"/>
      <c r="I87" s="34">
        <f>AVERAGE(N87,O87,P87,Q87,S87,T87,W87,Z87,AD87,AF87,AG87,AI87,AL87,AM87,AN87)</f>
        <v>5.2666666666666666</v>
      </c>
      <c r="J87" s="79"/>
      <c r="K87" s="37"/>
      <c r="L87" s="37"/>
      <c r="M87" s="26" t="s">
        <v>611</v>
      </c>
      <c r="N87" s="38">
        <v>5</v>
      </c>
      <c r="O87" s="24">
        <v>4</v>
      </c>
      <c r="P87" s="23">
        <v>6</v>
      </c>
      <c r="Q87" s="24">
        <v>5</v>
      </c>
      <c r="R87" s="37" t="s">
        <v>611</v>
      </c>
      <c r="S87" s="24">
        <v>6</v>
      </c>
      <c r="T87" s="24">
        <v>5</v>
      </c>
      <c r="U87" s="24"/>
      <c r="V87" s="37"/>
      <c r="W87" s="37">
        <v>4</v>
      </c>
      <c r="X87" s="37"/>
      <c r="Y87" s="24"/>
      <c r="Z87" s="24">
        <v>5</v>
      </c>
      <c r="AA87" s="37" t="s">
        <v>611</v>
      </c>
      <c r="AB87" s="37" t="s">
        <v>611</v>
      </c>
      <c r="AC87" s="37" t="s">
        <v>611</v>
      </c>
      <c r="AD87" s="24">
        <v>6</v>
      </c>
      <c r="AE87" s="24"/>
      <c r="AF87" s="24">
        <v>6</v>
      </c>
      <c r="AG87" s="27">
        <v>5</v>
      </c>
      <c r="AH87" s="37" t="s">
        <v>611</v>
      </c>
      <c r="AI87" s="27">
        <v>6</v>
      </c>
      <c r="AJ87" s="37" t="s">
        <v>611</v>
      </c>
      <c r="AK87" s="27"/>
      <c r="AL87" s="24">
        <v>5</v>
      </c>
      <c r="AM87" s="37">
        <v>5</v>
      </c>
      <c r="AN87" s="23">
        <v>6</v>
      </c>
      <c r="AO87" s="26"/>
      <c r="AP87" s="24"/>
      <c r="AQ87" s="24"/>
      <c r="AR87">
        <f t="shared" si="3"/>
        <v>22</v>
      </c>
    </row>
    <row r="88" spans="1:44" x14ac:dyDescent="0.25">
      <c r="B88" t="str">
        <f t="shared" si="2"/>
        <v>PSG - David Luiz</v>
      </c>
      <c r="C88" t="s">
        <v>673</v>
      </c>
      <c r="D88" s="29" t="s">
        <v>608</v>
      </c>
      <c r="E88" t="s">
        <v>14</v>
      </c>
      <c r="F88" s="31">
        <v>20</v>
      </c>
      <c r="G88" s="99"/>
      <c r="H88" s="73"/>
      <c r="I88" s="34">
        <f>AVERAGE(K88,L88,M88,J88,P88,R88,V88,X88,Y88,AA88,AB88,AC88,AD88,AE88,AH88,AI88,AJ88,AK88,AM88,AN88)</f>
        <v>5.45</v>
      </c>
      <c r="J88" s="37">
        <v>5</v>
      </c>
      <c r="K88" s="37">
        <v>6</v>
      </c>
      <c r="L88" s="37">
        <v>6</v>
      </c>
      <c r="M88" s="26">
        <v>5</v>
      </c>
      <c r="N88" s="48"/>
      <c r="O88" s="24"/>
      <c r="P88" s="24">
        <v>6</v>
      </c>
      <c r="Q88" s="24"/>
      <c r="R88" s="24">
        <v>5</v>
      </c>
      <c r="S88" s="24"/>
      <c r="T88" s="24"/>
      <c r="U88" s="24"/>
      <c r="V88" s="24">
        <v>6</v>
      </c>
      <c r="W88" s="24"/>
      <c r="X88" s="24">
        <v>5</v>
      </c>
      <c r="Y88" s="24">
        <v>6</v>
      </c>
      <c r="Z88" s="24"/>
      <c r="AA88" s="24">
        <v>5</v>
      </c>
      <c r="AB88" s="24">
        <v>6</v>
      </c>
      <c r="AC88" s="24">
        <v>6</v>
      </c>
      <c r="AD88" s="23">
        <v>5</v>
      </c>
      <c r="AE88" s="24">
        <v>6</v>
      </c>
      <c r="AF88" s="24"/>
      <c r="AG88" s="27"/>
      <c r="AH88" s="24">
        <v>5</v>
      </c>
      <c r="AI88" s="27">
        <v>6</v>
      </c>
      <c r="AJ88" s="66">
        <v>7</v>
      </c>
      <c r="AK88" s="143">
        <v>5</v>
      </c>
      <c r="AL88" s="24"/>
      <c r="AM88" s="24">
        <v>6</v>
      </c>
      <c r="AN88" s="82">
        <v>2</v>
      </c>
      <c r="AO88" s="27"/>
      <c r="AP88" s="24"/>
      <c r="AQ88" s="24"/>
      <c r="AR88">
        <f t="shared" si="3"/>
        <v>20</v>
      </c>
    </row>
    <row r="89" spans="1:44" x14ac:dyDescent="0.25">
      <c r="B89" t="str">
        <f t="shared" si="2"/>
        <v>PSG - Kimpembé</v>
      </c>
      <c r="C89" t="s">
        <v>673</v>
      </c>
      <c r="D89" s="29" t="s">
        <v>608</v>
      </c>
      <c r="E89" s="124" t="s">
        <v>661</v>
      </c>
      <c r="F89" s="31">
        <v>3</v>
      </c>
      <c r="G89" s="99">
        <v>1</v>
      </c>
      <c r="H89" s="73"/>
      <c r="I89" s="34">
        <f>AVERAGE(W89,AF89,AL89)</f>
        <v>5.333333333333333</v>
      </c>
      <c r="J89" s="37"/>
      <c r="K89" s="37"/>
      <c r="L89" s="37"/>
      <c r="M89" s="26"/>
      <c r="N89" s="48"/>
      <c r="O89" s="24"/>
      <c r="P89" s="24"/>
      <c r="Q89" s="24"/>
      <c r="R89" s="24"/>
      <c r="S89" s="37"/>
      <c r="T89" s="24"/>
      <c r="U89" s="24"/>
      <c r="V89" s="24"/>
      <c r="W89" s="24">
        <v>5</v>
      </c>
      <c r="X89" s="24"/>
      <c r="Y89" s="24"/>
      <c r="Z89" s="24"/>
      <c r="AA89" s="24"/>
      <c r="AB89" s="24"/>
      <c r="AC89" s="24"/>
      <c r="AD89" s="24"/>
      <c r="AE89" s="37" t="s">
        <v>611</v>
      </c>
      <c r="AF89" s="24">
        <v>6</v>
      </c>
      <c r="AG89" s="27"/>
      <c r="AH89" s="24"/>
      <c r="AI89" s="27"/>
      <c r="AJ89" s="24"/>
      <c r="AK89" s="27"/>
      <c r="AL89" s="24">
        <v>5</v>
      </c>
      <c r="AM89" s="24"/>
      <c r="AN89" s="24"/>
      <c r="AO89" s="27"/>
      <c r="AP89" s="24"/>
      <c r="AQ89" s="24"/>
      <c r="AR89">
        <f t="shared" si="3"/>
        <v>4</v>
      </c>
    </row>
    <row r="90" spans="1:44" x14ac:dyDescent="0.25">
      <c r="B90" t="str">
        <f t="shared" si="2"/>
        <v>PSG - Aurier</v>
      </c>
      <c r="C90" t="s">
        <v>673</v>
      </c>
      <c r="D90" s="29" t="s">
        <v>608</v>
      </c>
      <c r="E90" s="38" t="s">
        <v>155</v>
      </c>
      <c r="F90" s="31">
        <v>19</v>
      </c>
      <c r="G90" s="125"/>
      <c r="H90" s="73">
        <v>2</v>
      </c>
      <c r="I90" s="34">
        <f>AVERAGE(AA90,K90,L90,M90,J90,N90,Q90,R90,S90,U90,Y90,Z90,AB90,AC90,AD90,AE90,AF90,AG90,AH90)</f>
        <v>5.8421052631578947</v>
      </c>
      <c r="J90" s="37">
        <v>6</v>
      </c>
      <c r="K90" s="37">
        <v>6</v>
      </c>
      <c r="L90" s="37">
        <v>5</v>
      </c>
      <c r="M90" s="26">
        <v>6</v>
      </c>
      <c r="N90" s="101">
        <v>5</v>
      </c>
      <c r="O90" s="24"/>
      <c r="P90" s="24"/>
      <c r="Q90" s="22">
        <v>6</v>
      </c>
      <c r="R90" s="24">
        <v>5</v>
      </c>
      <c r="S90" s="66">
        <v>7</v>
      </c>
      <c r="T90" s="24"/>
      <c r="U90" s="24">
        <v>6</v>
      </c>
      <c r="V90" s="24"/>
      <c r="W90" s="24"/>
      <c r="X90" s="24"/>
      <c r="Y90" s="24">
        <v>5</v>
      </c>
      <c r="Z90" s="24">
        <v>6</v>
      </c>
      <c r="AA90" s="25">
        <v>7</v>
      </c>
      <c r="AB90" s="24">
        <v>5</v>
      </c>
      <c r="AC90" s="24">
        <v>6</v>
      </c>
      <c r="AD90" s="24">
        <v>6</v>
      </c>
      <c r="AE90" s="24">
        <v>6</v>
      </c>
      <c r="AF90" s="66">
        <v>7</v>
      </c>
      <c r="AG90" s="27">
        <v>6</v>
      </c>
      <c r="AH90" s="24">
        <v>5</v>
      </c>
      <c r="AI90" s="27"/>
      <c r="AJ90" s="24"/>
      <c r="AK90" s="27"/>
      <c r="AL90" s="24"/>
      <c r="AM90" s="24"/>
      <c r="AN90" s="24"/>
      <c r="AO90" s="27"/>
      <c r="AP90" s="24"/>
      <c r="AQ90" s="24"/>
      <c r="AR90">
        <f t="shared" si="3"/>
        <v>19</v>
      </c>
    </row>
    <row r="91" spans="1:44" x14ac:dyDescent="0.25">
      <c r="B91" t="str">
        <f t="shared" si="2"/>
        <v>PSG - Maxwell</v>
      </c>
      <c r="C91" t="s">
        <v>673</v>
      </c>
      <c r="D91" s="29" t="s">
        <v>608</v>
      </c>
      <c r="E91" t="s">
        <v>17</v>
      </c>
      <c r="F91" s="31">
        <v>21</v>
      </c>
      <c r="G91" s="125">
        <v>1</v>
      </c>
      <c r="H91" s="114">
        <v>1</v>
      </c>
      <c r="I91" s="34">
        <f>AVERAGE(AA91,K91,L91,M91,J91,N91,P91,R91,S91,U91,W91,Y91,AB91,AC91,AD91,AE91,AF91,AH91,AK91,AL91,AN91)</f>
        <v>5.4761904761904763</v>
      </c>
      <c r="J91" s="37">
        <v>5</v>
      </c>
      <c r="K91" s="37">
        <v>5</v>
      </c>
      <c r="L91" s="37">
        <v>6</v>
      </c>
      <c r="M91" s="37">
        <v>6</v>
      </c>
      <c r="N91" s="24">
        <v>4</v>
      </c>
      <c r="O91" s="24"/>
      <c r="P91" s="24">
        <v>5</v>
      </c>
      <c r="Q91" s="24"/>
      <c r="R91" s="24">
        <v>5</v>
      </c>
      <c r="S91" s="23">
        <v>5</v>
      </c>
      <c r="T91" s="24"/>
      <c r="U91" s="24">
        <v>5</v>
      </c>
      <c r="V91" s="24"/>
      <c r="W91" s="24">
        <v>4</v>
      </c>
      <c r="X91" s="24"/>
      <c r="Y91" s="24">
        <v>5</v>
      </c>
      <c r="Z91" s="24"/>
      <c r="AA91" s="24">
        <v>5</v>
      </c>
      <c r="AB91" s="24">
        <v>6</v>
      </c>
      <c r="AC91" s="25">
        <v>8</v>
      </c>
      <c r="AD91" s="24">
        <v>6</v>
      </c>
      <c r="AE91" s="24">
        <v>6</v>
      </c>
      <c r="AF91" s="24">
        <v>6</v>
      </c>
      <c r="AG91" s="27"/>
      <c r="AH91" s="66">
        <v>7</v>
      </c>
      <c r="AI91" s="26"/>
      <c r="AJ91" s="24"/>
      <c r="AK91" s="27">
        <v>5</v>
      </c>
      <c r="AL91" s="24">
        <v>6</v>
      </c>
      <c r="AM91" s="37" t="s">
        <v>611</v>
      </c>
      <c r="AN91" s="24">
        <v>5</v>
      </c>
      <c r="AO91" s="27"/>
      <c r="AP91" s="37"/>
      <c r="AQ91" s="22"/>
      <c r="AR91">
        <f t="shared" si="3"/>
        <v>22</v>
      </c>
    </row>
    <row r="92" spans="1:44" x14ac:dyDescent="0.25">
      <c r="B92" t="str">
        <f t="shared" si="2"/>
        <v>PSG - Kurzawa</v>
      </c>
      <c r="C92" t="s">
        <v>673</v>
      </c>
      <c r="D92" s="29" t="s">
        <v>608</v>
      </c>
      <c r="E92" t="s">
        <v>134</v>
      </c>
      <c r="F92" s="31">
        <v>10</v>
      </c>
      <c r="G92" s="125">
        <v>3</v>
      </c>
      <c r="H92" s="114">
        <v>3</v>
      </c>
      <c r="I92" s="34">
        <f>AVERAGE(O92,Q92,T92,V92,X92,Z92,AG92,AI92,AJ92,AM92)</f>
        <v>6.2</v>
      </c>
      <c r="J92" s="37"/>
      <c r="K92" s="37"/>
      <c r="L92" s="37"/>
      <c r="M92" s="37"/>
      <c r="N92" s="26" t="s">
        <v>611</v>
      </c>
      <c r="O92" s="24">
        <v>5</v>
      </c>
      <c r="P92" s="24"/>
      <c r="Q92" s="24">
        <v>6</v>
      </c>
      <c r="R92" s="24"/>
      <c r="S92" s="76" t="s">
        <v>611</v>
      </c>
      <c r="T92" s="22">
        <v>6</v>
      </c>
      <c r="U92" s="24"/>
      <c r="V92" s="24">
        <v>5</v>
      </c>
      <c r="W92" s="24"/>
      <c r="X92" s="25">
        <v>7</v>
      </c>
      <c r="Y92" s="24"/>
      <c r="Z92" s="24">
        <v>6</v>
      </c>
      <c r="AA92" s="24"/>
      <c r="AB92" s="24"/>
      <c r="AC92" s="24"/>
      <c r="AD92" s="24"/>
      <c r="AE92" s="24"/>
      <c r="AF92" s="24"/>
      <c r="AG92" s="254">
        <v>8</v>
      </c>
      <c r="AH92" s="24"/>
      <c r="AI92" s="26">
        <v>6</v>
      </c>
      <c r="AJ92" s="24">
        <v>6</v>
      </c>
      <c r="AK92" s="27"/>
      <c r="AL92" s="24"/>
      <c r="AM92" s="66">
        <v>7</v>
      </c>
      <c r="AN92" s="24"/>
      <c r="AO92" s="27"/>
      <c r="AP92" s="37"/>
      <c r="AQ92" s="22"/>
      <c r="AR92">
        <f t="shared" si="3"/>
        <v>13</v>
      </c>
    </row>
    <row r="93" spans="1:44" x14ac:dyDescent="0.25">
      <c r="B93" t="str">
        <f t="shared" si="2"/>
        <v>PSG - Van der Wiel</v>
      </c>
      <c r="C93" t="s">
        <v>673</v>
      </c>
      <c r="D93" s="67" t="s">
        <v>608</v>
      </c>
      <c r="E93" s="85" t="s">
        <v>662</v>
      </c>
      <c r="F93" s="69">
        <v>13</v>
      </c>
      <c r="G93" s="115">
        <v>1</v>
      </c>
      <c r="H93" s="123">
        <v>1</v>
      </c>
      <c r="I93" s="34">
        <f>AVERAGE(O93,P93,T93,U93,V93,W93,X93,AE93,AI93,AJ93,AK93,AL93,AM93)</f>
        <v>5.6923076923076925</v>
      </c>
      <c r="J93" s="37"/>
      <c r="K93" s="37"/>
      <c r="L93" s="37"/>
      <c r="M93" s="26"/>
      <c r="N93" s="38"/>
      <c r="O93" s="24">
        <v>5</v>
      </c>
      <c r="P93" s="24">
        <v>5</v>
      </c>
      <c r="Q93" s="24"/>
      <c r="R93" s="24"/>
      <c r="S93" s="24"/>
      <c r="T93" s="24">
        <v>6</v>
      </c>
      <c r="U93" s="24">
        <v>6</v>
      </c>
      <c r="V93" s="66">
        <v>7</v>
      </c>
      <c r="W93" s="24">
        <v>6</v>
      </c>
      <c r="X93" s="24">
        <v>5</v>
      </c>
      <c r="Y93" s="24"/>
      <c r="Z93" s="24"/>
      <c r="AA93" s="24"/>
      <c r="AB93" s="24"/>
      <c r="AC93" s="24"/>
      <c r="AD93" s="76" t="s">
        <v>611</v>
      </c>
      <c r="AE93" s="25">
        <v>8</v>
      </c>
      <c r="AF93" s="24"/>
      <c r="AG93" s="27"/>
      <c r="AH93" s="37"/>
      <c r="AI93" s="27">
        <v>5</v>
      </c>
      <c r="AJ93" s="25">
        <v>7</v>
      </c>
      <c r="AK93" s="27">
        <v>4</v>
      </c>
      <c r="AL93" s="24">
        <v>5</v>
      </c>
      <c r="AM93" s="24">
        <v>5</v>
      </c>
      <c r="AN93" s="24"/>
      <c r="AO93" s="28"/>
      <c r="AP93" s="24"/>
      <c r="AQ93" s="24"/>
      <c r="AR93">
        <f t="shared" si="3"/>
        <v>14</v>
      </c>
    </row>
    <row r="94" spans="1:44" x14ac:dyDescent="0.25">
      <c r="A94">
        <v>0</v>
      </c>
      <c r="B94" t="str">
        <f t="shared" si="2"/>
        <v>PSG - Di Maria</v>
      </c>
      <c r="C94" t="s">
        <v>673</v>
      </c>
      <c r="D94" s="29" t="s">
        <v>622</v>
      </c>
      <c r="E94" s="127" t="s">
        <v>668</v>
      </c>
      <c r="F94" s="31">
        <v>21</v>
      </c>
      <c r="G94" s="99">
        <v>3</v>
      </c>
      <c r="H94" s="73">
        <v>9</v>
      </c>
      <c r="I94" s="126">
        <f>AVERAGE(AA94,N94,P94,Q94,R94,T94,U94,V94,X94,Y94,Z94,AB94,AC94,AE94,AF94,AH94,AI94,AL94,AM94,AN94)</f>
        <v>6.45</v>
      </c>
      <c r="J94" s="36"/>
      <c r="K94" s="37"/>
      <c r="L94" s="37"/>
      <c r="M94" s="37" t="s">
        <v>611</v>
      </c>
      <c r="N94" s="24">
        <v>5</v>
      </c>
      <c r="O94" s="37" t="s">
        <v>611</v>
      </c>
      <c r="P94" s="25">
        <v>7</v>
      </c>
      <c r="Q94" s="25">
        <v>7</v>
      </c>
      <c r="R94" s="24">
        <v>5</v>
      </c>
      <c r="S94" s="24"/>
      <c r="T94" s="83">
        <v>8</v>
      </c>
      <c r="U94" s="25">
        <v>7</v>
      </c>
      <c r="V94" s="25">
        <v>7</v>
      </c>
      <c r="W94" s="22"/>
      <c r="X94" s="66">
        <v>9</v>
      </c>
      <c r="Y94" s="24">
        <v>6</v>
      </c>
      <c r="Z94" s="66">
        <v>7</v>
      </c>
      <c r="AA94" s="66">
        <v>8</v>
      </c>
      <c r="AB94" s="25">
        <v>8</v>
      </c>
      <c r="AC94" s="24">
        <v>6</v>
      </c>
      <c r="AD94" s="22"/>
      <c r="AE94" s="75">
        <v>8</v>
      </c>
      <c r="AF94" s="24">
        <v>6</v>
      </c>
      <c r="AG94" s="26" t="s">
        <v>611</v>
      </c>
      <c r="AH94" s="22">
        <v>6</v>
      </c>
      <c r="AI94" s="27">
        <v>4</v>
      </c>
      <c r="AJ94" s="24" t="s">
        <v>641</v>
      </c>
      <c r="AK94" s="94"/>
      <c r="AL94" s="24">
        <v>5</v>
      </c>
      <c r="AM94" s="24">
        <v>6</v>
      </c>
      <c r="AN94" s="24">
        <v>4</v>
      </c>
      <c r="AO94" s="27"/>
      <c r="AP94" s="22"/>
      <c r="AQ94" s="24"/>
      <c r="AR94">
        <f t="shared" si="3"/>
        <v>24</v>
      </c>
    </row>
    <row r="95" spans="1:44" x14ac:dyDescent="0.25">
      <c r="A95">
        <v>0</v>
      </c>
      <c r="B95" t="str">
        <f t="shared" si="2"/>
        <v>Losc - Boufal</v>
      </c>
      <c r="C95" t="s">
        <v>739</v>
      </c>
      <c r="D95" s="29" t="s">
        <v>622</v>
      </c>
      <c r="E95" s="124" t="s">
        <v>281</v>
      </c>
      <c r="F95" s="31">
        <v>23</v>
      </c>
      <c r="G95" s="99">
        <v>2</v>
      </c>
      <c r="H95" s="73">
        <v>9</v>
      </c>
      <c r="I95" s="34">
        <f>AVERAGE(K95,L95,M95,J95,O95,Q95,P95,R95,S95,T95,U95,V95,Z95,AA95,AB95,AD95,AE95,AG95,AF95,AH95,AJ95,AK95,AM95,AN95)</f>
        <v>5.625</v>
      </c>
      <c r="J95" s="24">
        <v>5</v>
      </c>
      <c r="K95" s="24">
        <v>5</v>
      </c>
      <c r="L95" s="66">
        <v>7</v>
      </c>
      <c r="M95" s="254">
        <v>7</v>
      </c>
      <c r="N95" s="38"/>
      <c r="O95" s="25">
        <v>7</v>
      </c>
      <c r="P95" s="66">
        <v>7</v>
      </c>
      <c r="Q95" s="24">
        <v>5</v>
      </c>
      <c r="R95" s="25">
        <v>8</v>
      </c>
      <c r="S95" s="22">
        <v>6</v>
      </c>
      <c r="T95" s="24">
        <v>4</v>
      </c>
      <c r="U95" s="24">
        <v>5</v>
      </c>
      <c r="V95" s="37">
        <v>4</v>
      </c>
      <c r="W95" s="24"/>
      <c r="X95" s="24"/>
      <c r="Y95" s="24"/>
      <c r="Z95" s="24">
        <v>4</v>
      </c>
      <c r="AA95" s="84">
        <v>7</v>
      </c>
      <c r="AB95" s="75">
        <v>7</v>
      </c>
      <c r="AC95" s="24"/>
      <c r="AD95" s="24">
        <v>5</v>
      </c>
      <c r="AE95" s="77">
        <v>6</v>
      </c>
      <c r="AF95" s="24">
        <v>4</v>
      </c>
      <c r="AG95" s="26">
        <v>5</v>
      </c>
      <c r="AH95" s="24">
        <v>4</v>
      </c>
      <c r="AI95" s="27"/>
      <c r="AJ95" s="25">
        <v>7</v>
      </c>
      <c r="AK95" s="27">
        <v>4</v>
      </c>
      <c r="AL95" s="77" t="s">
        <v>611</v>
      </c>
      <c r="AM95" s="75">
        <v>7</v>
      </c>
      <c r="AN95" s="24">
        <v>5</v>
      </c>
      <c r="AO95" s="28"/>
      <c r="AP95" s="24"/>
      <c r="AQ95" s="24"/>
      <c r="AR95">
        <f t="shared" si="3"/>
        <v>25</v>
      </c>
    </row>
    <row r="96" spans="1:44" x14ac:dyDescent="0.25">
      <c r="B96" t="str">
        <f t="shared" si="2"/>
        <v>PSG - Verratti</v>
      </c>
      <c r="C96" t="s">
        <v>673</v>
      </c>
      <c r="D96" s="29" t="s">
        <v>622</v>
      </c>
      <c r="E96" t="s">
        <v>664</v>
      </c>
      <c r="F96" s="31">
        <v>11</v>
      </c>
      <c r="G96" s="99">
        <v>7</v>
      </c>
      <c r="H96" s="114" t="s">
        <v>647</v>
      </c>
      <c r="I96" s="34">
        <f>AVERAGE(K96,M96,J96,N96,O96,Q96,R96,T96,AB96,AC96,AJ96)</f>
        <v>5.9090909090909092</v>
      </c>
      <c r="J96" s="74">
        <v>5</v>
      </c>
      <c r="K96" s="37">
        <v>6</v>
      </c>
      <c r="L96" s="37"/>
      <c r="M96" s="26">
        <v>6</v>
      </c>
      <c r="N96" s="66">
        <v>7</v>
      </c>
      <c r="O96" s="24">
        <v>6</v>
      </c>
      <c r="P96" s="37" t="s">
        <v>611</v>
      </c>
      <c r="Q96" s="24">
        <v>6</v>
      </c>
      <c r="R96" s="24">
        <v>6</v>
      </c>
      <c r="S96" s="24"/>
      <c r="T96" s="66">
        <v>7</v>
      </c>
      <c r="U96" s="37" t="s">
        <v>611</v>
      </c>
      <c r="V96" s="24"/>
      <c r="W96" s="24"/>
      <c r="X96" s="24"/>
      <c r="Y96" s="37"/>
      <c r="Z96" s="24"/>
      <c r="AA96" s="37" t="s">
        <v>611</v>
      </c>
      <c r="AB96" s="24">
        <v>6</v>
      </c>
      <c r="AC96" s="37">
        <v>5</v>
      </c>
      <c r="AD96" s="76" t="s">
        <v>611</v>
      </c>
      <c r="AE96" s="24"/>
      <c r="AF96" s="37" t="s">
        <v>611</v>
      </c>
      <c r="AG96" s="27"/>
      <c r="AH96" s="24"/>
      <c r="AI96" s="140" t="s">
        <v>611</v>
      </c>
      <c r="AJ96" s="24">
        <v>5</v>
      </c>
      <c r="AK96" s="27"/>
      <c r="AL96" s="24"/>
      <c r="AM96" s="24"/>
      <c r="AN96" s="24"/>
      <c r="AO96" s="28"/>
      <c r="AP96" s="24"/>
      <c r="AQ96" s="24"/>
      <c r="AR96">
        <f t="shared" si="3"/>
        <v>18</v>
      </c>
    </row>
    <row r="97" spans="1:44" x14ac:dyDescent="0.25">
      <c r="B97" t="str">
        <f t="shared" si="2"/>
        <v>PSG - Rabiot</v>
      </c>
      <c r="C97" t="s">
        <v>673</v>
      </c>
      <c r="D97" s="29" t="s">
        <v>622</v>
      </c>
      <c r="E97" s="30" t="s">
        <v>665</v>
      </c>
      <c r="F97" s="31">
        <v>15</v>
      </c>
      <c r="G97" s="99">
        <v>5</v>
      </c>
      <c r="H97" s="73">
        <v>1</v>
      </c>
      <c r="I97" s="34">
        <f>AVERAGE(L97,S97,T97,U97,V97,W97,X97,Y97,AA97,AE97,AH97,AJ97,AK97,AL97,AM97,AN97)</f>
        <v>5.875</v>
      </c>
      <c r="J97" s="37" t="s">
        <v>623</v>
      </c>
      <c r="K97" s="37"/>
      <c r="L97" s="37">
        <v>5</v>
      </c>
      <c r="M97" s="26"/>
      <c r="N97" s="87" t="s">
        <v>611</v>
      </c>
      <c r="O97" s="24"/>
      <c r="P97" s="24"/>
      <c r="Q97" s="24"/>
      <c r="R97" s="24"/>
      <c r="S97" s="24">
        <v>5</v>
      </c>
      <c r="T97" s="24">
        <v>5</v>
      </c>
      <c r="U97" s="66">
        <v>7</v>
      </c>
      <c r="V97" s="24">
        <v>6</v>
      </c>
      <c r="W97" s="24">
        <v>6</v>
      </c>
      <c r="X97" s="37">
        <v>5</v>
      </c>
      <c r="Y97" s="66">
        <v>7</v>
      </c>
      <c r="Z97" s="37" t="s">
        <v>611</v>
      </c>
      <c r="AA97" s="24">
        <v>5</v>
      </c>
      <c r="AB97" s="37" t="s">
        <v>611</v>
      </c>
      <c r="AC97" s="22"/>
      <c r="AD97" s="37"/>
      <c r="AE97" s="66">
        <v>7</v>
      </c>
      <c r="AF97" s="24"/>
      <c r="AG97" s="27"/>
      <c r="AH97" s="24">
        <v>6</v>
      </c>
      <c r="AI97" s="140" t="s">
        <v>611</v>
      </c>
      <c r="AJ97" s="84">
        <v>7</v>
      </c>
      <c r="AK97" s="27">
        <v>5</v>
      </c>
      <c r="AL97" s="24">
        <v>6</v>
      </c>
      <c r="AM97" s="75">
        <v>7</v>
      </c>
      <c r="AN97" s="37">
        <v>5</v>
      </c>
      <c r="AO97" s="26"/>
      <c r="AP97" s="24"/>
      <c r="AQ97" s="37"/>
      <c r="AR97">
        <f t="shared" si="3"/>
        <v>20</v>
      </c>
    </row>
    <row r="98" spans="1:44" x14ac:dyDescent="0.25">
      <c r="B98" t="str">
        <f t="shared" si="2"/>
        <v>PSG - Pastore</v>
      </c>
      <c r="C98" t="s">
        <v>673</v>
      </c>
      <c r="D98" s="29" t="s">
        <v>622</v>
      </c>
      <c r="E98" t="s">
        <v>666</v>
      </c>
      <c r="F98" s="31">
        <v>9</v>
      </c>
      <c r="G98" s="99">
        <v>5</v>
      </c>
      <c r="H98" s="73">
        <v>2</v>
      </c>
      <c r="I98" s="34">
        <f>AVERAGE(O98,P98,Q98,S98,AI98,AK98,AM98)</f>
        <v>6.1428571428571432</v>
      </c>
      <c r="J98" s="21">
        <v>4</v>
      </c>
      <c r="K98" s="37" t="s">
        <v>611</v>
      </c>
      <c r="L98" s="37" t="s">
        <v>641</v>
      </c>
      <c r="M98" s="26"/>
      <c r="N98" s="38"/>
      <c r="O98" s="37">
        <v>6</v>
      </c>
      <c r="P98" s="25">
        <v>7</v>
      </c>
      <c r="Q98" s="66">
        <v>7</v>
      </c>
      <c r="R98" s="37" t="s">
        <v>611</v>
      </c>
      <c r="S98" s="24">
        <v>6</v>
      </c>
      <c r="T98" s="24"/>
      <c r="U98" s="24"/>
      <c r="V98" s="24"/>
      <c r="W98" s="22"/>
      <c r="X98" s="24"/>
      <c r="Y98" s="24"/>
      <c r="Z98" s="24"/>
      <c r="AA98" s="24"/>
      <c r="AB98" s="24"/>
      <c r="AC98" s="37" t="s">
        <v>611</v>
      </c>
      <c r="AD98" s="23" t="s">
        <v>641</v>
      </c>
      <c r="AE98" s="37"/>
      <c r="AF98" s="24"/>
      <c r="AG98" s="27"/>
      <c r="AH98" s="24"/>
      <c r="AI98" s="27">
        <v>5</v>
      </c>
      <c r="AJ98" s="24"/>
      <c r="AK98" s="253">
        <v>3</v>
      </c>
      <c r="AL98" s="76" t="s">
        <v>611</v>
      </c>
      <c r="AM98" s="25">
        <v>9</v>
      </c>
      <c r="AN98" s="24"/>
      <c r="AO98" s="27"/>
      <c r="AP98" s="22"/>
      <c r="AQ98" s="24"/>
      <c r="AR98">
        <f t="shared" si="3"/>
        <v>14</v>
      </c>
    </row>
    <row r="99" spans="1:44" x14ac:dyDescent="0.25">
      <c r="B99" t="str">
        <f t="shared" si="2"/>
        <v>PSG - Stambouli</v>
      </c>
      <c r="C99" t="s">
        <v>673</v>
      </c>
      <c r="D99" s="29" t="s">
        <v>622</v>
      </c>
      <c r="E99" t="s">
        <v>667</v>
      </c>
      <c r="F99" s="31">
        <v>13</v>
      </c>
      <c r="G99" s="99">
        <v>8</v>
      </c>
      <c r="H99" s="73"/>
      <c r="I99" s="34">
        <f>AVERAGE(O99,Q99,S99,U99,X99,Z99,AD99,AF99,AG99,AI99,AK99,AL99,AM99)</f>
        <v>5.615384615384615</v>
      </c>
      <c r="J99" s="79" t="s">
        <v>611</v>
      </c>
      <c r="K99" s="37" t="s">
        <v>611</v>
      </c>
      <c r="L99" s="37" t="s">
        <v>611</v>
      </c>
      <c r="M99" s="26"/>
      <c r="N99" s="38"/>
      <c r="O99" s="37">
        <v>5</v>
      </c>
      <c r="P99" s="24"/>
      <c r="Q99" s="24">
        <v>6</v>
      </c>
      <c r="R99" s="24"/>
      <c r="S99" s="24">
        <v>5</v>
      </c>
      <c r="T99" s="24"/>
      <c r="U99" s="24">
        <v>5</v>
      </c>
      <c r="V99" s="37" t="s">
        <v>611</v>
      </c>
      <c r="W99" s="76" t="s">
        <v>611</v>
      </c>
      <c r="X99" s="24">
        <v>6</v>
      </c>
      <c r="Y99" s="24"/>
      <c r="Z99" s="24">
        <v>5</v>
      </c>
      <c r="AA99" s="24"/>
      <c r="AB99" s="24"/>
      <c r="AC99" s="24"/>
      <c r="AD99" s="23">
        <v>6</v>
      </c>
      <c r="AE99" s="37" t="s">
        <v>611</v>
      </c>
      <c r="AF99" s="24">
        <v>5</v>
      </c>
      <c r="AG99" s="165">
        <v>7</v>
      </c>
      <c r="AH99" s="37" t="s">
        <v>611</v>
      </c>
      <c r="AI99" s="27">
        <v>6</v>
      </c>
      <c r="AJ99" s="24"/>
      <c r="AK99" s="140">
        <v>4</v>
      </c>
      <c r="AL99" s="24">
        <v>6</v>
      </c>
      <c r="AM99" s="66">
        <v>7</v>
      </c>
      <c r="AN99" s="76" t="s">
        <v>611</v>
      </c>
      <c r="AO99" s="27"/>
      <c r="AP99" s="22"/>
      <c r="AQ99" s="24"/>
      <c r="AR99">
        <f t="shared" si="3"/>
        <v>21</v>
      </c>
    </row>
    <row r="100" spans="1:44" x14ac:dyDescent="0.25">
      <c r="B100" t="str">
        <f t="shared" si="2"/>
        <v>TFC - Braithwaite</v>
      </c>
      <c r="C100" t="s">
        <v>836</v>
      </c>
      <c r="D100" s="29" t="s">
        <v>633</v>
      </c>
      <c r="E100" t="s">
        <v>141</v>
      </c>
      <c r="F100" s="31">
        <v>26</v>
      </c>
      <c r="G100" s="99">
        <v>3</v>
      </c>
      <c r="H100" s="73">
        <v>8</v>
      </c>
      <c r="I100" s="34">
        <f>AVERAGE(AB100,Y100,X100,W100,K100,L100,M100,J100,N100,O100,P100,Q100,R100,S100,T100,U100,V100,AC100,AD100,AE100,AF100,AG100,AJ100,AL100,AM100,AN100)</f>
        <v>4.9230769230769234</v>
      </c>
      <c r="J100" s="25">
        <v>7</v>
      </c>
      <c r="K100" s="76">
        <v>5</v>
      </c>
      <c r="L100" s="37">
        <v>4</v>
      </c>
      <c r="M100" s="297">
        <v>6</v>
      </c>
      <c r="N100" s="298">
        <v>7</v>
      </c>
      <c r="O100" s="24">
        <v>5</v>
      </c>
      <c r="P100" s="22">
        <v>6</v>
      </c>
      <c r="Q100" s="37">
        <v>4</v>
      </c>
      <c r="R100" s="77">
        <v>6</v>
      </c>
      <c r="S100" s="24">
        <v>5</v>
      </c>
      <c r="T100" s="37">
        <v>4</v>
      </c>
      <c r="U100" s="37">
        <v>4</v>
      </c>
      <c r="V100" s="172">
        <v>3</v>
      </c>
      <c r="W100" s="24">
        <v>4</v>
      </c>
      <c r="X100" s="75">
        <v>7</v>
      </c>
      <c r="Y100" s="23">
        <v>4</v>
      </c>
      <c r="Z100" s="37" t="s">
        <v>611</v>
      </c>
      <c r="AA100" s="37"/>
      <c r="AB100" s="24">
        <v>5</v>
      </c>
      <c r="AC100" s="24">
        <v>4</v>
      </c>
      <c r="AD100" s="76">
        <v>4</v>
      </c>
      <c r="AE100" s="82">
        <v>3</v>
      </c>
      <c r="AF100" s="24">
        <v>4</v>
      </c>
      <c r="AG100" s="27">
        <v>4</v>
      </c>
      <c r="AH100" s="24"/>
      <c r="AI100" s="26" t="s">
        <v>611</v>
      </c>
      <c r="AJ100" s="25">
        <v>7</v>
      </c>
      <c r="AK100" s="26" t="s">
        <v>611</v>
      </c>
      <c r="AL100" s="37">
        <v>5</v>
      </c>
      <c r="AM100" s="75">
        <v>7</v>
      </c>
      <c r="AN100" s="37">
        <v>4</v>
      </c>
      <c r="AO100" s="27"/>
      <c r="AP100" s="22"/>
      <c r="AQ100" s="24"/>
      <c r="AR100">
        <f t="shared" si="3"/>
        <v>29</v>
      </c>
    </row>
    <row r="101" spans="1:44" x14ac:dyDescent="0.25">
      <c r="B101" t="str">
        <f t="shared" si="2"/>
        <v>PSG - Augustin</v>
      </c>
      <c r="C101" t="s">
        <v>673</v>
      </c>
      <c r="D101" s="29" t="s">
        <v>622</v>
      </c>
      <c r="E101" s="127" t="s">
        <v>376</v>
      </c>
      <c r="F101" s="31">
        <v>3</v>
      </c>
      <c r="G101" s="99">
        <v>7</v>
      </c>
      <c r="H101" s="73">
        <v>1</v>
      </c>
      <c r="I101" s="34">
        <f>AVERAGE(K101,AG101,AI101)</f>
        <v>4.333333333333333</v>
      </c>
      <c r="J101" s="76" t="s">
        <v>611</v>
      </c>
      <c r="K101" s="37">
        <v>4</v>
      </c>
      <c r="L101" s="37" t="s">
        <v>611</v>
      </c>
      <c r="M101" s="94"/>
      <c r="N101" s="48"/>
      <c r="O101" s="24"/>
      <c r="P101" s="24"/>
      <c r="Q101" s="24"/>
      <c r="R101" s="24"/>
      <c r="S101" s="24"/>
      <c r="T101" s="24"/>
      <c r="U101" s="37" t="s">
        <v>611</v>
      </c>
      <c r="V101" s="37"/>
      <c r="W101" s="37" t="s">
        <v>611</v>
      </c>
      <c r="X101" s="77" t="s">
        <v>611</v>
      </c>
      <c r="Y101" s="24"/>
      <c r="Z101" s="22"/>
      <c r="AA101" s="24"/>
      <c r="AB101" s="24"/>
      <c r="AC101" s="24"/>
      <c r="AD101" s="24"/>
      <c r="AE101" s="22"/>
      <c r="AF101" s="24"/>
      <c r="AG101" s="143">
        <v>5</v>
      </c>
      <c r="AH101" s="22"/>
      <c r="AI101" s="27">
        <v>4</v>
      </c>
      <c r="AJ101" s="24"/>
      <c r="AK101" s="28"/>
      <c r="AL101" s="76" t="s">
        <v>611</v>
      </c>
      <c r="AM101" s="22"/>
      <c r="AN101" s="76" t="s">
        <v>611</v>
      </c>
      <c r="AO101" s="27"/>
      <c r="AP101" s="24"/>
      <c r="AQ101" s="24"/>
      <c r="AR101">
        <f t="shared" si="3"/>
        <v>10</v>
      </c>
    </row>
    <row r="102" spans="1:44" x14ac:dyDescent="0.25">
      <c r="B102" t="str">
        <f t="shared" si="2"/>
        <v>PSG - Nkunku</v>
      </c>
      <c r="C102" t="s">
        <v>673</v>
      </c>
      <c r="D102" s="29" t="s">
        <v>622</v>
      </c>
      <c r="E102" s="127" t="s">
        <v>1083</v>
      </c>
      <c r="F102" s="31">
        <v>1</v>
      </c>
      <c r="G102" s="99"/>
      <c r="H102" s="73"/>
      <c r="I102" s="34">
        <f>AVERAGE(AL102)</f>
        <v>5</v>
      </c>
      <c r="J102" s="76"/>
      <c r="K102" s="37"/>
      <c r="L102" s="37"/>
      <c r="M102" s="94"/>
      <c r="N102" s="48"/>
      <c r="O102" s="24"/>
      <c r="P102" s="24"/>
      <c r="Q102" s="24"/>
      <c r="R102" s="24"/>
      <c r="S102" s="24"/>
      <c r="T102" s="24"/>
      <c r="U102" s="37"/>
      <c r="V102" s="37"/>
      <c r="W102" s="37"/>
      <c r="X102" s="77"/>
      <c r="Y102" s="24"/>
      <c r="Z102" s="22"/>
      <c r="AA102" s="24"/>
      <c r="AB102" s="24"/>
      <c r="AC102" s="24"/>
      <c r="AD102" s="24"/>
      <c r="AE102" s="22"/>
      <c r="AF102" s="24"/>
      <c r="AG102" s="143"/>
      <c r="AH102" s="22"/>
      <c r="AI102" s="27"/>
      <c r="AJ102" s="24"/>
      <c r="AK102" s="28"/>
      <c r="AL102" s="23">
        <v>5</v>
      </c>
      <c r="AM102" s="22"/>
      <c r="AN102" s="24"/>
      <c r="AO102" s="27"/>
      <c r="AP102" s="24"/>
      <c r="AQ102" s="24"/>
      <c r="AR102">
        <f t="shared" si="3"/>
        <v>1</v>
      </c>
    </row>
    <row r="103" spans="1:44" x14ac:dyDescent="0.25">
      <c r="A103">
        <v>0</v>
      </c>
      <c r="B103" t="str">
        <f t="shared" ref="B103:B166" si="4">C103 &amp; " - " &amp;E103</f>
        <v>SCB - Ayité</v>
      </c>
      <c r="C103" t="s">
        <v>855</v>
      </c>
      <c r="D103" s="67" t="s">
        <v>633</v>
      </c>
      <c r="E103" s="85" t="s">
        <v>851</v>
      </c>
      <c r="F103" s="69">
        <v>25</v>
      </c>
      <c r="G103" s="115">
        <v>2</v>
      </c>
      <c r="H103" s="68">
        <v>8</v>
      </c>
      <c r="I103" s="72">
        <f>AVERAGE(Y103,X103,K103,L103,M103,J103,N103,O103,P103,R103,S103,T103,U103,V103,W103,AA103,AD103,AE103,AH103,AI103,AK103,AL103,AM103,AN103)</f>
        <v>5.125</v>
      </c>
      <c r="J103" s="77">
        <v>6</v>
      </c>
      <c r="K103" s="128">
        <v>7</v>
      </c>
      <c r="L103" s="37">
        <v>5</v>
      </c>
      <c r="M103" s="26">
        <v>5</v>
      </c>
      <c r="N103" s="38">
        <v>4</v>
      </c>
      <c r="O103" s="23">
        <v>5</v>
      </c>
      <c r="P103" s="24">
        <v>5</v>
      </c>
      <c r="Q103" s="24"/>
      <c r="R103" s="24">
        <v>4</v>
      </c>
      <c r="S103" s="23">
        <v>4</v>
      </c>
      <c r="T103" s="24">
        <v>4</v>
      </c>
      <c r="U103" s="24">
        <v>5</v>
      </c>
      <c r="V103" s="24">
        <v>6</v>
      </c>
      <c r="W103" s="37">
        <v>4</v>
      </c>
      <c r="X103" s="24">
        <v>5</v>
      </c>
      <c r="Y103" s="24">
        <v>5</v>
      </c>
      <c r="Z103" s="37" t="s">
        <v>611</v>
      </c>
      <c r="AA103" s="24">
        <v>6</v>
      </c>
      <c r="AB103" s="22" t="s">
        <v>641</v>
      </c>
      <c r="AC103" s="24"/>
      <c r="AD103" s="22">
        <v>6</v>
      </c>
      <c r="AE103" s="82">
        <v>3</v>
      </c>
      <c r="AF103" s="24"/>
      <c r="AG103" s="26"/>
      <c r="AH103" s="75">
        <v>8</v>
      </c>
      <c r="AI103" s="254">
        <v>7</v>
      </c>
      <c r="AJ103" s="37" t="s">
        <v>611</v>
      </c>
      <c r="AK103" s="254">
        <v>7</v>
      </c>
      <c r="AL103" s="24">
        <v>5</v>
      </c>
      <c r="AM103" s="82">
        <v>3</v>
      </c>
      <c r="AN103" s="24">
        <v>4</v>
      </c>
      <c r="AO103" s="27"/>
      <c r="AP103" s="24"/>
      <c r="AQ103" s="24"/>
      <c r="AR103">
        <f t="shared" ref="AR103:AR166" si="5">F103 +G103</f>
        <v>27</v>
      </c>
    </row>
    <row r="104" spans="1:44" x14ac:dyDescent="0.25">
      <c r="A104">
        <v>0</v>
      </c>
      <c r="B104" t="str">
        <f t="shared" si="4"/>
        <v>SRFC - Grosicki</v>
      </c>
      <c r="C104" t="s">
        <v>881</v>
      </c>
      <c r="D104" s="29" t="s">
        <v>633</v>
      </c>
      <c r="E104" t="s">
        <v>583</v>
      </c>
      <c r="F104" s="31">
        <v>9</v>
      </c>
      <c r="G104" s="196">
        <v>19</v>
      </c>
      <c r="H104" s="73">
        <v>8</v>
      </c>
      <c r="I104" s="34">
        <f>AVERAGE(M104,Q104,V104,X104,Y104,AA104,AH104,AL104,AM104,AN104)</f>
        <v>5.0999999999999996</v>
      </c>
      <c r="J104" s="37" t="s">
        <v>611</v>
      </c>
      <c r="K104" s="77" t="s">
        <v>611</v>
      </c>
      <c r="L104" s="37" t="s">
        <v>611</v>
      </c>
      <c r="M104" s="26">
        <v>5</v>
      </c>
      <c r="N104" s="101" t="s">
        <v>611</v>
      </c>
      <c r="O104" s="37" t="s">
        <v>611</v>
      </c>
      <c r="P104" s="37" t="s">
        <v>611</v>
      </c>
      <c r="Q104" s="37">
        <v>4</v>
      </c>
      <c r="R104" s="76" t="s">
        <v>611</v>
      </c>
      <c r="S104" s="77" t="s">
        <v>611</v>
      </c>
      <c r="T104" s="77" t="s">
        <v>611</v>
      </c>
      <c r="U104" s="37" t="s">
        <v>611</v>
      </c>
      <c r="V104" s="163">
        <v>3</v>
      </c>
      <c r="W104" s="77" t="s">
        <v>611</v>
      </c>
      <c r="X104" s="25">
        <v>7</v>
      </c>
      <c r="Y104" s="37">
        <v>4</v>
      </c>
      <c r="Z104" s="24"/>
      <c r="AA104" s="24">
        <v>6</v>
      </c>
      <c r="AB104" s="24"/>
      <c r="AC104" s="24"/>
      <c r="AD104" s="77" t="s">
        <v>611</v>
      </c>
      <c r="AE104" s="37" t="s">
        <v>611</v>
      </c>
      <c r="AF104" s="37" t="s">
        <v>611</v>
      </c>
      <c r="AG104" s="26" t="s">
        <v>611</v>
      </c>
      <c r="AH104" s="24">
        <v>4</v>
      </c>
      <c r="AI104" s="26" t="s">
        <v>611</v>
      </c>
      <c r="AJ104" s="37" t="s">
        <v>611</v>
      </c>
      <c r="AK104" s="94" t="s">
        <v>611</v>
      </c>
      <c r="AL104" s="75">
        <v>7</v>
      </c>
      <c r="AM104" s="37">
        <v>4</v>
      </c>
      <c r="AN104" s="84">
        <v>7</v>
      </c>
      <c r="AO104" s="26"/>
      <c r="AP104" s="37"/>
      <c r="AQ104" s="24"/>
      <c r="AR104">
        <f t="shared" si="5"/>
        <v>28</v>
      </c>
    </row>
    <row r="105" spans="1:44" x14ac:dyDescent="0.25">
      <c r="B105" t="str">
        <f t="shared" si="4"/>
        <v>PSG - Bahebeck</v>
      </c>
      <c r="C105" t="s">
        <v>673</v>
      </c>
      <c r="D105" s="131" t="s">
        <v>633</v>
      </c>
      <c r="E105" s="132" t="s">
        <v>669</v>
      </c>
      <c r="F105" s="133"/>
      <c r="G105" s="134"/>
      <c r="H105" s="135"/>
      <c r="I105" s="34"/>
      <c r="J105" s="136"/>
      <c r="K105" s="137"/>
      <c r="L105" s="138"/>
      <c r="M105" s="138"/>
      <c r="N105" s="139"/>
      <c r="O105" s="139"/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4"/>
      <c r="AF105" s="139"/>
      <c r="AG105" s="134"/>
      <c r="AH105" s="139"/>
      <c r="AI105" s="134"/>
      <c r="AJ105" s="134"/>
      <c r="AK105" s="139"/>
      <c r="AL105" s="139"/>
      <c r="AM105" s="139"/>
      <c r="AN105" s="139"/>
      <c r="AO105" s="134"/>
      <c r="AP105" s="139"/>
      <c r="AQ105" s="139"/>
      <c r="AR105">
        <f t="shared" si="5"/>
        <v>0</v>
      </c>
    </row>
    <row r="106" spans="1:44" x14ac:dyDescent="0.25">
      <c r="A106">
        <v>0</v>
      </c>
      <c r="B106" t="str">
        <f t="shared" si="4"/>
        <v>SMC - Rodelin</v>
      </c>
      <c r="C106" t="s">
        <v>978</v>
      </c>
      <c r="D106" s="147" t="s">
        <v>633</v>
      </c>
      <c r="E106" s="155" t="s">
        <v>461</v>
      </c>
      <c r="F106" s="149">
        <v>26</v>
      </c>
      <c r="G106" s="143">
        <v>1</v>
      </c>
      <c r="H106" s="49">
        <v>8</v>
      </c>
      <c r="I106" s="34">
        <f>AVERAGE(AB106,N106,O106,P106,Q106,R106,S106,T106,V106,W106,X106,Y106,Z106,AA106,AC106,AD106,AE106,AF106,AG106,AH106,AI106,AJ106,AK106,AL106,AM106,AN106)</f>
        <v>5.3461538461538458</v>
      </c>
      <c r="J106" s="108"/>
      <c r="K106" s="109"/>
      <c r="L106" s="108"/>
      <c r="M106" s="180"/>
      <c r="N106" s="116">
        <v>6</v>
      </c>
      <c r="O106" s="75">
        <v>7</v>
      </c>
      <c r="P106" s="23">
        <v>4</v>
      </c>
      <c r="Q106" s="75">
        <v>7</v>
      </c>
      <c r="R106" s="76">
        <v>5</v>
      </c>
      <c r="S106" s="23">
        <v>5</v>
      </c>
      <c r="T106" s="23">
        <v>5</v>
      </c>
      <c r="U106" s="76" t="s">
        <v>611</v>
      </c>
      <c r="V106" s="23">
        <v>4</v>
      </c>
      <c r="W106" s="76">
        <v>4</v>
      </c>
      <c r="X106" s="23">
        <v>6</v>
      </c>
      <c r="Y106" s="22">
        <v>6</v>
      </c>
      <c r="Z106" s="76">
        <v>5</v>
      </c>
      <c r="AA106" s="76">
        <v>5</v>
      </c>
      <c r="AB106" s="23">
        <v>5</v>
      </c>
      <c r="AC106" s="76">
        <v>5</v>
      </c>
      <c r="AD106" s="77">
        <v>6</v>
      </c>
      <c r="AE106" s="25">
        <v>7</v>
      </c>
      <c r="AF106" s="25">
        <v>7</v>
      </c>
      <c r="AG106" s="143">
        <v>4</v>
      </c>
      <c r="AH106" s="23">
        <v>4</v>
      </c>
      <c r="AI106" s="143">
        <v>5</v>
      </c>
      <c r="AJ106" s="23">
        <v>5</v>
      </c>
      <c r="AK106" s="254">
        <v>7</v>
      </c>
      <c r="AL106" s="23">
        <v>4</v>
      </c>
      <c r="AM106" s="76">
        <v>5</v>
      </c>
      <c r="AN106" s="22">
        <v>6</v>
      </c>
      <c r="AO106" s="110"/>
      <c r="AP106" s="108"/>
      <c r="AQ106" s="109"/>
      <c r="AR106">
        <f t="shared" si="5"/>
        <v>27</v>
      </c>
    </row>
    <row r="107" spans="1:44" x14ac:dyDescent="0.25">
      <c r="B107" t="str">
        <f t="shared" si="4"/>
        <v>PSG - Ongenda</v>
      </c>
      <c r="C107" t="s">
        <v>673</v>
      </c>
      <c r="D107" s="29" t="s">
        <v>633</v>
      </c>
      <c r="E107" s="124" t="s">
        <v>670</v>
      </c>
      <c r="F107" s="31">
        <v>2</v>
      </c>
      <c r="G107" s="99"/>
      <c r="H107" s="73">
        <v>1</v>
      </c>
      <c r="I107" s="34">
        <f>AVERAGE(W107,AG107)</f>
        <v>6</v>
      </c>
      <c r="J107" s="76"/>
      <c r="K107" s="37"/>
      <c r="L107" s="37"/>
      <c r="M107" s="94"/>
      <c r="N107" s="48"/>
      <c r="O107" s="24"/>
      <c r="P107" s="24"/>
      <c r="Q107" s="24"/>
      <c r="R107" s="24"/>
      <c r="S107" s="24"/>
      <c r="T107" s="24"/>
      <c r="U107" s="37"/>
      <c r="V107" s="37"/>
      <c r="W107" s="25">
        <v>7</v>
      </c>
      <c r="X107" s="22"/>
      <c r="Y107" s="24"/>
      <c r="Z107" s="22"/>
      <c r="AA107" s="24"/>
      <c r="AB107" s="24"/>
      <c r="AC107" s="24"/>
      <c r="AD107" s="24"/>
      <c r="AE107" s="22"/>
      <c r="AF107" s="24"/>
      <c r="AG107" s="143">
        <v>5</v>
      </c>
      <c r="AH107" s="22"/>
      <c r="AI107" s="27"/>
      <c r="AJ107" s="24"/>
      <c r="AK107" s="28"/>
      <c r="AL107" s="22"/>
      <c r="AM107" s="22"/>
      <c r="AN107" s="24"/>
      <c r="AO107" s="27"/>
      <c r="AP107" s="24"/>
      <c r="AQ107" s="24"/>
      <c r="AR107">
        <f t="shared" si="5"/>
        <v>2</v>
      </c>
    </row>
    <row r="108" spans="1:44" ht="15.75" thickBot="1" x14ac:dyDescent="0.3">
      <c r="B108" t="str">
        <f t="shared" si="4"/>
        <v>PSG - Lavezzi</v>
      </c>
      <c r="C108" t="s">
        <v>673</v>
      </c>
      <c r="D108" s="266" t="s">
        <v>633</v>
      </c>
      <c r="E108" s="220" t="s">
        <v>93</v>
      </c>
      <c r="F108" s="221">
        <v>3</v>
      </c>
      <c r="G108" s="222">
        <v>13</v>
      </c>
      <c r="H108" s="261">
        <v>2</v>
      </c>
      <c r="I108" s="267">
        <f>AVERAGE(L108,O108,U108)</f>
        <v>4.333333333333333</v>
      </c>
      <c r="J108" s="61"/>
      <c r="K108" s="61" t="s">
        <v>611</v>
      </c>
      <c r="L108" s="61">
        <v>4</v>
      </c>
      <c r="M108" s="282" t="s">
        <v>611</v>
      </c>
      <c r="N108" s="150" t="s">
        <v>611</v>
      </c>
      <c r="O108" s="53">
        <v>4</v>
      </c>
      <c r="P108" s="61" t="s">
        <v>611</v>
      </c>
      <c r="Q108" s="61" t="s">
        <v>611</v>
      </c>
      <c r="R108" s="61" t="s">
        <v>611</v>
      </c>
      <c r="S108" s="61" t="s">
        <v>611</v>
      </c>
      <c r="T108" s="61" t="s">
        <v>611</v>
      </c>
      <c r="U108" s="53">
        <v>5</v>
      </c>
      <c r="V108" s="81" t="s">
        <v>611</v>
      </c>
      <c r="W108" s="59"/>
      <c r="X108" s="61"/>
      <c r="Y108" s="53">
        <v>4</v>
      </c>
      <c r="Z108" s="61" t="s">
        <v>611</v>
      </c>
      <c r="AA108" s="53"/>
      <c r="AB108" s="61" t="s">
        <v>611</v>
      </c>
      <c r="AC108" s="61" t="s">
        <v>611</v>
      </c>
      <c r="AD108" s="61"/>
      <c r="AE108" s="61"/>
      <c r="AF108" s="59"/>
      <c r="AG108" s="62"/>
      <c r="AH108" s="59"/>
      <c r="AI108" s="63"/>
      <c r="AJ108" s="53"/>
      <c r="AK108" s="63"/>
      <c r="AL108" s="53"/>
      <c r="AM108" s="53"/>
      <c r="AN108" s="61"/>
      <c r="AO108" s="63"/>
      <c r="AP108" s="53"/>
      <c r="AQ108" s="59"/>
      <c r="AR108">
        <f t="shared" si="5"/>
        <v>16</v>
      </c>
    </row>
    <row r="109" spans="1:44" x14ac:dyDescent="0.25">
      <c r="B109" t="str">
        <f t="shared" si="4"/>
        <v>OGCN - Cardinale</v>
      </c>
      <c r="C109" t="s">
        <v>696</v>
      </c>
      <c r="D109" s="16" t="s">
        <v>605</v>
      </c>
      <c r="E109" s="227" t="s">
        <v>589</v>
      </c>
      <c r="F109" s="18">
        <v>18</v>
      </c>
      <c r="G109" s="95">
        <v>1</v>
      </c>
      <c r="H109" s="160"/>
      <c r="I109" s="20">
        <f>AVERAGE(S109,T109,X109,Y109,Z109,AA109,AB109,AC109,AD109,AE109,AF109,AG109,AH109,AI109,AJ109,AK109,AL109,AM109,AN109)</f>
        <v>5.4736842105263159</v>
      </c>
      <c r="J109" s="48"/>
      <c r="K109" s="24"/>
      <c r="L109" s="24"/>
      <c r="M109" s="24"/>
      <c r="N109" s="24"/>
      <c r="O109" s="37"/>
      <c r="P109" s="24"/>
      <c r="Q109" s="24"/>
      <c r="R109" s="24"/>
      <c r="S109" s="24">
        <v>5</v>
      </c>
      <c r="T109" s="24">
        <v>5</v>
      </c>
      <c r="U109" s="24"/>
      <c r="V109" s="24"/>
      <c r="W109" s="24"/>
      <c r="X109" s="24">
        <v>5</v>
      </c>
      <c r="Y109" s="22">
        <v>6</v>
      </c>
      <c r="Z109" s="24">
        <v>5</v>
      </c>
      <c r="AA109" s="24">
        <v>6</v>
      </c>
      <c r="AB109" s="25">
        <v>7</v>
      </c>
      <c r="AC109" s="24">
        <v>5</v>
      </c>
      <c r="AD109" s="24">
        <v>6</v>
      </c>
      <c r="AE109" s="24">
        <v>5</v>
      </c>
      <c r="AF109" s="24">
        <v>5</v>
      </c>
      <c r="AG109" s="22">
        <v>6</v>
      </c>
      <c r="AH109" s="24">
        <v>5</v>
      </c>
      <c r="AI109" s="27">
        <v>6</v>
      </c>
      <c r="AJ109" s="22">
        <v>6</v>
      </c>
      <c r="AK109" s="37">
        <v>4</v>
      </c>
      <c r="AL109" s="27">
        <v>4</v>
      </c>
      <c r="AM109" s="25">
        <v>7</v>
      </c>
      <c r="AN109" s="22">
        <v>6</v>
      </c>
      <c r="AO109" s="24"/>
      <c r="AP109" s="27"/>
      <c r="AQ109" s="27"/>
      <c r="AR109">
        <f t="shared" si="5"/>
        <v>19</v>
      </c>
    </row>
    <row r="110" spans="1:44" x14ac:dyDescent="0.25">
      <c r="B110" t="str">
        <f t="shared" si="4"/>
        <v>OGCN - Pouplin</v>
      </c>
      <c r="C110" t="s">
        <v>696</v>
      </c>
      <c r="D110" s="29" t="s">
        <v>605</v>
      </c>
      <c r="E110" s="30" t="s">
        <v>674</v>
      </c>
      <c r="F110" s="31">
        <v>1</v>
      </c>
      <c r="G110" s="99"/>
      <c r="H110" s="73"/>
      <c r="I110" s="34"/>
      <c r="J110" s="48" t="s">
        <v>641</v>
      </c>
      <c r="K110" s="24"/>
      <c r="L110" s="24"/>
      <c r="M110" s="24"/>
      <c r="N110" s="24"/>
      <c r="O110" s="37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2"/>
      <c r="AB110" s="24"/>
      <c r="AC110" s="24"/>
      <c r="AD110" s="24"/>
      <c r="AE110" s="24"/>
      <c r="AF110" s="24"/>
      <c r="AG110" s="24"/>
      <c r="AH110" s="24"/>
      <c r="AI110" s="27"/>
      <c r="AJ110" s="24"/>
      <c r="AK110" s="37"/>
      <c r="AL110" s="27"/>
      <c r="AM110" s="24"/>
      <c r="AN110" s="24"/>
      <c r="AO110" s="22"/>
      <c r="AP110" s="27"/>
      <c r="AQ110" s="27"/>
      <c r="AR110">
        <f t="shared" si="5"/>
        <v>1</v>
      </c>
    </row>
    <row r="111" spans="1:44" x14ac:dyDescent="0.25">
      <c r="B111" t="str">
        <f t="shared" si="4"/>
        <v>OGCN - Hassen</v>
      </c>
      <c r="C111" t="s">
        <v>696</v>
      </c>
      <c r="D111" s="67" t="s">
        <v>605</v>
      </c>
      <c r="E111" s="85" t="s">
        <v>599</v>
      </c>
      <c r="F111" s="69">
        <v>12</v>
      </c>
      <c r="G111" s="115">
        <v>2</v>
      </c>
      <c r="H111" s="68"/>
      <c r="I111" s="72">
        <f>AVERAGE(K111,L111,M111,J111,N111,O111,P111,Q111,U111,R111,V111,W111)</f>
        <v>5.583333333333333</v>
      </c>
      <c r="J111" s="142">
        <v>5</v>
      </c>
      <c r="K111" s="143">
        <v>5</v>
      </c>
      <c r="L111" s="24">
        <v>6</v>
      </c>
      <c r="M111" s="24">
        <v>5</v>
      </c>
      <c r="N111" s="23">
        <v>5</v>
      </c>
      <c r="O111" s="37">
        <v>5</v>
      </c>
      <c r="P111" s="23">
        <v>6</v>
      </c>
      <c r="Q111" s="24">
        <v>5</v>
      </c>
      <c r="R111" s="24">
        <v>6</v>
      </c>
      <c r="S111" s="24"/>
      <c r="T111" s="24"/>
      <c r="U111" s="22">
        <v>6</v>
      </c>
      <c r="V111" s="25">
        <v>7</v>
      </c>
      <c r="W111" s="22">
        <v>6</v>
      </c>
      <c r="X111" s="24" t="s">
        <v>623</v>
      </c>
      <c r="Y111" s="24"/>
      <c r="Z111" s="24"/>
      <c r="AA111" s="37" t="s">
        <v>611</v>
      </c>
      <c r="AB111" s="24"/>
      <c r="AC111" s="24"/>
      <c r="AD111" s="24"/>
      <c r="AE111" s="24"/>
      <c r="AF111" s="22"/>
      <c r="AG111" s="22"/>
      <c r="AH111" s="22"/>
      <c r="AI111" s="27"/>
      <c r="AJ111" s="24"/>
      <c r="AK111" s="37"/>
      <c r="AL111" s="27"/>
      <c r="AM111" s="24"/>
      <c r="AN111" s="24"/>
      <c r="AO111" s="24"/>
      <c r="AP111" s="27"/>
      <c r="AQ111" s="27"/>
      <c r="AR111">
        <f t="shared" si="5"/>
        <v>14</v>
      </c>
    </row>
    <row r="112" spans="1:44" x14ac:dyDescent="0.25">
      <c r="B112" t="str">
        <f t="shared" si="4"/>
        <v>OGCN - K. Gomis</v>
      </c>
      <c r="C112" t="s">
        <v>696</v>
      </c>
      <c r="D112" s="29" t="s">
        <v>608</v>
      </c>
      <c r="E112" s="30" t="s">
        <v>675</v>
      </c>
      <c r="F112" s="31">
        <v>1</v>
      </c>
      <c r="G112" s="99">
        <v>2</v>
      </c>
      <c r="H112" s="114"/>
      <c r="I112" s="34">
        <f>AVERAGE(K112,L112,J112)</f>
        <v>4.666666666666667</v>
      </c>
      <c r="J112" s="48">
        <v>4</v>
      </c>
      <c r="K112" s="21">
        <v>5</v>
      </c>
      <c r="L112" s="24">
        <v>5</v>
      </c>
      <c r="M112" s="24"/>
      <c r="N112" s="24"/>
      <c r="O112" s="37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37" t="s">
        <v>611</v>
      </c>
      <c r="AF112" s="24"/>
      <c r="AG112" s="24"/>
      <c r="AH112" s="24"/>
      <c r="AI112" s="27"/>
      <c r="AJ112" s="24"/>
      <c r="AK112" s="37"/>
      <c r="AL112" s="27"/>
      <c r="AM112" s="37"/>
      <c r="AN112" s="24"/>
      <c r="AO112" s="24"/>
      <c r="AP112" s="27"/>
      <c r="AQ112" s="27"/>
      <c r="AR112">
        <f t="shared" si="5"/>
        <v>3</v>
      </c>
    </row>
    <row r="113" spans="1:44" x14ac:dyDescent="0.25">
      <c r="B113" t="str">
        <f t="shared" si="4"/>
        <v>OGCN - Genevois</v>
      </c>
      <c r="C113" t="s">
        <v>696</v>
      </c>
      <c r="D113" s="29" t="s">
        <v>608</v>
      </c>
      <c r="E113" s="30" t="s">
        <v>676</v>
      </c>
      <c r="F113" s="31">
        <v>8</v>
      </c>
      <c r="G113" s="99">
        <v>3</v>
      </c>
      <c r="H113" s="73">
        <v>1</v>
      </c>
      <c r="I113" s="34">
        <f>AVERAGE(R113,W113,X113,Y113,Z113,AC113,AD113,AL113)</f>
        <v>5.25</v>
      </c>
      <c r="J113" s="24"/>
      <c r="K113" s="36"/>
      <c r="L113" s="24"/>
      <c r="M113" s="24"/>
      <c r="N113" s="24"/>
      <c r="O113" s="37"/>
      <c r="P113" s="24"/>
      <c r="Q113" s="24"/>
      <c r="R113" s="22">
        <v>6</v>
      </c>
      <c r="S113" s="24"/>
      <c r="T113" s="24"/>
      <c r="U113" s="24"/>
      <c r="V113" s="24"/>
      <c r="W113" s="24">
        <v>5</v>
      </c>
      <c r="X113" s="24">
        <v>5</v>
      </c>
      <c r="Y113" s="24">
        <v>6</v>
      </c>
      <c r="Z113" s="24">
        <v>4</v>
      </c>
      <c r="AA113" s="24"/>
      <c r="AB113" s="37" t="s">
        <v>611</v>
      </c>
      <c r="AC113" s="24">
        <v>5</v>
      </c>
      <c r="AD113" s="24">
        <v>5</v>
      </c>
      <c r="AE113" s="76"/>
      <c r="AF113" s="24"/>
      <c r="AG113" s="24"/>
      <c r="AH113" s="24"/>
      <c r="AI113" s="27"/>
      <c r="AJ113" s="24"/>
      <c r="AK113" s="37"/>
      <c r="AL113" s="27">
        <v>6</v>
      </c>
      <c r="AM113" s="37" t="s">
        <v>611</v>
      </c>
      <c r="AN113" s="24"/>
      <c r="AO113" s="24"/>
      <c r="AP113" s="27"/>
      <c r="AQ113" s="27"/>
      <c r="AR113">
        <f t="shared" si="5"/>
        <v>11</v>
      </c>
    </row>
    <row r="114" spans="1:44" x14ac:dyDescent="0.25">
      <c r="B114" t="str">
        <f t="shared" si="4"/>
        <v>OGCN - Boscagli</v>
      </c>
      <c r="C114" t="s">
        <v>696</v>
      </c>
      <c r="D114" s="29" t="s">
        <v>608</v>
      </c>
      <c r="E114" s="60" t="s">
        <v>677</v>
      </c>
      <c r="F114" s="31">
        <v>8</v>
      </c>
      <c r="G114" s="99">
        <v>2</v>
      </c>
      <c r="H114" s="73">
        <v>1</v>
      </c>
      <c r="I114" s="34">
        <f>AVERAGE(L114,M114,N114,P114,T114,AA114,AB114,AL114)</f>
        <v>5.375</v>
      </c>
      <c r="J114" s="38" t="s">
        <v>623</v>
      </c>
      <c r="K114" s="36"/>
      <c r="L114" s="24">
        <v>5</v>
      </c>
      <c r="M114" s="24">
        <v>4</v>
      </c>
      <c r="N114" s="24">
        <v>6</v>
      </c>
      <c r="O114" s="37"/>
      <c r="P114" s="24">
        <v>5</v>
      </c>
      <c r="Q114" s="24"/>
      <c r="R114" s="24"/>
      <c r="S114" s="24"/>
      <c r="T114" s="24">
        <v>5</v>
      </c>
      <c r="U114" s="24"/>
      <c r="V114" s="24"/>
      <c r="W114" s="24"/>
      <c r="X114" s="24"/>
      <c r="Y114" s="24"/>
      <c r="Z114" s="37" t="s">
        <v>611</v>
      </c>
      <c r="AA114" s="24">
        <v>6</v>
      </c>
      <c r="AB114" s="22">
        <v>6</v>
      </c>
      <c r="AC114" s="24"/>
      <c r="AD114" s="24"/>
      <c r="AE114" s="24"/>
      <c r="AF114" s="24"/>
      <c r="AG114" s="24"/>
      <c r="AH114" s="24"/>
      <c r="AI114" s="27"/>
      <c r="AJ114" s="24"/>
      <c r="AK114" s="37"/>
      <c r="AL114" s="26">
        <v>6</v>
      </c>
      <c r="AM114" s="24"/>
      <c r="AN114" s="24"/>
      <c r="AO114" s="24"/>
      <c r="AP114" s="27"/>
      <c r="AQ114" s="27"/>
      <c r="AR114">
        <f t="shared" si="5"/>
        <v>10</v>
      </c>
    </row>
    <row r="115" spans="1:44" x14ac:dyDescent="0.25">
      <c r="B115" t="str">
        <f t="shared" si="4"/>
        <v>OGCN - Le Marchand</v>
      </c>
      <c r="C115" t="s">
        <v>696</v>
      </c>
      <c r="D115" s="29" t="s">
        <v>608</v>
      </c>
      <c r="E115" s="182" t="s">
        <v>678</v>
      </c>
      <c r="F115" s="31">
        <v>21</v>
      </c>
      <c r="G115" s="99"/>
      <c r="H115" s="73">
        <v>1</v>
      </c>
      <c r="I115" s="34">
        <f>AVERAGE(K115,J115,Q115,S115,U115,V115,W115,X115,Y115,Z115,AA115,AB115,AE115,AF115,AG115,AH115,AI115,AJ115,AK115,AM115,AN115)</f>
        <v>5.0476190476190474</v>
      </c>
      <c r="J115" s="38">
        <v>5</v>
      </c>
      <c r="K115" s="144">
        <v>6</v>
      </c>
      <c r="L115" s="24"/>
      <c r="M115" s="24"/>
      <c r="N115" s="24"/>
      <c r="O115" s="37"/>
      <c r="P115" s="24"/>
      <c r="Q115" s="82">
        <v>3</v>
      </c>
      <c r="R115" s="24"/>
      <c r="S115" s="24">
        <v>5</v>
      </c>
      <c r="T115" s="24"/>
      <c r="U115" s="24">
        <v>5</v>
      </c>
      <c r="V115" s="24">
        <v>5</v>
      </c>
      <c r="W115" s="24">
        <v>5</v>
      </c>
      <c r="X115" s="24">
        <v>5</v>
      </c>
      <c r="Y115" s="24">
        <v>6</v>
      </c>
      <c r="Z115" s="24">
        <v>5</v>
      </c>
      <c r="AA115" s="24">
        <v>6</v>
      </c>
      <c r="AB115" s="24">
        <v>5</v>
      </c>
      <c r="AC115" s="24"/>
      <c r="AD115" s="24"/>
      <c r="AE115" s="24">
        <v>5</v>
      </c>
      <c r="AF115" s="24">
        <v>5</v>
      </c>
      <c r="AG115" s="24">
        <v>6</v>
      </c>
      <c r="AH115" s="24">
        <v>5</v>
      </c>
      <c r="AI115" s="27">
        <v>5</v>
      </c>
      <c r="AJ115" s="24">
        <v>5</v>
      </c>
      <c r="AK115" s="172">
        <v>3</v>
      </c>
      <c r="AL115" s="27"/>
      <c r="AM115" s="24">
        <v>5</v>
      </c>
      <c r="AN115" s="24">
        <v>6</v>
      </c>
      <c r="AO115" s="24"/>
      <c r="AP115" s="27"/>
      <c r="AQ115" s="27"/>
      <c r="AR115">
        <f t="shared" si="5"/>
        <v>21</v>
      </c>
    </row>
    <row r="116" spans="1:44" x14ac:dyDescent="0.25">
      <c r="B116" t="str">
        <f t="shared" si="4"/>
        <v>OGCN - Baysse</v>
      </c>
      <c r="C116" t="s">
        <v>696</v>
      </c>
      <c r="D116" s="29" t="s">
        <v>608</v>
      </c>
      <c r="E116" s="60" t="s">
        <v>210</v>
      </c>
      <c r="F116" s="31">
        <v>21</v>
      </c>
      <c r="G116" s="99">
        <v>1</v>
      </c>
      <c r="H116" s="73"/>
      <c r="I116" s="34">
        <f>AVERAGE(K116,L116,M116,J116,N116,O116,U116,V116,W116,Y116,Z116,AB116,AC116,AD116,AE116,AG116,AH116,AI116,AJ116,AK116,AM116,AN116)</f>
        <v>5.3181818181818183</v>
      </c>
      <c r="J116" s="38">
        <v>4</v>
      </c>
      <c r="K116" s="21">
        <v>4</v>
      </c>
      <c r="L116" s="24">
        <v>4</v>
      </c>
      <c r="M116" s="24">
        <v>4</v>
      </c>
      <c r="N116" s="24">
        <v>5</v>
      </c>
      <c r="O116" s="37">
        <v>5</v>
      </c>
      <c r="P116" s="24"/>
      <c r="Q116" s="37" t="s">
        <v>611</v>
      </c>
      <c r="R116" s="24"/>
      <c r="S116" s="24"/>
      <c r="T116" s="24"/>
      <c r="U116" s="66">
        <v>7</v>
      </c>
      <c r="V116" s="24">
        <v>6</v>
      </c>
      <c r="W116" s="24">
        <v>5</v>
      </c>
      <c r="X116" s="24"/>
      <c r="Y116" s="24">
        <v>6</v>
      </c>
      <c r="Z116" s="24">
        <v>5</v>
      </c>
      <c r="AA116" s="24"/>
      <c r="AB116" s="24">
        <v>6</v>
      </c>
      <c r="AC116" s="24">
        <v>6</v>
      </c>
      <c r="AD116" s="24">
        <v>5</v>
      </c>
      <c r="AE116" s="24">
        <v>6</v>
      </c>
      <c r="AF116" s="24"/>
      <c r="AG116" s="66">
        <v>7</v>
      </c>
      <c r="AH116" s="24">
        <v>5</v>
      </c>
      <c r="AI116" s="27">
        <v>5</v>
      </c>
      <c r="AJ116" s="24">
        <v>6</v>
      </c>
      <c r="AK116" s="37">
        <v>4</v>
      </c>
      <c r="AL116" s="27"/>
      <c r="AM116" s="24">
        <v>5</v>
      </c>
      <c r="AN116" s="66">
        <v>7</v>
      </c>
      <c r="AO116" s="24"/>
      <c r="AP116" s="27"/>
      <c r="AQ116" s="27"/>
      <c r="AR116">
        <f t="shared" si="5"/>
        <v>22</v>
      </c>
    </row>
    <row r="117" spans="1:44" x14ac:dyDescent="0.25">
      <c r="B117" t="str">
        <f t="shared" si="4"/>
        <v>OGCN - Ricardo Pereira</v>
      </c>
      <c r="C117" t="s">
        <v>696</v>
      </c>
      <c r="D117" s="29" t="s">
        <v>608</v>
      </c>
      <c r="E117" s="182" t="s">
        <v>680</v>
      </c>
      <c r="F117" s="31">
        <v>20</v>
      </c>
      <c r="G117" s="99"/>
      <c r="H117" s="73"/>
      <c r="I117" s="34">
        <f>AVERAGE(N117,O117,P117,Q117,S117,T117,U117,R117,V117,Y117,AC117,AF117,AH117,AI117,AJ117,AK117,AL117,AM117,AN117)</f>
        <v>5.4210526315789478</v>
      </c>
      <c r="J117" s="38"/>
      <c r="K117" s="21"/>
      <c r="L117" s="24"/>
      <c r="M117" s="24"/>
      <c r="N117" s="24">
        <v>5</v>
      </c>
      <c r="O117" s="84">
        <v>7</v>
      </c>
      <c r="P117" s="24">
        <v>5</v>
      </c>
      <c r="Q117" s="24">
        <v>6</v>
      </c>
      <c r="R117" s="24">
        <v>6</v>
      </c>
      <c r="S117" s="24">
        <v>5</v>
      </c>
      <c r="T117" s="24">
        <v>5</v>
      </c>
      <c r="U117" s="24">
        <v>6</v>
      </c>
      <c r="V117" s="24">
        <v>6</v>
      </c>
      <c r="W117" s="24"/>
      <c r="X117" s="37" t="s">
        <v>645</v>
      </c>
      <c r="Y117" s="24">
        <v>5</v>
      </c>
      <c r="Z117" s="24"/>
      <c r="AA117" s="24"/>
      <c r="AB117" s="24"/>
      <c r="AC117" s="24">
        <v>4</v>
      </c>
      <c r="AD117" s="24"/>
      <c r="AE117" s="24"/>
      <c r="AF117" s="24">
        <v>6</v>
      </c>
      <c r="AG117" s="24"/>
      <c r="AH117" s="24">
        <v>5</v>
      </c>
      <c r="AI117" s="27">
        <v>5</v>
      </c>
      <c r="AJ117" s="24">
        <v>5</v>
      </c>
      <c r="AK117" s="37">
        <v>4</v>
      </c>
      <c r="AL117" s="27">
        <v>6</v>
      </c>
      <c r="AM117" s="24">
        <v>6</v>
      </c>
      <c r="AN117" s="24">
        <v>6</v>
      </c>
      <c r="AO117" s="24"/>
      <c r="AP117" s="27"/>
      <c r="AQ117" s="27"/>
      <c r="AR117">
        <f t="shared" si="5"/>
        <v>20</v>
      </c>
    </row>
    <row r="118" spans="1:44" x14ac:dyDescent="0.25">
      <c r="B118" t="str">
        <f t="shared" si="4"/>
        <v>OGCN - Bodmer</v>
      </c>
      <c r="C118" t="s">
        <v>696</v>
      </c>
      <c r="D118" s="67" t="s">
        <v>608</v>
      </c>
      <c r="E118" s="85" t="s">
        <v>681</v>
      </c>
      <c r="F118" s="69">
        <v>16</v>
      </c>
      <c r="G118" s="115">
        <v>1</v>
      </c>
      <c r="H118" s="68">
        <v>1</v>
      </c>
      <c r="I118" s="72">
        <f>AVERAGE(O118,P118,Q118,S118,T118,R118,X118,Z118,AA118,AB118,AF118,AI118,AJ118,AK118,AL118)</f>
        <v>5.0666666666666664</v>
      </c>
      <c r="J118" s="145" t="s">
        <v>641</v>
      </c>
      <c r="K118" s="24"/>
      <c r="L118" s="24"/>
      <c r="M118" s="24"/>
      <c r="N118" s="24"/>
      <c r="O118" s="37">
        <v>4</v>
      </c>
      <c r="P118" s="23">
        <v>5</v>
      </c>
      <c r="Q118" s="24">
        <v>5</v>
      </c>
      <c r="R118" s="83">
        <v>7</v>
      </c>
      <c r="S118" s="22">
        <v>6</v>
      </c>
      <c r="T118" s="24">
        <v>5</v>
      </c>
      <c r="U118" s="24"/>
      <c r="V118" s="24"/>
      <c r="W118" s="24"/>
      <c r="X118" s="24">
        <v>5</v>
      </c>
      <c r="Y118" s="24"/>
      <c r="Z118" s="37">
        <v>5</v>
      </c>
      <c r="AA118" s="24">
        <v>6</v>
      </c>
      <c r="AB118" s="24">
        <v>6</v>
      </c>
      <c r="AC118" s="24"/>
      <c r="AD118" s="24"/>
      <c r="AE118" s="24"/>
      <c r="AF118" s="24">
        <v>4</v>
      </c>
      <c r="AG118" s="24"/>
      <c r="AH118" s="37" t="s">
        <v>611</v>
      </c>
      <c r="AI118" s="27">
        <v>4</v>
      </c>
      <c r="AJ118" s="24">
        <v>4</v>
      </c>
      <c r="AK118" s="37">
        <v>5</v>
      </c>
      <c r="AL118" s="27">
        <v>5</v>
      </c>
      <c r="AM118" s="24"/>
      <c r="AN118" s="24"/>
      <c r="AO118" s="24"/>
      <c r="AP118" s="28"/>
      <c r="AQ118" s="27"/>
      <c r="AR118">
        <f t="shared" si="5"/>
        <v>17</v>
      </c>
    </row>
    <row r="119" spans="1:44" x14ac:dyDescent="0.25">
      <c r="B119" t="str">
        <f t="shared" si="4"/>
        <v>OGCN - Ma. Traoré</v>
      </c>
      <c r="C119" t="s">
        <v>696</v>
      </c>
      <c r="D119" s="29" t="s">
        <v>622</v>
      </c>
      <c r="E119" s="30" t="s">
        <v>682</v>
      </c>
      <c r="F119" s="31">
        <v>4</v>
      </c>
      <c r="G119" s="99">
        <v>6</v>
      </c>
      <c r="H119" s="73">
        <v>2</v>
      </c>
      <c r="I119" s="34">
        <f>AVERAGE(R119,AL119,AM119)</f>
        <v>5.666666666666667</v>
      </c>
      <c r="J119" s="48"/>
      <c r="K119" s="24" t="s">
        <v>641</v>
      </c>
      <c r="L119" s="24"/>
      <c r="M119" s="24"/>
      <c r="N119" s="24"/>
      <c r="O119" s="37"/>
      <c r="P119" s="37" t="s">
        <v>611</v>
      </c>
      <c r="Q119" s="37" t="s">
        <v>611</v>
      </c>
      <c r="R119" s="24">
        <v>5</v>
      </c>
      <c r="S119" s="77" t="s">
        <v>611</v>
      </c>
      <c r="T119" s="24"/>
      <c r="U119" s="37" t="s">
        <v>611</v>
      </c>
      <c r="V119" s="37" t="s">
        <v>611</v>
      </c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7"/>
      <c r="AJ119" s="24"/>
      <c r="AK119" s="37" t="s">
        <v>611</v>
      </c>
      <c r="AL119" s="254">
        <v>7</v>
      </c>
      <c r="AM119" s="24">
        <v>5</v>
      </c>
      <c r="AN119" s="24"/>
      <c r="AO119" s="24"/>
      <c r="AP119" s="27"/>
      <c r="AQ119" s="27"/>
      <c r="AR119">
        <f t="shared" si="5"/>
        <v>10</v>
      </c>
    </row>
    <row r="120" spans="1:44" x14ac:dyDescent="0.25">
      <c r="B120" t="str">
        <f t="shared" si="4"/>
        <v>OGCN - Eysseric</v>
      </c>
      <c r="C120" t="s">
        <v>696</v>
      </c>
      <c r="D120" s="50" t="s">
        <v>622</v>
      </c>
      <c r="E120" s="57" t="s">
        <v>203</v>
      </c>
      <c r="F120" s="52"/>
      <c r="G120" s="63">
        <v>1</v>
      </c>
      <c r="H120" s="146"/>
      <c r="I120" s="34"/>
      <c r="J120" s="45"/>
      <c r="K120" s="61" t="s">
        <v>611</v>
      </c>
      <c r="L120" s="46"/>
      <c r="M120" s="46"/>
      <c r="N120" s="46"/>
      <c r="O120" s="55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7"/>
      <c r="AJ120" s="46"/>
      <c r="AK120" s="55"/>
      <c r="AL120" s="47"/>
      <c r="AM120" s="46"/>
      <c r="AN120" s="46"/>
      <c r="AO120" s="46"/>
      <c r="AP120" s="47"/>
      <c r="AQ120" s="47"/>
      <c r="AR120">
        <f t="shared" si="5"/>
        <v>1</v>
      </c>
    </row>
    <row r="121" spans="1:44" x14ac:dyDescent="0.25">
      <c r="B121" t="str">
        <f t="shared" si="4"/>
        <v>OGCN - Vercauteren</v>
      </c>
      <c r="C121" t="s">
        <v>696</v>
      </c>
      <c r="D121" s="50" t="s">
        <v>622</v>
      </c>
      <c r="E121" s="57" t="s">
        <v>683</v>
      </c>
      <c r="F121" s="52"/>
      <c r="G121" s="63"/>
      <c r="H121" s="146"/>
      <c r="I121" s="34"/>
      <c r="J121" s="45"/>
      <c r="K121" s="61"/>
      <c r="L121" s="46"/>
      <c r="M121" s="46"/>
      <c r="N121" s="46"/>
      <c r="O121" s="55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7"/>
      <c r="AJ121" s="46"/>
      <c r="AK121" s="55"/>
      <c r="AL121" s="47"/>
      <c r="AM121" s="46"/>
      <c r="AN121" s="46"/>
      <c r="AO121" s="46"/>
      <c r="AP121" s="47"/>
      <c r="AQ121" s="47"/>
      <c r="AR121">
        <f t="shared" si="5"/>
        <v>0</v>
      </c>
    </row>
    <row r="122" spans="1:44" x14ac:dyDescent="0.25">
      <c r="B122" t="str">
        <f t="shared" si="4"/>
        <v>OGCN - Hult</v>
      </c>
      <c r="C122" t="s">
        <v>696</v>
      </c>
      <c r="D122" s="29" t="s">
        <v>622</v>
      </c>
      <c r="E122" s="60" t="s">
        <v>575</v>
      </c>
      <c r="F122" s="31">
        <v>8</v>
      </c>
      <c r="G122" s="99">
        <v>3</v>
      </c>
      <c r="H122" s="73">
        <v>1</v>
      </c>
      <c r="I122" s="34">
        <f>AVERAGE(W122,Y122,AB122,AC122,AD122,AE122,AG122)</f>
        <v>5.5714285714285712</v>
      </c>
      <c r="J122" s="24"/>
      <c r="K122" s="36"/>
      <c r="L122" s="24"/>
      <c r="M122" s="24"/>
      <c r="N122" s="24"/>
      <c r="O122" s="37"/>
      <c r="P122" s="37"/>
      <c r="Q122" s="24"/>
      <c r="R122" s="37" t="s">
        <v>611</v>
      </c>
      <c r="S122" s="24"/>
      <c r="T122" s="24"/>
      <c r="U122" s="24"/>
      <c r="V122" s="37" t="s">
        <v>611</v>
      </c>
      <c r="W122" s="24">
        <v>6</v>
      </c>
      <c r="X122" s="24"/>
      <c r="Y122" s="24">
        <v>5</v>
      </c>
      <c r="Z122" s="37" t="s">
        <v>623</v>
      </c>
      <c r="AA122" s="24"/>
      <c r="AB122" s="24">
        <v>5</v>
      </c>
      <c r="AC122" s="22">
        <v>6</v>
      </c>
      <c r="AD122" s="24">
        <v>5</v>
      </c>
      <c r="AE122" s="23">
        <v>5</v>
      </c>
      <c r="AF122" s="24"/>
      <c r="AG122" s="66">
        <v>7</v>
      </c>
      <c r="AH122" s="24"/>
      <c r="AI122" s="26" t="s">
        <v>611</v>
      </c>
      <c r="AJ122" s="24"/>
      <c r="AK122" s="37"/>
      <c r="AL122" s="26"/>
      <c r="AM122" s="24"/>
      <c r="AN122" s="37" t="s">
        <v>611</v>
      </c>
      <c r="AO122" s="37"/>
      <c r="AP122" s="26"/>
      <c r="AQ122" s="26"/>
      <c r="AR122">
        <f t="shared" si="5"/>
        <v>11</v>
      </c>
    </row>
    <row r="123" spans="1:44" x14ac:dyDescent="0.25">
      <c r="B123" t="str">
        <f t="shared" si="4"/>
        <v>GFCA - Larbi</v>
      </c>
      <c r="C123" t="s">
        <v>1015</v>
      </c>
      <c r="D123" s="29" t="s">
        <v>622</v>
      </c>
      <c r="E123" s="65" t="s">
        <v>590</v>
      </c>
      <c r="F123" s="31">
        <v>23</v>
      </c>
      <c r="G123" s="32">
        <v>3</v>
      </c>
      <c r="H123" s="33">
        <v>8</v>
      </c>
      <c r="I123" s="34">
        <f>AVERAGE(AC123,AA123,J123,P123,Q123,R123,S123,T123,U123,V123,W123,X123,Y123,AB123,AD123,AE123,AF123,AG123,AI123,AL123,AK123,AM123,AN123)</f>
        <v>4.9130434782608692</v>
      </c>
      <c r="J123" s="241">
        <v>2</v>
      </c>
      <c r="K123" s="37"/>
      <c r="L123" s="37" t="s">
        <v>611</v>
      </c>
      <c r="M123" s="37" t="s">
        <v>611</v>
      </c>
      <c r="N123" s="37"/>
      <c r="O123" s="37"/>
      <c r="P123" s="25">
        <v>7</v>
      </c>
      <c r="Q123" s="37">
        <v>4</v>
      </c>
      <c r="R123" s="24">
        <v>4</v>
      </c>
      <c r="S123" s="23">
        <v>4</v>
      </c>
      <c r="T123" s="24">
        <v>4</v>
      </c>
      <c r="U123" s="25">
        <v>7</v>
      </c>
      <c r="V123" s="24">
        <v>4</v>
      </c>
      <c r="W123" s="37">
        <v>5</v>
      </c>
      <c r="X123" s="25">
        <v>7</v>
      </c>
      <c r="Y123" s="24">
        <v>5</v>
      </c>
      <c r="Z123" s="37" t="s">
        <v>611</v>
      </c>
      <c r="AA123" s="24">
        <v>4</v>
      </c>
      <c r="AB123" s="75">
        <v>7</v>
      </c>
      <c r="AC123" s="27">
        <v>6</v>
      </c>
      <c r="AD123" s="37">
        <v>4</v>
      </c>
      <c r="AE123" s="143">
        <v>5</v>
      </c>
      <c r="AF123" s="280">
        <v>3</v>
      </c>
      <c r="AG123" s="23">
        <v>5</v>
      </c>
      <c r="AH123" s="27"/>
      <c r="AI123" s="23">
        <v>4</v>
      </c>
      <c r="AJ123" s="24"/>
      <c r="AK123" s="25">
        <v>7</v>
      </c>
      <c r="AL123" s="22">
        <v>6</v>
      </c>
      <c r="AM123" s="37">
        <v>5</v>
      </c>
      <c r="AN123" s="24">
        <v>4</v>
      </c>
      <c r="AO123" s="27"/>
      <c r="AP123" s="26"/>
      <c r="AQ123" s="24"/>
      <c r="AR123">
        <f t="shared" si="5"/>
        <v>26</v>
      </c>
    </row>
    <row r="124" spans="1:44" x14ac:dyDescent="0.25">
      <c r="A124">
        <v>1</v>
      </c>
      <c r="B124" t="str">
        <f t="shared" si="4"/>
        <v>SCO - N'Doye</v>
      </c>
      <c r="C124" t="s">
        <v>1034</v>
      </c>
      <c r="D124" s="29" t="s">
        <v>622</v>
      </c>
      <c r="E124" s="65" t="s">
        <v>1028</v>
      </c>
      <c r="F124" s="31">
        <v>26</v>
      </c>
      <c r="G124" s="99"/>
      <c r="H124" s="73">
        <v>8</v>
      </c>
      <c r="I124" s="34">
        <f>AVERAGE(AA124,K124,L124,M124,J124,R124,S124,T124,U124,V124,W124,X124,Y124,Z124,AB124,AC124,AD124,AE124,AF124,AG124,AH124,AI124,AM124,AN124)</f>
        <v>5.125</v>
      </c>
      <c r="J124" s="179">
        <v>6</v>
      </c>
      <c r="K124" s="24">
        <v>6</v>
      </c>
      <c r="L124" s="75">
        <v>8</v>
      </c>
      <c r="M124" s="172">
        <v>3</v>
      </c>
      <c r="N124" s="37"/>
      <c r="O124" s="37" t="s">
        <v>623</v>
      </c>
      <c r="P124" s="24"/>
      <c r="Q124" s="37"/>
      <c r="R124" s="24">
        <v>5</v>
      </c>
      <c r="S124" s="22">
        <v>6</v>
      </c>
      <c r="T124" s="24">
        <v>5</v>
      </c>
      <c r="U124" s="24">
        <v>4</v>
      </c>
      <c r="V124" s="24">
        <v>4</v>
      </c>
      <c r="W124" s="37">
        <v>6</v>
      </c>
      <c r="X124" s="66">
        <v>7</v>
      </c>
      <c r="Y124" s="24">
        <v>5</v>
      </c>
      <c r="Z124" s="75">
        <v>7</v>
      </c>
      <c r="AA124" s="24">
        <v>5</v>
      </c>
      <c r="AB124" s="82">
        <v>3</v>
      </c>
      <c r="AC124" s="24">
        <v>5</v>
      </c>
      <c r="AD124" s="37">
        <v>5</v>
      </c>
      <c r="AE124" s="82">
        <v>3</v>
      </c>
      <c r="AF124" s="25">
        <v>8</v>
      </c>
      <c r="AG124" s="24">
        <v>4</v>
      </c>
      <c r="AH124" s="24">
        <v>4</v>
      </c>
      <c r="AI124" s="27">
        <v>4</v>
      </c>
      <c r="AJ124" s="24"/>
      <c r="AK124" s="24" t="s">
        <v>623</v>
      </c>
      <c r="AL124" s="27"/>
      <c r="AM124" s="172">
        <v>3</v>
      </c>
      <c r="AN124" s="25">
        <v>7</v>
      </c>
      <c r="AO124" s="24"/>
      <c r="AP124" s="26"/>
      <c r="AQ124" s="27"/>
      <c r="AR124">
        <f t="shared" si="5"/>
        <v>26</v>
      </c>
    </row>
    <row r="125" spans="1:44" x14ac:dyDescent="0.25">
      <c r="A125">
        <v>0</v>
      </c>
      <c r="B125" t="str">
        <f t="shared" si="4"/>
        <v>EAG - Privat</v>
      </c>
      <c r="C125" t="s">
        <v>967</v>
      </c>
      <c r="D125" s="29" t="s">
        <v>633</v>
      </c>
      <c r="E125" s="155" t="s">
        <v>174</v>
      </c>
      <c r="F125" s="31">
        <v>13</v>
      </c>
      <c r="G125" s="27">
        <v>11</v>
      </c>
      <c r="H125" s="73">
        <v>7</v>
      </c>
      <c r="I125" s="34">
        <f>AVERAGE(K125,M125,O125,Q125,R125,S125,U125,W125,Y125,AA125,AK125,AF125,AM125)</f>
        <v>5.3076923076923075</v>
      </c>
      <c r="J125" s="87" t="s">
        <v>611</v>
      </c>
      <c r="K125" s="24">
        <v>4</v>
      </c>
      <c r="L125" s="37" t="s">
        <v>611</v>
      </c>
      <c r="M125" s="77">
        <v>5</v>
      </c>
      <c r="N125" s="37"/>
      <c r="O125" s="77">
        <v>6</v>
      </c>
      <c r="P125" s="24"/>
      <c r="Q125" s="75">
        <v>7</v>
      </c>
      <c r="R125" s="24">
        <v>5</v>
      </c>
      <c r="S125" s="23">
        <v>5</v>
      </c>
      <c r="T125" s="37" t="s">
        <v>611</v>
      </c>
      <c r="U125" s="24">
        <v>4</v>
      </c>
      <c r="V125" s="37" t="s">
        <v>611</v>
      </c>
      <c r="W125" s="77">
        <v>6</v>
      </c>
      <c r="X125" s="37" t="s">
        <v>611</v>
      </c>
      <c r="Y125" s="24">
        <v>4</v>
      </c>
      <c r="Z125" s="37" t="s">
        <v>611</v>
      </c>
      <c r="AA125" s="22">
        <v>6</v>
      </c>
      <c r="AB125" s="37" t="s">
        <v>611</v>
      </c>
      <c r="AC125" s="24"/>
      <c r="AD125" s="37"/>
      <c r="AE125" s="37" t="s">
        <v>611</v>
      </c>
      <c r="AF125" s="24">
        <v>4</v>
      </c>
      <c r="AG125" s="24"/>
      <c r="AH125" s="37" t="s">
        <v>611</v>
      </c>
      <c r="AI125" s="26" t="s">
        <v>611</v>
      </c>
      <c r="AJ125" s="37" t="s">
        <v>611</v>
      </c>
      <c r="AK125" s="22">
        <v>6</v>
      </c>
      <c r="AL125" s="27"/>
      <c r="AM125" s="75">
        <v>7</v>
      </c>
      <c r="AN125" s="24"/>
      <c r="AO125" s="24"/>
      <c r="AP125" s="26"/>
      <c r="AQ125" s="27"/>
      <c r="AR125">
        <f t="shared" si="5"/>
        <v>24</v>
      </c>
    </row>
    <row r="126" spans="1:44" x14ac:dyDescent="0.25">
      <c r="A126">
        <v>0</v>
      </c>
      <c r="B126" t="str">
        <f t="shared" si="4"/>
        <v>PSG - Lucas</v>
      </c>
      <c r="C126" t="s">
        <v>673</v>
      </c>
      <c r="D126" s="29" t="s">
        <v>622</v>
      </c>
      <c r="E126" s="30" t="s">
        <v>140</v>
      </c>
      <c r="F126" s="31">
        <v>21</v>
      </c>
      <c r="G126" s="99">
        <v>8</v>
      </c>
      <c r="H126" s="73">
        <v>6</v>
      </c>
      <c r="I126" s="34">
        <f>AVERAGE(K126,L126,M126,J126,N126,O126,Q126,S126,U126,W126,X126,Y126,AB126,AC126,AD126,AE126,AF126,AH126,AJ126,AK126,AL126,AN126)</f>
        <v>5.5454545454545459</v>
      </c>
      <c r="J126" s="293">
        <v>7</v>
      </c>
      <c r="K126" s="129">
        <v>7</v>
      </c>
      <c r="L126" s="37">
        <v>6</v>
      </c>
      <c r="M126" s="37">
        <v>5</v>
      </c>
      <c r="N126" s="24">
        <v>6</v>
      </c>
      <c r="O126" s="37">
        <v>5</v>
      </c>
      <c r="P126" s="22"/>
      <c r="Q126" s="37">
        <v>4</v>
      </c>
      <c r="R126" s="22"/>
      <c r="S126" s="66">
        <v>7</v>
      </c>
      <c r="T126" s="77" t="s">
        <v>611</v>
      </c>
      <c r="U126" s="24">
        <v>6</v>
      </c>
      <c r="V126" s="77" t="s">
        <v>611</v>
      </c>
      <c r="W126" s="24">
        <v>5</v>
      </c>
      <c r="X126" s="24">
        <v>5</v>
      </c>
      <c r="Y126" s="23">
        <v>4</v>
      </c>
      <c r="Z126" s="37" t="s">
        <v>611</v>
      </c>
      <c r="AA126" s="77" t="s">
        <v>611</v>
      </c>
      <c r="AB126" s="24">
        <v>5</v>
      </c>
      <c r="AC126" s="23">
        <v>6</v>
      </c>
      <c r="AD126" s="24">
        <v>5</v>
      </c>
      <c r="AE126" s="25">
        <v>7</v>
      </c>
      <c r="AF126" s="37">
        <v>6</v>
      </c>
      <c r="AG126" s="37" t="s">
        <v>611</v>
      </c>
      <c r="AH126" s="24">
        <v>4</v>
      </c>
      <c r="AI126" s="140" t="s">
        <v>611</v>
      </c>
      <c r="AJ126" s="24">
        <v>6</v>
      </c>
      <c r="AK126" s="22">
        <v>6</v>
      </c>
      <c r="AL126" s="27">
        <v>4</v>
      </c>
      <c r="AM126" s="37" t="s">
        <v>611</v>
      </c>
      <c r="AN126" s="24">
        <v>6</v>
      </c>
      <c r="AO126" s="37"/>
      <c r="AP126" s="27"/>
      <c r="AQ126" s="27"/>
      <c r="AR126">
        <f t="shared" si="5"/>
        <v>29</v>
      </c>
    </row>
    <row r="127" spans="1:44" x14ac:dyDescent="0.25">
      <c r="B127" t="str">
        <f t="shared" si="4"/>
        <v>SRFC - Sio</v>
      </c>
      <c r="C127" t="s">
        <v>881</v>
      </c>
      <c r="D127" s="29" t="s">
        <v>633</v>
      </c>
      <c r="E127" t="s">
        <v>273</v>
      </c>
      <c r="F127" s="31">
        <v>21</v>
      </c>
      <c r="G127" s="99">
        <v>5</v>
      </c>
      <c r="H127" s="73">
        <v>6</v>
      </c>
      <c r="I127" s="34">
        <f>AVERAGE(Z127,K127,M127,J127,N127,O127,P127,Q127,S127,T127,U127,V127,W127,AA127,AB127,AC127,AE127,AF127,AI127,AK127,AL127,AN127)</f>
        <v>4.8181818181818183</v>
      </c>
      <c r="J127" s="87">
        <v>5</v>
      </c>
      <c r="K127" s="37">
        <v>4</v>
      </c>
      <c r="L127" s="37" t="s">
        <v>611</v>
      </c>
      <c r="M127" s="77">
        <v>6</v>
      </c>
      <c r="N127" s="22">
        <v>6</v>
      </c>
      <c r="O127" s="24">
        <v>5</v>
      </c>
      <c r="P127" s="22">
        <v>6</v>
      </c>
      <c r="Q127" s="37">
        <v>5</v>
      </c>
      <c r="R127" s="24"/>
      <c r="S127" s="24">
        <v>4</v>
      </c>
      <c r="T127" s="82">
        <v>3</v>
      </c>
      <c r="U127" s="37">
        <v>4</v>
      </c>
      <c r="V127" s="24">
        <v>5</v>
      </c>
      <c r="W127" s="82">
        <v>2</v>
      </c>
      <c r="X127" s="37" t="s">
        <v>611</v>
      </c>
      <c r="Y127" s="24"/>
      <c r="Z127" s="24">
        <v>5</v>
      </c>
      <c r="AA127" s="24">
        <v>4</v>
      </c>
      <c r="AB127" s="25">
        <v>7</v>
      </c>
      <c r="AC127" s="24">
        <v>5</v>
      </c>
      <c r="AD127" s="24"/>
      <c r="AE127" s="24">
        <v>5</v>
      </c>
      <c r="AF127" s="82">
        <v>3</v>
      </c>
      <c r="AG127" s="37" t="s">
        <v>611</v>
      </c>
      <c r="AH127" s="37" t="s">
        <v>611</v>
      </c>
      <c r="AI127" s="27">
        <v>4</v>
      </c>
      <c r="AJ127" s="24"/>
      <c r="AK127" s="24">
        <v>6</v>
      </c>
      <c r="AL127" s="26">
        <v>5</v>
      </c>
      <c r="AM127" s="37"/>
      <c r="AN127" s="75">
        <v>7</v>
      </c>
      <c r="AO127" s="37"/>
      <c r="AP127" s="26"/>
      <c r="AQ127" s="27"/>
      <c r="AR127">
        <f t="shared" si="5"/>
        <v>26</v>
      </c>
    </row>
    <row r="128" spans="1:44" x14ac:dyDescent="0.25">
      <c r="B128" t="str">
        <f t="shared" si="4"/>
        <v>OGCN - Wallyson</v>
      </c>
      <c r="C128" t="s">
        <v>696</v>
      </c>
      <c r="D128" s="252" t="s">
        <v>622</v>
      </c>
      <c r="E128" s="182" t="s">
        <v>686</v>
      </c>
      <c r="F128" s="31">
        <v>8</v>
      </c>
      <c r="G128" s="99">
        <v>7</v>
      </c>
      <c r="H128" s="73"/>
      <c r="I128" s="34">
        <f>AVERAGE(Q128,S128,T128,U128,V128,Y128,AA128,AC128)</f>
        <v>4.875</v>
      </c>
      <c r="J128" s="48"/>
      <c r="K128" s="24"/>
      <c r="L128" s="37" t="s">
        <v>611</v>
      </c>
      <c r="M128" s="37" t="s">
        <v>611</v>
      </c>
      <c r="N128" s="37" t="s">
        <v>611</v>
      </c>
      <c r="O128" s="37" t="s">
        <v>611</v>
      </c>
      <c r="P128" s="37" t="s">
        <v>611</v>
      </c>
      <c r="Q128" s="24">
        <v>5</v>
      </c>
      <c r="R128" s="24"/>
      <c r="S128" s="66">
        <v>7</v>
      </c>
      <c r="T128" s="24">
        <v>5</v>
      </c>
      <c r="U128" s="37">
        <v>5</v>
      </c>
      <c r="V128" s="24">
        <v>5</v>
      </c>
      <c r="W128" s="24"/>
      <c r="X128" s="24"/>
      <c r="Y128" s="24">
        <v>5</v>
      </c>
      <c r="Z128" s="24"/>
      <c r="AA128" s="24">
        <v>4</v>
      </c>
      <c r="AB128" s="37" t="s">
        <v>611</v>
      </c>
      <c r="AC128" s="82">
        <v>3</v>
      </c>
      <c r="AD128" s="24"/>
      <c r="AE128" s="24"/>
      <c r="AF128" s="24"/>
      <c r="AG128" s="24"/>
      <c r="AH128" s="24"/>
      <c r="AI128" s="27"/>
      <c r="AJ128" s="24"/>
      <c r="AK128" s="37"/>
      <c r="AL128" s="26" t="s">
        <v>611</v>
      </c>
      <c r="AM128" s="37"/>
      <c r="AN128" s="24"/>
      <c r="AO128" s="24"/>
      <c r="AP128" s="27"/>
      <c r="AQ128" s="27"/>
      <c r="AR128">
        <f t="shared" si="5"/>
        <v>15</v>
      </c>
    </row>
    <row r="129" spans="1:44" x14ac:dyDescent="0.25">
      <c r="B129" t="str">
        <f t="shared" si="4"/>
        <v>OGCN - Raheriharimanana</v>
      </c>
      <c r="C129" t="s">
        <v>696</v>
      </c>
      <c r="D129" s="252" t="s">
        <v>622</v>
      </c>
      <c r="E129" s="182" t="s">
        <v>687</v>
      </c>
      <c r="F129" s="31">
        <v>1</v>
      </c>
      <c r="G129" s="99">
        <v>2</v>
      </c>
      <c r="H129" s="73"/>
      <c r="I129" s="34">
        <f>AVERAGE(Y129)</f>
        <v>5</v>
      </c>
      <c r="J129" s="48"/>
      <c r="K129" s="24"/>
      <c r="L129" s="37"/>
      <c r="M129" s="37"/>
      <c r="N129" s="37"/>
      <c r="O129" s="37"/>
      <c r="P129" s="37"/>
      <c r="Q129" s="24"/>
      <c r="R129" s="24"/>
      <c r="S129" s="24"/>
      <c r="T129" s="24"/>
      <c r="U129" s="37"/>
      <c r="V129" s="24"/>
      <c r="W129" s="37" t="s">
        <v>611</v>
      </c>
      <c r="X129" s="24"/>
      <c r="Y129" s="24">
        <v>5</v>
      </c>
      <c r="Z129" s="37" t="s">
        <v>611</v>
      </c>
      <c r="AA129" s="24"/>
      <c r="AB129" s="24"/>
      <c r="AC129" s="24"/>
      <c r="AD129" s="24"/>
      <c r="AE129" s="24"/>
      <c r="AF129" s="24"/>
      <c r="AG129" s="24"/>
      <c r="AH129" s="24"/>
      <c r="AI129" s="27"/>
      <c r="AJ129" s="24"/>
      <c r="AK129" s="37"/>
      <c r="AL129" s="26"/>
      <c r="AM129" s="37"/>
      <c r="AN129" s="24"/>
      <c r="AO129" s="24"/>
      <c r="AP129" s="27"/>
      <c r="AQ129" s="27"/>
      <c r="AR129">
        <f t="shared" si="5"/>
        <v>3</v>
      </c>
    </row>
    <row r="130" spans="1:44" x14ac:dyDescent="0.25">
      <c r="B130" t="str">
        <f t="shared" si="4"/>
        <v>OGCN - Correia</v>
      </c>
      <c r="C130" t="s">
        <v>696</v>
      </c>
      <c r="D130" s="252" t="s">
        <v>622</v>
      </c>
      <c r="E130" s="182" t="s">
        <v>679</v>
      </c>
      <c r="F130" s="31">
        <v>2</v>
      </c>
      <c r="G130" s="99">
        <v>2</v>
      </c>
      <c r="H130" s="73"/>
      <c r="I130" s="34">
        <f>AVERAGE(K130,L130,M130)</f>
        <v>4.666666666666667</v>
      </c>
      <c r="J130" s="38"/>
      <c r="K130" s="21">
        <v>4</v>
      </c>
      <c r="L130" s="24">
        <v>5</v>
      </c>
      <c r="M130" s="24">
        <v>5</v>
      </c>
      <c r="N130" s="24"/>
      <c r="O130" s="37"/>
      <c r="P130" s="24"/>
      <c r="Q130" s="24"/>
      <c r="R130" s="24"/>
      <c r="S130" s="24"/>
      <c r="T130" s="24"/>
      <c r="U130" s="24"/>
      <c r="V130" s="24"/>
      <c r="W130" s="37" t="s">
        <v>611</v>
      </c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7"/>
      <c r="AJ130" s="24"/>
      <c r="AK130" s="37"/>
      <c r="AL130" s="27"/>
      <c r="AM130" s="24"/>
      <c r="AN130" s="24"/>
      <c r="AO130" s="24"/>
      <c r="AP130" s="27"/>
      <c r="AQ130" s="27"/>
      <c r="AR130">
        <f t="shared" si="5"/>
        <v>4</v>
      </c>
    </row>
    <row r="131" spans="1:44" x14ac:dyDescent="0.25">
      <c r="B131" t="str">
        <f t="shared" si="4"/>
        <v>OGCN - Lloris</v>
      </c>
      <c r="C131" t="s">
        <v>696</v>
      </c>
      <c r="D131" s="252" t="s">
        <v>622</v>
      </c>
      <c r="E131" s="182" t="s">
        <v>1050</v>
      </c>
      <c r="F131" s="31"/>
      <c r="G131" s="99">
        <v>1</v>
      </c>
      <c r="H131" s="73"/>
      <c r="I131" s="34"/>
      <c r="J131" s="38"/>
      <c r="K131" s="21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37"/>
      <c r="Y131" s="24"/>
      <c r="Z131" s="24"/>
      <c r="AA131" s="24"/>
      <c r="AB131" s="24"/>
      <c r="AC131" s="24"/>
      <c r="AD131" s="37" t="s">
        <v>611</v>
      </c>
      <c r="AE131" s="24"/>
      <c r="AF131" s="24"/>
      <c r="AG131" s="24"/>
      <c r="AH131" s="24"/>
      <c r="AI131" s="27"/>
      <c r="AJ131" s="24"/>
      <c r="AK131" s="37"/>
      <c r="AL131" s="27"/>
      <c r="AM131" s="24"/>
      <c r="AN131" s="24"/>
      <c r="AO131" s="24"/>
      <c r="AP131" s="27"/>
      <c r="AQ131" s="27"/>
      <c r="AR131">
        <f t="shared" si="5"/>
        <v>1</v>
      </c>
    </row>
    <row r="132" spans="1:44" x14ac:dyDescent="0.25">
      <c r="B132" t="str">
        <f t="shared" si="4"/>
        <v>OGCN - P. Puel</v>
      </c>
      <c r="C132" t="s">
        <v>696</v>
      </c>
      <c r="D132" s="252" t="s">
        <v>622</v>
      </c>
      <c r="E132" s="30" t="s">
        <v>691</v>
      </c>
      <c r="F132" s="31">
        <v>2</v>
      </c>
      <c r="G132" s="99">
        <v>8</v>
      </c>
      <c r="H132" s="73"/>
      <c r="I132" s="100">
        <f>AVERAGE(Y132,AG132)</f>
        <v>4</v>
      </c>
      <c r="J132" s="48"/>
      <c r="K132" s="24"/>
      <c r="L132" s="37"/>
      <c r="M132" s="37" t="s">
        <v>611</v>
      </c>
      <c r="N132" s="37" t="s">
        <v>611</v>
      </c>
      <c r="O132" s="37"/>
      <c r="P132" s="24"/>
      <c r="Q132" s="24"/>
      <c r="R132" s="37" t="s">
        <v>611</v>
      </c>
      <c r="S132" s="37" t="s">
        <v>611</v>
      </c>
      <c r="T132" s="37" t="s">
        <v>611</v>
      </c>
      <c r="U132" s="24"/>
      <c r="V132" s="24"/>
      <c r="W132" s="37"/>
      <c r="X132" s="37" t="s">
        <v>611</v>
      </c>
      <c r="Y132" s="24">
        <v>4</v>
      </c>
      <c r="Z132" s="24"/>
      <c r="AA132" s="37" t="s">
        <v>611</v>
      </c>
      <c r="AB132" s="24"/>
      <c r="AC132" s="24"/>
      <c r="AD132" s="24"/>
      <c r="AE132" s="24"/>
      <c r="AF132" s="37" t="s">
        <v>611</v>
      </c>
      <c r="AG132" s="24">
        <v>4</v>
      </c>
      <c r="AH132" s="24"/>
      <c r="AI132" s="27"/>
      <c r="AJ132" s="24"/>
      <c r="AK132" s="37"/>
      <c r="AL132" s="27"/>
      <c r="AM132" s="24"/>
      <c r="AN132" s="24"/>
      <c r="AO132" s="24"/>
      <c r="AP132" s="27"/>
      <c r="AQ132" s="27"/>
      <c r="AR132">
        <f t="shared" si="5"/>
        <v>10</v>
      </c>
    </row>
    <row r="133" spans="1:44" x14ac:dyDescent="0.25">
      <c r="B133" t="str">
        <f t="shared" si="4"/>
        <v>OGCN - A. Mendy</v>
      </c>
      <c r="C133" t="s">
        <v>696</v>
      </c>
      <c r="D133" s="252" t="s">
        <v>622</v>
      </c>
      <c r="E133" s="182" t="s">
        <v>693</v>
      </c>
      <c r="F133" s="31">
        <v>3</v>
      </c>
      <c r="G133" s="99">
        <v>13</v>
      </c>
      <c r="H133" s="73">
        <v>1</v>
      </c>
      <c r="I133" s="34">
        <f>AVERAGE(R133,Y133,AD133)</f>
        <v>4</v>
      </c>
      <c r="J133" s="87"/>
      <c r="K133" s="36"/>
      <c r="L133" s="37" t="s">
        <v>611</v>
      </c>
      <c r="M133" s="37" t="s">
        <v>611</v>
      </c>
      <c r="N133" s="24"/>
      <c r="O133" s="37"/>
      <c r="P133" s="77" t="s">
        <v>611</v>
      </c>
      <c r="Q133" s="24"/>
      <c r="R133" s="24">
        <v>4</v>
      </c>
      <c r="S133" s="24"/>
      <c r="T133" s="37" t="s">
        <v>611</v>
      </c>
      <c r="U133" s="37" t="s">
        <v>611</v>
      </c>
      <c r="V133" s="24"/>
      <c r="W133" s="37" t="s">
        <v>611</v>
      </c>
      <c r="X133" s="24"/>
      <c r="Y133" s="24">
        <v>4</v>
      </c>
      <c r="Z133" s="24"/>
      <c r="AA133" s="37" t="s">
        <v>611</v>
      </c>
      <c r="AB133" s="24"/>
      <c r="AC133" s="37" t="s">
        <v>611</v>
      </c>
      <c r="AD133" s="24">
        <v>4</v>
      </c>
      <c r="AE133" s="37"/>
      <c r="AF133" s="37" t="s">
        <v>611</v>
      </c>
      <c r="AG133" s="37" t="s">
        <v>611</v>
      </c>
      <c r="AH133" s="37" t="s">
        <v>611</v>
      </c>
      <c r="AI133" s="26" t="s">
        <v>611</v>
      </c>
      <c r="AJ133" s="24"/>
      <c r="AK133" s="37"/>
      <c r="AL133" s="27"/>
      <c r="AM133" s="24"/>
      <c r="AN133" s="37" t="s">
        <v>611</v>
      </c>
      <c r="AO133" s="24"/>
      <c r="AP133" s="27"/>
      <c r="AQ133" s="27"/>
      <c r="AR133">
        <f t="shared" si="5"/>
        <v>16</v>
      </c>
    </row>
    <row r="134" spans="1:44" x14ac:dyDescent="0.25">
      <c r="B134" t="str">
        <f t="shared" si="4"/>
        <v>OGCN - Walter</v>
      </c>
      <c r="C134" t="s">
        <v>696</v>
      </c>
      <c r="D134" s="252" t="s">
        <v>622</v>
      </c>
      <c r="E134" s="182" t="s">
        <v>1054</v>
      </c>
      <c r="F134" s="31">
        <v>5</v>
      </c>
      <c r="G134" s="99">
        <v>4</v>
      </c>
      <c r="H134" s="73"/>
      <c r="I134" s="34">
        <f>AVERAGE(AG134,AH134,AK134,AL134,AN134)</f>
        <v>5.4</v>
      </c>
      <c r="J134" s="48"/>
      <c r="K134" s="24"/>
      <c r="L134" s="37"/>
      <c r="M134" s="37"/>
      <c r="N134" s="37"/>
      <c r="O134" s="37"/>
      <c r="P134" s="37"/>
      <c r="Q134" s="24"/>
      <c r="R134" s="24"/>
      <c r="S134" s="24"/>
      <c r="T134" s="24"/>
      <c r="U134" s="37"/>
      <c r="V134" s="24"/>
      <c r="W134" s="37"/>
      <c r="X134" s="24"/>
      <c r="Y134" s="24"/>
      <c r="Z134" s="37"/>
      <c r="AA134" s="24"/>
      <c r="AB134" s="24"/>
      <c r="AC134" s="24"/>
      <c r="AD134" s="24"/>
      <c r="AE134" s="37" t="s">
        <v>611</v>
      </c>
      <c r="AF134" s="24"/>
      <c r="AG134" s="24">
        <v>6</v>
      </c>
      <c r="AH134" s="24">
        <v>5</v>
      </c>
      <c r="AI134" s="26" t="s">
        <v>611</v>
      </c>
      <c r="AJ134" s="37" t="s">
        <v>611</v>
      </c>
      <c r="AK134" s="37">
        <v>5</v>
      </c>
      <c r="AL134" s="26">
        <v>6</v>
      </c>
      <c r="AM134" s="37" t="s">
        <v>611</v>
      </c>
      <c r="AN134" s="24">
        <v>5</v>
      </c>
      <c r="AO134" s="24"/>
      <c r="AP134" s="27"/>
      <c r="AQ134" s="27"/>
      <c r="AR134">
        <f t="shared" si="5"/>
        <v>9</v>
      </c>
    </row>
    <row r="135" spans="1:44" x14ac:dyDescent="0.25">
      <c r="B135" t="str">
        <f t="shared" si="4"/>
        <v>OGCN - Rafetraniaina</v>
      </c>
      <c r="C135" t="s">
        <v>696</v>
      </c>
      <c r="D135" s="39" t="s">
        <v>622</v>
      </c>
      <c r="E135" s="232" t="s">
        <v>688</v>
      </c>
      <c r="F135" s="41"/>
      <c r="G135" s="233">
        <v>1</v>
      </c>
      <c r="H135" s="40"/>
      <c r="I135" s="72"/>
      <c r="J135" s="64"/>
      <c r="K135" s="61" t="s">
        <v>611</v>
      </c>
      <c r="L135" s="61"/>
      <c r="M135" s="61"/>
      <c r="N135" s="53"/>
      <c r="O135" s="61"/>
      <c r="P135" s="53"/>
      <c r="Q135" s="53"/>
      <c r="R135" s="53"/>
      <c r="S135" s="53"/>
      <c r="T135" s="53"/>
      <c r="U135" s="53"/>
      <c r="V135" s="53"/>
      <c r="W135" s="61"/>
      <c r="X135" s="53"/>
      <c r="Y135" s="53"/>
      <c r="Z135" s="53"/>
      <c r="AA135" s="53"/>
      <c r="AB135" s="53"/>
      <c r="AC135" s="61"/>
      <c r="AD135" s="61"/>
      <c r="AE135" s="61"/>
      <c r="AF135" s="53"/>
      <c r="AG135" s="61"/>
      <c r="AH135" s="53"/>
      <c r="AI135" s="63"/>
      <c r="AJ135" s="53"/>
      <c r="AK135" s="61"/>
      <c r="AL135" s="63"/>
      <c r="AM135" s="61"/>
      <c r="AN135" s="61"/>
      <c r="AO135" s="53"/>
      <c r="AP135" s="63"/>
      <c r="AQ135" s="63"/>
      <c r="AR135">
        <f t="shared" si="5"/>
        <v>1</v>
      </c>
    </row>
    <row r="136" spans="1:44" x14ac:dyDescent="0.25">
      <c r="B136" t="str">
        <f t="shared" si="4"/>
        <v>OGCN - Bosetti</v>
      </c>
      <c r="C136" t="s">
        <v>696</v>
      </c>
      <c r="D136" s="50" t="s">
        <v>633</v>
      </c>
      <c r="E136" s="57" t="s">
        <v>689</v>
      </c>
      <c r="F136" s="52"/>
      <c r="G136" s="63"/>
      <c r="H136" s="146"/>
      <c r="I136" s="34"/>
      <c r="J136" s="150"/>
      <c r="K136" s="63"/>
      <c r="L136" s="61"/>
      <c r="M136" s="61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63"/>
      <c r="AF136" s="53"/>
      <c r="AG136" s="63"/>
      <c r="AH136" s="53"/>
      <c r="AI136" s="63"/>
      <c r="AJ136" s="63"/>
      <c r="AK136" s="53"/>
      <c r="AL136" s="53"/>
      <c r="AM136" s="53"/>
      <c r="AN136" s="53"/>
      <c r="AO136" s="63"/>
      <c r="AP136" s="53"/>
      <c r="AQ136" s="53"/>
      <c r="AR136">
        <f t="shared" si="5"/>
        <v>0</v>
      </c>
    </row>
    <row r="137" spans="1:44" x14ac:dyDescent="0.25">
      <c r="B137" t="str">
        <f t="shared" si="4"/>
        <v>OGCN - Constant</v>
      </c>
      <c r="C137" t="s">
        <v>696</v>
      </c>
      <c r="D137" s="50" t="s">
        <v>633</v>
      </c>
      <c r="E137" s="57" t="s">
        <v>690</v>
      </c>
      <c r="F137" s="52"/>
      <c r="G137" s="63"/>
      <c r="H137" s="146"/>
      <c r="I137" s="151"/>
      <c r="J137" s="45"/>
      <c r="K137" s="46"/>
      <c r="L137" s="55"/>
      <c r="M137" s="55"/>
      <c r="N137" s="46"/>
      <c r="O137" s="55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55"/>
      <c r="AH137" s="55"/>
      <c r="AI137" s="47"/>
      <c r="AJ137" s="46"/>
      <c r="AK137" s="55"/>
      <c r="AL137" s="47"/>
      <c r="AM137" s="46"/>
      <c r="AN137" s="46"/>
      <c r="AO137" s="46"/>
      <c r="AP137" s="47"/>
      <c r="AQ137" s="47"/>
      <c r="AR137">
        <f t="shared" si="5"/>
        <v>0</v>
      </c>
    </row>
    <row r="138" spans="1:44" x14ac:dyDescent="0.25">
      <c r="B138" t="str">
        <f t="shared" si="4"/>
        <v>OGCN - Honorat</v>
      </c>
      <c r="C138" t="s">
        <v>696</v>
      </c>
      <c r="D138" s="29" t="s">
        <v>633</v>
      </c>
      <c r="E138" s="30" t="s">
        <v>692</v>
      </c>
      <c r="F138" s="31"/>
      <c r="G138" s="99">
        <v>5</v>
      </c>
      <c r="H138" s="73"/>
      <c r="I138" s="152"/>
      <c r="J138" s="87"/>
      <c r="K138" s="36"/>
      <c r="L138" s="37"/>
      <c r="M138" s="37"/>
      <c r="N138" s="24"/>
      <c r="O138" s="37"/>
      <c r="P138" s="24"/>
      <c r="Q138" s="24"/>
      <c r="R138" s="24"/>
      <c r="S138" s="24"/>
      <c r="T138" s="24"/>
      <c r="U138" s="37" t="s">
        <v>611</v>
      </c>
      <c r="V138" s="24"/>
      <c r="W138" s="24"/>
      <c r="X138" s="24"/>
      <c r="Y138" s="24"/>
      <c r="Z138" s="24"/>
      <c r="AA138" s="24"/>
      <c r="AB138" s="24"/>
      <c r="AC138" s="37" t="s">
        <v>611</v>
      </c>
      <c r="AD138" s="37" t="s">
        <v>611</v>
      </c>
      <c r="AE138" s="37" t="s">
        <v>611</v>
      </c>
      <c r="AF138" s="37" t="s">
        <v>611</v>
      </c>
      <c r="AG138" s="24"/>
      <c r="AH138" s="24"/>
      <c r="AI138" s="27"/>
      <c r="AJ138" s="24"/>
      <c r="AK138" s="37"/>
      <c r="AL138" s="27"/>
      <c r="AM138" s="24"/>
      <c r="AN138" s="24"/>
      <c r="AO138" s="24"/>
      <c r="AP138" s="27"/>
      <c r="AQ138" s="27"/>
      <c r="AR138">
        <f t="shared" si="5"/>
        <v>5</v>
      </c>
    </row>
    <row r="139" spans="1:44" x14ac:dyDescent="0.25">
      <c r="A139">
        <v>0</v>
      </c>
      <c r="B139" t="str">
        <f t="shared" si="4"/>
        <v>SR - De Préville</v>
      </c>
      <c r="C139" t="s">
        <v>901</v>
      </c>
      <c r="D139" s="29" t="s">
        <v>633</v>
      </c>
      <c r="E139" s="30" t="s">
        <v>204</v>
      </c>
      <c r="F139" s="31">
        <v>28</v>
      </c>
      <c r="G139" s="99">
        <v>2</v>
      </c>
      <c r="H139" s="73">
        <v>6</v>
      </c>
      <c r="I139" s="34">
        <f>AVERAGE(Z139,Y139,X139,K139,L139,M139,J139,N139,O139,Q139,R139,S139,T139,U139,V139,AB139,AC139,AD139,AE139,AF139,AG139,AH139,AI139,AJ139,AK139,AL139,AM139,AN139)</f>
        <v>5.3571428571428568</v>
      </c>
      <c r="J139" s="153">
        <v>7</v>
      </c>
      <c r="K139" s="37">
        <v>5</v>
      </c>
      <c r="L139" s="37">
        <v>4</v>
      </c>
      <c r="M139" s="128">
        <v>7</v>
      </c>
      <c r="N139" s="24">
        <v>4</v>
      </c>
      <c r="O139" s="84">
        <v>7</v>
      </c>
      <c r="P139" s="37" t="s">
        <v>611</v>
      </c>
      <c r="Q139" s="24">
        <v>6</v>
      </c>
      <c r="R139" s="24">
        <v>4</v>
      </c>
      <c r="S139" s="24">
        <v>5</v>
      </c>
      <c r="T139" s="37">
        <v>4</v>
      </c>
      <c r="U139" s="37">
        <v>5</v>
      </c>
      <c r="V139" s="24">
        <v>4</v>
      </c>
      <c r="W139" s="37" t="s">
        <v>611</v>
      </c>
      <c r="X139" s="25">
        <v>7</v>
      </c>
      <c r="Y139" s="24">
        <v>5</v>
      </c>
      <c r="Z139" s="22">
        <v>5</v>
      </c>
      <c r="AA139" s="37"/>
      <c r="AB139" s="76">
        <v>5</v>
      </c>
      <c r="AC139" s="24">
        <v>4</v>
      </c>
      <c r="AD139" s="25">
        <v>7</v>
      </c>
      <c r="AE139" s="24">
        <v>4</v>
      </c>
      <c r="AF139" s="24">
        <v>4</v>
      </c>
      <c r="AG139" s="24">
        <v>6</v>
      </c>
      <c r="AH139" s="83">
        <v>7</v>
      </c>
      <c r="AI139" s="27">
        <v>5</v>
      </c>
      <c r="AJ139" s="37">
        <v>6</v>
      </c>
      <c r="AK139" s="84">
        <v>7</v>
      </c>
      <c r="AL139" s="26">
        <v>4</v>
      </c>
      <c r="AM139" s="24">
        <v>6</v>
      </c>
      <c r="AN139" s="23">
        <v>6</v>
      </c>
      <c r="AO139" s="24"/>
      <c r="AP139" s="26"/>
      <c r="AQ139" s="26"/>
      <c r="AR139">
        <f t="shared" si="5"/>
        <v>30</v>
      </c>
    </row>
    <row r="140" spans="1:44" x14ac:dyDescent="0.25">
      <c r="B140" t="str">
        <f t="shared" si="4"/>
        <v>OGCN - Ranieri</v>
      </c>
      <c r="C140" t="s">
        <v>696</v>
      </c>
      <c r="D140" s="252" t="s">
        <v>633</v>
      </c>
      <c r="E140" s="182" t="s">
        <v>1043</v>
      </c>
      <c r="F140" s="31"/>
      <c r="G140" s="99">
        <v>2</v>
      </c>
      <c r="H140" s="73"/>
      <c r="I140" s="34"/>
      <c r="J140" s="87"/>
      <c r="K140" s="36"/>
      <c r="L140" s="37"/>
      <c r="M140" s="37"/>
      <c r="N140" s="24"/>
      <c r="O140" s="37"/>
      <c r="P140" s="77"/>
      <c r="Q140" s="24"/>
      <c r="R140" s="24"/>
      <c r="S140" s="24"/>
      <c r="T140" s="37"/>
      <c r="U140" s="37"/>
      <c r="V140" s="24"/>
      <c r="W140" s="37"/>
      <c r="X140" s="24"/>
      <c r="Y140" s="24"/>
      <c r="Z140" s="24"/>
      <c r="AA140" s="37"/>
      <c r="AB140" s="24"/>
      <c r="AC140" s="37" t="s">
        <v>611</v>
      </c>
      <c r="AD140" s="24"/>
      <c r="AE140" s="37"/>
      <c r="AF140" s="37"/>
      <c r="AG140" s="24"/>
      <c r="AH140" s="24"/>
      <c r="AI140" s="27"/>
      <c r="AJ140" s="37" t="s">
        <v>611</v>
      </c>
      <c r="AK140" s="37"/>
      <c r="AL140" s="27"/>
      <c r="AM140" s="24"/>
      <c r="AN140" s="24"/>
      <c r="AO140" s="24"/>
      <c r="AP140" s="27"/>
      <c r="AQ140" s="27"/>
      <c r="AR140">
        <f t="shared" si="5"/>
        <v>2</v>
      </c>
    </row>
    <row r="141" spans="1:44" x14ac:dyDescent="0.25">
      <c r="B141" t="str">
        <f t="shared" si="4"/>
        <v>OGCN - Caddy</v>
      </c>
      <c r="C141" t="s">
        <v>696</v>
      </c>
      <c r="D141" s="252" t="s">
        <v>633</v>
      </c>
      <c r="E141" s="182" t="s">
        <v>1055</v>
      </c>
      <c r="F141" s="31">
        <v>3</v>
      </c>
      <c r="G141" s="99">
        <v>2</v>
      </c>
      <c r="H141" s="73"/>
      <c r="I141" s="34">
        <f>AVERAGE(AE141,AF141,AG141)</f>
        <v>4</v>
      </c>
      <c r="J141" s="87"/>
      <c r="K141" s="36"/>
      <c r="L141" s="37"/>
      <c r="M141" s="37"/>
      <c r="N141" s="24"/>
      <c r="O141" s="37"/>
      <c r="P141" s="77"/>
      <c r="Q141" s="24"/>
      <c r="R141" s="24"/>
      <c r="S141" s="24"/>
      <c r="T141" s="37"/>
      <c r="U141" s="37"/>
      <c r="V141" s="24"/>
      <c r="W141" s="37"/>
      <c r="X141" s="24"/>
      <c r="Y141" s="24"/>
      <c r="Z141" s="24"/>
      <c r="AA141" s="37"/>
      <c r="AB141" s="24"/>
      <c r="AC141" s="37"/>
      <c r="AD141" s="24"/>
      <c r="AE141" s="37">
        <v>4</v>
      </c>
      <c r="AF141" s="37">
        <v>4</v>
      </c>
      <c r="AG141" s="24">
        <v>4</v>
      </c>
      <c r="AH141" s="37" t="s">
        <v>611</v>
      </c>
      <c r="AI141" s="27"/>
      <c r="AJ141" s="37" t="s">
        <v>611</v>
      </c>
      <c r="AK141" s="37"/>
      <c r="AL141" s="27"/>
      <c r="AM141" s="24"/>
      <c r="AN141" s="24"/>
      <c r="AO141" s="24"/>
      <c r="AP141" s="27"/>
      <c r="AQ141" s="27"/>
      <c r="AR141">
        <f t="shared" si="5"/>
        <v>5</v>
      </c>
    </row>
    <row r="142" spans="1:44" x14ac:dyDescent="0.25">
      <c r="B142" t="str">
        <f t="shared" si="4"/>
        <v>OGCN - Le Bihan</v>
      </c>
      <c r="C142" t="s">
        <v>696</v>
      </c>
      <c r="D142" s="252" t="s">
        <v>633</v>
      </c>
      <c r="E142" s="182" t="s">
        <v>694</v>
      </c>
      <c r="F142" s="31">
        <v>1</v>
      </c>
      <c r="G142" s="99">
        <v>2</v>
      </c>
      <c r="H142" s="73">
        <v>1</v>
      </c>
      <c r="I142" s="152">
        <f>AVERAGE(P142)</f>
        <v>7</v>
      </c>
      <c r="J142" s="87"/>
      <c r="K142" s="36"/>
      <c r="L142" s="37"/>
      <c r="M142" s="37"/>
      <c r="N142" s="37" t="s">
        <v>611</v>
      </c>
      <c r="O142" s="37" t="s">
        <v>611</v>
      </c>
      <c r="P142" s="25">
        <v>7</v>
      </c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37"/>
      <c r="AF142" s="37"/>
      <c r="AG142" s="24"/>
      <c r="AH142" s="24"/>
      <c r="AI142" s="27"/>
      <c r="AJ142" s="24"/>
      <c r="AK142" s="37"/>
      <c r="AL142" s="27"/>
      <c r="AM142" s="24"/>
      <c r="AN142" s="24"/>
      <c r="AO142" s="24"/>
      <c r="AP142" s="27"/>
      <c r="AQ142" s="27"/>
      <c r="AR142">
        <f t="shared" si="5"/>
        <v>3</v>
      </c>
    </row>
    <row r="143" spans="1:44" x14ac:dyDescent="0.25">
      <c r="B143" t="str">
        <f t="shared" si="4"/>
        <v>OGCN - Pléa</v>
      </c>
      <c r="C143" t="s">
        <v>696</v>
      </c>
      <c r="D143" s="252" t="s">
        <v>633</v>
      </c>
      <c r="E143" s="30" t="s">
        <v>684</v>
      </c>
      <c r="F143" s="31">
        <v>11</v>
      </c>
      <c r="G143" s="99">
        <v>1</v>
      </c>
      <c r="H143" s="73">
        <v>4</v>
      </c>
      <c r="I143" s="34">
        <f>AVERAGE(K143,L143,M143,J143,N143,O143,AI143,AJ143,AK143,AL143,AN143)</f>
        <v>5</v>
      </c>
      <c r="J143" s="48">
        <v>5</v>
      </c>
      <c r="K143" s="25">
        <v>8</v>
      </c>
      <c r="L143" s="22">
        <v>5</v>
      </c>
      <c r="M143" s="37">
        <v>5</v>
      </c>
      <c r="N143" s="24">
        <v>4</v>
      </c>
      <c r="O143" s="37">
        <v>4</v>
      </c>
      <c r="P143" s="37"/>
      <c r="Q143" s="24"/>
      <c r="R143" s="24"/>
      <c r="S143" s="37"/>
      <c r="T143" s="22"/>
      <c r="U143" s="24"/>
      <c r="V143" s="24"/>
      <c r="W143" s="24"/>
      <c r="X143" s="24"/>
      <c r="Y143" s="37"/>
      <c r="Z143" s="22"/>
      <c r="AA143" s="24"/>
      <c r="AB143" s="24"/>
      <c r="AC143" s="24"/>
      <c r="AD143" s="22"/>
      <c r="AE143" s="24"/>
      <c r="AF143" s="24"/>
      <c r="AG143" s="24"/>
      <c r="AH143" s="24"/>
      <c r="AI143" s="244">
        <v>3</v>
      </c>
      <c r="AJ143" s="24">
        <v>4</v>
      </c>
      <c r="AK143" s="37">
        <v>5</v>
      </c>
      <c r="AL143" s="27">
        <v>5</v>
      </c>
      <c r="AM143" s="77" t="s">
        <v>611</v>
      </c>
      <c r="AN143" s="25">
        <v>7</v>
      </c>
      <c r="AO143" s="24"/>
      <c r="AP143" s="27"/>
      <c r="AQ143" s="27"/>
      <c r="AR143">
        <f t="shared" si="5"/>
        <v>12</v>
      </c>
    </row>
    <row r="144" spans="1:44" ht="15.75" thickBot="1" x14ac:dyDescent="0.3">
      <c r="B144" t="str">
        <f t="shared" si="4"/>
        <v>OGCN - Benrahma</v>
      </c>
      <c r="C144" t="s">
        <v>696</v>
      </c>
      <c r="D144" s="266" t="s">
        <v>633</v>
      </c>
      <c r="E144" s="220" t="s">
        <v>695</v>
      </c>
      <c r="F144" s="221"/>
      <c r="G144" s="222">
        <v>9</v>
      </c>
      <c r="H144" s="261">
        <v>2</v>
      </c>
      <c r="I144" s="121"/>
      <c r="J144" s="150" t="s">
        <v>611</v>
      </c>
      <c r="K144" s="53"/>
      <c r="L144" s="53"/>
      <c r="M144" s="53"/>
      <c r="N144" s="53"/>
      <c r="O144" s="81" t="s">
        <v>611</v>
      </c>
      <c r="P144" s="53"/>
      <c r="Q144" s="61" t="s">
        <v>611</v>
      </c>
      <c r="R144" s="61" t="s">
        <v>611</v>
      </c>
      <c r="S144" s="81" t="s">
        <v>611</v>
      </c>
      <c r="T144" s="61" t="s">
        <v>611</v>
      </c>
      <c r="U144" s="53"/>
      <c r="V144" s="61" t="s">
        <v>611</v>
      </c>
      <c r="W144" s="53"/>
      <c r="X144" s="61" t="s">
        <v>611</v>
      </c>
      <c r="Y144" s="53"/>
      <c r="Z144" s="61" t="s">
        <v>611</v>
      </c>
      <c r="AA144" s="53"/>
      <c r="AB144" s="53"/>
      <c r="AC144" s="53"/>
      <c r="AD144" s="53"/>
      <c r="AE144" s="53"/>
      <c r="AF144" s="61"/>
      <c r="AG144" s="53"/>
      <c r="AH144" s="53"/>
      <c r="AI144" s="63"/>
      <c r="AJ144" s="53"/>
      <c r="AK144" s="61"/>
      <c r="AL144" s="63"/>
      <c r="AM144" s="53"/>
      <c r="AN144" s="53"/>
      <c r="AO144" s="59"/>
      <c r="AP144" s="63"/>
      <c r="AQ144" s="63"/>
      <c r="AR144">
        <f t="shared" si="5"/>
        <v>9</v>
      </c>
    </row>
    <row r="145" spans="1:44" x14ac:dyDescent="0.25">
      <c r="A145">
        <v>0</v>
      </c>
      <c r="B145" t="str">
        <f t="shared" si="4"/>
        <v>FCN - Sala</v>
      </c>
      <c r="C145" t="s">
        <v>923</v>
      </c>
      <c r="D145" s="16" t="s">
        <v>633</v>
      </c>
      <c r="E145" s="288" t="s">
        <v>463</v>
      </c>
      <c r="F145" s="18">
        <v>16</v>
      </c>
      <c r="G145" s="95">
        <v>8</v>
      </c>
      <c r="H145" s="160">
        <v>6</v>
      </c>
      <c r="I145" s="20">
        <f>AVERAGE(AB145,M145,N145,J145,O145,S145,T145,U145,Y145,Z145,AA145,AG145,AH145,AI145,AK145,AM145,AN145)</f>
        <v>5.117647058823529</v>
      </c>
      <c r="J145" s="37">
        <v>5</v>
      </c>
      <c r="K145" s="24"/>
      <c r="L145" s="37"/>
      <c r="M145" s="24">
        <v>4</v>
      </c>
      <c r="N145" s="37">
        <v>4</v>
      </c>
      <c r="O145" s="24">
        <v>4</v>
      </c>
      <c r="P145" s="37"/>
      <c r="Q145" s="24"/>
      <c r="R145" s="37" t="s">
        <v>611</v>
      </c>
      <c r="S145" s="23">
        <v>4</v>
      </c>
      <c r="T145" s="37">
        <v>6</v>
      </c>
      <c r="U145" s="37">
        <v>4</v>
      </c>
      <c r="V145" s="26" t="s">
        <v>611</v>
      </c>
      <c r="W145" s="26" t="s">
        <v>611</v>
      </c>
      <c r="X145" s="37" t="s">
        <v>611</v>
      </c>
      <c r="Y145" s="24">
        <v>4</v>
      </c>
      <c r="Z145" s="28">
        <v>6</v>
      </c>
      <c r="AA145" s="25">
        <v>7</v>
      </c>
      <c r="AB145" s="24">
        <v>4</v>
      </c>
      <c r="AC145" s="24"/>
      <c r="AD145" s="24"/>
      <c r="AE145" s="37" t="s">
        <v>611</v>
      </c>
      <c r="AF145" s="26"/>
      <c r="AG145" s="254">
        <v>8</v>
      </c>
      <c r="AH145" s="37">
        <v>4</v>
      </c>
      <c r="AI145" s="75">
        <v>7</v>
      </c>
      <c r="AJ145" s="37" t="s">
        <v>611</v>
      </c>
      <c r="AK145" s="26">
        <v>4</v>
      </c>
      <c r="AL145" s="37" t="s">
        <v>611</v>
      </c>
      <c r="AM145" s="25">
        <v>8</v>
      </c>
      <c r="AN145" s="24">
        <v>4</v>
      </c>
      <c r="AO145" s="27"/>
      <c r="AP145" s="27"/>
      <c r="AQ145" s="24"/>
      <c r="AR145">
        <f t="shared" si="5"/>
        <v>24</v>
      </c>
    </row>
    <row r="146" spans="1:44" x14ac:dyDescent="0.25">
      <c r="B146" t="str">
        <f t="shared" si="4"/>
        <v>ASSE - Moulin</v>
      </c>
      <c r="C146" t="s">
        <v>714</v>
      </c>
      <c r="D146" s="29" t="s">
        <v>605</v>
      </c>
      <c r="E146" s="30" t="s">
        <v>538</v>
      </c>
      <c r="F146" s="31"/>
      <c r="G146" s="99"/>
      <c r="H146" s="73"/>
      <c r="I146" s="100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7"/>
      <c r="W146" s="48"/>
      <c r="X146" s="24"/>
      <c r="Y146" s="24"/>
      <c r="Z146" s="27"/>
      <c r="AA146" s="24"/>
      <c r="AB146" s="24"/>
      <c r="AC146" s="24"/>
      <c r="AD146" s="24"/>
      <c r="AE146" s="24"/>
      <c r="AF146" s="27"/>
      <c r="AG146" s="48"/>
      <c r="AH146" s="24"/>
      <c r="AI146" s="24"/>
      <c r="AJ146" s="24"/>
      <c r="AK146" s="27"/>
      <c r="AL146" s="24"/>
      <c r="AM146" s="24"/>
      <c r="AN146" s="24"/>
      <c r="AO146" s="27"/>
      <c r="AP146" s="27"/>
      <c r="AQ146" s="24"/>
      <c r="AR146">
        <f t="shared" si="5"/>
        <v>0</v>
      </c>
    </row>
    <row r="147" spans="1:44" x14ac:dyDescent="0.25">
      <c r="B147" t="str">
        <f t="shared" si="4"/>
        <v>ASSE - Valette</v>
      </c>
      <c r="C147" t="s">
        <v>714</v>
      </c>
      <c r="D147" s="67" t="s">
        <v>605</v>
      </c>
      <c r="E147" s="154" t="s">
        <v>697</v>
      </c>
      <c r="F147" s="69"/>
      <c r="G147" s="115"/>
      <c r="H147" s="68"/>
      <c r="I147" s="4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7"/>
      <c r="W147" s="48"/>
      <c r="X147" s="24"/>
      <c r="Y147" s="24"/>
      <c r="Z147" s="27"/>
      <c r="AA147" s="24"/>
      <c r="AB147" s="24"/>
      <c r="AC147" s="24"/>
      <c r="AD147" s="24"/>
      <c r="AE147" s="24"/>
      <c r="AF147" s="27"/>
      <c r="AG147" s="48"/>
      <c r="AH147" s="24"/>
      <c r="AI147" s="24"/>
      <c r="AJ147" s="24"/>
      <c r="AK147" s="27"/>
      <c r="AL147" s="24"/>
      <c r="AM147" s="24"/>
      <c r="AN147" s="24"/>
      <c r="AO147" s="27"/>
      <c r="AP147" s="27"/>
      <c r="AQ147" s="24"/>
      <c r="AR147">
        <f t="shared" si="5"/>
        <v>0</v>
      </c>
    </row>
    <row r="148" spans="1:44" x14ac:dyDescent="0.25">
      <c r="A148">
        <v>0</v>
      </c>
      <c r="B148" t="str">
        <f t="shared" si="4"/>
        <v>EAG - Salibur</v>
      </c>
      <c r="C148" t="s">
        <v>967</v>
      </c>
      <c r="D148" s="147" t="s">
        <v>622</v>
      </c>
      <c r="E148" s="155" t="s">
        <v>486</v>
      </c>
      <c r="F148" s="246">
        <v>26</v>
      </c>
      <c r="G148" s="247">
        <v>2</v>
      </c>
      <c r="H148" s="78">
        <v>6</v>
      </c>
      <c r="I148" s="34">
        <f>AVERAGE(AB148,Y148,K148,L148,J148,P148,R148,S148,T148,U148,V148,W148,X148,AA148,AC148,AD148,AE148,AF148,AG148,AH148,AI148,AJ148,AK148,AL148,AM148,AN148)</f>
        <v>5.2307692307692308</v>
      </c>
      <c r="J148" s="76">
        <v>5</v>
      </c>
      <c r="K148" s="24">
        <v>4</v>
      </c>
      <c r="L148" s="37">
        <v>4</v>
      </c>
      <c r="M148" s="37"/>
      <c r="N148" s="37"/>
      <c r="O148" s="37" t="s">
        <v>611</v>
      </c>
      <c r="P148" s="24">
        <v>4</v>
      </c>
      <c r="Q148" s="37" t="s">
        <v>611</v>
      </c>
      <c r="R148" s="24">
        <v>5</v>
      </c>
      <c r="S148" s="37">
        <v>5</v>
      </c>
      <c r="T148" s="24">
        <v>5</v>
      </c>
      <c r="U148" s="25">
        <v>7</v>
      </c>
      <c r="V148" s="27">
        <v>4</v>
      </c>
      <c r="W148" s="130">
        <v>7</v>
      </c>
      <c r="X148" s="24">
        <v>5</v>
      </c>
      <c r="Y148" s="22">
        <v>6</v>
      </c>
      <c r="Z148" s="26"/>
      <c r="AA148" s="37">
        <v>6</v>
      </c>
      <c r="AB148" s="37">
        <v>5</v>
      </c>
      <c r="AC148" s="37">
        <v>4</v>
      </c>
      <c r="AD148" s="77">
        <v>6</v>
      </c>
      <c r="AE148" s="37">
        <v>6</v>
      </c>
      <c r="AF148" s="27">
        <v>6</v>
      </c>
      <c r="AG148" s="27">
        <v>6</v>
      </c>
      <c r="AH148" s="37">
        <v>5</v>
      </c>
      <c r="AI148" s="24">
        <v>4</v>
      </c>
      <c r="AJ148" s="25">
        <v>8</v>
      </c>
      <c r="AK148" s="27">
        <v>5</v>
      </c>
      <c r="AL148" s="24">
        <v>4</v>
      </c>
      <c r="AM148" s="37">
        <v>5</v>
      </c>
      <c r="AN148" s="24">
        <v>5</v>
      </c>
      <c r="AO148" s="27"/>
      <c r="AP148" s="26"/>
      <c r="AQ148" s="24"/>
      <c r="AR148">
        <f t="shared" si="5"/>
        <v>28</v>
      </c>
    </row>
    <row r="149" spans="1:44" x14ac:dyDescent="0.25">
      <c r="B149" t="str">
        <f t="shared" si="4"/>
        <v>ASSE - Clerc</v>
      </c>
      <c r="C149" t="s">
        <v>714</v>
      </c>
      <c r="D149" s="29" t="s">
        <v>608</v>
      </c>
      <c r="E149" s="30" t="s">
        <v>698</v>
      </c>
      <c r="F149" s="31">
        <v>10</v>
      </c>
      <c r="G149" s="99"/>
      <c r="H149" s="73"/>
      <c r="I149" s="34">
        <f>AVERAGE(J149,N149,P149,R149,S149,T149,U149,V149,W149,Y149)</f>
        <v>5</v>
      </c>
      <c r="J149" s="74">
        <v>5</v>
      </c>
      <c r="K149" s="24"/>
      <c r="L149" s="24"/>
      <c r="M149" s="24"/>
      <c r="N149" s="24">
        <v>4</v>
      </c>
      <c r="O149" s="24"/>
      <c r="P149" s="24">
        <v>6</v>
      </c>
      <c r="Q149" s="24"/>
      <c r="R149" s="24">
        <v>4</v>
      </c>
      <c r="S149" s="24">
        <v>5</v>
      </c>
      <c r="T149" s="24">
        <v>5</v>
      </c>
      <c r="U149" s="66">
        <v>7</v>
      </c>
      <c r="V149" s="27">
        <v>5</v>
      </c>
      <c r="W149" s="27">
        <v>4</v>
      </c>
      <c r="X149" s="24"/>
      <c r="Y149" s="24">
        <v>5</v>
      </c>
      <c r="Z149" s="27"/>
      <c r="AA149" s="24"/>
      <c r="AB149" s="24"/>
      <c r="AC149" s="24"/>
      <c r="AD149" s="24"/>
      <c r="AE149" s="24"/>
      <c r="AF149" s="27"/>
      <c r="AG149" s="48"/>
      <c r="AH149" s="24"/>
      <c r="AI149" s="24"/>
      <c r="AJ149" s="24"/>
      <c r="AK149" s="27"/>
      <c r="AL149" s="24"/>
      <c r="AM149" s="24"/>
      <c r="AN149" s="24"/>
      <c r="AO149" s="27"/>
      <c r="AP149" s="27"/>
      <c r="AQ149" s="24"/>
      <c r="AR149">
        <f t="shared" si="5"/>
        <v>10</v>
      </c>
    </row>
    <row r="150" spans="1:44" x14ac:dyDescent="0.25">
      <c r="B150" t="str">
        <f t="shared" si="4"/>
        <v>ASSE - Théophile-Catherine</v>
      </c>
      <c r="C150" t="s">
        <v>714</v>
      </c>
      <c r="D150" s="29" t="s">
        <v>608</v>
      </c>
      <c r="E150" s="30" t="s">
        <v>699</v>
      </c>
      <c r="F150" s="31">
        <v>15</v>
      </c>
      <c r="G150" s="99"/>
      <c r="H150" s="73"/>
      <c r="I150" s="34">
        <f>AVERAGE(K150,L150,M150,J150,AC150,AD150,AE150,AF150,AG150,AH150,AI150,AJ150,AK150,AL150,AN150)</f>
        <v>4.8</v>
      </c>
      <c r="J150" s="24">
        <v>4</v>
      </c>
      <c r="K150" s="24">
        <v>5</v>
      </c>
      <c r="L150" s="24">
        <v>5</v>
      </c>
      <c r="M150" s="24">
        <v>5</v>
      </c>
      <c r="N150" s="24"/>
      <c r="O150" s="24"/>
      <c r="P150" s="24"/>
      <c r="Q150" s="24"/>
      <c r="R150" s="24"/>
      <c r="S150" s="24"/>
      <c r="T150" s="24"/>
      <c r="U150" s="24"/>
      <c r="V150" s="27"/>
      <c r="W150" s="27"/>
      <c r="X150" s="24"/>
      <c r="Y150" s="24"/>
      <c r="Z150" s="26"/>
      <c r="AA150" s="24"/>
      <c r="AB150" s="24"/>
      <c r="AC150" s="24">
        <v>5</v>
      </c>
      <c r="AD150" s="24">
        <v>5</v>
      </c>
      <c r="AE150" s="24">
        <v>4</v>
      </c>
      <c r="AF150" s="27">
        <v>4</v>
      </c>
      <c r="AG150" s="27">
        <v>5</v>
      </c>
      <c r="AH150" s="24">
        <v>5</v>
      </c>
      <c r="AI150" s="24">
        <v>5</v>
      </c>
      <c r="AJ150" s="24">
        <v>4</v>
      </c>
      <c r="AK150" s="27">
        <v>4</v>
      </c>
      <c r="AL150" s="24">
        <v>5</v>
      </c>
      <c r="AM150" s="24"/>
      <c r="AN150" s="66">
        <v>7</v>
      </c>
      <c r="AO150" s="27"/>
      <c r="AP150" s="27"/>
      <c r="AQ150" s="24"/>
      <c r="AR150">
        <f t="shared" si="5"/>
        <v>15</v>
      </c>
    </row>
    <row r="151" spans="1:44" x14ac:dyDescent="0.25">
      <c r="B151" t="str">
        <f t="shared" si="4"/>
        <v>ASSE - Brison</v>
      </c>
      <c r="C151" t="s">
        <v>714</v>
      </c>
      <c r="D151" s="29" t="s">
        <v>608</v>
      </c>
      <c r="E151" s="30" t="s">
        <v>700</v>
      </c>
      <c r="F151" s="31">
        <v>4</v>
      </c>
      <c r="G151" s="99">
        <v>3</v>
      </c>
      <c r="H151" s="73"/>
      <c r="I151" s="34">
        <f>AVERAGE(P151,R151,AB151,AC151,AE151)</f>
        <v>4.5999999999999996</v>
      </c>
      <c r="J151" s="37"/>
      <c r="K151" s="36"/>
      <c r="L151" s="37" t="s">
        <v>611</v>
      </c>
      <c r="M151" s="24"/>
      <c r="N151" s="37"/>
      <c r="O151" s="24"/>
      <c r="P151" s="24">
        <v>5</v>
      </c>
      <c r="Q151" s="22"/>
      <c r="R151" s="24">
        <v>4</v>
      </c>
      <c r="S151" s="24"/>
      <c r="T151" s="24"/>
      <c r="U151" s="24"/>
      <c r="V151" s="27"/>
      <c r="W151" s="87"/>
      <c r="X151" s="37"/>
      <c r="Y151" s="24"/>
      <c r="Z151" s="27"/>
      <c r="AA151" s="24"/>
      <c r="AB151" s="24">
        <v>6</v>
      </c>
      <c r="AC151" s="82">
        <v>3</v>
      </c>
      <c r="AD151" s="24"/>
      <c r="AE151" s="24">
        <v>5</v>
      </c>
      <c r="AF151" s="27"/>
      <c r="AG151" s="87"/>
      <c r="AH151" s="37" t="s">
        <v>611</v>
      </c>
      <c r="AI151" s="24"/>
      <c r="AJ151" s="37"/>
      <c r="AK151" s="27"/>
      <c r="AL151" s="24"/>
      <c r="AM151" s="24"/>
      <c r="AN151" s="37"/>
      <c r="AO151" s="27"/>
      <c r="AP151" s="27"/>
      <c r="AQ151" s="24"/>
      <c r="AR151">
        <f t="shared" si="5"/>
        <v>7</v>
      </c>
    </row>
    <row r="152" spans="1:44" x14ac:dyDescent="0.25">
      <c r="B152" t="str">
        <f t="shared" si="4"/>
        <v>ASSE - Perrin</v>
      </c>
      <c r="C152" t="s">
        <v>714</v>
      </c>
      <c r="D152" s="29" t="s">
        <v>608</v>
      </c>
      <c r="E152" s="30" t="s">
        <v>144</v>
      </c>
      <c r="F152" s="31">
        <v>18</v>
      </c>
      <c r="G152" s="99"/>
      <c r="H152" s="114">
        <v>3</v>
      </c>
      <c r="I152" s="34">
        <f>AVERAGE(Z152,Y152,M152,J152,N152,O152,Q152,R152,S152,T152,U152,V152,W152,X152,AA152,AB152,AE152,AM152)</f>
        <v>5.3888888888888893</v>
      </c>
      <c r="J152" s="144">
        <v>6</v>
      </c>
      <c r="K152" s="24"/>
      <c r="L152" s="24"/>
      <c r="M152" s="22">
        <v>6</v>
      </c>
      <c r="N152" s="24">
        <v>6</v>
      </c>
      <c r="O152" s="24">
        <v>6</v>
      </c>
      <c r="P152" s="24"/>
      <c r="Q152" s="22">
        <v>6</v>
      </c>
      <c r="R152" s="24">
        <v>5</v>
      </c>
      <c r="S152" s="24">
        <v>5</v>
      </c>
      <c r="T152" s="24">
        <v>5</v>
      </c>
      <c r="U152" s="24">
        <v>6</v>
      </c>
      <c r="V152" s="27">
        <v>5</v>
      </c>
      <c r="W152" s="27">
        <v>5</v>
      </c>
      <c r="X152" s="24">
        <v>5</v>
      </c>
      <c r="Y152" s="37">
        <v>5</v>
      </c>
      <c r="Z152" s="27">
        <v>5</v>
      </c>
      <c r="AA152" s="24">
        <v>5</v>
      </c>
      <c r="AB152" s="24">
        <v>6</v>
      </c>
      <c r="AC152" s="24"/>
      <c r="AD152" s="24"/>
      <c r="AE152" s="24">
        <v>5</v>
      </c>
      <c r="AF152" s="27"/>
      <c r="AG152" s="27"/>
      <c r="AH152" s="24"/>
      <c r="AI152" s="24"/>
      <c r="AJ152" s="24"/>
      <c r="AK152" s="27"/>
      <c r="AL152" s="24"/>
      <c r="AM152" s="24">
        <v>5</v>
      </c>
      <c r="AN152" s="24"/>
      <c r="AO152" s="27"/>
      <c r="AP152" s="27"/>
      <c r="AQ152" s="24"/>
      <c r="AR152">
        <f t="shared" si="5"/>
        <v>18</v>
      </c>
    </row>
    <row r="153" spans="1:44" x14ac:dyDescent="0.25">
      <c r="B153" t="str">
        <f t="shared" si="4"/>
        <v>ASSE - Karamoko</v>
      </c>
      <c r="C153" t="s">
        <v>714</v>
      </c>
      <c r="D153" s="29" t="s">
        <v>608</v>
      </c>
      <c r="E153" s="60" t="s">
        <v>535</v>
      </c>
      <c r="F153" s="31"/>
      <c r="G153" s="99"/>
      <c r="H153" s="114"/>
      <c r="I153" s="34"/>
      <c r="J153" s="36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7"/>
      <c r="X153" s="24"/>
      <c r="Y153" s="24"/>
      <c r="Z153" s="24"/>
      <c r="AA153" s="24"/>
      <c r="AB153" s="24"/>
      <c r="AC153" s="24"/>
      <c r="AD153" s="24"/>
      <c r="AE153" s="24"/>
      <c r="AF153" s="27"/>
      <c r="AG153" s="38"/>
      <c r="AH153" s="24"/>
      <c r="AI153" s="24"/>
      <c r="AJ153" s="24"/>
      <c r="AK153" s="27"/>
      <c r="AL153" s="24"/>
      <c r="AM153" s="24"/>
      <c r="AN153" s="24"/>
      <c r="AO153" s="27"/>
      <c r="AP153" s="27"/>
      <c r="AQ153" s="24"/>
      <c r="AR153">
        <f t="shared" si="5"/>
        <v>0</v>
      </c>
    </row>
    <row r="154" spans="1:44" x14ac:dyDescent="0.25">
      <c r="B154" t="str">
        <f t="shared" si="4"/>
        <v>ASSE - Assou-Ekotto</v>
      </c>
      <c r="C154" t="s">
        <v>714</v>
      </c>
      <c r="D154" s="29" t="s">
        <v>608</v>
      </c>
      <c r="E154" s="60" t="s">
        <v>701</v>
      </c>
      <c r="F154" s="31">
        <v>12</v>
      </c>
      <c r="G154" s="99">
        <v>1</v>
      </c>
      <c r="H154" s="114"/>
      <c r="I154" s="34">
        <f>AVERAGE(K154,M154,J154,S154,T154,U154,V154,W154,X154,Y154,AJ154,AN154)</f>
        <v>5.166666666666667</v>
      </c>
      <c r="J154" s="21">
        <v>5</v>
      </c>
      <c r="K154" s="24">
        <v>5</v>
      </c>
      <c r="L154" s="24"/>
      <c r="M154" s="24">
        <v>5</v>
      </c>
      <c r="N154" s="24"/>
      <c r="O154" s="24"/>
      <c r="P154" s="24"/>
      <c r="Q154" s="24"/>
      <c r="R154" s="24"/>
      <c r="S154" s="24">
        <v>6</v>
      </c>
      <c r="T154" s="24">
        <v>5</v>
      </c>
      <c r="U154" s="24">
        <v>5</v>
      </c>
      <c r="V154" s="24">
        <v>5</v>
      </c>
      <c r="W154" s="27">
        <v>5</v>
      </c>
      <c r="X154" s="24">
        <v>5</v>
      </c>
      <c r="Y154" s="24">
        <v>5</v>
      </c>
      <c r="Z154" s="24"/>
      <c r="AA154" s="24"/>
      <c r="AB154" s="24"/>
      <c r="AC154" s="24"/>
      <c r="AD154" s="24"/>
      <c r="AE154" s="24"/>
      <c r="AF154" s="27"/>
      <c r="AG154" s="38"/>
      <c r="AH154" s="24"/>
      <c r="AI154" s="24"/>
      <c r="AJ154" s="24">
        <v>5</v>
      </c>
      <c r="AK154" s="27"/>
      <c r="AL154" s="24"/>
      <c r="AM154" s="37" t="s">
        <v>611</v>
      </c>
      <c r="AN154" s="24">
        <v>6</v>
      </c>
      <c r="AO154" s="27"/>
      <c r="AP154" s="27"/>
      <c r="AQ154" s="24"/>
      <c r="AR154">
        <f t="shared" si="5"/>
        <v>13</v>
      </c>
    </row>
    <row r="155" spans="1:44" x14ac:dyDescent="0.25">
      <c r="B155" t="str">
        <f t="shared" si="4"/>
        <v>ASSE - Polomat</v>
      </c>
      <c r="C155" t="s">
        <v>714</v>
      </c>
      <c r="D155" s="29" t="s">
        <v>608</v>
      </c>
      <c r="E155" s="65" t="s">
        <v>702</v>
      </c>
      <c r="F155" s="31">
        <v>9</v>
      </c>
      <c r="G155" s="99">
        <v>4</v>
      </c>
      <c r="H155" s="114"/>
      <c r="I155" s="34">
        <f>AVERAGE(L155,N155,O155,Q155,W155,Z155,AA155,AD155,AE155)</f>
        <v>5</v>
      </c>
      <c r="J155" s="36"/>
      <c r="K155" s="24"/>
      <c r="L155" s="24">
        <v>6</v>
      </c>
      <c r="M155" s="24"/>
      <c r="N155" s="24">
        <v>5</v>
      </c>
      <c r="O155" s="24">
        <v>5</v>
      </c>
      <c r="P155" s="24"/>
      <c r="Q155" s="24">
        <v>5</v>
      </c>
      <c r="R155" s="24"/>
      <c r="S155" s="37" t="s">
        <v>611</v>
      </c>
      <c r="T155" s="24"/>
      <c r="U155" s="24"/>
      <c r="V155" s="37" t="s">
        <v>611</v>
      </c>
      <c r="W155" s="27">
        <v>5</v>
      </c>
      <c r="X155" s="37" t="s">
        <v>611</v>
      </c>
      <c r="Y155" s="24"/>
      <c r="Z155" s="24">
        <v>4</v>
      </c>
      <c r="AA155" s="24">
        <v>5</v>
      </c>
      <c r="AB155" s="37" t="s">
        <v>611</v>
      </c>
      <c r="AC155" s="24"/>
      <c r="AD155" s="24">
        <v>5</v>
      </c>
      <c r="AE155" s="24">
        <v>5</v>
      </c>
      <c r="AF155" s="27"/>
      <c r="AG155" s="38"/>
      <c r="AH155" s="24"/>
      <c r="AI155" s="24"/>
      <c r="AJ155" s="24"/>
      <c r="AK155" s="27"/>
      <c r="AL155" s="24"/>
      <c r="AM155" s="24"/>
      <c r="AN155" s="24"/>
      <c r="AO155" s="27"/>
      <c r="AP155" s="27"/>
      <c r="AQ155" s="24"/>
      <c r="AR155">
        <f t="shared" si="5"/>
        <v>13</v>
      </c>
    </row>
    <row r="156" spans="1:44" x14ac:dyDescent="0.25">
      <c r="B156" t="str">
        <f t="shared" si="4"/>
        <v>ASSE - Malcuit</v>
      </c>
      <c r="C156" t="s">
        <v>714</v>
      </c>
      <c r="D156" s="29" t="s">
        <v>608</v>
      </c>
      <c r="E156" s="155" t="s">
        <v>569</v>
      </c>
      <c r="F156" s="31">
        <v>7</v>
      </c>
      <c r="G156" s="99"/>
      <c r="H156" s="114"/>
      <c r="I156" s="34">
        <f>AVERAGE(O156,Q156,Z156,AA156,AB156,AF156)</f>
        <v>5.166666666666667</v>
      </c>
      <c r="J156" s="36"/>
      <c r="K156" s="24"/>
      <c r="L156" s="24"/>
      <c r="M156" s="24"/>
      <c r="N156" s="24"/>
      <c r="O156" s="24">
        <v>5</v>
      </c>
      <c r="P156" s="24"/>
      <c r="Q156" s="24">
        <v>5</v>
      </c>
      <c r="R156" s="24"/>
      <c r="S156" s="24"/>
      <c r="T156" s="24"/>
      <c r="U156" s="24"/>
      <c r="V156" s="24"/>
      <c r="W156" s="27"/>
      <c r="X156" s="24"/>
      <c r="Y156" s="24"/>
      <c r="Z156" s="24">
        <v>5</v>
      </c>
      <c r="AA156" s="24">
        <v>5</v>
      </c>
      <c r="AB156" s="24">
        <v>6</v>
      </c>
      <c r="AC156" s="24"/>
      <c r="AD156" s="24"/>
      <c r="AE156" s="24"/>
      <c r="AF156" s="27">
        <v>5</v>
      </c>
      <c r="AG156" s="38"/>
      <c r="AH156" s="24"/>
      <c r="AI156" s="24"/>
      <c r="AJ156" s="24"/>
      <c r="AK156" s="27"/>
      <c r="AL156" s="24"/>
      <c r="AM156" s="24"/>
      <c r="AN156" s="24"/>
      <c r="AO156" s="27"/>
      <c r="AP156" s="27"/>
      <c r="AQ156" s="24"/>
      <c r="AR156">
        <f t="shared" si="5"/>
        <v>7</v>
      </c>
    </row>
    <row r="157" spans="1:44" x14ac:dyDescent="0.25">
      <c r="B157" t="str">
        <f t="shared" si="4"/>
        <v>ASSE - Pierre Gabriel</v>
      </c>
      <c r="C157" t="s">
        <v>714</v>
      </c>
      <c r="D157" s="29" t="s">
        <v>608</v>
      </c>
      <c r="E157" s="65" t="s">
        <v>703</v>
      </c>
      <c r="F157" s="31">
        <v>4</v>
      </c>
      <c r="G157" s="99">
        <v>1</v>
      </c>
      <c r="H157" s="114"/>
      <c r="I157" s="34">
        <f>AVERAGE(X157,AI157,AL157,AM157)</f>
        <v>4.75</v>
      </c>
      <c r="J157" s="36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7"/>
      <c r="X157" s="24">
        <v>4</v>
      </c>
      <c r="Y157" s="24"/>
      <c r="Z157" s="24"/>
      <c r="AA157" s="37" t="s">
        <v>611</v>
      </c>
      <c r="AB157" s="24"/>
      <c r="AC157" s="24"/>
      <c r="AD157" s="24"/>
      <c r="AE157" s="24"/>
      <c r="AF157" s="27"/>
      <c r="AG157" s="38"/>
      <c r="AH157" s="24"/>
      <c r="AI157" s="24">
        <v>5</v>
      </c>
      <c r="AJ157" s="24"/>
      <c r="AK157" s="27"/>
      <c r="AL157" s="24">
        <v>5</v>
      </c>
      <c r="AM157" s="24">
        <v>5</v>
      </c>
      <c r="AN157" s="24"/>
      <c r="AO157" s="27"/>
      <c r="AP157" s="27"/>
      <c r="AQ157" s="24"/>
      <c r="AR157">
        <f t="shared" si="5"/>
        <v>5</v>
      </c>
    </row>
    <row r="158" spans="1:44" x14ac:dyDescent="0.25">
      <c r="B158" t="str">
        <f t="shared" si="4"/>
        <v>ASSE - Tabanou</v>
      </c>
      <c r="C158" t="s">
        <v>714</v>
      </c>
      <c r="D158" s="29" t="s">
        <v>608</v>
      </c>
      <c r="E158" s="155" t="s">
        <v>1056</v>
      </c>
      <c r="F158" s="31">
        <v>7</v>
      </c>
      <c r="G158" s="99">
        <v>1</v>
      </c>
      <c r="H158" s="73"/>
      <c r="I158" s="34">
        <f>AVERAGE(AF158,AG158,AH158,AI158,AK158,AL158,AM158)</f>
        <v>4.8571428571428568</v>
      </c>
      <c r="J158" s="24"/>
      <c r="K158" s="36"/>
      <c r="L158" s="37"/>
      <c r="M158" s="22"/>
      <c r="N158" s="24"/>
      <c r="O158" s="23"/>
      <c r="P158" s="37"/>
      <c r="Q158" s="24"/>
      <c r="R158" s="24"/>
      <c r="S158" s="23"/>
      <c r="T158" s="37"/>
      <c r="U158" s="24"/>
      <c r="V158" s="27"/>
      <c r="W158" s="27"/>
      <c r="X158" s="24"/>
      <c r="Y158" s="37"/>
      <c r="Z158" s="27"/>
      <c r="AA158" s="24"/>
      <c r="AB158" s="37"/>
      <c r="AC158" s="24"/>
      <c r="AD158" s="24"/>
      <c r="AE158" s="37" t="s">
        <v>611</v>
      </c>
      <c r="AF158" s="27">
        <v>5</v>
      </c>
      <c r="AG158" s="27">
        <v>6</v>
      </c>
      <c r="AH158" s="24">
        <v>5</v>
      </c>
      <c r="AI158" s="24">
        <v>5</v>
      </c>
      <c r="AJ158" s="24"/>
      <c r="AK158" s="27">
        <v>5</v>
      </c>
      <c r="AL158" s="24">
        <v>5</v>
      </c>
      <c r="AM158" s="82">
        <v>3</v>
      </c>
      <c r="AN158" s="24"/>
      <c r="AO158" s="27"/>
      <c r="AP158" s="27"/>
      <c r="AQ158" s="24"/>
      <c r="AR158">
        <f t="shared" si="5"/>
        <v>8</v>
      </c>
    </row>
    <row r="159" spans="1:44" x14ac:dyDescent="0.25">
      <c r="B159" t="str">
        <f t="shared" si="4"/>
        <v>ASSE - F. Pogba</v>
      </c>
      <c r="C159" t="s">
        <v>714</v>
      </c>
      <c r="D159" s="67" t="s">
        <v>608</v>
      </c>
      <c r="E159" s="156" t="s">
        <v>704</v>
      </c>
      <c r="F159" s="69">
        <v>19</v>
      </c>
      <c r="G159" s="115">
        <v>2</v>
      </c>
      <c r="H159" s="68"/>
      <c r="I159" s="72">
        <f>AVERAGE(K159,L159,M159,J159,O159,P159,Q159,U159,V159,Y159,AC159,AD159,AE159,AF159,AG159,AH159,AJ159,AK159,AN159)</f>
        <v>5.0526315789473681</v>
      </c>
      <c r="J159" s="24">
        <v>5</v>
      </c>
      <c r="K159" s="24">
        <v>5</v>
      </c>
      <c r="L159" s="37">
        <v>6</v>
      </c>
      <c r="M159" s="24">
        <v>5</v>
      </c>
      <c r="N159" s="24"/>
      <c r="O159" s="24">
        <v>6</v>
      </c>
      <c r="P159" s="24">
        <v>5</v>
      </c>
      <c r="Q159" s="24">
        <v>4</v>
      </c>
      <c r="R159" s="24"/>
      <c r="S159" s="24"/>
      <c r="T159" s="37" t="s">
        <v>611</v>
      </c>
      <c r="U159" s="37">
        <v>5</v>
      </c>
      <c r="V159" s="24">
        <v>4</v>
      </c>
      <c r="W159" s="27"/>
      <c r="X159" s="24"/>
      <c r="Y159" s="23">
        <v>5</v>
      </c>
      <c r="Z159" s="26"/>
      <c r="AA159" s="24"/>
      <c r="AB159" s="24"/>
      <c r="AC159" s="24">
        <v>4</v>
      </c>
      <c r="AD159" s="24">
        <v>6</v>
      </c>
      <c r="AE159" s="24">
        <v>5</v>
      </c>
      <c r="AF159" s="244">
        <v>3</v>
      </c>
      <c r="AG159" s="24">
        <v>6</v>
      </c>
      <c r="AH159" s="24">
        <v>6</v>
      </c>
      <c r="AI159" s="37" t="s">
        <v>611</v>
      </c>
      <c r="AJ159" s="24">
        <v>5</v>
      </c>
      <c r="AK159" s="27">
        <v>5</v>
      </c>
      <c r="AL159" s="24"/>
      <c r="AM159" s="24"/>
      <c r="AN159" s="24">
        <v>6</v>
      </c>
      <c r="AO159" s="27"/>
      <c r="AP159" s="27"/>
      <c r="AQ159" s="24"/>
      <c r="AR159">
        <f t="shared" si="5"/>
        <v>21</v>
      </c>
    </row>
    <row r="160" spans="1:44" x14ac:dyDescent="0.25">
      <c r="B160" t="str">
        <f t="shared" si="4"/>
        <v>ASSE - Clément</v>
      </c>
      <c r="C160" t="s">
        <v>714</v>
      </c>
      <c r="D160" s="29" t="s">
        <v>622</v>
      </c>
      <c r="E160" s="60" t="s">
        <v>138</v>
      </c>
      <c r="F160" s="31">
        <v>18</v>
      </c>
      <c r="G160" s="99">
        <v>2</v>
      </c>
      <c r="H160" s="73"/>
      <c r="I160" s="34">
        <f>AVERAGE(K160,L160,M160,J160,N160,O160,Q160,U160,V160,X160,Y160,AB160,AC160,AG160,AH160,AI160,AK160,AL160,AN160)</f>
        <v>4.9473684210526319</v>
      </c>
      <c r="J160" s="24">
        <v>4</v>
      </c>
      <c r="K160" s="21">
        <v>4</v>
      </c>
      <c r="L160" s="24">
        <v>5</v>
      </c>
      <c r="M160" s="24">
        <v>6</v>
      </c>
      <c r="N160" s="24">
        <v>5</v>
      </c>
      <c r="O160" s="37">
        <v>4</v>
      </c>
      <c r="P160" s="24"/>
      <c r="Q160" s="24">
        <v>4</v>
      </c>
      <c r="R160" s="24"/>
      <c r="S160" s="24"/>
      <c r="T160" s="24"/>
      <c r="U160" s="24">
        <v>5</v>
      </c>
      <c r="V160" s="27">
        <v>4</v>
      </c>
      <c r="W160" s="27"/>
      <c r="X160" s="24">
        <v>5</v>
      </c>
      <c r="Y160" s="24">
        <v>5</v>
      </c>
      <c r="Z160" s="27"/>
      <c r="AA160" s="24"/>
      <c r="AB160" s="24">
        <v>5</v>
      </c>
      <c r="AC160" s="37">
        <v>5</v>
      </c>
      <c r="AD160" s="24"/>
      <c r="AE160" s="24"/>
      <c r="AF160" s="26" t="s">
        <v>611</v>
      </c>
      <c r="AG160" s="27">
        <v>6</v>
      </c>
      <c r="AH160" s="24">
        <v>5</v>
      </c>
      <c r="AI160" s="24">
        <v>5</v>
      </c>
      <c r="AJ160" s="24"/>
      <c r="AK160" s="27">
        <v>5</v>
      </c>
      <c r="AL160" s="24">
        <v>6</v>
      </c>
      <c r="AM160" s="24"/>
      <c r="AN160" s="24">
        <v>6</v>
      </c>
      <c r="AO160" s="27"/>
      <c r="AP160" s="27"/>
      <c r="AQ160" s="24"/>
      <c r="AR160">
        <f t="shared" si="5"/>
        <v>20</v>
      </c>
    </row>
    <row r="161" spans="1:44" x14ac:dyDescent="0.25">
      <c r="B161" t="str">
        <f t="shared" si="4"/>
        <v>ASSE - Cohade</v>
      </c>
      <c r="C161" t="s">
        <v>714</v>
      </c>
      <c r="D161" s="29" t="s">
        <v>622</v>
      </c>
      <c r="E161" s="60" t="s">
        <v>705</v>
      </c>
      <c r="F161" s="31">
        <v>8</v>
      </c>
      <c r="G161" s="99">
        <v>4</v>
      </c>
      <c r="H161" s="114"/>
      <c r="I161" s="34">
        <f>AVERAGE(W161,Z161,AA161,AF161,AG161,AH161,AI161,AL161)</f>
        <v>4.875</v>
      </c>
      <c r="J161" s="24"/>
      <c r="K161" s="37"/>
      <c r="L161" s="24"/>
      <c r="M161" s="24"/>
      <c r="N161" s="37"/>
      <c r="O161" s="24"/>
      <c r="P161" s="37"/>
      <c r="Q161" s="24"/>
      <c r="R161" s="37"/>
      <c r="S161" s="24"/>
      <c r="T161" s="24"/>
      <c r="U161" s="37" t="s">
        <v>611</v>
      </c>
      <c r="V161" s="27"/>
      <c r="W161" s="87">
        <v>4</v>
      </c>
      <c r="X161" s="76" t="s">
        <v>611</v>
      </c>
      <c r="Y161" s="37" t="s">
        <v>611</v>
      </c>
      <c r="Z161" s="27">
        <v>5</v>
      </c>
      <c r="AA161" s="24">
        <v>4</v>
      </c>
      <c r="AB161" s="24"/>
      <c r="AC161" s="37"/>
      <c r="AD161" s="37" t="s">
        <v>611</v>
      </c>
      <c r="AE161" s="24"/>
      <c r="AF161" s="27">
        <v>4</v>
      </c>
      <c r="AG161" s="272">
        <v>7</v>
      </c>
      <c r="AH161" s="24">
        <v>5</v>
      </c>
      <c r="AI161" s="24">
        <v>6</v>
      </c>
      <c r="AJ161" s="37" t="s">
        <v>611</v>
      </c>
      <c r="AK161" s="27"/>
      <c r="AL161" s="24">
        <v>4</v>
      </c>
      <c r="AM161" s="24"/>
      <c r="AN161" s="24"/>
      <c r="AO161" s="27"/>
      <c r="AP161" s="27"/>
      <c r="AQ161" s="24"/>
      <c r="AR161">
        <f t="shared" si="5"/>
        <v>12</v>
      </c>
    </row>
    <row r="162" spans="1:44" x14ac:dyDescent="0.25">
      <c r="B162" t="str">
        <f t="shared" si="4"/>
        <v>ASSE - Corgnet</v>
      </c>
      <c r="C162" t="s">
        <v>714</v>
      </c>
      <c r="D162" s="29" t="s">
        <v>622</v>
      </c>
      <c r="E162" s="60" t="s">
        <v>706</v>
      </c>
      <c r="F162" s="31">
        <v>4</v>
      </c>
      <c r="G162" s="99">
        <v>11</v>
      </c>
      <c r="H162" s="73">
        <v>1</v>
      </c>
      <c r="I162" s="34">
        <f>AVERAGE(P162,W162,AD162,AH162,AM162)</f>
        <v>5</v>
      </c>
      <c r="J162" s="37"/>
      <c r="K162" s="157" t="s">
        <v>611</v>
      </c>
      <c r="L162" s="37" t="s">
        <v>611</v>
      </c>
      <c r="M162" s="37"/>
      <c r="N162" s="24"/>
      <c r="O162" s="37" t="s">
        <v>611</v>
      </c>
      <c r="P162" s="24">
        <v>6</v>
      </c>
      <c r="Q162" s="24"/>
      <c r="R162" s="24"/>
      <c r="S162" s="24"/>
      <c r="T162" s="24"/>
      <c r="U162" s="24"/>
      <c r="V162" s="27"/>
      <c r="W162" s="26">
        <v>4</v>
      </c>
      <c r="X162" s="24"/>
      <c r="Y162" s="24"/>
      <c r="Z162" s="26" t="s">
        <v>611</v>
      </c>
      <c r="AA162" s="37" t="s">
        <v>611</v>
      </c>
      <c r="AB162" s="77" t="s">
        <v>611</v>
      </c>
      <c r="AC162" s="37" t="s">
        <v>611</v>
      </c>
      <c r="AD162" s="24">
        <v>4</v>
      </c>
      <c r="AE162" s="37" t="s">
        <v>611</v>
      </c>
      <c r="AF162" s="27"/>
      <c r="AG162" s="87" t="s">
        <v>611</v>
      </c>
      <c r="AH162" s="66">
        <v>7</v>
      </c>
      <c r="AI162" s="24"/>
      <c r="AJ162" s="37"/>
      <c r="AK162" s="26" t="s">
        <v>611</v>
      </c>
      <c r="AL162" s="37"/>
      <c r="AM162" s="37">
        <v>4</v>
      </c>
      <c r="AN162" s="24"/>
      <c r="AO162" s="26"/>
      <c r="AP162" s="27"/>
      <c r="AQ162" s="24"/>
      <c r="AR162">
        <f t="shared" si="5"/>
        <v>15</v>
      </c>
    </row>
    <row r="163" spans="1:44" x14ac:dyDescent="0.25">
      <c r="B163" t="str">
        <f t="shared" si="4"/>
        <v>ASSE - Diomandé</v>
      </c>
      <c r="C163" t="s">
        <v>714</v>
      </c>
      <c r="D163" s="131" t="s">
        <v>622</v>
      </c>
      <c r="E163" s="132" t="s">
        <v>707</v>
      </c>
      <c r="F163" s="133">
        <v>3</v>
      </c>
      <c r="G163" s="134">
        <v>4</v>
      </c>
      <c r="H163" s="135"/>
      <c r="I163" s="80">
        <f>AVERAGE(K163,R163,T163)</f>
        <v>4.666666666666667</v>
      </c>
      <c r="J163" s="136" t="s">
        <v>611</v>
      </c>
      <c r="K163" s="134">
        <v>5</v>
      </c>
      <c r="L163" s="138"/>
      <c r="M163" s="139" t="s">
        <v>611</v>
      </c>
      <c r="N163" s="139"/>
      <c r="O163" s="139"/>
      <c r="P163" s="139" t="s">
        <v>611</v>
      </c>
      <c r="Q163" s="139"/>
      <c r="R163" s="139">
        <v>4</v>
      </c>
      <c r="S163" s="139" t="s">
        <v>611</v>
      </c>
      <c r="T163" s="139">
        <v>5</v>
      </c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4"/>
      <c r="AF163" s="139"/>
      <c r="AG163" s="134"/>
      <c r="AH163" s="139"/>
      <c r="AI163" s="134"/>
      <c r="AJ163" s="134"/>
      <c r="AK163" s="139"/>
      <c r="AL163" s="139"/>
      <c r="AM163" s="139"/>
      <c r="AN163" s="139"/>
      <c r="AO163" s="134"/>
      <c r="AP163" s="139"/>
      <c r="AQ163" s="139"/>
      <c r="AR163">
        <f t="shared" si="5"/>
        <v>7</v>
      </c>
    </row>
    <row r="164" spans="1:44" x14ac:dyDescent="0.25">
      <c r="B164" t="str">
        <f t="shared" si="4"/>
        <v>ASSE - Mollo</v>
      </c>
      <c r="C164" t="s">
        <v>714</v>
      </c>
      <c r="D164" s="131" t="s">
        <v>622</v>
      </c>
      <c r="E164" s="132" t="s">
        <v>708</v>
      </c>
      <c r="F164" s="133"/>
      <c r="G164" s="134">
        <v>1</v>
      </c>
      <c r="H164" s="135"/>
      <c r="I164" s="34"/>
      <c r="J164" s="136" t="s">
        <v>611</v>
      </c>
      <c r="K164" s="134"/>
      <c r="L164" s="138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4"/>
      <c r="AF164" s="139"/>
      <c r="AG164" s="134"/>
      <c r="AH164" s="139"/>
      <c r="AI164" s="134"/>
      <c r="AJ164" s="134"/>
      <c r="AK164" s="139"/>
      <c r="AL164" s="139"/>
      <c r="AM164" s="139"/>
      <c r="AN164" s="139"/>
      <c r="AO164" s="134"/>
      <c r="AP164" s="139"/>
      <c r="AQ164" s="139"/>
      <c r="AR164">
        <f t="shared" si="5"/>
        <v>1</v>
      </c>
    </row>
    <row r="165" spans="1:44" x14ac:dyDescent="0.25">
      <c r="B165" t="str">
        <f t="shared" si="4"/>
        <v>ASSE - Hamouma</v>
      </c>
      <c r="C165" t="s">
        <v>714</v>
      </c>
      <c r="D165" s="29" t="s">
        <v>622</v>
      </c>
      <c r="E165" s="60" t="s">
        <v>151</v>
      </c>
      <c r="F165" s="31">
        <v>17</v>
      </c>
      <c r="G165" s="99">
        <v>3</v>
      </c>
      <c r="H165" s="73">
        <v>3</v>
      </c>
      <c r="I165" s="34">
        <f>AVERAGE(Z165,K165,L165,M165,J165,N165,O165,P165,Q165,S165,T165,V165,W165,X165,AA165,AB165,AC165)</f>
        <v>4.9411764705882355</v>
      </c>
      <c r="J165" s="24">
        <v>5</v>
      </c>
      <c r="K165" s="77">
        <v>6</v>
      </c>
      <c r="L165" s="75">
        <v>7</v>
      </c>
      <c r="M165" s="24">
        <v>4</v>
      </c>
      <c r="N165" s="24">
        <v>4</v>
      </c>
      <c r="O165" s="24">
        <v>5</v>
      </c>
      <c r="P165" s="24">
        <v>5</v>
      </c>
      <c r="Q165" s="24">
        <v>5</v>
      </c>
      <c r="R165" s="37" t="s">
        <v>611</v>
      </c>
      <c r="S165" s="24">
        <v>5</v>
      </c>
      <c r="T165" s="24">
        <v>4</v>
      </c>
      <c r="U165" s="24"/>
      <c r="V165" s="27">
        <v>4</v>
      </c>
      <c r="W165" s="27">
        <v>4</v>
      </c>
      <c r="X165" s="25">
        <v>7</v>
      </c>
      <c r="Y165" s="37" t="s">
        <v>611</v>
      </c>
      <c r="Z165" s="27">
        <v>5</v>
      </c>
      <c r="AA165" s="24">
        <v>5</v>
      </c>
      <c r="AB165" s="23">
        <v>5</v>
      </c>
      <c r="AC165" s="23">
        <v>4</v>
      </c>
      <c r="AD165" s="24"/>
      <c r="AE165" s="24"/>
      <c r="AF165" s="27"/>
      <c r="AG165" s="27"/>
      <c r="AH165" s="37"/>
      <c r="AI165" s="24"/>
      <c r="AJ165" s="37" t="s">
        <v>611</v>
      </c>
      <c r="AK165" s="27"/>
      <c r="AL165" s="24"/>
      <c r="AM165" s="24"/>
      <c r="AN165" s="24"/>
      <c r="AO165" s="27"/>
      <c r="AP165" s="28"/>
      <c r="AQ165" s="24"/>
      <c r="AR165">
        <f t="shared" si="5"/>
        <v>20</v>
      </c>
    </row>
    <row r="166" spans="1:44" x14ac:dyDescent="0.25">
      <c r="B166" t="str">
        <f t="shared" si="4"/>
        <v>EAG - Briand</v>
      </c>
      <c r="C166" t="s">
        <v>967</v>
      </c>
      <c r="D166" s="29" t="s">
        <v>633</v>
      </c>
      <c r="E166" s="155" t="s">
        <v>291</v>
      </c>
      <c r="F166" s="31">
        <v>26</v>
      </c>
      <c r="G166" s="27">
        <v>2</v>
      </c>
      <c r="H166" s="73">
        <v>6</v>
      </c>
      <c r="I166" s="34">
        <f>AVERAGE(AB166,L166,M166,N166,O166,Q166,R166,S166,T166,U166,V166,W166,X166,AC166,AD166,AE166,AF166,AG166,AH166,AI166,AJ166,AK166,AL166,AM166,AN166)</f>
        <v>5</v>
      </c>
      <c r="J166" s="37"/>
      <c r="K166" s="37" t="s">
        <v>611</v>
      </c>
      <c r="L166" s="37">
        <v>5</v>
      </c>
      <c r="M166" s="37">
        <v>6</v>
      </c>
      <c r="N166" s="37">
        <v>5</v>
      </c>
      <c r="O166" s="75">
        <v>7</v>
      </c>
      <c r="P166" s="37" t="s">
        <v>611</v>
      </c>
      <c r="Q166" s="37">
        <v>5</v>
      </c>
      <c r="R166" s="24">
        <v>5</v>
      </c>
      <c r="S166" s="22">
        <v>6</v>
      </c>
      <c r="T166" s="24">
        <v>5</v>
      </c>
      <c r="U166" s="22">
        <v>6</v>
      </c>
      <c r="V166" s="27">
        <v>4</v>
      </c>
      <c r="W166" s="26">
        <v>4</v>
      </c>
      <c r="X166" s="24">
        <v>5</v>
      </c>
      <c r="Y166" s="24" t="s">
        <v>641</v>
      </c>
      <c r="Z166" s="26"/>
      <c r="AA166" s="24"/>
      <c r="AB166" s="24">
        <v>4</v>
      </c>
      <c r="AC166" s="24">
        <v>4</v>
      </c>
      <c r="AD166" s="37">
        <v>4</v>
      </c>
      <c r="AE166" s="24">
        <v>4</v>
      </c>
      <c r="AF166" s="254">
        <v>7</v>
      </c>
      <c r="AG166" s="165">
        <v>7</v>
      </c>
      <c r="AH166" s="24">
        <v>4</v>
      </c>
      <c r="AI166" s="82">
        <v>3</v>
      </c>
      <c r="AJ166" s="25">
        <v>7</v>
      </c>
      <c r="AK166" s="27">
        <v>4</v>
      </c>
      <c r="AL166" s="82">
        <v>3</v>
      </c>
      <c r="AM166" s="75">
        <v>7</v>
      </c>
      <c r="AN166" s="24">
        <v>4</v>
      </c>
      <c r="AO166" s="27"/>
      <c r="AP166" s="26"/>
      <c r="AQ166" s="24"/>
      <c r="AR166">
        <f t="shared" si="5"/>
        <v>28</v>
      </c>
    </row>
    <row r="167" spans="1:44" x14ac:dyDescent="0.25">
      <c r="B167" t="str">
        <f t="shared" ref="B167:B230" si="6">C167 &amp; " - " &amp;E167</f>
        <v>ASSE - Eysseric</v>
      </c>
      <c r="C167" t="s">
        <v>714</v>
      </c>
      <c r="D167" s="29" t="s">
        <v>622</v>
      </c>
      <c r="E167" s="155" t="s">
        <v>203</v>
      </c>
      <c r="F167" s="31">
        <v>17</v>
      </c>
      <c r="G167" s="99">
        <v>6</v>
      </c>
      <c r="H167" s="73">
        <v>5</v>
      </c>
      <c r="I167" s="34">
        <f>AVERAGE(L167,M167,N167,O167,Q167,R167,S167,T167,U167,V167,X167,Y167,AB167,AC167,AL167,AM167,AN167)</f>
        <v>5.2941176470588234</v>
      </c>
      <c r="J167" s="24"/>
      <c r="K167" s="36"/>
      <c r="L167" s="37">
        <v>4</v>
      </c>
      <c r="M167" s="22">
        <v>6</v>
      </c>
      <c r="N167" s="24">
        <v>5</v>
      </c>
      <c r="O167" s="23">
        <v>4</v>
      </c>
      <c r="P167" s="37" t="s">
        <v>611</v>
      </c>
      <c r="Q167" s="24">
        <v>5</v>
      </c>
      <c r="R167" s="24">
        <v>5</v>
      </c>
      <c r="S167" s="83">
        <v>7</v>
      </c>
      <c r="T167" s="37">
        <v>4</v>
      </c>
      <c r="U167" s="25">
        <v>7</v>
      </c>
      <c r="V167" s="27">
        <v>4</v>
      </c>
      <c r="W167" s="27" t="s">
        <v>641</v>
      </c>
      <c r="X167" s="25">
        <v>7</v>
      </c>
      <c r="Y167" s="37">
        <v>5</v>
      </c>
      <c r="Z167" s="94" t="s">
        <v>611</v>
      </c>
      <c r="AA167" s="24"/>
      <c r="AB167" s="24">
        <v>5</v>
      </c>
      <c r="AC167" s="24">
        <v>4</v>
      </c>
      <c r="AD167" s="37" t="s">
        <v>611</v>
      </c>
      <c r="AE167" s="24"/>
      <c r="AF167" s="27"/>
      <c r="AG167" s="27"/>
      <c r="AH167" s="24"/>
      <c r="AI167" s="37" t="s">
        <v>611</v>
      </c>
      <c r="AJ167" s="24"/>
      <c r="AK167" s="26" t="s">
        <v>611</v>
      </c>
      <c r="AL167" s="24">
        <v>5</v>
      </c>
      <c r="AM167" s="24">
        <v>6</v>
      </c>
      <c r="AN167" s="25">
        <v>7</v>
      </c>
      <c r="AO167" s="27"/>
      <c r="AP167" s="27"/>
      <c r="AQ167" s="24"/>
      <c r="AR167">
        <f t="shared" ref="AR167:AR230" si="7">F167 +G167</f>
        <v>23</v>
      </c>
    </row>
    <row r="168" spans="1:44" x14ac:dyDescent="0.25">
      <c r="B168" t="str">
        <f t="shared" si="6"/>
        <v>ASSE - Pinheiro</v>
      </c>
      <c r="C168" t="s">
        <v>714</v>
      </c>
      <c r="D168" s="29" t="s">
        <v>622</v>
      </c>
      <c r="E168" s="65" t="s">
        <v>710</v>
      </c>
      <c r="F168" s="31"/>
      <c r="G168" s="99">
        <v>2</v>
      </c>
      <c r="H168" s="73"/>
      <c r="I168" s="34"/>
      <c r="J168" s="24"/>
      <c r="K168" s="36"/>
      <c r="L168" s="37"/>
      <c r="M168" s="22"/>
      <c r="N168" s="24"/>
      <c r="O168" s="23"/>
      <c r="P168" s="37"/>
      <c r="Q168" s="24"/>
      <c r="R168" s="24"/>
      <c r="S168" s="23"/>
      <c r="T168" s="37" t="s">
        <v>611</v>
      </c>
      <c r="U168" s="24"/>
      <c r="V168" s="27"/>
      <c r="W168" s="27"/>
      <c r="X168" s="24"/>
      <c r="Y168" s="37"/>
      <c r="Z168" s="27"/>
      <c r="AA168" s="24"/>
      <c r="AB168" s="37" t="s">
        <v>611</v>
      </c>
      <c r="AC168" s="24"/>
      <c r="AD168" s="24"/>
      <c r="AE168" s="24"/>
      <c r="AF168" s="27"/>
      <c r="AG168" s="27"/>
      <c r="AH168" s="24"/>
      <c r="AI168" s="24"/>
      <c r="AJ168" s="24"/>
      <c r="AK168" s="27"/>
      <c r="AL168" s="24"/>
      <c r="AM168" s="24"/>
      <c r="AN168" s="24"/>
      <c r="AO168" s="27"/>
      <c r="AP168" s="27"/>
      <c r="AQ168" s="24"/>
      <c r="AR168">
        <f t="shared" si="7"/>
        <v>2</v>
      </c>
    </row>
    <row r="169" spans="1:44" x14ac:dyDescent="0.25">
      <c r="B169" t="str">
        <f t="shared" si="6"/>
        <v>ASSE - Selnaes</v>
      </c>
      <c r="C169" t="s">
        <v>714</v>
      </c>
      <c r="D169" s="29" t="s">
        <v>622</v>
      </c>
      <c r="E169" s="65" t="s">
        <v>1084</v>
      </c>
      <c r="F169" s="31">
        <v>2</v>
      </c>
      <c r="G169" s="99">
        <v>1</v>
      </c>
      <c r="H169" s="73"/>
      <c r="I169" s="34">
        <f>AVERAGE(AJ169,AM169)</f>
        <v>4.5</v>
      </c>
      <c r="J169" s="24"/>
      <c r="K169" s="36"/>
      <c r="L169" s="37"/>
      <c r="M169" s="22"/>
      <c r="N169" s="24"/>
      <c r="O169" s="23"/>
      <c r="P169" s="37"/>
      <c r="Q169" s="24"/>
      <c r="R169" s="24"/>
      <c r="S169" s="23"/>
      <c r="T169" s="37"/>
      <c r="U169" s="24"/>
      <c r="V169" s="27"/>
      <c r="W169" s="27"/>
      <c r="X169" s="24"/>
      <c r="Y169" s="37"/>
      <c r="Z169" s="27"/>
      <c r="AA169" s="24"/>
      <c r="AB169" s="37"/>
      <c r="AC169" s="24"/>
      <c r="AD169" s="24"/>
      <c r="AE169" s="24"/>
      <c r="AF169" s="27"/>
      <c r="AG169" s="27"/>
      <c r="AH169" s="24"/>
      <c r="AI169" s="24"/>
      <c r="AJ169" s="24">
        <v>5</v>
      </c>
      <c r="AK169" s="27"/>
      <c r="AL169" s="37" t="s">
        <v>611</v>
      </c>
      <c r="AM169" s="24">
        <v>4</v>
      </c>
      <c r="AN169" s="24"/>
      <c r="AO169" s="27"/>
      <c r="AP169" s="27"/>
      <c r="AQ169" s="24"/>
      <c r="AR169">
        <f t="shared" si="7"/>
        <v>3</v>
      </c>
    </row>
    <row r="170" spans="1:44" x14ac:dyDescent="0.25">
      <c r="A170">
        <v>0</v>
      </c>
      <c r="B170" t="str">
        <f t="shared" si="6"/>
        <v>SCO - Mangani</v>
      </c>
      <c r="C170" t="s">
        <v>1034</v>
      </c>
      <c r="D170" s="67" t="s">
        <v>622</v>
      </c>
      <c r="E170" s="158" t="s">
        <v>482</v>
      </c>
      <c r="F170" s="69">
        <v>25</v>
      </c>
      <c r="G170" s="115">
        <v>2</v>
      </c>
      <c r="H170" s="68">
        <v>5</v>
      </c>
      <c r="I170" s="72">
        <f>AVERAGE(AA170,W170,K170,L170,M170,J170,N170,O170,P170,Q170,R170,S170,T170,U170,V170,X170,Y170,AB170,AG170,AK170,AL170,AM170,AN170)</f>
        <v>5.4782608695652177</v>
      </c>
      <c r="J170" s="84">
        <v>7</v>
      </c>
      <c r="K170" s="24">
        <v>6</v>
      </c>
      <c r="L170" s="37">
        <v>5</v>
      </c>
      <c r="M170" s="77">
        <v>6</v>
      </c>
      <c r="N170" s="37">
        <v>4</v>
      </c>
      <c r="O170" s="75">
        <v>7</v>
      </c>
      <c r="P170" s="37">
        <v>6</v>
      </c>
      <c r="Q170" s="75">
        <v>7</v>
      </c>
      <c r="R170" s="37">
        <v>6</v>
      </c>
      <c r="S170" s="37">
        <v>5</v>
      </c>
      <c r="T170" s="24">
        <v>5</v>
      </c>
      <c r="U170" s="24">
        <v>5</v>
      </c>
      <c r="V170" s="27">
        <v>6</v>
      </c>
      <c r="W170" s="26">
        <v>5</v>
      </c>
      <c r="X170" s="37">
        <v>5</v>
      </c>
      <c r="Y170" s="24">
        <v>5</v>
      </c>
      <c r="Z170" s="26" t="s">
        <v>641</v>
      </c>
      <c r="AA170" s="24">
        <v>4</v>
      </c>
      <c r="AB170" s="24">
        <v>5</v>
      </c>
      <c r="AC170" s="37" t="s">
        <v>611</v>
      </c>
      <c r="AD170" s="37"/>
      <c r="AE170" s="24"/>
      <c r="AF170" s="26" t="s">
        <v>611</v>
      </c>
      <c r="AG170" s="27">
        <v>4</v>
      </c>
      <c r="AH170" s="24" t="s">
        <v>623</v>
      </c>
      <c r="AI170" s="37"/>
      <c r="AJ170" s="24"/>
      <c r="AK170" s="26">
        <v>5</v>
      </c>
      <c r="AL170" s="24">
        <v>5</v>
      </c>
      <c r="AM170" s="37">
        <v>5</v>
      </c>
      <c r="AN170" s="75">
        <v>8</v>
      </c>
      <c r="AO170" s="26"/>
      <c r="AP170" s="26"/>
      <c r="AQ170" s="24"/>
      <c r="AR170">
        <f t="shared" si="7"/>
        <v>27</v>
      </c>
    </row>
    <row r="171" spans="1:44" x14ac:dyDescent="0.25">
      <c r="A171">
        <v>0</v>
      </c>
      <c r="B171" t="str">
        <f t="shared" si="6"/>
        <v>ASM - Bernardo Silva</v>
      </c>
      <c r="C171" t="s">
        <v>942</v>
      </c>
      <c r="D171" s="29" t="s">
        <v>622</v>
      </c>
      <c r="E171" s="155" t="s">
        <v>378</v>
      </c>
      <c r="F171" s="31">
        <v>16</v>
      </c>
      <c r="G171" s="99">
        <v>10</v>
      </c>
      <c r="H171" s="73">
        <v>5</v>
      </c>
      <c r="I171" s="34">
        <f>AVERAGE(K171,M171,J171,N171,O171,P171,Q171,R171,S171,T171,V171,W171,Y171,Z171,AD171,AE171,AF171,AG171,AH171,AL171,AM171)</f>
        <v>5.333333333333333</v>
      </c>
      <c r="J171" s="25">
        <v>7</v>
      </c>
      <c r="K171" s="37">
        <v>5</v>
      </c>
      <c r="L171" s="37" t="s">
        <v>611</v>
      </c>
      <c r="M171" s="24">
        <v>4</v>
      </c>
      <c r="N171" s="24">
        <v>5</v>
      </c>
      <c r="O171" s="24">
        <v>4</v>
      </c>
      <c r="P171" s="24">
        <v>5</v>
      </c>
      <c r="Q171" s="75">
        <v>7</v>
      </c>
      <c r="R171" s="37">
        <v>4</v>
      </c>
      <c r="S171" s="37">
        <v>6</v>
      </c>
      <c r="T171" s="75">
        <v>7</v>
      </c>
      <c r="U171" s="24"/>
      <c r="V171" s="26">
        <v>4</v>
      </c>
      <c r="W171" s="27">
        <v>5</v>
      </c>
      <c r="X171" s="37" t="s">
        <v>611</v>
      </c>
      <c r="Y171" s="37">
        <v>5</v>
      </c>
      <c r="Z171" s="26">
        <v>5</v>
      </c>
      <c r="AA171" s="76" t="s">
        <v>611</v>
      </c>
      <c r="AB171" s="37" t="s">
        <v>611</v>
      </c>
      <c r="AC171" s="37" t="s">
        <v>611</v>
      </c>
      <c r="AD171" s="76">
        <v>5</v>
      </c>
      <c r="AE171" s="25">
        <v>8</v>
      </c>
      <c r="AF171" s="259">
        <v>3</v>
      </c>
      <c r="AG171" s="130">
        <v>7</v>
      </c>
      <c r="AH171" s="37">
        <v>5</v>
      </c>
      <c r="AI171" s="77"/>
      <c r="AJ171" s="24"/>
      <c r="AK171" s="26"/>
      <c r="AL171" s="24">
        <v>6</v>
      </c>
      <c r="AM171" s="37">
        <v>5</v>
      </c>
      <c r="AN171" s="37"/>
      <c r="AO171" s="28"/>
      <c r="AP171" s="94"/>
      <c r="AQ171" s="22"/>
      <c r="AR171">
        <f t="shared" si="7"/>
        <v>26</v>
      </c>
    </row>
    <row r="172" spans="1:44" x14ac:dyDescent="0.25">
      <c r="B172" t="str">
        <f t="shared" si="6"/>
        <v>ASSE - Bamba</v>
      </c>
      <c r="C172" t="s">
        <v>714</v>
      </c>
      <c r="D172" s="131" t="s">
        <v>633</v>
      </c>
      <c r="E172" s="132" t="s">
        <v>491</v>
      </c>
      <c r="F172" s="133">
        <v>4</v>
      </c>
      <c r="G172" s="134">
        <v>1</v>
      </c>
      <c r="H172" s="135">
        <v>1</v>
      </c>
      <c r="I172" s="80">
        <f>AVERAGE(J172,O172,Q172,Y172)</f>
        <v>4.5</v>
      </c>
      <c r="J172" s="136">
        <v>4</v>
      </c>
      <c r="K172" s="134"/>
      <c r="L172" s="138"/>
      <c r="M172" s="139"/>
      <c r="N172" s="139" t="s">
        <v>611</v>
      </c>
      <c r="O172" s="139">
        <v>7</v>
      </c>
      <c r="P172" s="139"/>
      <c r="Q172" s="139">
        <v>3</v>
      </c>
      <c r="R172" s="139"/>
      <c r="S172" s="139"/>
      <c r="T172" s="139"/>
      <c r="U172" s="139"/>
      <c r="V172" s="139"/>
      <c r="W172" s="139"/>
      <c r="X172" s="139"/>
      <c r="Y172" s="139">
        <v>4</v>
      </c>
      <c r="Z172" s="139"/>
      <c r="AA172" s="139"/>
      <c r="AB172" s="139"/>
      <c r="AC172" s="139"/>
      <c r="AD172" s="139"/>
      <c r="AE172" s="134"/>
      <c r="AF172" s="139"/>
      <c r="AG172" s="134"/>
      <c r="AH172" s="139"/>
      <c r="AI172" s="134"/>
      <c r="AJ172" s="134"/>
      <c r="AK172" s="139"/>
      <c r="AL172" s="139"/>
      <c r="AM172" s="139"/>
      <c r="AN172" s="139"/>
      <c r="AO172" s="134"/>
      <c r="AP172" s="139"/>
      <c r="AQ172" s="139"/>
      <c r="AR172">
        <f t="shared" si="7"/>
        <v>5</v>
      </c>
    </row>
    <row r="173" spans="1:44" x14ac:dyDescent="0.25">
      <c r="B173" t="str">
        <f t="shared" si="6"/>
        <v>ASSE - Maupay</v>
      </c>
      <c r="C173" t="s">
        <v>714</v>
      </c>
      <c r="D173" s="29" t="s">
        <v>633</v>
      </c>
      <c r="E173" s="155" t="s">
        <v>712</v>
      </c>
      <c r="F173" s="31">
        <v>4</v>
      </c>
      <c r="G173" s="99">
        <v>9</v>
      </c>
      <c r="H173" s="73"/>
      <c r="I173" s="34">
        <f>AVERAGE(X173,AB173,AL173,AM173)</f>
        <v>4.25</v>
      </c>
      <c r="J173" s="24"/>
      <c r="K173" s="22"/>
      <c r="L173" s="37" t="s">
        <v>611</v>
      </c>
      <c r="M173" s="37" t="s">
        <v>611</v>
      </c>
      <c r="N173" s="24"/>
      <c r="O173" s="24"/>
      <c r="P173" s="37"/>
      <c r="Q173" s="24"/>
      <c r="R173" s="24"/>
      <c r="S173" s="24"/>
      <c r="T173" s="24"/>
      <c r="U173" s="37" t="s">
        <v>611</v>
      </c>
      <c r="V173" s="26"/>
      <c r="W173" s="87" t="s">
        <v>611</v>
      </c>
      <c r="X173" s="24">
        <v>5</v>
      </c>
      <c r="Y173" s="37" t="s">
        <v>611</v>
      </c>
      <c r="Z173" s="26" t="s">
        <v>611</v>
      </c>
      <c r="AA173" s="37" t="s">
        <v>611</v>
      </c>
      <c r="AB173" s="24">
        <v>4</v>
      </c>
      <c r="AC173" s="37" t="s">
        <v>611</v>
      </c>
      <c r="AD173" s="37" t="s">
        <v>611</v>
      </c>
      <c r="AE173" s="37"/>
      <c r="AF173" s="26"/>
      <c r="AG173" s="48"/>
      <c r="AH173" s="24"/>
      <c r="AI173" s="24"/>
      <c r="AJ173" s="24"/>
      <c r="AK173" s="27"/>
      <c r="AL173" s="24">
        <v>4</v>
      </c>
      <c r="AM173" s="24">
        <v>4</v>
      </c>
      <c r="AN173" s="24"/>
      <c r="AO173" s="27"/>
      <c r="AP173" s="27"/>
      <c r="AQ173" s="24"/>
      <c r="AR173">
        <f t="shared" si="7"/>
        <v>13</v>
      </c>
    </row>
    <row r="174" spans="1:44" x14ac:dyDescent="0.25">
      <c r="B174" t="str">
        <f t="shared" si="6"/>
        <v>ASSE - Bahebeck</v>
      </c>
      <c r="C174" t="s">
        <v>714</v>
      </c>
      <c r="D174" s="29" t="s">
        <v>633</v>
      </c>
      <c r="E174" s="155" t="s">
        <v>669</v>
      </c>
      <c r="F174" s="31">
        <v>9</v>
      </c>
      <c r="G174" s="99">
        <v>5</v>
      </c>
      <c r="H174" s="73">
        <v>1</v>
      </c>
      <c r="I174" s="34">
        <f>AVERAGE(K174,M174,R174,T174,AD174,AE174,AF174,AG174,AJ174,AN174)</f>
        <v>4.5999999999999996</v>
      </c>
      <c r="J174" s="24"/>
      <c r="K174" s="23">
        <v>5</v>
      </c>
      <c r="L174" s="24"/>
      <c r="M174" s="24">
        <v>4</v>
      </c>
      <c r="N174" s="24"/>
      <c r="O174" s="37" t="s">
        <v>611</v>
      </c>
      <c r="P174" s="37"/>
      <c r="Q174" s="37" t="s">
        <v>611</v>
      </c>
      <c r="R174" s="24">
        <v>4</v>
      </c>
      <c r="S174" s="24"/>
      <c r="T174" s="37">
        <v>4</v>
      </c>
      <c r="U174" s="37" t="s">
        <v>611</v>
      </c>
      <c r="V174" s="26"/>
      <c r="W174" s="87" t="s">
        <v>611</v>
      </c>
      <c r="X174" s="24"/>
      <c r="Y174" s="24"/>
      <c r="Z174" s="27"/>
      <c r="AA174" s="24"/>
      <c r="AB174" s="24"/>
      <c r="AC174" s="37"/>
      <c r="AD174" s="24">
        <v>4</v>
      </c>
      <c r="AE174" s="77">
        <v>6</v>
      </c>
      <c r="AF174" s="26">
        <v>4</v>
      </c>
      <c r="AG174" s="48">
        <v>4</v>
      </c>
      <c r="AH174" s="24"/>
      <c r="AI174" s="24"/>
      <c r="AJ174" s="24">
        <v>5</v>
      </c>
      <c r="AK174" s="27"/>
      <c r="AL174" s="24"/>
      <c r="AM174" s="24"/>
      <c r="AN174" s="24">
        <v>6</v>
      </c>
      <c r="AO174" s="27"/>
      <c r="AP174" s="27"/>
      <c r="AQ174" s="24"/>
      <c r="AR174">
        <f t="shared" si="7"/>
        <v>14</v>
      </c>
    </row>
    <row r="175" spans="1:44" x14ac:dyDescent="0.25">
      <c r="B175" t="str">
        <f t="shared" si="6"/>
        <v>ASSE - Beric</v>
      </c>
      <c r="C175" t="s">
        <v>714</v>
      </c>
      <c r="D175" s="29" t="s">
        <v>633</v>
      </c>
      <c r="E175" s="65" t="s">
        <v>713</v>
      </c>
      <c r="F175" s="31">
        <v>7</v>
      </c>
      <c r="G175" s="99">
        <v>2</v>
      </c>
      <c r="H175" s="73">
        <v>3</v>
      </c>
      <c r="I175" s="34">
        <f>AVERAGE(O175,Q175,R175,S175,T175,U175,V175)</f>
        <v>5</v>
      </c>
      <c r="J175" s="24"/>
      <c r="K175" s="22"/>
      <c r="L175" s="24"/>
      <c r="M175" s="24"/>
      <c r="N175" s="37" t="s">
        <v>611</v>
      </c>
      <c r="O175" s="22">
        <v>6</v>
      </c>
      <c r="P175" s="37" t="s">
        <v>611</v>
      </c>
      <c r="Q175" s="24">
        <v>4</v>
      </c>
      <c r="R175" s="24">
        <v>4</v>
      </c>
      <c r="S175" s="22">
        <v>6</v>
      </c>
      <c r="T175" s="24">
        <v>4</v>
      </c>
      <c r="U175" s="75">
        <v>7</v>
      </c>
      <c r="V175" s="26">
        <v>4</v>
      </c>
      <c r="W175" s="48"/>
      <c r="X175" s="24"/>
      <c r="Y175" s="24"/>
      <c r="Z175" s="27"/>
      <c r="AA175" s="24"/>
      <c r="AB175" s="24"/>
      <c r="AC175" s="37"/>
      <c r="AD175" s="24"/>
      <c r="AE175" s="37"/>
      <c r="AF175" s="26"/>
      <c r="AG175" s="48"/>
      <c r="AH175" s="24"/>
      <c r="AI175" s="24"/>
      <c r="AJ175" s="24"/>
      <c r="AK175" s="27"/>
      <c r="AL175" s="24"/>
      <c r="AM175" s="24"/>
      <c r="AN175" s="24"/>
      <c r="AO175" s="27"/>
      <c r="AP175" s="27"/>
      <c r="AQ175" s="24"/>
      <c r="AR175">
        <f t="shared" si="7"/>
        <v>9</v>
      </c>
    </row>
    <row r="176" spans="1:44" x14ac:dyDescent="0.25">
      <c r="B176" t="str">
        <f t="shared" si="6"/>
        <v>ASSE - Söderlund</v>
      </c>
      <c r="C176" t="s">
        <v>714</v>
      </c>
      <c r="D176" s="29" t="s">
        <v>633</v>
      </c>
      <c r="E176" s="65" t="s">
        <v>1044</v>
      </c>
      <c r="F176" s="31">
        <v>10</v>
      </c>
      <c r="G176" s="99">
        <v>2</v>
      </c>
      <c r="H176" s="73">
        <v>2</v>
      </c>
      <c r="I176" s="34">
        <f>AVERAGE(AC176,AD176,AE176,AF176,AG176,AH176,AI176,AJ176,AK176,AN176)</f>
        <v>4.8</v>
      </c>
      <c r="J176" s="24"/>
      <c r="K176" s="22"/>
      <c r="L176" s="24"/>
      <c r="M176" s="24"/>
      <c r="N176" s="37"/>
      <c r="O176" s="22"/>
      <c r="P176" s="37"/>
      <c r="Q176" s="24"/>
      <c r="R176" s="24"/>
      <c r="S176" s="22"/>
      <c r="T176" s="24"/>
      <c r="U176" s="22"/>
      <c r="V176" s="26"/>
      <c r="W176" s="48"/>
      <c r="X176" s="24"/>
      <c r="Y176" s="24"/>
      <c r="Z176" s="27"/>
      <c r="AA176" s="24"/>
      <c r="AB176" s="24"/>
      <c r="AC176" s="37">
        <v>4</v>
      </c>
      <c r="AD176" s="22">
        <v>6</v>
      </c>
      <c r="AE176" s="37">
        <v>6</v>
      </c>
      <c r="AF176" s="26">
        <v>4</v>
      </c>
      <c r="AG176" s="26">
        <v>4</v>
      </c>
      <c r="AH176" s="25">
        <v>8</v>
      </c>
      <c r="AI176" s="24">
        <v>4</v>
      </c>
      <c r="AJ176" s="24">
        <v>4</v>
      </c>
      <c r="AK176" s="27">
        <v>4</v>
      </c>
      <c r="AL176" s="37" t="s">
        <v>611</v>
      </c>
      <c r="AM176" s="37" t="s">
        <v>611</v>
      </c>
      <c r="AN176" s="24">
        <v>4</v>
      </c>
      <c r="AO176" s="27"/>
      <c r="AP176" s="27"/>
      <c r="AQ176" s="24"/>
      <c r="AR176">
        <f t="shared" si="7"/>
        <v>12</v>
      </c>
    </row>
    <row r="177" spans="1:44" x14ac:dyDescent="0.25">
      <c r="B177" t="str">
        <f t="shared" si="6"/>
        <v>ASSE - Tannane</v>
      </c>
      <c r="C177" t="s">
        <v>714</v>
      </c>
      <c r="D177" s="29" t="s">
        <v>633</v>
      </c>
      <c r="E177" s="65" t="s">
        <v>1057</v>
      </c>
      <c r="F177" s="31">
        <v>5</v>
      </c>
      <c r="G177" s="99">
        <v>2</v>
      </c>
      <c r="H177" s="73">
        <v>2</v>
      </c>
      <c r="I177" s="34">
        <f>AVERAGE(AH177,AI177,AJ177,AK177,AM177)</f>
        <v>5.4</v>
      </c>
      <c r="J177" s="24"/>
      <c r="K177" s="36"/>
      <c r="L177" s="37"/>
      <c r="M177" s="22"/>
      <c r="N177" s="24"/>
      <c r="O177" s="23"/>
      <c r="P177" s="37"/>
      <c r="Q177" s="24"/>
      <c r="R177" s="24"/>
      <c r="S177" s="23"/>
      <c r="T177" s="37"/>
      <c r="U177" s="24"/>
      <c r="V177" s="27"/>
      <c r="W177" s="27"/>
      <c r="X177" s="24"/>
      <c r="Y177" s="37"/>
      <c r="Z177" s="27"/>
      <c r="AA177" s="24"/>
      <c r="AB177" s="37"/>
      <c r="AC177" s="24"/>
      <c r="AD177" s="24"/>
      <c r="AE177" s="37"/>
      <c r="AF177" s="26" t="s">
        <v>611</v>
      </c>
      <c r="AG177" s="27"/>
      <c r="AH177" s="25">
        <v>8</v>
      </c>
      <c r="AI177" s="24">
        <v>6</v>
      </c>
      <c r="AJ177" s="24">
        <v>5</v>
      </c>
      <c r="AK177" s="27">
        <v>4</v>
      </c>
      <c r="AL177" s="24"/>
      <c r="AM177" s="24">
        <v>4</v>
      </c>
      <c r="AN177" s="77" t="s">
        <v>611</v>
      </c>
      <c r="AO177" s="27"/>
      <c r="AP177" s="27"/>
      <c r="AQ177" s="24"/>
      <c r="AR177">
        <f t="shared" si="7"/>
        <v>7</v>
      </c>
    </row>
    <row r="178" spans="1:44" ht="15.75" thickBot="1" x14ac:dyDescent="0.3">
      <c r="B178" t="str">
        <f t="shared" si="6"/>
        <v>ASSE - Roux</v>
      </c>
      <c r="C178" t="s">
        <v>714</v>
      </c>
      <c r="D178" s="88" t="s">
        <v>633</v>
      </c>
      <c r="E178" s="159" t="s">
        <v>142</v>
      </c>
      <c r="F178" s="90">
        <v>14</v>
      </c>
      <c r="G178" s="120">
        <v>8</v>
      </c>
      <c r="H178" s="89">
        <v>5</v>
      </c>
      <c r="I178" s="121">
        <f>AVERAGE(K178,L178,M178,N178,P178,U178,W178,V178,Y178,Z178,AA178,AB178,AC178,AH178,AK178)</f>
        <v>4.5333333333333332</v>
      </c>
      <c r="J178" s="37" t="s">
        <v>611</v>
      </c>
      <c r="K178" s="23">
        <v>4</v>
      </c>
      <c r="L178" s="82">
        <v>3</v>
      </c>
      <c r="M178" s="24">
        <v>5</v>
      </c>
      <c r="N178" s="22">
        <v>6</v>
      </c>
      <c r="O178" s="24"/>
      <c r="P178" s="37">
        <v>4</v>
      </c>
      <c r="Q178" s="24"/>
      <c r="R178" s="37" t="s">
        <v>611</v>
      </c>
      <c r="S178" s="37" t="s">
        <v>611</v>
      </c>
      <c r="T178" s="24"/>
      <c r="U178" s="37">
        <v>6</v>
      </c>
      <c r="V178" s="26">
        <v>4</v>
      </c>
      <c r="W178" s="48">
        <v>4</v>
      </c>
      <c r="X178" s="77" t="s">
        <v>611</v>
      </c>
      <c r="Y178" s="24">
        <v>4</v>
      </c>
      <c r="Z178" s="27">
        <v>4</v>
      </c>
      <c r="AA178" s="24">
        <v>4</v>
      </c>
      <c r="AB178" s="24">
        <v>4</v>
      </c>
      <c r="AC178" s="77">
        <v>5</v>
      </c>
      <c r="AD178" s="24"/>
      <c r="AE178" s="37"/>
      <c r="AF178" s="26" t="s">
        <v>611</v>
      </c>
      <c r="AG178" s="87" t="s">
        <v>611</v>
      </c>
      <c r="AH178" s="77">
        <v>6</v>
      </c>
      <c r="AI178" s="24"/>
      <c r="AJ178" s="24"/>
      <c r="AK178" s="27">
        <v>5</v>
      </c>
      <c r="AL178" s="24"/>
      <c r="AM178" s="24"/>
      <c r="AN178" s="77" t="s">
        <v>611</v>
      </c>
      <c r="AO178" s="27"/>
      <c r="AP178" s="27"/>
      <c r="AQ178" s="24"/>
      <c r="AR178">
        <f t="shared" si="7"/>
        <v>22</v>
      </c>
    </row>
    <row r="179" spans="1:44" x14ac:dyDescent="0.25">
      <c r="B179" t="str">
        <f t="shared" si="6"/>
        <v>Losc - Elana</v>
      </c>
      <c r="C179" t="s">
        <v>739</v>
      </c>
      <c r="D179" t="s">
        <v>605</v>
      </c>
      <c r="E179" t="s">
        <v>715</v>
      </c>
      <c r="F179" s="18"/>
      <c r="G179" s="95"/>
      <c r="H179" s="160"/>
      <c r="I179" s="161"/>
      <c r="J179" s="48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7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7"/>
      <c r="AJ179" s="27"/>
      <c r="AK179" s="24"/>
      <c r="AL179" s="24"/>
      <c r="AM179" s="24"/>
      <c r="AN179" s="27"/>
      <c r="AO179" s="24"/>
      <c r="AP179" s="24"/>
      <c r="AQ179" s="27"/>
      <c r="AR179">
        <f t="shared" si="7"/>
        <v>0</v>
      </c>
    </row>
    <row r="180" spans="1:44" x14ac:dyDescent="0.25">
      <c r="B180" t="str">
        <f t="shared" si="6"/>
        <v>MHSC - Camara</v>
      </c>
      <c r="C180" t="s">
        <v>806</v>
      </c>
      <c r="D180" s="155" t="s">
        <v>633</v>
      </c>
      <c r="E180" s="155" t="s">
        <v>130</v>
      </c>
      <c r="F180" s="149">
        <v>16</v>
      </c>
      <c r="G180" s="143">
        <v>10</v>
      </c>
      <c r="H180" s="49">
        <v>5</v>
      </c>
      <c r="I180" s="34">
        <f>AVERAGE(K180,M180,J180,Q180,R180,T180,U180,V180,AA180,AC180,AD180,AF180,AG180,AI180,AJ180,AM180,AN180)</f>
        <v>4.8235294117647056</v>
      </c>
      <c r="J180" s="177">
        <v>4</v>
      </c>
      <c r="K180" s="37">
        <v>5</v>
      </c>
      <c r="L180" s="76" t="s">
        <v>611</v>
      </c>
      <c r="M180" s="37">
        <v>4</v>
      </c>
      <c r="N180" s="37"/>
      <c r="O180" s="37"/>
      <c r="P180" s="37" t="s">
        <v>611</v>
      </c>
      <c r="Q180" s="23">
        <v>5</v>
      </c>
      <c r="R180" s="24">
        <v>4</v>
      </c>
      <c r="S180" s="24"/>
      <c r="T180" s="37">
        <v>5</v>
      </c>
      <c r="U180" s="37">
        <v>4</v>
      </c>
      <c r="V180" s="37">
        <v>5</v>
      </c>
      <c r="W180" s="94" t="s">
        <v>611</v>
      </c>
      <c r="X180" s="77" t="s">
        <v>611</v>
      </c>
      <c r="Y180" s="76" t="s">
        <v>611</v>
      </c>
      <c r="Z180" s="76" t="s">
        <v>611</v>
      </c>
      <c r="AA180" s="75">
        <v>7</v>
      </c>
      <c r="AB180" s="37" t="s">
        <v>611</v>
      </c>
      <c r="AC180" s="37">
        <v>4</v>
      </c>
      <c r="AD180" s="37">
        <v>4</v>
      </c>
      <c r="AE180" s="37" t="s">
        <v>611</v>
      </c>
      <c r="AF180" s="24">
        <v>6</v>
      </c>
      <c r="AG180" s="37">
        <v>5</v>
      </c>
      <c r="AH180" s="37" t="s">
        <v>611</v>
      </c>
      <c r="AI180" s="254">
        <v>7</v>
      </c>
      <c r="AJ180" s="94">
        <v>6</v>
      </c>
      <c r="AK180" s="37"/>
      <c r="AL180" s="37"/>
      <c r="AM180" s="37">
        <v>4</v>
      </c>
      <c r="AN180" s="244">
        <v>3</v>
      </c>
      <c r="AO180" s="37"/>
      <c r="AP180" s="37"/>
      <c r="AQ180" s="26"/>
      <c r="AR180">
        <f t="shared" si="7"/>
        <v>26</v>
      </c>
    </row>
    <row r="181" spans="1:44" x14ac:dyDescent="0.25">
      <c r="B181" t="str">
        <f t="shared" si="6"/>
        <v>Losc - Maignan</v>
      </c>
      <c r="C181" t="s">
        <v>739</v>
      </c>
      <c r="D181" t="s">
        <v>605</v>
      </c>
      <c r="E181" s="127" t="s">
        <v>716</v>
      </c>
      <c r="F181" s="31">
        <v>3</v>
      </c>
      <c r="G181" s="99">
        <v>1</v>
      </c>
      <c r="H181" s="73"/>
      <c r="I181" s="34">
        <f>AVERAGE(Q181,P181,R181)</f>
        <v>5.666666666666667</v>
      </c>
      <c r="J181" s="162"/>
      <c r="K181" s="24"/>
      <c r="L181" s="24"/>
      <c r="M181" s="24"/>
      <c r="N181" s="24"/>
      <c r="O181" s="37" t="s">
        <v>611</v>
      </c>
      <c r="P181" s="24">
        <v>5</v>
      </c>
      <c r="Q181" s="23">
        <v>6</v>
      </c>
      <c r="R181" s="22">
        <v>6</v>
      </c>
      <c r="S181" s="24"/>
      <c r="T181" s="24"/>
      <c r="U181" s="24"/>
      <c r="V181" s="24"/>
      <c r="W181" s="28"/>
      <c r="X181" s="24"/>
      <c r="Y181" s="24"/>
      <c r="Z181" s="24"/>
      <c r="AA181" s="22"/>
      <c r="AB181" s="24"/>
      <c r="AC181" s="22"/>
      <c r="AD181" s="24"/>
      <c r="AE181" s="24"/>
      <c r="AF181" s="24"/>
      <c r="AG181" s="24"/>
      <c r="AH181" s="22"/>
      <c r="AI181" s="27"/>
      <c r="AJ181" s="27"/>
      <c r="AK181" s="22"/>
      <c r="AL181" s="22"/>
      <c r="AM181" s="24"/>
      <c r="AN181" s="27"/>
      <c r="AO181" s="22"/>
      <c r="AP181" s="22"/>
      <c r="AQ181" s="27"/>
      <c r="AR181">
        <f t="shared" si="7"/>
        <v>4</v>
      </c>
    </row>
    <row r="182" spans="1:44" x14ac:dyDescent="0.25">
      <c r="B182" t="str">
        <f t="shared" si="6"/>
        <v>Losc - Butez</v>
      </c>
      <c r="C182" t="s">
        <v>739</v>
      </c>
      <c r="D182" s="85" t="s">
        <v>605</v>
      </c>
      <c r="E182" s="85" t="s">
        <v>717</v>
      </c>
      <c r="F182" s="69"/>
      <c r="G182" s="115"/>
      <c r="H182" s="68"/>
      <c r="I182" s="44"/>
      <c r="J182" s="48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7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7"/>
      <c r="AJ182" s="27"/>
      <c r="AK182" s="24"/>
      <c r="AL182" s="24"/>
      <c r="AM182" s="24"/>
      <c r="AN182" s="27"/>
      <c r="AO182" s="24"/>
      <c r="AP182" s="24"/>
      <c r="AQ182" s="27"/>
      <c r="AR182">
        <f t="shared" si="7"/>
        <v>0</v>
      </c>
    </row>
    <row r="183" spans="1:44" x14ac:dyDescent="0.25">
      <c r="A183">
        <v>0</v>
      </c>
      <c r="B183" t="str">
        <f t="shared" si="6"/>
        <v>ASM - Fabinho</v>
      </c>
      <c r="C183" t="s">
        <v>942</v>
      </c>
      <c r="D183" s="30" t="s">
        <v>608</v>
      </c>
      <c r="E183" s="30" t="s">
        <v>30</v>
      </c>
      <c r="F183" s="31">
        <v>28</v>
      </c>
      <c r="G183" s="196"/>
      <c r="H183" s="73">
        <v>5</v>
      </c>
      <c r="I183" s="34">
        <f>AVERAGE(AB183,AA183,K183,M183,J183,N183,O183,P183,Q183,R183,S183,T183,U183,V183,X183,Y183,Z183,AC183,AD183,AE183,AF183,AG183,AH183,AI183,AK183,AL183,AM183,AN183)</f>
        <v>5.6428571428571432</v>
      </c>
      <c r="J183" s="38">
        <v>5</v>
      </c>
      <c r="K183" s="24">
        <v>6</v>
      </c>
      <c r="L183" s="37"/>
      <c r="M183" s="24">
        <v>4</v>
      </c>
      <c r="N183" s="25">
        <v>7</v>
      </c>
      <c r="O183" s="24">
        <v>5</v>
      </c>
      <c r="P183" s="25">
        <v>7</v>
      </c>
      <c r="Q183" s="37">
        <v>6</v>
      </c>
      <c r="R183" s="24">
        <v>5</v>
      </c>
      <c r="S183" s="37">
        <v>5</v>
      </c>
      <c r="T183" s="37">
        <v>5</v>
      </c>
      <c r="U183" s="24">
        <v>6</v>
      </c>
      <c r="V183" s="37">
        <v>5</v>
      </c>
      <c r="W183" s="27"/>
      <c r="X183" s="37">
        <v>4</v>
      </c>
      <c r="Y183" s="37">
        <v>5</v>
      </c>
      <c r="Z183" s="66">
        <v>7</v>
      </c>
      <c r="AA183" s="77">
        <v>6</v>
      </c>
      <c r="AB183" s="24">
        <v>6</v>
      </c>
      <c r="AC183" s="22">
        <v>6</v>
      </c>
      <c r="AD183" s="24">
        <v>6</v>
      </c>
      <c r="AE183" s="66">
        <v>7</v>
      </c>
      <c r="AF183" s="37">
        <v>5</v>
      </c>
      <c r="AG183" s="24">
        <v>6</v>
      </c>
      <c r="AH183" s="37">
        <v>6</v>
      </c>
      <c r="AI183" s="27">
        <v>5</v>
      </c>
      <c r="AJ183" s="27"/>
      <c r="AK183" s="37">
        <v>6</v>
      </c>
      <c r="AL183" s="24">
        <v>6</v>
      </c>
      <c r="AM183" s="76">
        <v>4</v>
      </c>
      <c r="AN183" s="130">
        <v>7</v>
      </c>
      <c r="AO183" s="37"/>
      <c r="AP183" s="24"/>
      <c r="AQ183" s="27"/>
      <c r="AR183">
        <f t="shared" si="7"/>
        <v>28</v>
      </c>
    </row>
    <row r="184" spans="1:44" x14ac:dyDescent="0.25">
      <c r="A184">
        <v>0</v>
      </c>
      <c r="B184" t="str">
        <f t="shared" si="6"/>
        <v>OM - Cabella</v>
      </c>
      <c r="C184" t="s">
        <v>671</v>
      </c>
      <c r="D184" s="30" t="s">
        <v>622</v>
      </c>
      <c r="E184" s="38" t="s">
        <v>288</v>
      </c>
      <c r="F184" s="31">
        <v>26</v>
      </c>
      <c r="G184" s="27">
        <v>1</v>
      </c>
      <c r="H184" s="73">
        <v>5</v>
      </c>
      <c r="I184" s="34">
        <f>AVERAGE(AB184,L184,M184,N184,O184,P184,Q184,R184,S184,T184,U184,W184,X184,Y184,Z184,AA184,AE184,AF184,AG184,AH184,AI184,AJ184,AL184,AK184,AM184,AN184)</f>
        <v>5.3076923076923075</v>
      </c>
      <c r="J184" s="38"/>
      <c r="K184" s="37"/>
      <c r="L184" s="37">
        <v>6</v>
      </c>
      <c r="M184" s="37">
        <v>5</v>
      </c>
      <c r="N184" s="37">
        <v>5</v>
      </c>
      <c r="O184" s="24">
        <v>4</v>
      </c>
      <c r="P184" s="24">
        <v>5</v>
      </c>
      <c r="Q184" s="37">
        <v>4</v>
      </c>
      <c r="R184" s="37">
        <v>5</v>
      </c>
      <c r="S184" s="37">
        <v>6</v>
      </c>
      <c r="T184" s="24">
        <v>5</v>
      </c>
      <c r="U184" s="24">
        <v>5</v>
      </c>
      <c r="V184" s="24"/>
      <c r="W184" s="299">
        <v>7</v>
      </c>
      <c r="X184" s="24">
        <v>5</v>
      </c>
      <c r="Y184" s="25">
        <v>8</v>
      </c>
      <c r="Z184" s="77">
        <v>6</v>
      </c>
      <c r="AA184" s="24">
        <v>6</v>
      </c>
      <c r="AB184" s="24">
        <v>4</v>
      </c>
      <c r="AC184" s="37"/>
      <c r="AD184" s="76" t="s">
        <v>611</v>
      </c>
      <c r="AE184" s="22">
        <v>6</v>
      </c>
      <c r="AF184" s="24">
        <v>4</v>
      </c>
      <c r="AG184" s="24">
        <v>4</v>
      </c>
      <c r="AH184" s="22">
        <v>6</v>
      </c>
      <c r="AI184" s="27">
        <v>5</v>
      </c>
      <c r="AJ184" s="27">
        <v>5</v>
      </c>
      <c r="AK184" s="22">
        <v>6</v>
      </c>
      <c r="AL184" s="66">
        <v>7</v>
      </c>
      <c r="AM184" s="37">
        <v>5</v>
      </c>
      <c r="AN184" s="27">
        <v>4</v>
      </c>
      <c r="AO184" s="24"/>
      <c r="AP184" s="37"/>
      <c r="AQ184" s="27"/>
      <c r="AR184">
        <f t="shared" si="7"/>
        <v>27</v>
      </c>
    </row>
    <row r="185" spans="1:44" x14ac:dyDescent="0.25">
      <c r="B185" t="str">
        <f t="shared" si="6"/>
        <v>Losc - Béria</v>
      </c>
      <c r="C185" t="s">
        <v>739</v>
      </c>
      <c r="D185" t="s">
        <v>608</v>
      </c>
      <c r="E185" t="s">
        <v>720</v>
      </c>
      <c r="F185" s="31"/>
      <c r="G185" s="99"/>
      <c r="H185" s="73"/>
      <c r="I185" s="34"/>
      <c r="J185" s="145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7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7"/>
      <c r="AJ185" s="27"/>
      <c r="AK185" s="24"/>
      <c r="AL185" s="24"/>
      <c r="AM185" s="24"/>
      <c r="AN185" s="27"/>
      <c r="AO185" s="24"/>
      <c r="AP185" s="24"/>
      <c r="AQ185" s="27"/>
      <c r="AR185">
        <f t="shared" si="7"/>
        <v>0</v>
      </c>
    </row>
    <row r="186" spans="1:44" x14ac:dyDescent="0.25">
      <c r="B186" t="str">
        <f t="shared" si="6"/>
        <v>GFCA - Boutaïb</v>
      </c>
      <c r="C186" t="s">
        <v>1015</v>
      </c>
      <c r="D186" s="155" t="s">
        <v>633</v>
      </c>
      <c r="E186" s="65" t="s">
        <v>1009</v>
      </c>
      <c r="F186" s="149">
        <v>16</v>
      </c>
      <c r="G186" s="143">
        <v>9</v>
      </c>
      <c r="H186" s="49">
        <v>5</v>
      </c>
      <c r="I186" s="34">
        <f>AVERAGE(N186,O186,R186,S186,V186,W186,X186,Z186,AC186,AD186,AF186,AH186,AI186,AL186,AM186,AN186)</f>
        <v>4.8125</v>
      </c>
      <c r="J186" s="179" t="s">
        <v>611</v>
      </c>
      <c r="K186" s="37" t="s">
        <v>611</v>
      </c>
      <c r="L186" s="37"/>
      <c r="M186" s="37" t="s">
        <v>611</v>
      </c>
      <c r="N186" s="37">
        <v>5</v>
      </c>
      <c r="O186" s="37">
        <v>4</v>
      </c>
      <c r="P186" s="37" t="s">
        <v>611</v>
      </c>
      <c r="Q186" s="37" t="s">
        <v>611</v>
      </c>
      <c r="R186" s="24">
        <v>4</v>
      </c>
      <c r="S186" s="23">
        <v>4</v>
      </c>
      <c r="T186" s="22"/>
      <c r="U186" s="24"/>
      <c r="V186" s="25">
        <v>7</v>
      </c>
      <c r="W186" s="130">
        <v>7</v>
      </c>
      <c r="X186" s="23">
        <v>4</v>
      </c>
      <c r="Y186" s="37"/>
      <c r="Z186" s="76">
        <v>4</v>
      </c>
      <c r="AA186" s="24"/>
      <c r="AB186" s="37" t="s">
        <v>611</v>
      </c>
      <c r="AC186" s="22">
        <v>6</v>
      </c>
      <c r="AD186" s="77">
        <v>6</v>
      </c>
      <c r="AE186" s="37" t="s">
        <v>611</v>
      </c>
      <c r="AF186" s="24">
        <v>4</v>
      </c>
      <c r="AG186" s="24"/>
      <c r="AH186" s="24">
        <v>4</v>
      </c>
      <c r="AI186" s="27">
        <v>4</v>
      </c>
      <c r="AJ186" s="26" t="s">
        <v>611</v>
      </c>
      <c r="AK186" s="301" t="s">
        <v>611</v>
      </c>
      <c r="AL186" s="24">
        <v>4</v>
      </c>
      <c r="AM186" s="77">
        <v>6</v>
      </c>
      <c r="AN186" s="27">
        <v>4</v>
      </c>
      <c r="AO186" s="24"/>
      <c r="AP186" s="37"/>
      <c r="AQ186" s="27"/>
      <c r="AR186">
        <f t="shared" si="7"/>
        <v>25</v>
      </c>
    </row>
    <row r="187" spans="1:44" x14ac:dyDescent="0.25">
      <c r="B187" t="str">
        <f t="shared" si="6"/>
        <v>Losc - Amadou</v>
      </c>
      <c r="C187" t="s">
        <v>739</v>
      </c>
      <c r="D187" t="s">
        <v>608</v>
      </c>
      <c r="E187" s="124" t="s">
        <v>723</v>
      </c>
      <c r="F187" s="31">
        <v>11</v>
      </c>
      <c r="G187" s="99">
        <v>4</v>
      </c>
      <c r="H187" s="73">
        <v>1</v>
      </c>
      <c r="I187" s="34">
        <f>AVERAGE(J187,N187,S187,AF187,AG187,AH187,AI187,AJ187,AK187,AL187,AM187,AN187)</f>
        <v>5.083333333333333</v>
      </c>
      <c r="J187" s="48">
        <v>5</v>
      </c>
      <c r="K187" s="24"/>
      <c r="L187" s="24"/>
      <c r="M187" s="37" t="s">
        <v>611</v>
      </c>
      <c r="N187" s="24">
        <v>5</v>
      </c>
      <c r="O187" s="24"/>
      <c r="P187" s="24"/>
      <c r="Q187" s="37"/>
      <c r="R187" s="24"/>
      <c r="S187" s="24">
        <v>5</v>
      </c>
      <c r="T187" s="24"/>
      <c r="U187" s="24"/>
      <c r="V187" s="24"/>
      <c r="W187" s="26"/>
      <c r="X187" s="24"/>
      <c r="Y187" s="24"/>
      <c r="Z187" s="37" t="s">
        <v>611</v>
      </c>
      <c r="AA187" s="24"/>
      <c r="AB187" s="24"/>
      <c r="AC187" s="24"/>
      <c r="AD187" s="37" t="s">
        <v>611</v>
      </c>
      <c r="AE187" s="24"/>
      <c r="AF187" s="24">
        <v>5</v>
      </c>
      <c r="AG187" s="24">
        <v>5</v>
      </c>
      <c r="AH187" s="24">
        <v>5</v>
      </c>
      <c r="AI187" s="27">
        <v>5</v>
      </c>
      <c r="AJ187" s="27">
        <v>5</v>
      </c>
      <c r="AK187" s="82">
        <v>3</v>
      </c>
      <c r="AL187" s="24">
        <v>6</v>
      </c>
      <c r="AM187" s="25">
        <v>7</v>
      </c>
      <c r="AN187" s="27">
        <v>5</v>
      </c>
      <c r="AO187" s="24"/>
      <c r="AP187" s="37"/>
      <c r="AQ187" s="26"/>
      <c r="AR187">
        <f t="shared" si="7"/>
        <v>15</v>
      </c>
    </row>
    <row r="188" spans="1:44" x14ac:dyDescent="0.25">
      <c r="B188" t="str">
        <f t="shared" si="6"/>
        <v>GFCA - Zoua</v>
      </c>
      <c r="C188" t="s">
        <v>1015</v>
      </c>
      <c r="D188" s="30" t="s">
        <v>633</v>
      </c>
      <c r="E188" s="65" t="s">
        <v>1013</v>
      </c>
      <c r="F188" s="31">
        <v>23</v>
      </c>
      <c r="G188" s="99">
        <v>3</v>
      </c>
      <c r="H188" s="73">
        <v>5</v>
      </c>
      <c r="I188" s="34">
        <f>AVERAGE(AA188,Y188,K188,L188,M188,N188,O188,P188,Q188,S188,U188,V188,W188,X188,AB188,AE188,AF188,AG188,AH188,AI188,AJ188,AK188,AM188,AN188)</f>
        <v>4.5</v>
      </c>
      <c r="J188" s="179"/>
      <c r="K188" s="24">
        <v>5</v>
      </c>
      <c r="L188" s="37">
        <v>4</v>
      </c>
      <c r="M188" s="24">
        <v>4</v>
      </c>
      <c r="N188" s="37">
        <v>5</v>
      </c>
      <c r="O188" s="76">
        <v>4</v>
      </c>
      <c r="P188" s="24">
        <v>4</v>
      </c>
      <c r="Q188" s="37">
        <v>4</v>
      </c>
      <c r="R188" s="24"/>
      <c r="S188" s="23">
        <v>4</v>
      </c>
      <c r="T188" s="22"/>
      <c r="U188" s="24">
        <v>5</v>
      </c>
      <c r="V188" s="77">
        <v>6</v>
      </c>
      <c r="W188" s="94">
        <v>6</v>
      </c>
      <c r="X188" s="24">
        <v>5</v>
      </c>
      <c r="Y188" s="22">
        <v>6</v>
      </c>
      <c r="Z188" s="76" t="s">
        <v>611</v>
      </c>
      <c r="AA188" s="22">
        <v>6</v>
      </c>
      <c r="AB188" s="37">
        <v>5</v>
      </c>
      <c r="AC188" s="24"/>
      <c r="AD188" s="37"/>
      <c r="AE188" s="163">
        <v>3</v>
      </c>
      <c r="AF188" s="172">
        <v>3</v>
      </c>
      <c r="AG188" s="163">
        <v>2</v>
      </c>
      <c r="AH188" s="76">
        <v>4</v>
      </c>
      <c r="AI188" s="28">
        <v>6</v>
      </c>
      <c r="AJ188" s="143">
        <v>4</v>
      </c>
      <c r="AK188" s="32">
        <v>5</v>
      </c>
      <c r="AL188" s="37" t="s">
        <v>611</v>
      </c>
      <c r="AM188" s="37">
        <v>5</v>
      </c>
      <c r="AN188" s="253">
        <v>3</v>
      </c>
      <c r="AO188" s="24"/>
      <c r="AP188" s="37"/>
      <c r="AQ188" s="27"/>
      <c r="AR188">
        <f t="shared" si="7"/>
        <v>26</v>
      </c>
    </row>
    <row r="189" spans="1:44" x14ac:dyDescent="0.25">
      <c r="B189" t="str">
        <f t="shared" si="6"/>
        <v>Losc - Sunzu</v>
      </c>
      <c r="C189" t="s">
        <v>739</v>
      </c>
      <c r="D189" t="s">
        <v>608</v>
      </c>
      <c r="E189" s="124" t="s">
        <v>724</v>
      </c>
      <c r="F189" s="31">
        <v>6</v>
      </c>
      <c r="G189" s="99">
        <v>2</v>
      </c>
      <c r="H189" s="73"/>
      <c r="I189" s="34">
        <f>AVERAGE(Q189,R189,S189,U189,V189,Y189)</f>
        <v>4.5</v>
      </c>
      <c r="J189" s="48"/>
      <c r="K189" s="24"/>
      <c r="L189" s="24"/>
      <c r="M189" s="24"/>
      <c r="N189" s="37" t="s">
        <v>611</v>
      </c>
      <c r="O189" s="24"/>
      <c r="P189" s="24"/>
      <c r="Q189" s="37">
        <v>4</v>
      </c>
      <c r="R189" s="24">
        <v>5</v>
      </c>
      <c r="S189" s="82">
        <v>3</v>
      </c>
      <c r="T189" s="24"/>
      <c r="U189" s="24">
        <v>5</v>
      </c>
      <c r="V189" s="24">
        <v>4</v>
      </c>
      <c r="W189" s="26"/>
      <c r="X189" s="37" t="s">
        <v>611</v>
      </c>
      <c r="Y189" s="24">
        <v>6</v>
      </c>
      <c r="Z189" s="24"/>
      <c r="AA189" s="24"/>
      <c r="AB189" s="24"/>
      <c r="AC189" s="24"/>
      <c r="AD189" s="24"/>
      <c r="AE189" s="24"/>
      <c r="AF189" s="24"/>
      <c r="AG189" s="24"/>
      <c r="AH189" s="24"/>
      <c r="AI189" s="27"/>
      <c r="AJ189" s="27"/>
      <c r="AK189" s="24"/>
      <c r="AL189" s="24"/>
      <c r="AM189" s="24"/>
      <c r="AN189" s="27"/>
      <c r="AO189" s="24"/>
      <c r="AP189" s="37"/>
      <c r="AQ189" s="26"/>
      <c r="AR189">
        <f t="shared" si="7"/>
        <v>8</v>
      </c>
    </row>
    <row r="190" spans="1:44" x14ac:dyDescent="0.25">
      <c r="B190" t="str">
        <f t="shared" si="6"/>
        <v>Losc - Basa</v>
      </c>
      <c r="C190" t="s">
        <v>739</v>
      </c>
      <c r="D190" s="85" t="s">
        <v>608</v>
      </c>
      <c r="E190" s="164" t="s">
        <v>51</v>
      </c>
      <c r="F190" s="69">
        <v>11</v>
      </c>
      <c r="G190" s="115"/>
      <c r="H190" s="123"/>
      <c r="I190" s="72">
        <f>AVERAGE(L190,M190,N190,O190,Q190,P190,V190,W190,AL190,AM190,AN190)</f>
        <v>5.3636363636363633</v>
      </c>
      <c r="J190" s="48"/>
      <c r="K190" s="24"/>
      <c r="L190" s="24">
        <v>6</v>
      </c>
      <c r="M190" s="24">
        <v>5</v>
      </c>
      <c r="N190" s="24">
        <v>5</v>
      </c>
      <c r="O190" s="24">
        <v>5</v>
      </c>
      <c r="P190" s="24">
        <v>5</v>
      </c>
      <c r="Q190" s="24">
        <v>4</v>
      </c>
      <c r="R190" s="24"/>
      <c r="S190" s="24"/>
      <c r="T190" s="24"/>
      <c r="U190" s="24"/>
      <c r="V190" s="24">
        <v>6</v>
      </c>
      <c r="W190" s="27">
        <v>5</v>
      </c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7"/>
      <c r="AJ190" s="27"/>
      <c r="AK190" s="24"/>
      <c r="AL190" s="24">
        <v>6</v>
      </c>
      <c r="AM190" s="24">
        <v>6</v>
      </c>
      <c r="AN190" s="27">
        <v>6</v>
      </c>
      <c r="AO190" s="24"/>
      <c r="AP190" s="24"/>
      <c r="AQ190" s="28"/>
      <c r="AR190">
        <f t="shared" si="7"/>
        <v>11</v>
      </c>
    </row>
    <row r="191" spans="1:44" x14ac:dyDescent="0.25">
      <c r="B191" t="str">
        <f t="shared" si="6"/>
        <v>Losc - Balmont</v>
      </c>
      <c r="C191" t="s">
        <v>739</v>
      </c>
      <c r="D191" t="s">
        <v>622</v>
      </c>
      <c r="E191" s="124" t="s">
        <v>725</v>
      </c>
      <c r="F191" s="31">
        <v>20</v>
      </c>
      <c r="G191" s="99">
        <v>2</v>
      </c>
      <c r="H191" s="73"/>
      <c r="I191" s="34">
        <f>AVERAGE(K191,L191,M191,J191,N191,S191,T191,U191,W191,X191,Y191,AA191,AB191,AC191,AE191,AG191,AI191,AM191,AN191)</f>
        <v>4.9473684210526319</v>
      </c>
      <c r="J191" s="142">
        <v>5</v>
      </c>
      <c r="K191" s="24">
        <v>4</v>
      </c>
      <c r="L191" s="24">
        <v>5</v>
      </c>
      <c r="M191" s="37">
        <v>5</v>
      </c>
      <c r="N191" s="24">
        <v>4</v>
      </c>
      <c r="O191" s="37"/>
      <c r="P191" s="24"/>
      <c r="Q191" s="24"/>
      <c r="R191" s="24"/>
      <c r="S191" s="24">
        <v>5</v>
      </c>
      <c r="T191" s="24">
        <v>4</v>
      </c>
      <c r="U191" s="24">
        <v>5</v>
      </c>
      <c r="V191" s="24"/>
      <c r="W191" s="165">
        <v>7</v>
      </c>
      <c r="X191" s="37">
        <v>5</v>
      </c>
      <c r="Y191" s="24">
        <v>6</v>
      </c>
      <c r="Z191" s="24" t="s">
        <v>641</v>
      </c>
      <c r="AA191" s="24">
        <v>6</v>
      </c>
      <c r="AB191" s="24">
        <v>4</v>
      </c>
      <c r="AC191" s="24">
        <v>5</v>
      </c>
      <c r="AD191" s="24"/>
      <c r="AE191" s="24">
        <v>4</v>
      </c>
      <c r="AF191" s="37" t="s">
        <v>611</v>
      </c>
      <c r="AG191" s="37">
        <v>5</v>
      </c>
      <c r="AH191" s="24"/>
      <c r="AI191" s="26">
        <v>5</v>
      </c>
      <c r="AJ191" s="26" t="s">
        <v>611</v>
      </c>
      <c r="AK191" s="24"/>
      <c r="AL191" s="24"/>
      <c r="AM191" s="24">
        <v>5</v>
      </c>
      <c r="AN191" s="27">
        <v>5</v>
      </c>
      <c r="AO191" s="24"/>
      <c r="AP191" s="24"/>
      <c r="AQ191" s="27"/>
      <c r="AR191">
        <f t="shared" si="7"/>
        <v>22</v>
      </c>
    </row>
    <row r="192" spans="1:44" x14ac:dyDescent="0.25">
      <c r="B192" t="str">
        <f t="shared" si="6"/>
        <v>Losc - Martin</v>
      </c>
      <c r="C192" t="s">
        <v>739</v>
      </c>
      <c r="D192" t="s">
        <v>622</v>
      </c>
      <c r="E192" s="124" t="s">
        <v>65</v>
      </c>
      <c r="F192" s="31">
        <v>4</v>
      </c>
      <c r="G192" s="99">
        <v>8</v>
      </c>
      <c r="H192" s="73"/>
      <c r="I192" s="34">
        <f>AVERAGE(T192,X192,Y192,Z192)</f>
        <v>4.75</v>
      </c>
      <c r="J192" s="48"/>
      <c r="K192" s="26"/>
      <c r="L192" s="24"/>
      <c r="M192" s="24"/>
      <c r="N192" s="24"/>
      <c r="O192" s="24"/>
      <c r="P192" s="37" t="s">
        <v>611</v>
      </c>
      <c r="Q192" s="24"/>
      <c r="R192" s="24"/>
      <c r="S192" s="37" t="s">
        <v>611</v>
      </c>
      <c r="T192" s="24">
        <v>4</v>
      </c>
      <c r="U192" s="76" t="s">
        <v>611</v>
      </c>
      <c r="V192" s="37" t="s">
        <v>611</v>
      </c>
      <c r="W192" s="26" t="s">
        <v>611</v>
      </c>
      <c r="X192" s="24">
        <v>4</v>
      </c>
      <c r="Y192" s="24">
        <v>6</v>
      </c>
      <c r="Z192" s="37">
        <v>5</v>
      </c>
      <c r="AA192" s="37" t="s">
        <v>611</v>
      </c>
      <c r="AB192" s="37" t="s">
        <v>611</v>
      </c>
      <c r="AC192" s="24"/>
      <c r="AD192" s="24"/>
      <c r="AE192" s="24"/>
      <c r="AF192" s="24"/>
      <c r="AG192" s="24"/>
      <c r="AH192" s="24"/>
      <c r="AI192" s="26" t="s">
        <v>611</v>
      </c>
      <c r="AJ192" s="27"/>
      <c r="AK192" s="24"/>
      <c r="AL192" s="24"/>
      <c r="AM192" s="24"/>
      <c r="AN192" s="27"/>
      <c r="AO192" s="24"/>
      <c r="AP192" s="24"/>
      <c r="AQ192" s="27"/>
      <c r="AR192">
        <f t="shared" si="7"/>
        <v>12</v>
      </c>
    </row>
    <row r="193" spans="1:44" x14ac:dyDescent="0.25">
      <c r="B193" t="str">
        <f t="shared" si="6"/>
        <v>Losc - Meïté</v>
      </c>
      <c r="C193" t="s">
        <v>739</v>
      </c>
      <c r="D193" s="64" t="s">
        <v>622</v>
      </c>
      <c r="E193" s="64" t="s">
        <v>726</v>
      </c>
      <c r="F193" s="52"/>
      <c r="G193" s="63">
        <v>3</v>
      </c>
      <c r="H193" s="146"/>
      <c r="I193" s="34"/>
      <c r="J193" s="64"/>
      <c r="K193" s="61" t="s">
        <v>611</v>
      </c>
      <c r="L193" s="53"/>
      <c r="M193" s="53"/>
      <c r="N193" s="53"/>
      <c r="O193" s="53"/>
      <c r="P193" s="53"/>
      <c r="Q193" s="53"/>
      <c r="R193" s="53"/>
      <c r="S193" s="53"/>
      <c r="T193" s="61" t="s">
        <v>611</v>
      </c>
      <c r="U193" s="53"/>
      <c r="V193" s="61"/>
      <c r="W193" s="63"/>
      <c r="X193" s="53"/>
      <c r="Y193" s="61" t="s">
        <v>611</v>
      </c>
      <c r="Z193" s="53"/>
      <c r="AA193" s="61"/>
      <c r="AB193" s="61"/>
      <c r="AC193" s="53"/>
      <c r="AD193" s="53"/>
      <c r="AE193" s="53"/>
      <c r="AF193" s="53"/>
      <c r="AG193" s="53"/>
      <c r="AH193" s="53"/>
      <c r="AI193" s="63"/>
      <c r="AJ193" s="63"/>
      <c r="AK193" s="61"/>
      <c r="AL193" s="61"/>
      <c r="AM193" s="53"/>
      <c r="AN193" s="62"/>
      <c r="AO193" s="53"/>
      <c r="AP193" s="53"/>
      <c r="AQ193" s="63"/>
      <c r="AR193">
        <f t="shared" si="7"/>
        <v>3</v>
      </c>
    </row>
    <row r="194" spans="1:44" x14ac:dyDescent="0.25">
      <c r="A194">
        <v>1</v>
      </c>
      <c r="B194" t="str">
        <f t="shared" si="6"/>
        <v>OM - Nkoudou</v>
      </c>
      <c r="C194" t="s">
        <v>671</v>
      </c>
      <c r="D194" s="30" t="s">
        <v>622</v>
      </c>
      <c r="E194" s="38" t="s">
        <v>627</v>
      </c>
      <c r="F194" s="31">
        <v>21</v>
      </c>
      <c r="G194" s="99">
        <v>4</v>
      </c>
      <c r="H194" s="73">
        <v>5</v>
      </c>
      <c r="I194" s="34">
        <f>AVERAGE(O194,P194,T194,U194,V194,W194,X194,Y194,Z194,AA194,AC194,AD194,AE194,AF194,AG194,AH194,AI194,AJ194,AL194,AK194,AM194,AN194)</f>
        <v>5.0454545454545459</v>
      </c>
      <c r="J194" s="101" t="s">
        <v>611</v>
      </c>
      <c r="K194" s="37" t="s">
        <v>611</v>
      </c>
      <c r="L194" s="37"/>
      <c r="M194" s="37"/>
      <c r="N194" s="37"/>
      <c r="O194" s="24">
        <v>5</v>
      </c>
      <c r="P194" s="82">
        <v>3</v>
      </c>
      <c r="Q194" s="37"/>
      <c r="R194" s="24"/>
      <c r="S194" s="37" t="s">
        <v>611</v>
      </c>
      <c r="T194" s="24">
        <v>4</v>
      </c>
      <c r="U194" s="22">
        <v>6</v>
      </c>
      <c r="V194" s="24">
        <v>4</v>
      </c>
      <c r="W194" s="254">
        <v>8</v>
      </c>
      <c r="X194" s="25">
        <v>7</v>
      </c>
      <c r="Y194" s="24">
        <v>5</v>
      </c>
      <c r="Z194" s="37">
        <v>6</v>
      </c>
      <c r="AA194" s="24">
        <v>5</v>
      </c>
      <c r="AB194" s="24"/>
      <c r="AC194" s="37">
        <v>4</v>
      </c>
      <c r="AD194" s="77">
        <v>6</v>
      </c>
      <c r="AE194" s="24">
        <v>4</v>
      </c>
      <c r="AF194" s="24">
        <v>5</v>
      </c>
      <c r="AG194" s="22">
        <v>6</v>
      </c>
      <c r="AH194" s="24">
        <v>5</v>
      </c>
      <c r="AI194" s="27">
        <v>4</v>
      </c>
      <c r="AJ194" s="27">
        <v>4</v>
      </c>
      <c r="AK194" s="24">
        <v>6</v>
      </c>
      <c r="AL194" s="24">
        <v>5</v>
      </c>
      <c r="AM194" s="37">
        <v>5</v>
      </c>
      <c r="AN194" s="27">
        <v>4</v>
      </c>
      <c r="AO194" s="24"/>
      <c r="AP194" s="37"/>
      <c r="AQ194" s="27"/>
      <c r="AR194">
        <f t="shared" si="7"/>
        <v>25</v>
      </c>
    </row>
    <row r="195" spans="1:44" x14ac:dyDescent="0.25">
      <c r="A195">
        <v>1</v>
      </c>
      <c r="B195" t="str">
        <f t="shared" si="6"/>
        <v>OL - Tolisso</v>
      </c>
      <c r="C195" t="s">
        <v>672</v>
      </c>
      <c r="D195" s="30" t="s">
        <v>622</v>
      </c>
      <c r="E195" s="30" t="s">
        <v>653</v>
      </c>
      <c r="F195" s="31">
        <v>25</v>
      </c>
      <c r="G195" s="99">
        <v>3</v>
      </c>
      <c r="H195" s="73">
        <v>4</v>
      </c>
      <c r="I195" s="34">
        <f>AVERAGE(AA195,X195,K195,L195,M195,J195,N195,O195,P195,Q195,R195,S195,T195,U195,V195,W195,Y195,Z195,AB195,AC195,AD195,AF195,AG195,AH195,AI195,AN195)</f>
        <v>5.615384615384615</v>
      </c>
      <c r="J195" s="101">
        <v>6</v>
      </c>
      <c r="K195" s="74">
        <v>5</v>
      </c>
      <c r="L195" s="24">
        <v>5</v>
      </c>
      <c r="M195" s="84">
        <v>7</v>
      </c>
      <c r="N195" s="23">
        <v>6</v>
      </c>
      <c r="O195" s="24">
        <v>5</v>
      </c>
      <c r="P195" s="25">
        <v>7</v>
      </c>
      <c r="Q195" s="24">
        <v>5</v>
      </c>
      <c r="R195" s="24">
        <v>6</v>
      </c>
      <c r="S195" s="24">
        <v>5</v>
      </c>
      <c r="T195" s="24">
        <v>6</v>
      </c>
      <c r="U195" s="24">
        <v>6</v>
      </c>
      <c r="V195" s="24">
        <v>5</v>
      </c>
      <c r="W195" s="27">
        <v>5</v>
      </c>
      <c r="X195" s="24">
        <v>5</v>
      </c>
      <c r="Y195" s="76">
        <v>5</v>
      </c>
      <c r="Z195" s="37">
        <v>5</v>
      </c>
      <c r="AA195" s="24">
        <v>4</v>
      </c>
      <c r="AB195" s="23">
        <v>5</v>
      </c>
      <c r="AC195" s="24">
        <v>6</v>
      </c>
      <c r="AD195" s="24">
        <v>4</v>
      </c>
      <c r="AE195" s="77" t="s">
        <v>611</v>
      </c>
      <c r="AF195" s="24">
        <v>5</v>
      </c>
      <c r="AG195" s="66">
        <v>7</v>
      </c>
      <c r="AH195" s="25">
        <v>7</v>
      </c>
      <c r="AI195" s="254">
        <v>8</v>
      </c>
      <c r="AJ195" s="28"/>
      <c r="AK195" s="22"/>
      <c r="AL195" s="24"/>
      <c r="AM195" s="37" t="s">
        <v>611</v>
      </c>
      <c r="AN195" s="27">
        <v>6</v>
      </c>
      <c r="AO195" s="24"/>
      <c r="AP195" s="24"/>
      <c r="AQ195" s="28"/>
      <c r="AR195">
        <f t="shared" si="7"/>
        <v>28</v>
      </c>
    </row>
    <row r="196" spans="1:44" x14ac:dyDescent="0.25">
      <c r="B196" t="str">
        <f t="shared" si="6"/>
        <v>OL - Cornet</v>
      </c>
      <c r="C196" t="s">
        <v>672</v>
      </c>
      <c r="D196" s="30" t="s">
        <v>633</v>
      </c>
      <c r="E196" s="60" t="s">
        <v>284</v>
      </c>
      <c r="F196" s="31">
        <v>10</v>
      </c>
      <c r="G196" s="99">
        <v>15</v>
      </c>
      <c r="H196" s="73">
        <v>4</v>
      </c>
      <c r="I196" s="34">
        <f>AVERAGE(Q196,Z196,AA196,AB196,AG196,AI196,AJ196,AK196,AL196,AM196,AN196)</f>
        <v>5.1818181818181817</v>
      </c>
      <c r="J196" s="101"/>
      <c r="K196" s="79" t="s">
        <v>611</v>
      </c>
      <c r="L196" s="37" t="s">
        <v>611</v>
      </c>
      <c r="M196" s="37" t="s">
        <v>611</v>
      </c>
      <c r="N196" s="37" t="s">
        <v>611</v>
      </c>
      <c r="O196" s="37"/>
      <c r="P196" s="37" t="s">
        <v>611</v>
      </c>
      <c r="Q196" s="37">
        <v>4</v>
      </c>
      <c r="R196" s="37"/>
      <c r="S196" s="37" t="s">
        <v>611</v>
      </c>
      <c r="T196" s="77" t="s">
        <v>611</v>
      </c>
      <c r="U196" s="37" t="s">
        <v>611</v>
      </c>
      <c r="V196" s="24"/>
      <c r="W196" s="26" t="s">
        <v>611</v>
      </c>
      <c r="X196" s="37" t="s">
        <v>611</v>
      </c>
      <c r="Y196" s="37"/>
      <c r="Z196" s="37">
        <v>4</v>
      </c>
      <c r="AA196" s="24">
        <v>4</v>
      </c>
      <c r="AB196" s="24">
        <v>5</v>
      </c>
      <c r="AC196" s="24"/>
      <c r="AD196" s="76" t="s">
        <v>611</v>
      </c>
      <c r="AE196" s="37" t="s">
        <v>611</v>
      </c>
      <c r="AF196" s="37" t="s">
        <v>611</v>
      </c>
      <c r="AG196" s="24">
        <v>5</v>
      </c>
      <c r="AH196" s="37" t="s">
        <v>611</v>
      </c>
      <c r="AI196" s="254">
        <v>7</v>
      </c>
      <c r="AJ196" s="27">
        <v>4</v>
      </c>
      <c r="AK196" s="75">
        <v>7</v>
      </c>
      <c r="AL196" s="25">
        <v>7</v>
      </c>
      <c r="AM196" s="37">
        <v>6</v>
      </c>
      <c r="AN196" s="27">
        <v>4</v>
      </c>
      <c r="AO196" s="24"/>
      <c r="AP196" s="24"/>
      <c r="AQ196" s="27"/>
      <c r="AR196">
        <f t="shared" si="7"/>
        <v>25</v>
      </c>
    </row>
    <row r="197" spans="1:44" x14ac:dyDescent="0.25">
      <c r="B197" t="str">
        <f t="shared" si="6"/>
        <v>Losc - Yeboah</v>
      </c>
      <c r="C197" t="s">
        <v>739</v>
      </c>
      <c r="D197" s="283" t="s">
        <v>622</v>
      </c>
      <c r="E197" s="127" t="s">
        <v>728</v>
      </c>
      <c r="F197" s="31">
        <v>1</v>
      </c>
      <c r="G197" s="99">
        <v>2</v>
      </c>
      <c r="H197" s="73"/>
      <c r="I197" s="34">
        <f>AVERAGE(V197)</f>
        <v>5</v>
      </c>
      <c r="J197" s="87"/>
      <c r="K197" s="24"/>
      <c r="L197" s="24"/>
      <c r="M197" s="37"/>
      <c r="N197" s="24"/>
      <c r="O197" s="24"/>
      <c r="P197" s="24"/>
      <c r="Q197" s="24"/>
      <c r="R197" s="24"/>
      <c r="S197" s="24"/>
      <c r="T197" s="76" t="s">
        <v>611</v>
      </c>
      <c r="U197" s="76" t="s">
        <v>611</v>
      </c>
      <c r="V197" s="37">
        <v>5</v>
      </c>
      <c r="W197" s="27"/>
      <c r="X197" s="24"/>
      <c r="Y197" s="24"/>
      <c r="Z197" s="24"/>
      <c r="AA197" s="37"/>
      <c r="AB197" s="37"/>
      <c r="AC197" s="24"/>
      <c r="AD197" s="24"/>
      <c r="AE197" s="37"/>
      <c r="AF197" s="24"/>
      <c r="AG197" s="24"/>
      <c r="AH197" s="24"/>
      <c r="AI197" s="27"/>
      <c r="AJ197" s="27"/>
      <c r="AK197" s="24"/>
      <c r="AL197" s="24"/>
      <c r="AM197" s="37"/>
      <c r="AN197" s="27"/>
      <c r="AO197" s="22"/>
      <c r="AP197" s="24"/>
      <c r="AQ197" s="27"/>
      <c r="AR197">
        <f t="shared" si="7"/>
        <v>3</v>
      </c>
    </row>
    <row r="198" spans="1:44" x14ac:dyDescent="0.25">
      <c r="B198" t="str">
        <f t="shared" si="6"/>
        <v>Losc - Mbemba</v>
      </c>
      <c r="C198" t="s">
        <v>739</v>
      </c>
      <c r="D198" s="283" t="s">
        <v>622</v>
      </c>
      <c r="E198" s="127" t="s">
        <v>729</v>
      </c>
      <c r="F198" s="31">
        <v>1</v>
      </c>
      <c r="G198" s="99"/>
      <c r="H198" s="73"/>
      <c r="I198" s="34">
        <f>AVERAGE(W198)</f>
        <v>4</v>
      </c>
      <c r="J198" s="87"/>
      <c r="K198" s="24"/>
      <c r="L198" s="24"/>
      <c r="M198" s="37"/>
      <c r="N198" s="24"/>
      <c r="O198" s="24"/>
      <c r="P198" s="24"/>
      <c r="Q198" s="24"/>
      <c r="R198" s="24"/>
      <c r="S198" s="24"/>
      <c r="T198" s="76"/>
      <c r="U198" s="76"/>
      <c r="V198" s="37"/>
      <c r="W198" s="27">
        <v>4</v>
      </c>
      <c r="X198" s="24"/>
      <c r="Y198" s="24"/>
      <c r="Z198" s="24"/>
      <c r="AA198" s="37"/>
      <c r="AB198" s="37"/>
      <c r="AC198" s="24"/>
      <c r="AD198" s="24"/>
      <c r="AE198" s="37"/>
      <c r="AF198" s="24"/>
      <c r="AG198" s="24"/>
      <c r="AH198" s="24"/>
      <c r="AI198" s="27"/>
      <c r="AJ198" s="27"/>
      <c r="AK198" s="24"/>
      <c r="AL198" s="24"/>
      <c r="AM198" s="37"/>
      <c r="AN198" s="27"/>
      <c r="AO198" s="22"/>
      <c r="AP198" s="24"/>
      <c r="AQ198" s="27"/>
      <c r="AR198">
        <f t="shared" si="7"/>
        <v>1</v>
      </c>
    </row>
    <row r="199" spans="1:44" x14ac:dyDescent="0.25">
      <c r="B199" t="str">
        <f t="shared" si="6"/>
        <v>Losc - Lopes</v>
      </c>
      <c r="C199" t="s">
        <v>739</v>
      </c>
      <c r="D199" s="283" t="s">
        <v>622</v>
      </c>
      <c r="E199" s="124" t="s">
        <v>124</v>
      </c>
      <c r="F199" s="31">
        <v>2</v>
      </c>
      <c r="G199" s="99">
        <v>5</v>
      </c>
      <c r="H199" s="73">
        <v>1</v>
      </c>
      <c r="I199" s="34">
        <f>AVERAGE(AG199,AL199)</f>
        <v>6</v>
      </c>
      <c r="J199" s="87"/>
      <c r="K199" s="24"/>
      <c r="L199" s="24"/>
      <c r="M199" s="37"/>
      <c r="N199" s="24"/>
      <c r="O199" s="24"/>
      <c r="P199" s="24"/>
      <c r="Q199" s="24"/>
      <c r="R199" s="24"/>
      <c r="S199" s="24"/>
      <c r="T199" s="76"/>
      <c r="U199" s="76"/>
      <c r="V199" s="37"/>
      <c r="W199" s="27"/>
      <c r="X199" s="24"/>
      <c r="Y199" s="24"/>
      <c r="Z199" s="24"/>
      <c r="AA199" s="37"/>
      <c r="AB199" s="37"/>
      <c r="AC199" s="37" t="s">
        <v>611</v>
      </c>
      <c r="AD199" s="37" t="s">
        <v>611</v>
      </c>
      <c r="AE199" s="37" t="s">
        <v>611</v>
      </c>
      <c r="AF199" s="24"/>
      <c r="AG199" s="24">
        <v>5</v>
      </c>
      <c r="AH199" s="24"/>
      <c r="AI199" s="27"/>
      <c r="AJ199" s="26" t="s">
        <v>611</v>
      </c>
      <c r="AK199" s="37" t="s">
        <v>611</v>
      </c>
      <c r="AL199" s="25">
        <v>7</v>
      </c>
      <c r="AM199" s="37"/>
      <c r="AN199" s="27"/>
      <c r="AO199" s="22"/>
      <c r="AP199" s="24"/>
      <c r="AQ199" s="27"/>
      <c r="AR199">
        <f t="shared" si="7"/>
        <v>7</v>
      </c>
    </row>
    <row r="200" spans="1:44" x14ac:dyDescent="0.25">
      <c r="B200" t="str">
        <f t="shared" si="6"/>
        <v>Losc - Amalfitano</v>
      </c>
      <c r="C200" t="s">
        <v>739</v>
      </c>
      <c r="D200" s="283" t="s">
        <v>622</v>
      </c>
      <c r="E200" s="124" t="s">
        <v>1058</v>
      </c>
      <c r="F200" s="31">
        <v>4</v>
      </c>
      <c r="G200" s="99">
        <v>4</v>
      </c>
      <c r="H200" s="73">
        <v>1</v>
      </c>
      <c r="I200" s="34">
        <f>AVERAGE(AJ200,AL200,AM200,AN200)</f>
        <v>5.75</v>
      </c>
      <c r="J200" s="87"/>
      <c r="K200" s="24"/>
      <c r="L200" s="24"/>
      <c r="M200" s="37"/>
      <c r="N200" s="24"/>
      <c r="O200" s="24"/>
      <c r="P200" s="24"/>
      <c r="Q200" s="24"/>
      <c r="R200" s="24"/>
      <c r="S200" s="24"/>
      <c r="T200" s="76"/>
      <c r="U200" s="76"/>
      <c r="V200" s="37"/>
      <c r="W200" s="27"/>
      <c r="X200" s="24"/>
      <c r="Y200" s="24"/>
      <c r="Z200" s="24"/>
      <c r="AA200" s="37"/>
      <c r="AB200" s="37"/>
      <c r="AC200" s="37"/>
      <c r="AD200" s="37"/>
      <c r="AE200" s="37" t="s">
        <v>611</v>
      </c>
      <c r="AF200" s="37" t="s">
        <v>611</v>
      </c>
      <c r="AG200" s="24"/>
      <c r="AH200" s="24"/>
      <c r="AI200" s="26" t="s">
        <v>611</v>
      </c>
      <c r="AJ200" s="27">
        <v>5</v>
      </c>
      <c r="AK200" s="37" t="s">
        <v>611</v>
      </c>
      <c r="AL200" s="24">
        <v>6</v>
      </c>
      <c r="AM200" s="37">
        <v>5</v>
      </c>
      <c r="AN200" s="254">
        <v>7</v>
      </c>
      <c r="AO200" s="22"/>
      <c r="AP200" s="24"/>
      <c r="AQ200" s="27"/>
      <c r="AR200">
        <f t="shared" si="7"/>
        <v>8</v>
      </c>
    </row>
    <row r="201" spans="1:44" x14ac:dyDescent="0.25">
      <c r="B201" t="str">
        <f t="shared" si="6"/>
        <v>Losc - Y. Koné</v>
      </c>
      <c r="C201" t="s">
        <v>739</v>
      </c>
      <c r="D201" t="s">
        <v>622</v>
      </c>
      <c r="E201" t="s">
        <v>721</v>
      </c>
      <c r="F201" s="31"/>
      <c r="G201" s="99">
        <v>1</v>
      </c>
      <c r="H201" s="73"/>
      <c r="I201" s="34"/>
      <c r="J201" s="48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7"/>
      <c r="X201" s="24"/>
      <c r="Y201" s="24"/>
      <c r="Z201" s="24"/>
      <c r="AA201" s="37" t="s">
        <v>611</v>
      </c>
      <c r="AB201" s="24"/>
      <c r="AC201" s="24"/>
      <c r="AD201" s="24"/>
      <c r="AE201" s="24"/>
      <c r="AF201" s="24"/>
      <c r="AG201" s="24"/>
      <c r="AH201" s="24"/>
      <c r="AI201" s="27"/>
      <c r="AJ201" s="27"/>
      <c r="AK201" s="24"/>
      <c r="AL201" s="24"/>
      <c r="AM201" s="24"/>
      <c r="AN201" s="27"/>
      <c r="AO201" s="24"/>
      <c r="AP201" s="24"/>
      <c r="AQ201" s="27"/>
      <c r="AR201">
        <f t="shared" si="7"/>
        <v>1</v>
      </c>
    </row>
    <row r="202" spans="1:44" x14ac:dyDescent="0.25">
      <c r="B202" t="str">
        <f t="shared" si="6"/>
        <v>Losc - Pavard</v>
      </c>
      <c r="C202" t="s">
        <v>739</v>
      </c>
      <c r="D202" t="s">
        <v>622</v>
      </c>
      <c r="E202" s="124" t="s">
        <v>722</v>
      </c>
      <c r="F202" s="31">
        <v>6</v>
      </c>
      <c r="G202" s="99">
        <v>7</v>
      </c>
      <c r="H202" s="73"/>
      <c r="I202" s="34">
        <f>AVERAGE(K202,J202,R202,AA202,AD202,AF202)</f>
        <v>5</v>
      </c>
      <c r="J202" s="48">
        <v>5</v>
      </c>
      <c r="K202" s="24">
        <v>5</v>
      </c>
      <c r="L202" s="37" t="s">
        <v>611</v>
      </c>
      <c r="M202" s="24"/>
      <c r="N202" s="24"/>
      <c r="O202" s="24"/>
      <c r="P202" s="24"/>
      <c r="Q202" s="37"/>
      <c r="R202" s="24">
        <v>5</v>
      </c>
      <c r="S202" s="37" t="s">
        <v>611</v>
      </c>
      <c r="T202" s="24"/>
      <c r="U202" s="24"/>
      <c r="V202" s="24"/>
      <c r="W202" s="26"/>
      <c r="X202" s="24"/>
      <c r="Y202" s="24"/>
      <c r="Z202" s="24"/>
      <c r="AA202" s="24">
        <v>5</v>
      </c>
      <c r="AB202" s="37" t="s">
        <v>611</v>
      </c>
      <c r="AC202" s="37" t="s">
        <v>611</v>
      </c>
      <c r="AD202" s="24">
        <v>5</v>
      </c>
      <c r="AE202" s="24"/>
      <c r="AF202" s="24">
        <v>5</v>
      </c>
      <c r="AG202" s="24"/>
      <c r="AH202" s="24"/>
      <c r="AI202" s="26" t="s">
        <v>611</v>
      </c>
      <c r="AJ202" s="27"/>
      <c r="AK202" s="37" t="s">
        <v>611</v>
      </c>
      <c r="AL202" s="37" t="s">
        <v>611</v>
      </c>
      <c r="AM202" s="24"/>
      <c r="AN202" s="27"/>
      <c r="AO202" s="24"/>
      <c r="AP202" s="37"/>
      <c r="AQ202" s="26"/>
      <c r="AR202">
        <f t="shared" si="7"/>
        <v>13</v>
      </c>
    </row>
    <row r="203" spans="1:44" x14ac:dyDescent="0.25">
      <c r="B203" t="str">
        <f t="shared" si="6"/>
        <v>FCGB - Rolan</v>
      </c>
      <c r="C203" t="s">
        <v>764</v>
      </c>
      <c r="D203" s="85" t="s">
        <v>633</v>
      </c>
      <c r="E203" s="85" t="s">
        <v>95</v>
      </c>
      <c r="F203" s="69">
        <v>17</v>
      </c>
      <c r="G203" s="115">
        <v>7</v>
      </c>
      <c r="H203" s="68">
        <v>4</v>
      </c>
      <c r="I203" s="72">
        <f>AVERAGE(O203,Q203,R203,T203,U203,X203,Y203,AA203,AC203,AD203,AH203,AG203,AF203,AI203,AJ203,AK203,AL203,AN203)</f>
        <v>4.7777777777777777</v>
      </c>
      <c r="J203" s="101" t="s">
        <v>611</v>
      </c>
      <c r="K203" s="76" t="s">
        <v>611</v>
      </c>
      <c r="L203" s="32"/>
      <c r="M203" s="76" t="s">
        <v>611</v>
      </c>
      <c r="N203" s="24"/>
      <c r="O203" s="23">
        <v>4</v>
      </c>
      <c r="P203" s="37" t="s">
        <v>611</v>
      </c>
      <c r="Q203" s="24">
        <v>6</v>
      </c>
      <c r="R203" s="22">
        <v>6</v>
      </c>
      <c r="S203" s="24"/>
      <c r="T203" s="24">
        <v>4</v>
      </c>
      <c r="U203" s="76">
        <v>4</v>
      </c>
      <c r="V203" s="37"/>
      <c r="W203" s="26"/>
      <c r="X203" s="24">
        <v>4</v>
      </c>
      <c r="Y203" s="37">
        <v>4</v>
      </c>
      <c r="Z203" s="37" t="s">
        <v>611</v>
      </c>
      <c r="AA203" s="77">
        <v>6</v>
      </c>
      <c r="AB203" s="37" t="s">
        <v>611</v>
      </c>
      <c r="AC203" s="24">
        <v>4</v>
      </c>
      <c r="AD203" s="23">
        <v>6</v>
      </c>
      <c r="AE203" s="37"/>
      <c r="AF203" s="25">
        <v>7</v>
      </c>
      <c r="AG203" s="24">
        <v>5</v>
      </c>
      <c r="AH203" s="23">
        <v>4</v>
      </c>
      <c r="AI203" s="254">
        <v>7</v>
      </c>
      <c r="AJ203" s="27">
        <v>4</v>
      </c>
      <c r="AK203" s="163">
        <v>3</v>
      </c>
      <c r="AL203" s="23">
        <v>4</v>
      </c>
      <c r="AM203" s="22"/>
      <c r="AN203" s="27">
        <v>4</v>
      </c>
      <c r="AO203" s="24"/>
      <c r="AP203" s="24"/>
      <c r="AQ203" s="27"/>
      <c r="AR203">
        <f t="shared" si="7"/>
        <v>24</v>
      </c>
    </row>
    <row r="204" spans="1:44" x14ac:dyDescent="0.25">
      <c r="B204" t="str">
        <f t="shared" si="6"/>
        <v>Losc - Frey</v>
      </c>
      <c r="C204" t="s">
        <v>739</v>
      </c>
      <c r="D204" s="64" t="s">
        <v>633</v>
      </c>
      <c r="E204" s="64" t="s">
        <v>731</v>
      </c>
      <c r="F204" s="52"/>
      <c r="G204" s="63"/>
      <c r="H204" s="146"/>
      <c r="I204" s="34"/>
      <c r="J204" s="45"/>
      <c r="K204" s="55"/>
      <c r="L204" s="46"/>
      <c r="M204" s="46"/>
      <c r="N204" s="55"/>
      <c r="O204" s="46"/>
      <c r="P204" s="55"/>
      <c r="Q204" s="46"/>
      <c r="R204" s="46"/>
      <c r="S204" s="55"/>
      <c r="T204" s="46"/>
      <c r="U204" s="59"/>
      <c r="V204" s="55"/>
      <c r="W204" s="56"/>
      <c r="X204" s="46"/>
      <c r="Y204" s="55"/>
      <c r="Z204" s="55"/>
      <c r="AA204" s="46"/>
      <c r="AB204" s="55"/>
      <c r="AC204" s="59"/>
      <c r="AD204" s="46"/>
      <c r="AE204" s="46"/>
      <c r="AF204" s="46"/>
      <c r="AG204" s="46"/>
      <c r="AH204" s="46"/>
      <c r="AI204" s="47"/>
      <c r="AJ204" s="47"/>
      <c r="AK204" s="46"/>
      <c r="AL204" s="46"/>
      <c r="AM204" s="46"/>
      <c r="AN204" s="47"/>
      <c r="AO204" s="46"/>
      <c r="AP204" s="46"/>
      <c r="AQ204" s="47"/>
      <c r="AR204">
        <f t="shared" si="7"/>
        <v>0</v>
      </c>
    </row>
    <row r="205" spans="1:44" x14ac:dyDescent="0.25">
      <c r="B205" t="str">
        <f t="shared" si="6"/>
        <v>Losc - Mendes</v>
      </c>
      <c r="C205" t="s">
        <v>739</v>
      </c>
      <c r="D205" s="64" t="s">
        <v>633</v>
      </c>
      <c r="E205" s="64" t="s">
        <v>732</v>
      </c>
      <c r="F205" s="52"/>
      <c r="G205" s="63">
        <v>3</v>
      </c>
      <c r="H205" s="146"/>
      <c r="I205" s="34"/>
      <c r="J205" s="64">
        <v>4</v>
      </c>
      <c r="K205" s="61"/>
      <c r="L205" s="61" t="s">
        <v>611</v>
      </c>
      <c r="M205" s="61" t="s">
        <v>611</v>
      </c>
      <c r="N205" s="53"/>
      <c r="O205" s="53"/>
      <c r="P205" s="53"/>
      <c r="Q205" s="53"/>
      <c r="R205" s="53"/>
      <c r="S205" s="53"/>
      <c r="T205" s="53"/>
      <c r="U205" s="61"/>
      <c r="V205" s="53"/>
      <c r="W205" s="63"/>
      <c r="X205" s="53"/>
      <c r="Y205" s="53"/>
      <c r="Z205" s="53"/>
      <c r="AA205" s="59"/>
      <c r="AB205" s="53"/>
      <c r="AC205" s="53"/>
      <c r="AD205" s="53"/>
      <c r="AE205" s="53"/>
      <c r="AF205" s="53"/>
      <c r="AG205" s="53"/>
      <c r="AH205" s="61"/>
      <c r="AI205" s="166"/>
      <c r="AJ205" s="63"/>
      <c r="AK205" s="53"/>
      <c r="AL205" s="61"/>
      <c r="AM205" s="53"/>
      <c r="AN205" s="62"/>
      <c r="AO205" s="53"/>
      <c r="AP205" s="53"/>
      <c r="AQ205" s="63"/>
      <c r="AR205">
        <f t="shared" si="7"/>
        <v>3</v>
      </c>
    </row>
    <row r="206" spans="1:44" x14ac:dyDescent="0.25">
      <c r="B206" t="str">
        <f t="shared" si="6"/>
        <v>Losc - Rodelin</v>
      </c>
      <c r="C206" t="s">
        <v>739</v>
      </c>
      <c r="D206" s="64" t="s">
        <v>633</v>
      </c>
      <c r="E206" s="64" t="s">
        <v>461</v>
      </c>
      <c r="F206" s="52">
        <v>1</v>
      </c>
      <c r="G206" s="63"/>
      <c r="H206" s="146"/>
      <c r="I206" s="34"/>
      <c r="J206" s="150"/>
      <c r="K206" s="53"/>
      <c r="L206" s="61"/>
      <c r="M206" s="61">
        <v>4</v>
      </c>
      <c r="N206" s="53"/>
      <c r="O206" s="53"/>
      <c r="P206" s="53"/>
      <c r="Q206" s="61"/>
      <c r="R206" s="53"/>
      <c r="S206" s="53"/>
      <c r="T206" s="61"/>
      <c r="U206" s="53"/>
      <c r="V206" s="53"/>
      <c r="W206" s="63"/>
      <c r="X206" s="61"/>
      <c r="Y206" s="53"/>
      <c r="Z206" s="53"/>
      <c r="AA206" s="61"/>
      <c r="AB206" s="61"/>
      <c r="AC206" s="53"/>
      <c r="AD206" s="53"/>
      <c r="AE206" s="53"/>
      <c r="AF206" s="53"/>
      <c r="AG206" s="53"/>
      <c r="AH206" s="53"/>
      <c r="AI206" s="63"/>
      <c r="AJ206" s="63"/>
      <c r="AK206" s="53"/>
      <c r="AL206" s="53"/>
      <c r="AM206" s="53"/>
      <c r="AN206" s="63"/>
      <c r="AO206" s="53"/>
      <c r="AP206" s="53"/>
      <c r="AQ206" s="63"/>
      <c r="AR206">
        <f t="shared" si="7"/>
        <v>1</v>
      </c>
    </row>
    <row r="207" spans="1:44" x14ac:dyDescent="0.25">
      <c r="B207" t="str">
        <f t="shared" si="6"/>
        <v>Losc - Koubemba</v>
      </c>
      <c r="C207" t="s">
        <v>739</v>
      </c>
      <c r="D207" s="50" t="s">
        <v>633</v>
      </c>
      <c r="E207" s="57" t="s">
        <v>733</v>
      </c>
      <c r="F207" s="52"/>
      <c r="G207" s="63"/>
      <c r="H207" s="146"/>
      <c r="I207" s="34"/>
      <c r="J207" s="150"/>
      <c r="K207" s="6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63"/>
      <c r="AF207" s="53"/>
      <c r="AG207" s="63"/>
      <c r="AH207" s="53"/>
      <c r="AI207" s="63"/>
      <c r="AJ207" s="63"/>
      <c r="AK207" s="53"/>
      <c r="AL207" s="53"/>
      <c r="AM207" s="53"/>
      <c r="AN207" s="53"/>
      <c r="AO207" s="63"/>
      <c r="AP207" s="53"/>
      <c r="AQ207" s="53"/>
      <c r="AR207">
        <f t="shared" si="7"/>
        <v>0</v>
      </c>
    </row>
    <row r="208" spans="1:44" x14ac:dyDescent="0.25">
      <c r="B208" t="str">
        <f t="shared" si="6"/>
        <v>Losc - Araujo</v>
      </c>
      <c r="C208" t="s">
        <v>739</v>
      </c>
      <c r="D208" s="50" t="s">
        <v>633</v>
      </c>
      <c r="E208" s="57" t="s">
        <v>734</v>
      </c>
      <c r="F208" s="52"/>
      <c r="G208" s="63">
        <v>1</v>
      </c>
      <c r="H208" s="146"/>
      <c r="I208" s="34"/>
      <c r="J208" s="150"/>
      <c r="K208" s="6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 t="s">
        <v>611</v>
      </c>
      <c r="X208" s="53"/>
      <c r="Y208" s="53"/>
      <c r="Z208" s="53"/>
      <c r="AA208" s="53"/>
      <c r="AB208" s="53"/>
      <c r="AC208" s="53"/>
      <c r="AD208" s="53"/>
      <c r="AE208" s="63"/>
      <c r="AF208" s="53"/>
      <c r="AG208" s="63"/>
      <c r="AH208" s="53"/>
      <c r="AI208" s="63"/>
      <c r="AJ208" s="63"/>
      <c r="AK208" s="53"/>
      <c r="AL208" s="53"/>
      <c r="AM208" s="53"/>
      <c r="AN208" s="53"/>
      <c r="AO208" s="63"/>
      <c r="AP208" s="53"/>
      <c r="AQ208" s="53"/>
      <c r="AR208">
        <f t="shared" si="7"/>
        <v>1</v>
      </c>
    </row>
    <row r="209" spans="2:44" x14ac:dyDescent="0.25">
      <c r="B209" t="str">
        <f t="shared" si="6"/>
        <v>Losc - Tallo</v>
      </c>
      <c r="C209" t="s">
        <v>739</v>
      </c>
      <c r="D209" t="s">
        <v>633</v>
      </c>
      <c r="E209" t="s">
        <v>735</v>
      </c>
      <c r="F209" s="31">
        <v>12</v>
      </c>
      <c r="G209" s="99">
        <v>7</v>
      </c>
      <c r="H209" s="73"/>
      <c r="I209" s="34">
        <f>AVERAGE(N209,O209,Q209,R209,S209,X209,Y209,AC209,AD209,AE209,AI209)</f>
        <v>4.0909090909090908</v>
      </c>
      <c r="J209" s="87" t="s">
        <v>611</v>
      </c>
      <c r="K209" s="37" t="s">
        <v>611</v>
      </c>
      <c r="L209" s="24"/>
      <c r="M209" s="24"/>
      <c r="N209" s="24">
        <v>4</v>
      </c>
      <c r="O209" s="24">
        <v>5</v>
      </c>
      <c r="P209" s="24" t="s">
        <v>641</v>
      </c>
      <c r="Q209" s="24">
        <v>4</v>
      </c>
      <c r="R209" s="24">
        <v>4</v>
      </c>
      <c r="S209" s="24">
        <v>4</v>
      </c>
      <c r="T209" s="24"/>
      <c r="U209" s="24"/>
      <c r="V209" s="37" t="s">
        <v>611</v>
      </c>
      <c r="W209" s="27"/>
      <c r="X209" s="82">
        <v>3</v>
      </c>
      <c r="Y209" s="24">
        <v>4</v>
      </c>
      <c r="Z209" s="37" t="s">
        <v>611</v>
      </c>
      <c r="AA209" s="37" t="s">
        <v>611</v>
      </c>
      <c r="AB209" s="37" t="s">
        <v>611</v>
      </c>
      <c r="AC209" s="24">
        <v>5</v>
      </c>
      <c r="AD209" s="24">
        <v>4</v>
      </c>
      <c r="AE209" s="82">
        <v>3</v>
      </c>
      <c r="AF209" s="24"/>
      <c r="AG209" s="24"/>
      <c r="AH209" s="24"/>
      <c r="AI209" s="27">
        <v>5</v>
      </c>
      <c r="AJ209" s="26" t="s">
        <v>611</v>
      </c>
      <c r="AK209" s="24"/>
      <c r="AL209" s="24"/>
      <c r="AM209" s="24"/>
      <c r="AN209" s="27"/>
      <c r="AO209" s="24"/>
      <c r="AP209" s="24"/>
      <c r="AQ209" s="27"/>
      <c r="AR209">
        <f t="shared" si="7"/>
        <v>19</v>
      </c>
    </row>
    <row r="210" spans="2:44" x14ac:dyDescent="0.25">
      <c r="B210" t="str">
        <f t="shared" si="6"/>
        <v>Losc - Guillaume</v>
      </c>
      <c r="C210" t="s">
        <v>739</v>
      </c>
      <c r="D210" s="38" t="s">
        <v>633</v>
      </c>
      <c r="E210" t="s">
        <v>736</v>
      </c>
      <c r="F210" s="31">
        <v>5</v>
      </c>
      <c r="G210" s="99">
        <v>5</v>
      </c>
      <c r="H210" s="73"/>
      <c r="I210" s="34">
        <f>AVERAGE(K210,L210,M210,P210,T210,U210)</f>
        <v>4.5</v>
      </c>
      <c r="J210" s="48"/>
      <c r="K210" s="24">
        <v>5</v>
      </c>
      <c r="L210" s="24">
        <v>4</v>
      </c>
      <c r="M210" s="24">
        <v>4</v>
      </c>
      <c r="N210" s="24"/>
      <c r="O210" s="37" t="s">
        <v>611</v>
      </c>
      <c r="P210" s="24">
        <v>4</v>
      </c>
      <c r="Q210" s="24"/>
      <c r="R210" s="24"/>
      <c r="S210" s="37" t="s">
        <v>611</v>
      </c>
      <c r="T210" s="24">
        <v>5</v>
      </c>
      <c r="U210" s="24">
        <v>5</v>
      </c>
      <c r="V210" s="24"/>
      <c r="W210" s="27"/>
      <c r="X210" s="37" t="s">
        <v>611</v>
      </c>
      <c r="Y210" s="37" t="s">
        <v>611</v>
      </c>
      <c r="Z210" s="24"/>
      <c r="AA210" s="24"/>
      <c r="AB210" s="24"/>
      <c r="AC210" s="24"/>
      <c r="AD210" s="24"/>
      <c r="AE210" s="24"/>
      <c r="AF210" s="24"/>
      <c r="AG210" s="24"/>
      <c r="AH210" s="24"/>
      <c r="AI210" s="27"/>
      <c r="AJ210" s="27"/>
      <c r="AK210" s="24"/>
      <c r="AL210" s="24"/>
      <c r="AM210" s="24"/>
      <c r="AN210" s="27"/>
      <c r="AO210" s="24"/>
      <c r="AP210" s="24"/>
      <c r="AQ210" s="27"/>
      <c r="AR210">
        <f t="shared" si="7"/>
        <v>10</v>
      </c>
    </row>
    <row r="211" spans="2:44" x14ac:dyDescent="0.25">
      <c r="B211" t="str">
        <f t="shared" si="6"/>
        <v>Losc - Nangis</v>
      </c>
      <c r="C211" t="s">
        <v>739</v>
      </c>
      <c r="D211" s="38" t="s">
        <v>633</v>
      </c>
      <c r="E211" t="s">
        <v>737</v>
      </c>
      <c r="F211" s="31">
        <v>3</v>
      </c>
      <c r="G211" s="99">
        <v>7</v>
      </c>
      <c r="H211" s="73"/>
      <c r="I211" s="34">
        <f>AVERAGE(Q211,R211,S211,X211)</f>
        <v>4</v>
      </c>
      <c r="J211" s="48"/>
      <c r="K211" s="24"/>
      <c r="L211" s="24"/>
      <c r="M211" s="24"/>
      <c r="N211" s="37" t="s">
        <v>611</v>
      </c>
      <c r="O211" s="24"/>
      <c r="P211" s="37" t="s">
        <v>611</v>
      </c>
      <c r="Q211" s="24">
        <v>4</v>
      </c>
      <c r="R211" s="24">
        <v>4</v>
      </c>
      <c r="S211" s="24">
        <v>4</v>
      </c>
      <c r="T211" s="24"/>
      <c r="U211" s="24"/>
      <c r="V211" s="24"/>
      <c r="W211" s="26" t="s">
        <v>611</v>
      </c>
      <c r="X211" s="24">
        <v>4</v>
      </c>
      <c r="Y211" s="37" t="s">
        <v>611</v>
      </c>
      <c r="Z211" s="24"/>
      <c r="AA211" s="24"/>
      <c r="AB211" s="24"/>
      <c r="AC211" s="37" t="s">
        <v>611</v>
      </c>
      <c r="AD211" s="24"/>
      <c r="AE211" s="24"/>
      <c r="AF211" s="37" t="s">
        <v>611</v>
      </c>
      <c r="AG211" s="24"/>
      <c r="AH211" s="24"/>
      <c r="AI211" s="27"/>
      <c r="AJ211" s="27"/>
      <c r="AK211" s="24"/>
      <c r="AL211" s="24"/>
      <c r="AM211" s="24"/>
      <c r="AN211" s="27"/>
      <c r="AO211" s="24"/>
      <c r="AP211" s="24"/>
      <c r="AQ211" s="27"/>
      <c r="AR211">
        <f t="shared" si="7"/>
        <v>10</v>
      </c>
    </row>
    <row r="212" spans="2:44" x14ac:dyDescent="0.25">
      <c r="B212" t="str">
        <f t="shared" si="6"/>
        <v>Losc - Eder</v>
      </c>
      <c r="C212" t="s">
        <v>739</v>
      </c>
      <c r="D212" s="38" t="s">
        <v>633</v>
      </c>
      <c r="E212" s="127" t="s">
        <v>1059</v>
      </c>
      <c r="F212" s="31">
        <v>5</v>
      </c>
      <c r="G212" s="99">
        <v>1</v>
      </c>
      <c r="H212" s="73">
        <v>2</v>
      </c>
      <c r="I212" s="34">
        <f>AVERAGE(AG212,AH212,AK212,AL212,AM212,AN212)</f>
        <v>5</v>
      </c>
      <c r="J212" s="48"/>
      <c r="K212" s="24"/>
      <c r="L212" s="24"/>
      <c r="M212" s="24"/>
      <c r="N212" s="37"/>
      <c r="O212" s="24"/>
      <c r="P212" s="37"/>
      <c r="Q212" s="24"/>
      <c r="R212" s="24"/>
      <c r="S212" s="24"/>
      <c r="T212" s="24"/>
      <c r="U212" s="24"/>
      <c r="V212" s="24"/>
      <c r="W212" s="26"/>
      <c r="X212" s="24"/>
      <c r="Y212" s="37"/>
      <c r="Z212" s="24"/>
      <c r="AA212" s="24"/>
      <c r="AB212" s="24"/>
      <c r="AC212" s="37"/>
      <c r="AD212" s="24"/>
      <c r="AE212" s="24"/>
      <c r="AF212" s="37"/>
      <c r="AG212" s="37">
        <v>4</v>
      </c>
      <c r="AH212" s="22">
        <v>6</v>
      </c>
      <c r="AI212" s="27"/>
      <c r="AJ212" s="27"/>
      <c r="AK212" s="82">
        <v>3</v>
      </c>
      <c r="AL212" s="22">
        <v>6</v>
      </c>
      <c r="AM212" s="66">
        <v>7</v>
      </c>
      <c r="AN212" s="27">
        <v>4</v>
      </c>
      <c r="AO212" s="24"/>
      <c r="AP212" s="24"/>
      <c r="AQ212" s="27"/>
      <c r="AR212">
        <f t="shared" si="7"/>
        <v>6</v>
      </c>
    </row>
    <row r="213" spans="2:44" x14ac:dyDescent="0.25">
      <c r="B213" t="str">
        <f t="shared" si="6"/>
        <v>Losc - Benzia</v>
      </c>
      <c r="C213" t="s">
        <v>739</v>
      </c>
      <c r="D213" s="38" t="s">
        <v>633</v>
      </c>
      <c r="E213" t="s">
        <v>510</v>
      </c>
      <c r="F213" s="31">
        <v>16</v>
      </c>
      <c r="G213" s="99">
        <v>6</v>
      </c>
      <c r="H213" s="73">
        <v>5</v>
      </c>
      <c r="I213" s="34">
        <f>AVERAGE(N213,O213,Q213,P213,T213,W213,Y213,Z213,AA213,AB213,AC213,AF213,AG213,AH213,AI213,AJ213,AL213)</f>
        <v>4.7647058823529411</v>
      </c>
      <c r="J213" s="48"/>
      <c r="K213" s="24"/>
      <c r="L213" s="24"/>
      <c r="M213" s="24"/>
      <c r="N213" s="24">
        <v>4</v>
      </c>
      <c r="O213" s="24">
        <v>5</v>
      </c>
      <c r="P213" s="24">
        <v>4</v>
      </c>
      <c r="Q213" s="24">
        <v>4</v>
      </c>
      <c r="R213" s="37" t="s">
        <v>611</v>
      </c>
      <c r="S213" s="24"/>
      <c r="T213" s="24">
        <v>5</v>
      </c>
      <c r="U213" s="24"/>
      <c r="V213" s="24"/>
      <c r="W213" s="28">
        <v>6</v>
      </c>
      <c r="X213" s="37" t="s">
        <v>611</v>
      </c>
      <c r="Y213" s="25">
        <v>7</v>
      </c>
      <c r="Z213" s="25">
        <v>7</v>
      </c>
      <c r="AA213" s="24">
        <v>4</v>
      </c>
      <c r="AB213" s="24">
        <v>4</v>
      </c>
      <c r="AC213" s="25">
        <v>7</v>
      </c>
      <c r="AD213" s="37" t="s">
        <v>611</v>
      </c>
      <c r="AE213" s="37" t="s">
        <v>611</v>
      </c>
      <c r="AF213" s="24">
        <v>4</v>
      </c>
      <c r="AG213" s="24">
        <v>4</v>
      </c>
      <c r="AH213" s="37">
        <v>4</v>
      </c>
      <c r="AI213" s="27">
        <v>4</v>
      </c>
      <c r="AJ213" s="27">
        <v>4</v>
      </c>
      <c r="AK213" s="24"/>
      <c r="AL213" s="24">
        <v>4</v>
      </c>
      <c r="AM213" s="24"/>
      <c r="AN213" s="26" t="s">
        <v>611</v>
      </c>
      <c r="AO213" s="24"/>
      <c r="AP213" s="24"/>
      <c r="AQ213" s="27"/>
      <c r="AR213">
        <f t="shared" si="7"/>
        <v>22</v>
      </c>
    </row>
    <row r="214" spans="2:44" ht="15.75" thickBot="1" x14ac:dyDescent="0.3">
      <c r="B214" t="str">
        <f t="shared" si="6"/>
        <v>Losc - Guirassy</v>
      </c>
      <c r="C214" t="s">
        <v>739</v>
      </c>
      <c r="D214" s="220" t="s">
        <v>633</v>
      </c>
      <c r="E214" s="273" t="s">
        <v>738</v>
      </c>
      <c r="F214" s="221">
        <v>3</v>
      </c>
      <c r="G214" s="222">
        <v>5</v>
      </c>
      <c r="H214" s="261"/>
      <c r="I214" s="267">
        <f>AVERAGE(J214,V214,W214)</f>
        <v>4.666666666666667</v>
      </c>
      <c r="J214" s="64">
        <v>4</v>
      </c>
      <c r="K214" s="53"/>
      <c r="L214" s="61" t="s">
        <v>611</v>
      </c>
      <c r="M214" s="53"/>
      <c r="N214" s="53"/>
      <c r="O214" s="53"/>
      <c r="P214" s="53"/>
      <c r="Q214" s="61" t="s">
        <v>611</v>
      </c>
      <c r="R214" s="61" t="s">
        <v>611</v>
      </c>
      <c r="S214" s="53"/>
      <c r="T214" s="61" t="s">
        <v>611</v>
      </c>
      <c r="U214" s="61" t="s">
        <v>611</v>
      </c>
      <c r="V214" s="53">
        <v>5</v>
      </c>
      <c r="W214" s="63">
        <v>5</v>
      </c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63"/>
      <c r="AJ214" s="63"/>
      <c r="AK214" s="53"/>
      <c r="AL214" s="53"/>
      <c r="AM214" s="53"/>
      <c r="AN214" s="63"/>
      <c r="AO214" s="53"/>
      <c r="AP214" s="53"/>
      <c r="AQ214" s="63"/>
      <c r="AR214">
        <f t="shared" si="7"/>
        <v>8</v>
      </c>
    </row>
    <row r="215" spans="2:44" x14ac:dyDescent="0.25">
      <c r="B215" t="str">
        <f t="shared" si="6"/>
        <v>FCGB - Carrasso</v>
      </c>
      <c r="C215" t="s">
        <v>764</v>
      </c>
      <c r="D215" s="29" t="s">
        <v>605</v>
      </c>
      <c r="E215" t="s">
        <v>740</v>
      </c>
      <c r="F215" s="31">
        <v>20</v>
      </c>
      <c r="G215" s="99"/>
      <c r="H215" s="114" t="s">
        <v>647</v>
      </c>
      <c r="I215" s="34">
        <f>AVERAGE(M215,J215,N215,O215,P215,Q215,R215,S215,T215,U215,W215,X215,Y215,Z215,AA215,AB215,AC215,AD215,AE215)</f>
        <v>5.2105263157894735</v>
      </c>
      <c r="J215" s="23">
        <v>5</v>
      </c>
      <c r="K215" s="24"/>
      <c r="L215" s="24"/>
      <c r="M215" s="22">
        <v>6</v>
      </c>
      <c r="N215" s="24">
        <v>4</v>
      </c>
      <c r="O215" s="24">
        <v>5</v>
      </c>
      <c r="P215" s="24">
        <v>4</v>
      </c>
      <c r="Q215" s="24">
        <v>5</v>
      </c>
      <c r="R215" s="24">
        <v>4</v>
      </c>
      <c r="S215" s="22">
        <v>5</v>
      </c>
      <c r="T215" s="22">
        <v>6</v>
      </c>
      <c r="U215" s="24">
        <v>4</v>
      </c>
      <c r="V215" s="24" t="s">
        <v>641</v>
      </c>
      <c r="W215" s="24">
        <v>5</v>
      </c>
      <c r="X215" s="23">
        <v>5</v>
      </c>
      <c r="Y215" s="23">
        <v>6</v>
      </c>
      <c r="Z215" s="22">
        <v>6</v>
      </c>
      <c r="AA215" s="24">
        <v>5</v>
      </c>
      <c r="AB215" s="24">
        <v>6</v>
      </c>
      <c r="AC215" s="25">
        <v>7</v>
      </c>
      <c r="AD215" s="25">
        <v>7</v>
      </c>
      <c r="AE215" s="23">
        <v>4</v>
      </c>
      <c r="AF215" s="24"/>
      <c r="AG215" s="22"/>
      <c r="AH215" s="22"/>
      <c r="AI215" s="27"/>
      <c r="AJ215" s="24"/>
      <c r="AK215" s="27"/>
      <c r="AL215" s="24"/>
      <c r="AM215" s="24"/>
      <c r="AN215" s="27"/>
      <c r="AO215" s="22"/>
      <c r="AP215" s="27"/>
      <c r="AQ215" s="27"/>
      <c r="AR215">
        <f t="shared" si="7"/>
        <v>20</v>
      </c>
    </row>
    <row r="216" spans="2:44" x14ac:dyDescent="0.25">
      <c r="B216" t="str">
        <f t="shared" si="6"/>
        <v>FCGB - Bernardoni</v>
      </c>
      <c r="C216" t="s">
        <v>764</v>
      </c>
      <c r="D216" s="29" t="s">
        <v>605</v>
      </c>
      <c r="E216" s="127" t="s">
        <v>981</v>
      </c>
      <c r="F216" s="31">
        <v>7</v>
      </c>
      <c r="G216" s="99"/>
      <c r="H216" s="114"/>
      <c r="I216" s="34">
        <f>AVERAGE(AG216,AH216,AI216,AJ216,AK216,AL216,AM216)</f>
        <v>4.5714285714285712</v>
      </c>
      <c r="J216" s="23"/>
      <c r="K216" s="24"/>
      <c r="L216" s="24"/>
      <c r="M216" s="22"/>
      <c r="N216" s="24"/>
      <c r="O216" s="24"/>
      <c r="P216" s="24"/>
      <c r="Q216" s="24"/>
      <c r="R216" s="24"/>
      <c r="S216" s="22"/>
      <c r="T216" s="22"/>
      <c r="U216" s="24"/>
      <c r="V216" s="24"/>
      <c r="W216" s="24"/>
      <c r="X216" s="23"/>
      <c r="Y216" s="23"/>
      <c r="Z216" s="22"/>
      <c r="AA216" s="24"/>
      <c r="AB216" s="24"/>
      <c r="AC216" s="25"/>
      <c r="AD216" s="25"/>
      <c r="AE216" s="23"/>
      <c r="AF216" s="24"/>
      <c r="AG216" s="163">
        <v>2</v>
      </c>
      <c r="AH216" s="23">
        <v>5</v>
      </c>
      <c r="AI216" s="27">
        <v>4</v>
      </c>
      <c r="AJ216" s="22">
        <v>6</v>
      </c>
      <c r="AK216" s="27">
        <v>4</v>
      </c>
      <c r="AL216" s="24">
        <v>5</v>
      </c>
      <c r="AM216" s="24">
        <v>6</v>
      </c>
      <c r="AN216" s="27"/>
      <c r="AO216" s="22"/>
      <c r="AP216" s="27"/>
      <c r="AQ216" s="27"/>
      <c r="AR216">
        <f t="shared" si="7"/>
        <v>7</v>
      </c>
    </row>
    <row r="217" spans="2:44" x14ac:dyDescent="0.25">
      <c r="B217" t="str">
        <f t="shared" si="6"/>
        <v>FCGB - Prior</v>
      </c>
      <c r="C217" t="s">
        <v>764</v>
      </c>
      <c r="D217" s="67" t="s">
        <v>605</v>
      </c>
      <c r="E217" s="154" t="s">
        <v>741</v>
      </c>
      <c r="F217" s="69">
        <v>4</v>
      </c>
      <c r="G217" s="115">
        <v>2</v>
      </c>
      <c r="H217" s="123"/>
      <c r="I217" s="44">
        <f>AVERAGE(K217,L217,V217,AN217,AF217)</f>
        <v>5.8</v>
      </c>
      <c r="J217" s="24"/>
      <c r="K217" s="24">
        <v>5</v>
      </c>
      <c r="L217" s="25">
        <v>7</v>
      </c>
      <c r="M217" s="24"/>
      <c r="N217" s="24"/>
      <c r="O217" s="24"/>
      <c r="P217" s="24"/>
      <c r="Q217" s="24"/>
      <c r="R217" s="24"/>
      <c r="S217" s="24"/>
      <c r="T217" s="24"/>
      <c r="U217" s="24"/>
      <c r="V217" s="24">
        <v>6</v>
      </c>
      <c r="W217" s="24"/>
      <c r="X217" s="24"/>
      <c r="Y217" s="24"/>
      <c r="Z217" s="24"/>
      <c r="AA217" s="24"/>
      <c r="AB217" s="24"/>
      <c r="AC217" s="24"/>
      <c r="AD217" s="24"/>
      <c r="AE217" s="37" t="s">
        <v>611</v>
      </c>
      <c r="AF217" s="22">
        <v>6</v>
      </c>
      <c r="AG217" s="24"/>
      <c r="AH217" s="24"/>
      <c r="AI217" s="27"/>
      <c r="AJ217" s="24"/>
      <c r="AK217" s="27"/>
      <c r="AL217" s="24"/>
      <c r="AM217" s="24"/>
      <c r="AN217" s="27">
        <v>5</v>
      </c>
      <c r="AO217" s="24"/>
      <c r="AP217" s="27"/>
      <c r="AQ217" s="27"/>
      <c r="AR217">
        <f t="shared" si="7"/>
        <v>6</v>
      </c>
    </row>
    <row r="218" spans="2:44" x14ac:dyDescent="0.25">
      <c r="B218" t="str">
        <f t="shared" si="6"/>
        <v>FCGB - L. Sané</v>
      </c>
      <c r="C218" t="s">
        <v>764</v>
      </c>
      <c r="D218" s="29" t="s">
        <v>608</v>
      </c>
      <c r="E218" t="s">
        <v>742</v>
      </c>
      <c r="F218" s="31">
        <v>9</v>
      </c>
      <c r="G218" s="99">
        <v>1</v>
      </c>
      <c r="H218" s="73"/>
      <c r="I218" s="34">
        <f>AVERAGE(S218,T218,U218,V218,W218,X218,AK218,AL218,AM218)</f>
        <v>4.666666666666667</v>
      </c>
      <c r="J218" s="24"/>
      <c r="K218" s="24"/>
      <c r="L218" s="24"/>
      <c r="M218" s="24"/>
      <c r="N218" s="24"/>
      <c r="O218" s="24"/>
      <c r="P218" s="24"/>
      <c r="Q218" s="24"/>
      <c r="R218" s="24"/>
      <c r="S218" s="24">
        <v>6</v>
      </c>
      <c r="T218" s="24">
        <v>5</v>
      </c>
      <c r="U218" s="24">
        <v>5</v>
      </c>
      <c r="V218" s="24">
        <v>6</v>
      </c>
      <c r="W218" s="37">
        <v>5</v>
      </c>
      <c r="X218" s="24">
        <v>4</v>
      </c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7"/>
      <c r="AJ218" s="37" t="s">
        <v>611</v>
      </c>
      <c r="AK218" s="244">
        <v>2</v>
      </c>
      <c r="AL218" s="23">
        <v>6</v>
      </c>
      <c r="AM218" s="82">
        <v>3</v>
      </c>
      <c r="AN218" s="27"/>
      <c r="AO218" s="24"/>
      <c r="AP218" s="27"/>
      <c r="AQ218" s="27"/>
      <c r="AR218">
        <f t="shared" si="7"/>
        <v>10</v>
      </c>
    </row>
    <row r="219" spans="2:44" x14ac:dyDescent="0.25">
      <c r="B219" t="str">
        <f t="shared" si="6"/>
        <v>FCGB - Pallois</v>
      </c>
      <c r="C219" t="s">
        <v>764</v>
      </c>
      <c r="D219" s="29" t="s">
        <v>608</v>
      </c>
      <c r="E219" s="155" t="s">
        <v>743</v>
      </c>
      <c r="F219" s="31">
        <v>13</v>
      </c>
      <c r="G219" s="99"/>
      <c r="H219" s="114" t="s">
        <v>647</v>
      </c>
      <c r="I219" s="34">
        <f>AVERAGE(K219,L219,M219,J219,N219,O219,P219,Q219,R219,S219,U219,V219)</f>
        <v>4.916666666666667</v>
      </c>
      <c r="J219" s="24">
        <v>5</v>
      </c>
      <c r="K219" s="24">
        <v>5</v>
      </c>
      <c r="L219" s="37">
        <v>5</v>
      </c>
      <c r="M219" s="24">
        <v>6</v>
      </c>
      <c r="N219" s="24">
        <v>5</v>
      </c>
      <c r="O219" s="24">
        <v>5</v>
      </c>
      <c r="P219" s="82">
        <v>3</v>
      </c>
      <c r="Q219" s="24">
        <v>5</v>
      </c>
      <c r="R219" s="24">
        <v>5</v>
      </c>
      <c r="S219" s="24">
        <v>5</v>
      </c>
      <c r="T219" s="24"/>
      <c r="U219" s="24">
        <v>5</v>
      </c>
      <c r="V219" s="24">
        <v>5</v>
      </c>
      <c r="W219" s="24" t="s">
        <v>641</v>
      </c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7"/>
      <c r="AJ219" s="24"/>
      <c r="AK219" s="27"/>
      <c r="AL219" s="24"/>
      <c r="AM219" s="24"/>
      <c r="AN219" s="27"/>
      <c r="AO219" s="24"/>
      <c r="AP219" s="27"/>
      <c r="AQ219" s="27"/>
      <c r="AR219">
        <f t="shared" si="7"/>
        <v>13</v>
      </c>
    </row>
    <row r="220" spans="2:44" x14ac:dyDescent="0.25">
      <c r="B220" t="str">
        <f t="shared" si="6"/>
        <v>FCGB - Contento</v>
      </c>
      <c r="C220" t="s">
        <v>764</v>
      </c>
      <c r="D220" s="29" t="s">
        <v>608</v>
      </c>
      <c r="E220" s="124" t="s">
        <v>744</v>
      </c>
      <c r="F220" s="31">
        <v>18</v>
      </c>
      <c r="G220" s="99">
        <v>1</v>
      </c>
      <c r="H220" s="73">
        <v>2</v>
      </c>
      <c r="I220" s="34">
        <f>AVERAGE(K220,V220,W220,X220,Y220,Z220,AA220,AB220,AC220,AD220,AE220,AF220,AG220,AH220,AK220,AL220,AN220)</f>
        <v>5.2352941176470589</v>
      </c>
      <c r="J220" s="24"/>
      <c r="K220" s="24">
        <v>5</v>
      </c>
      <c r="L220" s="37"/>
      <c r="M220" s="24"/>
      <c r="N220" s="37" t="s">
        <v>611</v>
      </c>
      <c r="O220" s="37" t="s">
        <v>641</v>
      </c>
      <c r="P220" s="24"/>
      <c r="Q220" s="24"/>
      <c r="R220" s="24"/>
      <c r="S220" s="24"/>
      <c r="T220" s="37"/>
      <c r="U220" s="24"/>
      <c r="V220" s="24">
        <v>6</v>
      </c>
      <c r="W220" s="22">
        <v>6</v>
      </c>
      <c r="X220" s="24">
        <v>5</v>
      </c>
      <c r="Y220" s="24">
        <v>6</v>
      </c>
      <c r="Z220" s="24">
        <v>5</v>
      </c>
      <c r="AA220" s="24">
        <v>5</v>
      </c>
      <c r="AB220" s="24">
        <v>5</v>
      </c>
      <c r="AC220" s="24">
        <v>6</v>
      </c>
      <c r="AD220" s="24">
        <v>6</v>
      </c>
      <c r="AE220" s="24">
        <v>5</v>
      </c>
      <c r="AF220" s="24">
        <v>6</v>
      </c>
      <c r="AG220" s="24">
        <v>4</v>
      </c>
      <c r="AH220" s="82">
        <v>3</v>
      </c>
      <c r="AI220" s="27"/>
      <c r="AJ220" s="24"/>
      <c r="AK220" s="244">
        <v>2</v>
      </c>
      <c r="AL220" s="66">
        <v>7</v>
      </c>
      <c r="AM220" s="24"/>
      <c r="AN220" s="254">
        <v>7</v>
      </c>
      <c r="AO220" s="24"/>
      <c r="AP220" s="26"/>
      <c r="AQ220" s="27"/>
      <c r="AR220">
        <f t="shared" si="7"/>
        <v>19</v>
      </c>
    </row>
    <row r="221" spans="2:44" x14ac:dyDescent="0.25">
      <c r="B221" t="str">
        <f t="shared" si="6"/>
        <v>FCGB - Poundjé</v>
      </c>
      <c r="C221" t="s">
        <v>764</v>
      </c>
      <c r="D221" s="29" t="s">
        <v>608</v>
      </c>
      <c r="E221" s="60" t="s">
        <v>745</v>
      </c>
      <c r="F221" s="31">
        <v>12</v>
      </c>
      <c r="G221" s="99"/>
      <c r="H221" s="73"/>
      <c r="I221" s="34">
        <f>AVERAGE(L221,M221,J221,N221,P221,Q221,R221,T221,U221,AI221,AJ221,AM221)</f>
        <v>5</v>
      </c>
      <c r="J221" s="24">
        <v>5</v>
      </c>
      <c r="K221" s="24"/>
      <c r="L221" s="37">
        <v>6</v>
      </c>
      <c r="M221" s="24">
        <v>5</v>
      </c>
      <c r="N221" s="24">
        <v>4</v>
      </c>
      <c r="O221" s="24"/>
      <c r="P221" s="24">
        <v>5</v>
      </c>
      <c r="Q221" s="24">
        <v>5</v>
      </c>
      <c r="R221" s="24">
        <v>6</v>
      </c>
      <c r="S221" s="24"/>
      <c r="T221" s="24">
        <v>5</v>
      </c>
      <c r="U221" s="24">
        <v>5</v>
      </c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2"/>
      <c r="AG221" s="24"/>
      <c r="AH221" s="24"/>
      <c r="AI221" s="27">
        <v>5</v>
      </c>
      <c r="AJ221" s="24">
        <v>6</v>
      </c>
      <c r="AK221" s="27"/>
      <c r="AL221" s="24"/>
      <c r="AM221" s="82">
        <v>3</v>
      </c>
      <c r="AN221" s="27"/>
      <c r="AO221" s="24"/>
      <c r="AP221" s="27"/>
      <c r="AQ221" s="27"/>
      <c r="AR221">
        <f t="shared" si="7"/>
        <v>12</v>
      </c>
    </row>
    <row r="222" spans="2:44" x14ac:dyDescent="0.25">
      <c r="B222" t="str">
        <f t="shared" si="6"/>
        <v>FCGB - Yambére</v>
      </c>
      <c r="C222" t="s">
        <v>764</v>
      </c>
      <c r="D222" s="29" t="s">
        <v>608</v>
      </c>
      <c r="E222" s="60" t="s">
        <v>746</v>
      </c>
      <c r="F222" s="31">
        <v>21</v>
      </c>
      <c r="G222" s="99">
        <v>2</v>
      </c>
      <c r="H222" s="73">
        <v>3</v>
      </c>
      <c r="I222" s="34">
        <f>AVERAGE(K222,L222,M222,J222,O222,V222,W222,X222,Y222,Z222,AA222,AB222,AC222,AD222,AE222,AF222,AG222,AH222,AI222,AJ222,AK222,AN222)</f>
        <v>5.0909090909090908</v>
      </c>
      <c r="J222" s="24">
        <v>4</v>
      </c>
      <c r="K222" s="24">
        <v>5</v>
      </c>
      <c r="L222" s="37">
        <v>5</v>
      </c>
      <c r="M222" s="24">
        <v>5</v>
      </c>
      <c r="N222" s="24"/>
      <c r="O222" s="24">
        <v>5</v>
      </c>
      <c r="P222" s="24"/>
      <c r="Q222" s="24"/>
      <c r="R222" s="24"/>
      <c r="S222" s="24"/>
      <c r="T222" s="24"/>
      <c r="U222" s="24"/>
      <c r="V222" s="22">
        <v>6</v>
      </c>
      <c r="W222" s="24">
        <v>5</v>
      </c>
      <c r="X222" s="24">
        <v>5</v>
      </c>
      <c r="Y222" s="24">
        <v>5</v>
      </c>
      <c r="Z222" s="25">
        <v>7</v>
      </c>
      <c r="AA222" s="24">
        <v>4</v>
      </c>
      <c r="AB222" s="24">
        <v>5</v>
      </c>
      <c r="AC222" s="84">
        <v>7</v>
      </c>
      <c r="AD222" s="66">
        <v>7</v>
      </c>
      <c r="AE222" s="24">
        <v>5</v>
      </c>
      <c r="AF222" s="66">
        <v>7</v>
      </c>
      <c r="AG222" s="82">
        <v>3</v>
      </c>
      <c r="AH222" s="274">
        <v>3</v>
      </c>
      <c r="AI222" s="27">
        <v>5</v>
      </c>
      <c r="AJ222" s="24">
        <v>6</v>
      </c>
      <c r="AK222" s="244">
        <v>3</v>
      </c>
      <c r="AL222" s="24"/>
      <c r="AM222" s="37" t="s">
        <v>611</v>
      </c>
      <c r="AN222" s="27">
        <v>5</v>
      </c>
      <c r="AO222" s="22"/>
      <c r="AP222" s="27"/>
      <c r="AQ222" s="27"/>
      <c r="AR222">
        <f t="shared" si="7"/>
        <v>23</v>
      </c>
    </row>
    <row r="223" spans="2:44" x14ac:dyDescent="0.25">
      <c r="B223" t="str">
        <f t="shared" si="6"/>
        <v>FCGB - Hassani</v>
      </c>
      <c r="C223" t="s">
        <v>764</v>
      </c>
      <c r="D223" s="29" t="s">
        <v>608</v>
      </c>
      <c r="E223" s="155" t="s">
        <v>749</v>
      </c>
      <c r="F223" s="31"/>
      <c r="G223" s="99">
        <v>1</v>
      </c>
      <c r="H223" s="73"/>
      <c r="I223" s="34"/>
      <c r="J223" s="38"/>
      <c r="K223" s="24"/>
      <c r="L223" s="37"/>
      <c r="M223" s="22"/>
      <c r="N223" s="24"/>
      <c r="O223" s="24"/>
      <c r="P223" s="24"/>
      <c r="Q223" s="37"/>
      <c r="R223" s="24"/>
      <c r="S223" s="24"/>
      <c r="T223" s="24"/>
      <c r="U223" s="24"/>
      <c r="V223" s="24"/>
      <c r="W223" s="24"/>
      <c r="X223" s="24"/>
      <c r="Y223" s="37" t="s">
        <v>611</v>
      </c>
      <c r="Z223" s="24"/>
      <c r="AA223" s="24"/>
      <c r="AB223" s="24"/>
      <c r="AC223" s="37"/>
      <c r="AD223" s="24"/>
      <c r="AE223" s="24"/>
      <c r="AF223" s="24"/>
      <c r="AG223" s="24"/>
      <c r="AH223" s="24"/>
      <c r="AI223" s="27"/>
      <c r="AJ223" s="24"/>
      <c r="AK223" s="24"/>
      <c r="AL223" s="24"/>
      <c r="AM223" s="24"/>
      <c r="AN223" s="37"/>
      <c r="AO223" s="24"/>
      <c r="AP223" s="24"/>
      <c r="AQ223" s="24"/>
      <c r="AR223">
        <f t="shared" si="7"/>
        <v>1</v>
      </c>
    </row>
    <row r="224" spans="2:44" x14ac:dyDescent="0.25">
      <c r="B224" t="str">
        <f t="shared" si="6"/>
        <v>FCGB - Debuchy</v>
      </c>
      <c r="C224" t="s">
        <v>764</v>
      </c>
      <c r="D224" s="29" t="s">
        <v>608</v>
      </c>
      <c r="E224" s="155" t="s">
        <v>1060</v>
      </c>
      <c r="F224" s="31">
        <v>4</v>
      </c>
      <c r="G224" s="99"/>
      <c r="H224" s="73"/>
      <c r="I224" s="34">
        <f>AVERAGE(AG224,AH224,AI224,AJ224)</f>
        <v>4.5</v>
      </c>
      <c r="J224" s="38"/>
      <c r="K224" s="24"/>
      <c r="L224" s="37"/>
      <c r="M224" s="22"/>
      <c r="N224" s="24"/>
      <c r="O224" s="24"/>
      <c r="P224" s="24"/>
      <c r="Q224" s="37"/>
      <c r="R224" s="24"/>
      <c r="S224" s="24"/>
      <c r="T224" s="24"/>
      <c r="U224" s="24"/>
      <c r="V224" s="24"/>
      <c r="W224" s="24"/>
      <c r="X224" s="24"/>
      <c r="Y224" s="37"/>
      <c r="Z224" s="24"/>
      <c r="AA224" s="37"/>
      <c r="AB224" s="24"/>
      <c r="AC224" s="37"/>
      <c r="AD224" s="24"/>
      <c r="AE224" s="24"/>
      <c r="AF224" s="24"/>
      <c r="AG224" s="24">
        <v>5</v>
      </c>
      <c r="AH224" s="82">
        <v>3</v>
      </c>
      <c r="AI224" s="27">
        <v>5</v>
      </c>
      <c r="AJ224" s="24">
        <v>5</v>
      </c>
      <c r="AK224" s="24"/>
      <c r="AL224" s="24"/>
      <c r="AM224" s="24"/>
      <c r="AN224" s="37"/>
      <c r="AO224" s="24"/>
      <c r="AP224" s="24"/>
      <c r="AQ224" s="24"/>
      <c r="AR224">
        <f t="shared" si="7"/>
        <v>4</v>
      </c>
    </row>
    <row r="225" spans="1:44" x14ac:dyDescent="0.25">
      <c r="B225" t="str">
        <f t="shared" si="6"/>
        <v>FCGB - Pablo</v>
      </c>
      <c r="C225" t="s">
        <v>764</v>
      </c>
      <c r="D225" s="29" t="s">
        <v>608</v>
      </c>
      <c r="E225" s="65" t="s">
        <v>502</v>
      </c>
      <c r="F225" s="31">
        <v>11</v>
      </c>
      <c r="G225" s="99"/>
      <c r="H225" s="73">
        <v>1</v>
      </c>
      <c r="I225" s="34">
        <f>AVERAGE(N225,O225,P225,Q225,R225,S225,T225,Z225,AL225,AM225,AN225)</f>
        <v>4.8181818181818183</v>
      </c>
      <c r="J225" s="38"/>
      <c r="K225" s="24"/>
      <c r="L225" s="37"/>
      <c r="M225" s="22"/>
      <c r="N225" s="24">
        <v>4</v>
      </c>
      <c r="O225" s="24">
        <v>5</v>
      </c>
      <c r="P225" s="24">
        <v>4</v>
      </c>
      <c r="Q225" s="22">
        <v>6</v>
      </c>
      <c r="R225" s="24">
        <v>5</v>
      </c>
      <c r="S225" s="24">
        <v>6</v>
      </c>
      <c r="T225" s="24">
        <v>5</v>
      </c>
      <c r="U225" s="24"/>
      <c r="V225" s="24"/>
      <c r="W225" s="24"/>
      <c r="X225" s="24"/>
      <c r="Y225" s="24"/>
      <c r="Z225" s="24">
        <v>4</v>
      </c>
      <c r="AA225" s="24"/>
      <c r="AB225" s="24"/>
      <c r="AC225" s="37"/>
      <c r="AD225" s="24"/>
      <c r="AE225" s="24"/>
      <c r="AF225" s="24"/>
      <c r="AG225" s="24"/>
      <c r="AH225" s="24"/>
      <c r="AI225" s="27"/>
      <c r="AJ225" s="24"/>
      <c r="AK225" s="24"/>
      <c r="AL225" s="24">
        <v>6</v>
      </c>
      <c r="AM225" s="82">
        <v>3</v>
      </c>
      <c r="AN225" s="37">
        <v>5</v>
      </c>
      <c r="AO225" s="24"/>
      <c r="AP225" s="24"/>
      <c r="AQ225" s="24"/>
      <c r="AR225">
        <f t="shared" si="7"/>
        <v>11</v>
      </c>
    </row>
    <row r="226" spans="1:44" x14ac:dyDescent="0.25">
      <c r="B226" t="str">
        <f t="shared" si="6"/>
        <v>FCGB - Pellenard</v>
      </c>
      <c r="C226" t="s">
        <v>764</v>
      </c>
      <c r="D226" s="39" t="s">
        <v>608</v>
      </c>
      <c r="E226" s="232" t="s">
        <v>751</v>
      </c>
      <c r="F226" s="41"/>
      <c r="G226" s="233"/>
      <c r="H226" s="40"/>
      <c r="I226" s="72"/>
      <c r="J226" s="150"/>
      <c r="K226" s="63"/>
      <c r="L226" s="61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63"/>
      <c r="AF226" s="53"/>
      <c r="AG226" s="63"/>
      <c r="AH226" s="53"/>
      <c r="AI226" s="63"/>
      <c r="AJ226" s="63"/>
      <c r="AK226" s="53"/>
      <c r="AL226" s="53"/>
      <c r="AM226" s="53"/>
      <c r="AN226" s="53"/>
      <c r="AO226" s="63"/>
      <c r="AP226" s="53"/>
      <c r="AQ226" s="53"/>
      <c r="AR226">
        <f t="shared" si="7"/>
        <v>0</v>
      </c>
    </row>
    <row r="227" spans="1:44" x14ac:dyDescent="0.25">
      <c r="B227" t="str">
        <f t="shared" si="6"/>
        <v>FCGB - Sertic</v>
      </c>
      <c r="C227" t="s">
        <v>764</v>
      </c>
      <c r="D227" s="29" t="s">
        <v>622</v>
      </c>
      <c r="E227" s="30" t="s">
        <v>752</v>
      </c>
      <c r="F227" s="31">
        <v>1</v>
      </c>
      <c r="G227" s="99"/>
      <c r="H227" s="73"/>
      <c r="I227" s="34"/>
      <c r="J227" s="24" t="s">
        <v>641</v>
      </c>
      <c r="K227" s="24"/>
      <c r="L227" s="77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37"/>
      <c r="Y227" s="24"/>
      <c r="Z227" s="37"/>
      <c r="AA227" s="24"/>
      <c r="AB227" s="24"/>
      <c r="AC227" s="24"/>
      <c r="AD227" s="24"/>
      <c r="AE227" s="24"/>
      <c r="AF227" s="24"/>
      <c r="AG227" s="24"/>
      <c r="AH227" s="24"/>
      <c r="AI227" s="26"/>
      <c r="AJ227" s="37"/>
      <c r="AK227" s="27"/>
      <c r="AL227" s="24"/>
      <c r="AM227" s="24"/>
      <c r="AN227" s="27"/>
      <c r="AO227" s="24"/>
      <c r="AP227" s="27"/>
      <c r="AQ227" s="27"/>
      <c r="AR227">
        <f t="shared" si="7"/>
        <v>1</v>
      </c>
    </row>
    <row r="228" spans="1:44" x14ac:dyDescent="0.25">
      <c r="B228" t="str">
        <f t="shared" si="6"/>
        <v>FCGB - B. Poko</v>
      </c>
      <c r="C228" t="s">
        <v>764</v>
      </c>
      <c r="D228" s="29" t="s">
        <v>622</v>
      </c>
      <c r="E228" s="30" t="s">
        <v>753</v>
      </c>
      <c r="F228" s="31">
        <v>17</v>
      </c>
      <c r="G228" s="99">
        <v>5</v>
      </c>
      <c r="H228" s="73"/>
      <c r="I228" s="34">
        <f>AVERAGE(K228,J228,N228,O228,Q228,R228,U228,V228,X228,AA228,AB228,AC228,AD228,AE228,AF228,AI228,AK228,AM228)</f>
        <v>4.7777777777777777</v>
      </c>
      <c r="J228" s="24">
        <v>4</v>
      </c>
      <c r="K228" s="24">
        <v>4</v>
      </c>
      <c r="L228" s="37" t="s">
        <v>611</v>
      </c>
      <c r="M228" s="37" t="s">
        <v>611</v>
      </c>
      <c r="N228" s="24">
        <v>4</v>
      </c>
      <c r="O228" s="24">
        <v>5</v>
      </c>
      <c r="P228" s="37" t="s">
        <v>611</v>
      </c>
      <c r="Q228" s="24">
        <v>5</v>
      </c>
      <c r="R228" s="24">
        <v>4</v>
      </c>
      <c r="S228" s="24"/>
      <c r="T228" s="24"/>
      <c r="U228" s="24">
        <v>4</v>
      </c>
      <c r="V228" s="37">
        <v>5</v>
      </c>
      <c r="W228" s="24"/>
      <c r="X228" s="24">
        <v>4</v>
      </c>
      <c r="Y228" s="24"/>
      <c r="Z228" s="37" t="s">
        <v>611</v>
      </c>
      <c r="AA228" s="24">
        <v>5</v>
      </c>
      <c r="AB228" s="37">
        <v>6</v>
      </c>
      <c r="AC228" s="24">
        <v>6</v>
      </c>
      <c r="AD228" s="24">
        <v>5</v>
      </c>
      <c r="AE228" s="24">
        <v>4</v>
      </c>
      <c r="AF228" s="84">
        <v>7</v>
      </c>
      <c r="AG228" s="24"/>
      <c r="AH228" s="24"/>
      <c r="AI228" s="165">
        <v>7</v>
      </c>
      <c r="AJ228" s="24"/>
      <c r="AK228" s="244">
        <v>3</v>
      </c>
      <c r="AL228" s="24"/>
      <c r="AM228" s="24">
        <v>4</v>
      </c>
      <c r="AN228" s="27"/>
      <c r="AO228" s="37"/>
      <c r="AP228" s="27"/>
      <c r="AQ228" s="26"/>
      <c r="AR228">
        <f t="shared" si="7"/>
        <v>22</v>
      </c>
    </row>
    <row r="229" spans="1:44" x14ac:dyDescent="0.25">
      <c r="B229" t="str">
        <f t="shared" si="6"/>
        <v>FCGB - Khazri</v>
      </c>
      <c r="C229" t="s">
        <v>764</v>
      </c>
      <c r="D229" s="50" t="s">
        <v>622</v>
      </c>
      <c r="E229" s="64" t="s">
        <v>152</v>
      </c>
      <c r="F229" s="52">
        <v>20</v>
      </c>
      <c r="G229" s="63"/>
      <c r="H229" s="146">
        <v>5</v>
      </c>
      <c r="I229" s="80">
        <f>AVERAGE(X229,W229,K229,M229,J229,N229,O229,P229,Q229,R229,S229,T229,U229,V229,Z229,AA229,AB229,AC229,AD229,AE229)</f>
        <v>5.8</v>
      </c>
      <c r="J229" s="53">
        <v>7</v>
      </c>
      <c r="K229" s="59">
        <v>5</v>
      </c>
      <c r="L229" s="61"/>
      <c r="M229" s="53">
        <v>7</v>
      </c>
      <c r="N229" s="59">
        <v>8</v>
      </c>
      <c r="O229" s="53">
        <v>7</v>
      </c>
      <c r="P229" s="53">
        <v>4</v>
      </c>
      <c r="Q229" s="53">
        <v>8</v>
      </c>
      <c r="R229" s="53">
        <v>7</v>
      </c>
      <c r="S229" s="53">
        <v>5</v>
      </c>
      <c r="T229" s="53">
        <v>5</v>
      </c>
      <c r="U229" s="53">
        <v>4</v>
      </c>
      <c r="V229" s="53">
        <v>5</v>
      </c>
      <c r="W229" s="53">
        <v>5</v>
      </c>
      <c r="X229" s="61">
        <v>4</v>
      </c>
      <c r="Y229" s="53"/>
      <c r="Z229" s="53">
        <v>7</v>
      </c>
      <c r="AA229" s="61">
        <v>5</v>
      </c>
      <c r="AB229" s="53">
        <v>7</v>
      </c>
      <c r="AC229" s="53">
        <v>5</v>
      </c>
      <c r="AD229" s="53">
        <v>7</v>
      </c>
      <c r="AE229" s="53">
        <v>4</v>
      </c>
      <c r="AF229" s="53"/>
      <c r="AG229" s="53"/>
      <c r="AH229" s="61"/>
      <c r="AI229" s="63"/>
      <c r="AJ229" s="53"/>
      <c r="AK229" s="63"/>
      <c r="AL229" s="53"/>
      <c r="AM229" s="61"/>
      <c r="AN229" s="63"/>
      <c r="AO229" s="61"/>
      <c r="AP229" s="63"/>
      <c r="AQ229" s="63"/>
      <c r="AR229">
        <f t="shared" si="7"/>
        <v>20</v>
      </c>
    </row>
    <row r="230" spans="1:44" x14ac:dyDescent="0.25">
      <c r="B230" t="str">
        <f t="shared" si="6"/>
        <v>FCGB - Plasil</v>
      </c>
      <c r="C230" t="s">
        <v>764</v>
      </c>
      <c r="D230" s="29" t="s">
        <v>622</v>
      </c>
      <c r="E230" s="30" t="s">
        <v>754</v>
      </c>
      <c r="F230" s="31">
        <v>18</v>
      </c>
      <c r="G230" s="99">
        <v>2</v>
      </c>
      <c r="H230" s="73">
        <v>3</v>
      </c>
      <c r="I230" s="34">
        <f>AVERAGE(P230,Q230,R230,S230,T230,U230,V230,W230,Y230,Z230,AA230,AB230,AC230,AD230,AE230,AF230,AG230,AH230,AI230)</f>
        <v>5.3157894736842106</v>
      </c>
      <c r="J230" s="24"/>
      <c r="K230" s="24"/>
      <c r="L230" s="37"/>
      <c r="M230" s="24"/>
      <c r="N230" s="24"/>
      <c r="O230" s="24"/>
      <c r="P230" s="77">
        <v>6</v>
      </c>
      <c r="Q230" s="22">
        <v>6</v>
      </c>
      <c r="R230" s="24">
        <v>5</v>
      </c>
      <c r="S230" s="24">
        <v>5</v>
      </c>
      <c r="T230" s="24">
        <v>5</v>
      </c>
      <c r="U230" s="24">
        <v>5</v>
      </c>
      <c r="V230" s="22">
        <v>6</v>
      </c>
      <c r="W230" s="37">
        <v>4</v>
      </c>
      <c r="X230" s="37" t="s">
        <v>611</v>
      </c>
      <c r="Y230" s="24">
        <v>4</v>
      </c>
      <c r="Z230" s="24">
        <v>6</v>
      </c>
      <c r="AA230" s="24">
        <v>6</v>
      </c>
      <c r="AB230" s="24">
        <v>5</v>
      </c>
      <c r="AC230" s="24">
        <v>6</v>
      </c>
      <c r="AD230" s="24">
        <v>6</v>
      </c>
      <c r="AE230" s="24">
        <v>5</v>
      </c>
      <c r="AF230" s="24">
        <v>6</v>
      </c>
      <c r="AG230" s="24">
        <v>4</v>
      </c>
      <c r="AH230" s="24">
        <v>5</v>
      </c>
      <c r="AI230" s="27">
        <v>6</v>
      </c>
      <c r="AJ230" s="24"/>
      <c r="AK230" s="27"/>
      <c r="AL230" s="24"/>
      <c r="AM230" s="24"/>
      <c r="AN230" s="27"/>
      <c r="AO230" s="24"/>
      <c r="AP230" s="27"/>
      <c r="AQ230" s="27"/>
      <c r="AR230">
        <f t="shared" si="7"/>
        <v>20</v>
      </c>
    </row>
    <row r="231" spans="1:44" x14ac:dyDescent="0.25">
      <c r="B231" t="str">
        <f t="shared" ref="B231:B294" si="8">C231 &amp; " - " &amp;E231</f>
        <v>FCGB - Traoré</v>
      </c>
      <c r="C231" t="s">
        <v>764</v>
      </c>
      <c r="D231" s="29" t="s">
        <v>622</v>
      </c>
      <c r="E231" s="30" t="s">
        <v>756</v>
      </c>
      <c r="F231" s="31">
        <v>4</v>
      </c>
      <c r="G231" s="99">
        <v>6</v>
      </c>
      <c r="H231" s="73"/>
      <c r="I231" s="34">
        <f>AVERAGE(N231,AA231,AB231,AL231)</f>
        <v>4.75</v>
      </c>
      <c r="J231" s="24"/>
      <c r="K231" s="24"/>
      <c r="L231" s="37"/>
      <c r="M231" s="24"/>
      <c r="N231" s="37">
        <v>4</v>
      </c>
      <c r="O231" s="24"/>
      <c r="P231" s="24"/>
      <c r="Q231" s="24"/>
      <c r="R231" s="24"/>
      <c r="S231" s="24"/>
      <c r="T231" s="24"/>
      <c r="U231" s="24"/>
      <c r="V231" s="37"/>
      <c r="W231" s="37"/>
      <c r="X231" s="24"/>
      <c r="Y231" s="24"/>
      <c r="Z231" s="37" t="s">
        <v>611</v>
      </c>
      <c r="AA231" s="24">
        <v>4</v>
      </c>
      <c r="AB231" s="24">
        <v>5</v>
      </c>
      <c r="AC231" s="37" t="s">
        <v>611</v>
      </c>
      <c r="AD231" s="37" t="s">
        <v>611</v>
      </c>
      <c r="AE231" s="24"/>
      <c r="AF231" s="37" t="s">
        <v>611</v>
      </c>
      <c r="AG231" s="37"/>
      <c r="AH231" s="37"/>
      <c r="AI231" s="27"/>
      <c r="AJ231" s="37" t="s">
        <v>611</v>
      </c>
      <c r="AK231" s="27"/>
      <c r="AL231" s="37">
        <v>6</v>
      </c>
      <c r="AM231" s="37"/>
      <c r="AN231" s="26" t="s">
        <v>611</v>
      </c>
      <c r="AO231" s="24"/>
      <c r="AP231" s="27"/>
      <c r="AQ231" s="27"/>
      <c r="AR231">
        <f t="shared" ref="AR231:AR294" si="9">F231 +G231</f>
        <v>10</v>
      </c>
    </row>
    <row r="232" spans="1:44" x14ac:dyDescent="0.25">
      <c r="B232" t="str">
        <f t="shared" si="8"/>
        <v>FCGB - Maulun</v>
      </c>
      <c r="C232" t="s">
        <v>764</v>
      </c>
      <c r="D232" s="29" t="s">
        <v>622</v>
      </c>
      <c r="E232" s="65" t="s">
        <v>757</v>
      </c>
      <c r="F232" s="31"/>
      <c r="G232" s="99"/>
      <c r="H232" s="73"/>
      <c r="I232" s="34"/>
      <c r="J232" s="24"/>
      <c r="K232" s="24"/>
      <c r="L232" s="37"/>
      <c r="M232" s="24"/>
      <c r="N232" s="37"/>
      <c r="O232" s="24"/>
      <c r="P232" s="24"/>
      <c r="Q232" s="24"/>
      <c r="R232" s="24"/>
      <c r="S232" s="24"/>
      <c r="T232" s="24"/>
      <c r="U232" s="24"/>
      <c r="V232" s="37"/>
      <c r="W232" s="37"/>
      <c r="X232" s="24"/>
      <c r="Y232" s="24"/>
      <c r="Z232" s="37"/>
      <c r="AA232" s="24"/>
      <c r="AB232" s="24"/>
      <c r="AC232" s="24"/>
      <c r="AD232" s="24"/>
      <c r="AE232" s="24"/>
      <c r="AF232" s="24"/>
      <c r="AG232" s="37"/>
      <c r="AH232" s="37"/>
      <c r="AI232" s="27"/>
      <c r="AJ232" s="24"/>
      <c r="AK232" s="27"/>
      <c r="AL232" s="37"/>
      <c r="AM232" s="37"/>
      <c r="AN232" s="27"/>
      <c r="AO232" s="24"/>
      <c r="AP232" s="27"/>
      <c r="AQ232" s="27"/>
      <c r="AR232">
        <f t="shared" si="9"/>
        <v>0</v>
      </c>
    </row>
    <row r="233" spans="1:44" x14ac:dyDescent="0.25">
      <c r="B233" t="str">
        <f t="shared" si="8"/>
        <v>FCGB - Chantôme</v>
      </c>
      <c r="C233" t="s">
        <v>764</v>
      </c>
      <c r="D233" s="29" t="s">
        <v>622</v>
      </c>
      <c r="E233" s="38" t="s">
        <v>758</v>
      </c>
      <c r="F233" s="31">
        <v>23</v>
      </c>
      <c r="G233" s="99"/>
      <c r="H233" s="73">
        <v>1</v>
      </c>
      <c r="I233" s="34">
        <f>AVERAGE(K233,L233,M233,J233,O233,P233,Q233,T233,U233,W233,X233,Y233,AC233,AD233,AE233,AF233,AG233,AH233,AI233,AJ233,AK233,AL233,AM233)</f>
        <v>5.2173913043478262</v>
      </c>
      <c r="J233" s="24">
        <v>6</v>
      </c>
      <c r="K233" s="24">
        <v>5</v>
      </c>
      <c r="L233" s="37">
        <v>6</v>
      </c>
      <c r="M233" s="24">
        <v>6</v>
      </c>
      <c r="N233" s="37"/>
      <c r="O233" s="24">
        <v>5</v>
      </c>
      <c r="P233" s="24">
        <v>4</v>
      </c>
      <c r="Q233" s="24">
        <v>6</v>
      </c>
      <c r="R233" s="24"/>
      <c r="S233" s="24"/>
      <c r="T233" s="24">
        <v>6</v>
      </c>
      <c r="U233" s="24">
        <v>5</v>
      </c>
      <c r="V233" s="37"/>
      <c r="W233" s="37">
        <v>4</v>
      </c>
      <c r="X233" s="24">
        <v>5</v>
      </c>
      <c r="Y233" s="24">
        <v>5</v>
      </c>
      <c r="Z233" s="37"/>
      <c r="AA233" s="24"/>
      <c r="AB233" s="24"/>
      <c r="AC233" s="24">
        <v>6</v>
      </c>
      <c r="AD233" s="24">
        <v>6</v>
      </c>
      <c r="AE233" s="24">
        <v>6</v>
      </c>
      <c r="AF233" s="66">
        <v>7</v>
      </c>
      <c r="AG233" s="24">
        <v>4</v>
      </c>
      <c r="AH233" s="82">
        <v>3</v>
      </c>
      <c r="AI233" s="254">
        <v>8</v>
      </c>
      <c r="AJ233" s="24">
        <v>6</v>
      </c>
      <c r="AK233" s="244">
        <v>3</v>
      </c>
      <c r="AL233" s="24">
        <v>5</v>
      </c>
      <c r="AM233" s="82">
        <v>3</v>
      </c>
      <c r="AN233" s="27"/>
      <c r="AO233" s="24"/>
      <c r="AP233" s="27"/>
      <c r="AQ233" s="27"/>
      <c r="AR233">
        <f t="shared" si="9"/>
        <v>23</v>
      </c>
    </row>
    <row r="234" spans="1:44" x14ac:dyDescent="0.25">
      <c r="B234" t="str">
        <f t="shared" si="8"/>
        <v>FCGB - Ounas</v>
      </c>
      <c r="C234" t="s">
        <v>764</v>
      </c>
      <c r="D234" s="29" t="s">
        <v>622</v>
      </c>
      <c r="E234" s="65" t="s">
        <v>562</v>
      </c>
      <c r="F234" s="31">
        <v>11</v>
      </c>
      <c r="G234" s="99">
        <v>7</v>
      </c>
      <c r="H234" s="73">
        <v>4</v>
      </c>
      <c r="I234" s="34">
        <f>AVERAGE(S234,Z234,AB234,AE234,AF234,AG234,AI234,AJ234,AK234,AM234,AN234)</f>
        <v>4.9090909090909092</v>
      </c>
      <c r="J234" s="38"/>
      <c r="K234" s="24"/>
      <c r="L234" s="37"/>
      <c r="M234" s="24"/>
      <c r="N234" s="37"/>
      <c r="O234" s="24"/>
      <c r="P234" s="24"/>
      <c r="Q234" s="24"/>
      <c r="R234" s="77" t="s">
        <v>611</v>
      </c>
      <c r="S234" s="24">
        <v>4</v>
      </c>
      <c r="T234" s="77" t="s">
        <v>611</v>
      </c>
      <c r="U234" s="24"/>
      <c r="V234" s="37" t="s">
        <v>611</v>
      </c>
      <c r="W234" s="37" t="s">
        <v>611</v>
      </c>
      <c r="X234" s="24"/>
      <c r="Y234" s="37" t="s">
        <v>611</v>
      </c>
      <c r="Z234" s="37">
        <v>6</v>
      </c>
      <c r="AA234" s="24"/>
      <c r="AB234" s="24">
        <v>5</v>
      </c>
      <c r="AC234" s="24"/>
      <c r="AD234" s="37" t="s">
        <v>611</v>
      </c>
      <c r="AE234" s="24">
        <v>4</v>
      </c>
      <c r="AF234" s="66">
        <v>7</v>
      </c>
      <c r="AG234" s="24">
        <v>4</v>
      </c>
      <c r="AH234" s="24"/>
      <c r="AI234" s="254">
        <v>7</v>
      </c>
      <c r="AJ234" s="24">
        <v>4</v>
      </c>
      <c r="AK234" s="22">
        <v>4</v>
      </c>
      <c r="AL234" s="37" t="s">
        <v>611</v>
      </c>
      <c r="AM234" s="82">
        <v>3</v>
      </c>
      <c r="AN234" s="24">
        <v>6</v>
      </c>
      <c r="AO234" s="24"/>
      <c r="AP234" s="24"/>
      <c r="AQ234" s="24"/>
      <c r="AR234">
        <f t="shared" si="9"/>
        <v>18</v>
      </c>
    </row>
    <row r="235" spans="1:44" x14ac:dyDescent="0.25">
      <c r="B235" t="str">
        <f t="shared" si="8"/>
        <v>FCGB - Vada</v>
      </c>
      <c r="C235" t="s">
        <v>764</v>
      </c>
      <c r="D235" s="29" t="s">
        <v>622</v>
      </c>
      <c r="E235" s="65" t="s">
        <v>759</v>
      </c>
      <c r="F235" s="31">
        <v>7</v>
      </c>
      <c r="G235" s="99">
        <v>5</v>
      </c>
      <c r="H235" s="73"/>
      <c r="I235" s="34">
        <f>AVERAGE(AE235,AF235,AG235,AH235,AJ235,AK235,AL235,AN235)</f>
        <v>5.375</v>
      </c>
      <c r="J235" s="38"/>
      <c r="K235" s="24"/>
      <c r="L235" s="37"/>
      <c r="M235" s="24"/>
      <c r="N235" s="37"/>
      <c r="O235" s="24"/>
      <c r="P235" s="24"/>
      <c r="Q235" s="24"/>
      <c r="R235" s="77"/>
      <c r="S235" s="24"/>
      <c r="T235" s="77"/>
      <c r="U235" s="24"/>
      <c r="V235" s="37"/>
      <c r="W235" s="37"/>
      <c r="X235" s="24"/>
      <c r="Y235" s="37"/>
      <c r="Z235" s="37"/>
      <c r="AA235" s="37" t="s">
        <v>611</v>
      </c>
      <c r="AB235" s="37" t="s">
        <v>611</v>
      </c>
      <c r="AC235" s="24"/>
      <c r="AD235" s="37" t="s">
        <v>611</v>
      </c>
      <c r="AE235" s="24">
        <v>6</v>
      </c>
      <c r="AF235" s="66">
        <v>7</v>
      </c>
      <c r="AG235" s="82">
        <v>3</v>
      </c>
      <c r="AH235" s="37">
        <v>4</v>
      </c>
      <c r="AI235" s="26" t="s">
        <v>611</v>
      </c>
      <c r="AJ235" s="66">
        <v>7</v>
      </c>
      <c r="AK235" s="24">
        <v>5</v>
      </c>
      <c r="AL235" s="24">
        <v>6</v>
      </c>
      <c r="AM235" s="24"/>
      <c r="AN235" s="24">
        <v>5</v>
      </c>
      <c r="AO235" s="24"/>
      <c r="AP235" s="24"/>
      <c r="AQ235" s="24"/>
      <c r="AR235">
        <f t="shared" si="9"/>
        <v>12</v>
      </c>
    </row>
    <row r="236" spans="1:44" x14ac:dyDescent="0.25">
      <c r="B236" t="str">
        <f t="shared" si="8"/>
        <v>FCGB - Saivet</v>
      </c>
      <c r="C236" t="s">
        <v>764</v>
      </c>
      <c r="D236" s="50" t="s">
        <v>622</v>
      </c>
      <c r="E236" s="64" t="s">
        <v>154</v>
      </c>
      <c r="F236" s="52">
        <v>18</v>
      </c>
      <c r="G236" s="63"/>
      <c r="H236" s="146">
        <v>2</v>
      </c>
      <c r="I236" s="80">
        <f>AVERAGE(Y236,X236,W236,K236,L236,M236,J236,N236,P236,Q236,R236,S236,T236,U236,V236,Z236,AB236,AC236)</f>
        <v>5.4444444444444446</v>
      </c>
      <c r="J236" s="53">
        <v>5</v>
      </c>
      <c r="K236" s="59">
        <v>7</v>
      </c>
      <c r="L236" s="61">
        <v>5</v>
      </c>
      <c r="M236" s="53">
        <v>6</v>
      </c>
      <c r="N236" s="59">
        <v>6</v>
      </c>
      <c r="O236" s="53"/>
      <c r="P236" s="53">
        <v>5</v>
      </c>
      <c r="Q236" s="53">
        <v>5</v>
      </c>
      <c r="R236" s="53">
        <v>5</v>
      </c>
      <c r="S236" s="53">
        <v>6</v>
      </c>
      <c r="T236" s="53">
        <v>6</v>
      </c>
      <c r="U236" s="53">
        <v>4</v>
      </c>
      <c r="V236" s="53">
        <v>5</v>
      </c>
      <c r="W236" s="53">
        <v>6</v>
      </c>
      <c r="X236" s="61">
        <v>5</v>
      </c>
      <c r="Y236" s="53">
        <v>5</v>
      </c>
      <c r="Z236" s="53">
        <v>6</v>
      </c>
      <c r="AA236" s="61"/>
      <c r="AB236" s="53">
        <v>5</v>
      </c>
      <c r="AC236" s="53">
        <v>6</v>
      </c>
      <c r="AD236" s="53"/>
      <c r="AE236" s="53"/>
      <c r="AF236" s="53"/>
      <c r="AG236" s="53"/>
      <c r="AH236" s="61"/>
      <c r="AI236" s="63"/>
      <c r="AJ236" s="53"/>
      <c r="AK236" s="63"/>
      <c r="AL236" s="53"/>
      <c r="AM236" s="61"/>
      <c r="AN236" s="63"/>
      <c r="AO236" s="61"/>
      <c r="AP236" s="63"/>
      <c r="AQ236" s="63"/>
      <c r="AR236">
        <f t="shared" si="9"/>
        <v>18</v>
      </c>
    </row>
    <row r="237" spans="1:44" x14ac:dyDescent="0.25">
      <c r="B237" t="str">
        <f t="shared" si="8"/>
        <v>FCGB - Soni</v>
      </c>
      <c r="C237" t="s">
        <v>764</v>
      </c>
      <c r="D237" s="29" t="s">
        <v>622</v>
      </c>
      <c r="E237" s="65" t="s">
        <v>760</v>
      </c>
      <c r="F237" s="31">
        <v>1</v>
      </c>
      <c r="G237" s="99">
        <v>1</v>
      </c>
      <c r="H237" s="73"/>
      <c r="I237" s="34">
        <f>AVERAGE(L237)</f>
        <v>4</v>
      </c>
      <c r="J237" s="38"/>
      <c r="K237" s="24"/>
      <c r="L237" s="37">
        <v>4</v>
      </c>
      <c r="M237" s="24"/>
      <c r="N237" s="37"/>
      <c r="O237" s="24"/>
      <c r="P237" s="24"/>
      <c r="Q237" s="24"/>
      <c r="R237" s="24"/>
      <c r="S237" s="24"/>
      <c r="T237" s="24"/>
      <c r="U237" s="24"/>
      <c r="V237" s="37"/>
      <c r="W237" s="37"/>
      <c r="X237" s="24"/>
      <c r="Y237" s="37" t="s">
        <v>611</v>
      </c>
      <c r="Z237" s="37"/>
      <c r="AA237" s="24"/>
      <c r="AB237" s="24"/>
      <c r="AC237" s="24"/>
      <c r="AD237" s="24"/>
      <c r="AE237" s="24"/>
      <c r="AF237" s="24"/>
      <c r="AG237" s="24"/>
      <c r="AH237" s="24"/>
      <c r="AI237" s="27"/>
      <c r="AJ237" s="24"/>
      <c r="AK237" s="24"/>
      <c r="AL237" s="24"/>
      <c r="AM237" s="24"/>
      <c r="AN237" s="24"/>
      <c r="AO237" s="24"/>
      <c r="AP237" s="24"/>
      <c r="AQ237" s="24"/>
      <c r="AR237">
        <f t="shared" si="9"/>
        <v>2</v>
      </c>
    </row>
    <row r="238" spans="1:44" x14ac:dyDescent="0.25">
      <c r="B238" t="str">
        <f t="shared" si="8"/>
        <v>FCGB - Arambarri</v>
      </c>
      <c r="C238" t="s">
        <v>764</v>
      </c>
      <c r="D238" s="29" t="s">
        <v>622</v>
      </c>
      <c r="E238" s="65" t="s">
        <v>1061</v>
      </c>
      <c r="F238" s="31">
        <v>2</v>
      </c>
      <c r="G238" s="99">
        <v>3</v>
      </c>
      <c r="H238" s="73"/>
      <c r="I238" s="34">
        <f>AVERAGE(AH238,AM238)</f>
        <v>4</v>
      </c>
      <c r="J238" s="38"/>
      <c r="K238" s="24"/>
      <c r="L238" s="37"/>
      <c r="M238" s="24"/>
      <c r="N238" s="37"/>
      <c r="O238" s="24"/>
      <c r="P238" s="24"/>
      <c r="Q238" s="24"/>
      <c r="R238" s="24"/>
      <c r="S238" s="24"/>
      <c r="T238" s="24"/>
      <c r="U238" s="24"/>
      <c r="V238" s="37"/>
      <c r="W238" s="37"/>
      <c r="X238" s="24"/>
      <c r="Y238" s="37"/>
      <c r="Z238" s="37"/>
      <c r="AA238" s="24"/>
      <c r="AB238" s="24"/>
      <c r="AC238" s="24"/>
      <c r="AD238" s="24"/>
      <c r="AE238" s="24"/>
      <c r="AF238" s="24"/>
      <c r="AG238" s="37" t="s">
        <v>611</v>
      </c>
      <c r="AH238" s="24">
        <v>4</v>
      </c>
      <c r="AI238" s="27"/>
      <c r="AJ238" s="24"/>
      <c r="AK238" s="37" t="s">
        <v>611</v>
      </c>
      <c r="AL238" s="37" t="s">
        <v>611</v>
      </c>
      <c r="AM238" s="24">
        <v>4</v>
      </c>
      <c r="AN238" s="24"/>
      <c r="AO238" s="24"/>
      <c r="AP238" s="24"/>
      <c r="AQ238" s="24"/>
      <c r="AR238">
        <f t="shared" si="9"/>
        <v>5</v>
      </c>
    </row>
    <row r="239" spans="1:44" x14ac:dyDescent="0.25">
      <c r="A239">
        <v>0</v>
      </c>
      <c r="B239" t="str">
        <f t="shared" si="8"/>
        <v>MHSC - Dabo</v>
      </c>
      <c r="C239" t="s">
        <v>806</v>
      </c>
      <c r="D239" s="29" t="s">
        <v>608</v>
      </c>
      <c r="E239" s="60" t="s">
        <v>790</v>
      </c>
      <c r="F239" s="31">
        <v>27</v>
      </c>
      <c r="G239" s="99">
        <v>3</v>
      </c>
      <c r="H239" s="73">
        <v>4</v>
      </c>
      <c r="I239" s="34">
        <f>AVERAGE(Z239,Y239,W239,K239,L239,M239,J239,N239,O239,P239,Q239,R239,T239,U239,V239,X239,AA239,AB239,AD239,AE239,AF239,AG239,AH239,AI239,AJ239,AK239,AN239)</f>
        <v>5.333333333333333</v>
      </c>
      <c r="J239" s="37">
        <v>5</v>
      </c>
      <c r="K239" s="37">
        <v>4</v>
      </c>
      <c r="L239" s="37">
        <v>5</v>
      </c>
      <c r="M239" s="37">
        <v>5</v>
      </c>
      <c r="N239" s="24">
        <v>5</v>
      </c>
      <c r="O239" s="24">
        <v>5</v>
      </c>
      <c r="P239" s="66">
        <v>7</v>
      </c>
      <c r="Q239" s="24">
        <v>5</v>
      </c>
      <c r="R239" s="24">
        <v>5</v>
      </c>
      <c r="S239" s="24"/>
      <c r="T239" s="24">
        <v>4</v>
      </c>
      <c r="U239" s="24">
        <v>6</v>
      </c>
      <c r="V239" s="24">
        <v>6</v>
      </c>
      <c r="W239" s="25">
        <v>8</v>
      </c>
      <c r="X239" s="24">
        <v>6</v>
      </c>
      <c r="Y239" s="24">
        <v>5</v>
      </c>
      <c r="Z239" s="24">
        <v>4</v>
      </c>
      <c r="AA239" s="66">
        <v>7</v>
      </c>
      <c r="AB239" s="37">
        <v>5</v>
      </c>
      <c r="AC239" s="76" t="s">
        <v>611</v>
      </c>
      <c r="AD239" s="24">
        <v>5</v>
      </c>
      <c r="AE239" s="24">
        <v>4</v>
      </c>
      <c r="AF239" s="25">
        <v>8</v>
      </c>
      <c r="AG239" s="23">
        <v>5</v>
      </c>
      <c r="AH239" s="24">
        <v>4</v>
      </c>
      <c r="AI239" s="27">
        <v>5</v>
      </c>
      <c r="AJ239" s="23">
        <v>5</v>
      </c>
      <c r="AK239" s="254">
        <v>7</v>
      </c>
      <c r="AL239" s="37" t="s">
        <v>645</v>
      </c>
      <c r="AM239" s="37" t="s">
        <v>611</v>
      </c>
      <c r="AN239" s="27">
        <v>4</v>
      </c>
      <c r="AO239" s="24"/>
      <c r="AP239" s="27"/>
      <c r="AQ239" s="27"/>
      <c r="AR239">
        <f t="shared" si="9"/>
        <v>30</v>
      </c>
    </row>
    <row r="240" spans="1:44" x14ac:dyDescent="0.25">
      <c r="B240" t="str">
        <f t="shared" si="8"/>
        <v>FCGB - Gajic</v>
      </c>
      <c r="C240" t="s">
        <v>764</v>
      </c>
      <c r="D240" s="29" t="s">
        <v>622</v>
      </c>
      <c r="E240" s="65" t="s">
        <v>748</v>
      </c>
      <c r="F240" s="31">
        <v>7</v>
      </c>
      <c r="G240" s="99">
        <v>2</v>
      </c>
      <c r="H240" s="73">
        <v>1</v>
      </c>
      <c r="I240" s="34">
        <f>AVERAGE(L240,M240,N240,O240,R240,T240,U240,AN240)</f>
        <v>4.625</v>
      </c>
      <c r="J240" s="24"/>
      <c r="K240" s="24"/>
      <c r="L240" s="37">
        <v>5</v>
      </c>
      <c r="M240" s="22">
        <v>6</v>
      </c>
      <c r="N240" s="24">
        <v>4</v>
      </c>
      <c r="O240" s="24">
        <v>4</v>
      </c>
      <c r="P240" s="24"/>
      <c r="Q240" s="37" t="s">
        <v>645</v>
      </c>
      <c r="R240" s="24">
        <v>4</v>
      </c>
      <c r="S240" s="24"/>
      <c r="T240" s="24">
        <v>5</v>
      </c>
      <c r="U240" s="24">
        <v>4</v>
      </c>
      <c r="V240" s="24"/>
      <c r="W240" s="24"/>
      <c r="X240" s="24"/>
      <c r="Y240" s="24"/>
      <c r="Z240" s="24"/>
      <c r="AA240" s="24"/>
      <c r="AB240" s="24"/>
      <c r="AC240" s="37"/>
      <c r="AD240" s="24"/>
      <c r="AE240" s="24"/>
      <c r="AF240" s="24"/>
      <c r="AG240" s="24"/>
      <c r="AH240" s="24"/>
      <c r="AI240" s="27"/>
      <c r="AJ240" s="24"/>
      <c r="AK240" s="27"/>
      <c r="AL240" s="24"/>
      <c r="AM240" s="24"/>
      <c r="AN240" s="26">
        <v>5</v>
      </c>
      <c r="AO240" s="24"/>
      <c r="AP240" s="27"/>
      <c r="AQ240" s="27"/>
      <c r="AR240">
        <f t="shared" si="9"/>
        <v>9</v>
      </c>
    </row>
    <row r="241" spans="1:44" x14ac:dyDescent="0.25">
      <c r="B241" t="str">
        <f t="shared" si="8"/>
        <v>FCGB - Ambrose</v>
      </c>
      <c r="C241" t="s">
        <v>764</v>
      </c>
      <c r="D241" s="29" t="s">
        <v>622</v>
      </c>
      <c r="E241" s="65" t="s">
        <v>750</v>
      </c>
      <c r="F241" s="31"/>
      <c r="G241" s="99">
        <v>1</v>
      </c>
      <c r="H241" s="73"/>
      <c r="I241" s="34"/>
      <c r="J241" s="38"/>
      <c r="K241" s="24"/>
      <c r="L241" s="37"/>
      <c r="M241" s="22"/>
      <c r="N241" s="24"/>
      <c r="O241" s="24"/>
      <c r="P241" s="24"/>
      <c r="Q241" s="37"/>
      <c r="R241" s="24"/>
      <c r="S241" s="24"/>
      <c r="T241" s="24"/>
      <c r="U241" s="24"/>
      <c r="V241" s="24"/>
      <c r="W241" s="24"/>
      <c r="X241" s="24"/>
      <c r="Y241" s="37"/>
      <c r="Z241" s="24"/>
      <c r="AA241" s="37" t="s">
        <v>611</v>
      </c>
      <c r="AB241" s="24"/>
      <c r="AC241" s="37"/>
      <c r="AD241" s="24"/>
      <c r="AE241" s="24"/>
      <c r="AF241" s="24"/>
      <c r="AG241" s="24"/>
      <c r="AH241" s="24"/>
      <c r="AI241" s="27"/>
      <c r="AJ241" s="24"/>
      <c r="AK241" s="24"/>
      <c r="AL241" s="37"/>
      <c r="AM241" s="24"/>
      <c r="AN241" s="37"/>
      <c r="AO241" s="24"/>
      <c r="AP241" s="24"/>
      <c r="AQ241" s="24"/>
      <c r="AR241">
        <f t="shared" si="9"/>
        <v>1</v>
      </c>
    </row>
    <row r="242" spans="1:44" x14ac:dyDescent="0.25">
      <c r="B242" t="str">
        <f t="shared" si="8"/>
        <v>FCGB - Malcom</v>
      </c>
      <c r="C242" t="s">
        <v>764</v>
      </c>
      <c r="D242" s="29" t="s">
        <v>622</v>
      </c>
      <c r="E242" s="65" t="s">
        <v>1062</v>
      </c>
      <c r="F242" s="31">
        <v>2</v>
      </c>
      <c r="G242" s="99">
        <v>5</v>
      </c>
      <c r="H242" s="73"/>
      <c r="I242" s="34">
        <f>AVERAGE(AH242,AM242)</f>
        <v>3.5</v>
      </c>
      <c r="J242" s="38"/>
      <c r="K242" s="24"/>
      <c r="L242" s="37"/>
      <c r="M242" s="24"/>
      <c r="N242" s="37"/>
      <c r="O242" s="24"/>
      <c r="P242" s="24"/>
      <c r="Q242" s="24"/>
      <c r="R242" s="24"/>
      <c r="S242" s="24"/>
      <c r="T242" s="24"/>
      <c r="U242" s="24"/>
      <c r="V242" s="37"/>
      <c r="W242" s="37"/>
      <c r="X242" s="24"/>
      <c r="Y242" s="37"/>
      <c r="Z242" s="37"/>
      <c r="AA242" s="24"/>
      <c r="AB242" s="24"/>
      <c r="AC242" s="24"/>
      <c r="AD242" s="24"/>
      <c r="AE242" s="24"/>
      <c r="AF242" s="24"/>
      <c r="AG242" s="37"/>
      <c r="AH242" s="82">
        <v>3</v>
      </c>
      <c r="AI242" s="26" t="s">
        <v>611</v>
      </c>
      <c r="AJ242" s="37" t="s">
        <v>611</v>
      </c>
      <c r="AK242" s="37" t="s">
        <v>611</v>
      </c>
      <c r="AL242" s="37" t="s">
        <v>611</v>
      </c>
      <c r="AM242" s="24">
        <v>4</v>
      </c>
      <c r="AN242" s="37" t="s">
        <v>611</v>
      </c>
      <c r="AO242" s="24"/>
      <c r="AP242" s="24"/>
      <c r="AQ242" s="24"/>
      <c r="AR242">
        <f t="shared" si="9"/>
        <v>7</v>
      </c>
    </row>
    <row r="243" spans="1:44" x14ac:dyDescent="0.25">
      <c r="B243" t="str">
        <f t="shared" si="8"/>
        <v>FCGB - Kaabouni</v>
      </c>
      <c r="C243" t="s">
        <v>764</v>
      </c>
      <c r="D243" s="39" t="s">
        <v>622</v>
      </c>
      <c r="E243" s="232" t="s">
        <v>761</v>
      </c>
      <c r="F243" s="41"/>
      <c r="G243" s="233"/>
      <c r="H243" s="40"/>
      <c r="I243" s="72"/>
      <c r="J243" s="150"/>
      <c r="K243" s="63"/>
      <c r="L243" s="61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63"/>
      <c r="AF243" s="53"/>
      <c r="AG243" s="63"/>
      <c r="AH243" s="53"/>
      <c r="AI243" s="63"/>
      <c r="AJ243" s="63"/>
      <c r="AK243" s="53"/>
      <c r="AL243" s="53"/>
      <c r="AM243" s="53"/>
      <c r="AN243" s="53"/>
      <c r="AO243" s="63"/>
      <c r="AP243" s="53"/>
      <c r="AQ243" s="53"/>
      <c r="AR243">
        <f t="shared" si="9"/>
        <v>0</v>
      </c>
    </row>
    <row r="244" spans="1:44" x14ac:dyDescent="0.25">
      <c r="B244" t="str">
        <f t="shared" si="8"/>
        <v>FCGB - Jussiê</v>
      </c>
      <c r="C244" t="s">
        <v>764</v>
      </c>
      <c r="D244" s="29" t="s">
        <v>633</v>
      </c>
      <c r="E244" t="s">
        <v>762</v>
      </c>
      <c r="F244" s="31">
        <v>4</v>
      </c>
      <c r="G244" s="99">
        <v>7</v>
      </c>
      <c r="H244" s="73"/>
      <c r="I244" s="34">
        <f>AVERAGE(S244,Y244,AL244,AN244)</f>
        <v>4.5</v>
      </c>
      <c r="J244" s="24"/>
      <c r="K244" s="24"/>
      <c r="L244" s="37" t="s">
        <v>611</v>
      </c>
      <c r="M244" s="24"/>
      <c r="N244" s="37" t="s">
        <v>611</v>
      </c>
      <c r="O244" s="37" t="s">
        <v>611</v>
      </c>
      <c r="P244" s="37" t="s">
        <v>611</v>
      </c>
      <c r="Q244" s="37" t="s">
        <v>611</v>
      </c>
      <c r="R244" s="37" t="s">
        <v>611</v>
      </c>
      <c r="S244" s="24">
        <v>4</v>
      </c>
      <c r="T244" s="24"/>
      <c r="U244" s="37" t="s">
        <v>611</v>
      </c>
      <c r="V244" s="24"/>
      <c r="W244" s="24"/>
      <c r="X244" s="24"/>
      <c r="Y244" s="24">
        <v>5</v>
      </c>
      <c r="Z244" s="24"/>
      <c r="AA244" s="24"/>
      <c r="AB244" s="24"/>
      <c r="AC244" s="24"/>
      <c r="AD244" s="24"/>
      <c r="AE244" s="24"/>
      <c r="AF244" s="24"/>
      <c r="AG244" s="24"/>
      <c r="AH244" s="24"/>
      <c r="AI244" s="27"/>
      <c r="AJ244" s="24"/>
      <c r="AK244" s="27"/>
      <c r="AL244" s="82">
        <v>3</v>
      </c>
      <c r="AM244" s="24"/>
      <c r="AN244" s="27">
        <v>6</v>
      </c>
      <c r="AO244" s="24"/>
      <c r="AP244" s="27"/>
      <c r="AQ244" s="27"/>
      <c r="AR244">
        <f t="shared" si="9"/>
        <v>11</v>
      </c>
    </row>
    <row r="245" spans="1:44" x14ac:dyDescent="0.25">
      <c r="B245" t="str">
        <f t="shared" si="8"/>
        <v>FCGB - Diabaté</v>
      </c>
      <c r="C245" t="s">
        <v>764</v>
      </c>
      <c r="D245" s="29" t="s">
        <v>633</v>
      </c>
      <c r="E245" t="s">
        <v>92</v>
      </c>
      <c r="F245" s="31">
        <v>13</v>
      </c>
      <c r="G245" s="99">
        <v>5</v>
      </c>
      <c r="H245" s="73">
        <v>7</v>
      </c>
      <c r="I245" s="34">
        <f>AVERAGE(K245,J245,X245,Z245,AC245,AD245,AE245,AF245,AG245,AI245,AJ245,AL245,AM245)</f>
        <v>5.0769230769230766</v>
      </c>
      <c r="J245" s="23">
        <v>4</v>
      </c>
      <c r="K245" s="24">
        <v>5</v>
      </c>
      <c r="L245" s="77"/>
      <c r="M245" s="24"/>
      <c r="N245" s="22"/>
      <c r="O245" s="24"/>
      <c r="P245" s="24"/>
      <c r="Q245" s="24"/>
      <c r="R245" s="24"/>
      <c r="S245" s="76" t="s">
        <v>611</v>
      </c>
      <c r="T245" s="24"/>
      <c r="U245" s="37"/>
      <c r="V245" s="76" t="s">
        <v>611</v>
      </c>
      <c r="W245" s="24"/>
      <c r="X245" s="23">
        <v>4</v>
      </c>
      <c r="Y245" s="24"/>
      <c r="Z245" s="76">
        <v>4</v>
      </c>
      <c r="AA245" s="24"/>
      <c r="AB245" s="37" t="s">
        <v>611</v>
      </c>
      <c r="AC245" s="22">
        <v>6</v>
      </c>
      <c r="AD245" s="22">
        <v>6</v>
      </c>
      <c r="AE245" s="22">
        <v>6</v>
      </c>
      <c r="AF245" s="25">
        <v>8</v>
      </c>
      <c r="AG245" s="82">
        <v>3</v>
      </c>
      <c r="AH245" s="37" t="s">
        <v>611</v>
      </c>
      <c r="AI245" s="254">
        <v>7</v>
      </c>
      <c r="AJ245" s="82">
        <v>3</v>
      </c>
      <c r="AK245" s="27"/>
      <c r="AL245" s="25">
        <v>7</v>
      </c>
      <c r="AM245" s="82">
        <v>3</v>
      </c>
      <c r="AN245" s="26" t="s">
        <v>611</v>
      </c>
      <c r="AO245" s="24"/>
      <c r="AP245" s="27"/>
      <c r="AQ245" s="27"/>
      <c r="AR245">
        <f t="shared" si="9"/>
        <v>18</v>
      </c>
    </row>
    <row r="246" spans="1:44" x14ac:dyDescent="0.25">
      <c r="B246" t="str">
        <f t="shared" si="8"/>
        <v>FCGB - Touré</v>
      </c>
      <c r="C246" t="s">
        <v>764</v>
      </c>
      <c r="D246" s="29" t="s">
        <v>633</v>
      </c>
      <c r="E246" s="30" t="s">
        <v>48</v>
      </c>
      <c r="F246" s="31">
        <v>4</v>
      </c>
      <c r="G246" s="99">
        <v>13</v>
      </c>
      <c r="H246" s="73">
        <v>1</v>
      </c>
      <c r="I246" s="34">
        <f>AVERAGE(L246,M246,J246,AJ246,AK246)</f>
        <v>4.8</v>
      </c>
      <c r="J246" s="24">
        <v>4</v>
      </c>
      <c r="K246" s="37" t="s">
        <v>611</v>
      </c>
      <c r="L246" s="37">
        <v>5</v>
      </c>
      <c r="M246" s="37">
        <v>5</v>
      </c>
      <c r="N246" s="37"/>
      <c r="O246" s="37"/>
      <c r="P246" s="24"/>
      <c r="Q246" s="22"/>
      <c r="R246" s="24"/>
      <c r="S246" s="37" t="s">
        <v>611</v>
      </c>
      <c r="T246" s="37" t="s">
        <v>611</v>
      </c>
      <c r="U246" s="37" t="s">
        <v>611</v>
      </c>
      <c r="V246" s="24"/>
      <c r="W246" s="76" t="s">
        <v>611</v>
      </c>
      <c r="X246" s="24"/>
      <c r="Y246" s="24"/>
      <c r="Z246" s="24"/>
      <c r="AA246" s="24"/>
      <c r="AB246" s="24"/>
      <c r="AC246" s="37" t="s">
        <v>611</v>
      </c>
      <c r="AD246" s="24"/>
      <c r="AE246" s="37" t="s">
        <v>611</v>
      </c>
      <c r="AF246" s="77" t="s">
        <v>611</v>
      </c>
      <c r="AG246" s="37" t="s">
        <v>611</v>
      </c>
      <c r="AH246" s="37" t="s">
        <v>611</v>
      </c>
      <c r="AI246" s="26" t="s">
        <v>611</v>
      </c>
      <c r="AJ246" s="37">
        <v>6</v>
      </c>
      <c r="AK246" s="26">
        <v>4</v>
      </c>
      <c r="AL246" s="24"/>
      <c r="AM246" s="37" t="s">
        <v>611</v>
      </c>
      <c r="AN246" s="26"/>
      <c r="AO246" s="24"/>
      <c r="AP246" s="27"/>
      <c r="AQ246" s="27"/>
      <c r="AR246">
        <f t="shared" si="9"/>
        <v>17</v>
      </c>
    </row>
    <row r="247" spans="1:44" x14ac:dyDescent="0.25">
      <c r="B247" t="str">
        <f t="shared" si="8"/>
        <v>FCGB - Crivelli</v>
      </c>
      <c r="C247" t="s">
        <v>764</v>
      </c>
      <c r="D247" s="29" t="s">
        <v>633</v>
      </c>
      <c r="E247" s="38" t="s">
        <v>171</v>
      </c>
      <c r="F247" s="31">
        <v>13</v>
      </c>
      <c r="G247" s="99">
        <v>9</v>
      </c>
      <c r="H247" s="73">
        <v>3</v>
      </c>
      <c r="I247" s="34">
        <f>AVERAGE(L247,M247,N247,P247,T247,U247,V247,W247,Y247,AA247,AB247,AH247,AK247,AN247)</f>
        <v>4.7142857142857144</v>
      </c>
      <c r="J247" s="24"/>
      <c r="K247" s="24"/>
      <c r="L247" s="37">
        <v>5</v>
      </c>
      <c r="M247" s="37">
        <v>6</v>
      </c>
      <c r="N247" s="24">
        <v>5</v>
      </c>
      <c r="O247" s="77" t="s">
        <v>611</v>
      </c>
      <c r="P247" s="24">
        <v>5</v>
      </c>
      <c r="Q247" s="37"/>
      <c r="R247" s="24"/>
      <c r="S247" s="37" t="s">
        <v>611</v>
      </c>
      <c r="T247" s="24">
        <v>5</v>
      </c>
      <c r="U247" s="24">
        <v>4</v>
      </c>
      <c r="V247" s="24">
        <v>5</v>
      </c>
      <c r="W247" s="25">
        <v>7</v>
      </c>
      <c r="X247" s="77" t="s">
        <v>611</v>
      </c>
      <c r="Y247" s="37">
        <v>4</v>
      </c>
      <c r="Z247" s="24"/>
      <c r="AA247" s="37">
        <v>5</v>
      </c>
      <c r="AB247" s="24">
        <v>5</v>
      </c>
      <c r="AC247" s="37" t="s">
        <v>611</v>
      </c>
      <c r="AD247" s="24"/>
      <c r="AE247" s="37" t="s">
        <v>611</v>
      </c>
      <c r="AF247" s="37" t="s">
        <v>611</v>
      </c>
      <c r="AG247" s="37" t="s">
        <v>611</v>
      </c>
      <c r="AH247" s="82">
        <v>3</v>
      </c>
      <c r="AI247" s="27"/>
      <c r="AJ247" s="24"/>
      <c r="AK247" s="244">
        <v>3</v>
      </c>
      <c r="AL247" s="37"/>
      <c r="AM247" s="37" t="s">
        <v>611</v>
      </c>
      <c r="AN247" s="27">
        <v>4</v>
      </c>
      <c r="AO247" s="24"/>
      <c r="AP247" s="27"/>
      <c r="AQ247" s="26"/>
      <c r="AR247">
        <f t="shared" si="9"/>
        <v>22</v>
      </c>
    </row>
    <row r="248" spans="1:44" x14ac:dyDescent="0.25">
      <c r="B248" t="str">
        <f t="shared" si="8"/>
        <v>FCGB - Thelin</v>
      </c>
      <c r="C248" t="s">
        <v>764</v>
      </c>
      <c r="D248" s="29" t="s">
        <v>633</v>
      </c>
      <c r="E248" s="155" t="s">
        <v>552</v>
      </c>
      <c r="F248" s="31">
        <v>2</v>
      </c>
      <c r="G248" s="99">
        <v>3</v>
      </c>
      <c r="H248" s="73"/>
      <c r="I248" s="34">
        <f>AVERAGE(O248,R248)</f>
        <v>4</v>
      </c>
      <c r="J248" s="24"/>
      <c r="K248" s="37" t="s">
        <v>611</v>
      </c>
      <c r="L248" s="24"/>
      <c r="M248" s="37" t="s">
        <v>611</v>
      </c>
      <c r="N248" s="24"/>
      <c r="O248" s="24">
        <v>4</v>
      </c>
      <c r="P248" s="24"/>
      <c r="Q248" s="37" t="s">
        <v>611</v>
      </c>
      <c r="R248" s="24">
        <v>4</v>
      </c>
      <c r="S248" s="24"/>
      <c r="T248" s="24"/>
      <c r="U248" s="24"/>
      <c r="V248" s="24"/>
      <c r="W248" s="24"/>
      <c r="X248" s="24"/>
      <c r="Y248" s="37"/>
      <c r="Z248" s="24"/>
      <c r="AA248" s="37"/>
      <c r="AB248" s="24"/>
      <c r="AC248" s="24"/>
      <c r="AD248" s="37"/>
      <c r="AE248" s="24"/>
      <c r="AF248" s="24"/>
      <c r="AG248" s="24"/>
      <c r="AH248" s="24"/>
      <c r="AI248" s="27"/>
      <c r="AJ248" s="22"/>
      <c r="AK248" s="27"/>
      <c r="AL248" s="24"/>
      <c r="AM248" s="24"/>
      <c r="AN248" s="27"/>
      <c r="AO248" s="24"/>
      <c r="AP248" s="27"/>
      <c r="AQ248" s="27"/>
      <c r="AR248">
        <f t="shared" si="9"/>
        <v>5</v>
      </c>
    </row>
    <row r="249" spans="1:44" x14ac:dyDescent="0.25">
      <c r="B249" t="str">
        <f t="shared" si="8"/>
        <v>FCGB - Laborde</v>
      </c>
      <c r="C249" t="s">
        <v>764</v>
      </c>
      <c r="D249" s="50" t="s">
        <v>633</v>
      </c>
      <c r="E249" s="51" t="s">
        <v>763</v>
      </c>
      <c r="F249" s="52"/>
      <c r="G249" s="63">
        <v>1</v>
      </c>
      <c r="H249" s="146"/>
      <c r="I249" s="34"/>
      <c r="J249" s="53"/>
      <c r="K249" s="61"/>
      <c r="L249" s="53"/>
      <c r="M249" s="61"/>
      <c r="N249" s="53"/>
      <c r="O249" s="53"/>
      <c r="P249" s="53"/>
      <c r="Q249" s="61"/>
      <c r="R249" s="53"/>
      <c r="S249" s="53"/>
      <c r="T249" s="53"/>
      <c r="U249" s="53"/>
      <c r="V249" s="53"/>
      <c r="W249" s="53"/>
      <c r="X249" s="53"/>
      <c r="Y249" s="61"/>
      <c r="Z249" s="53"/>
      <c r="AA249" s="61" t="s">
        <v>611</v>
      </c>
      <c r="AB249" s="53"/>
      <c r="AC249" s="53"/>
      <c r="AD249" s="61"/>
      <c r="AE249" s="53"/>
      <c r="AF249" s="53"/>
      <c r="AG249" s="53"/>
      <c r="AH249" s="53"/>
      <c r="AI249" s="63"/>
      <c r="AJ249" s="59"/>
      <c r="AK249" s="63"/>
      <c r="AL249" s="53"/>
      <c r="AM249" s="53"/>
      <c r="AN249" s="63"/>
      <c r="AO249" s="53"/>
      <c r="AP249" s="63"/>
      <c r="AQ249" s="63"/>
      <c r="AR249">
        <f t="shared" si="9"/>
        <v>1</v>
      </c>
    </row>
    <row r="250" spans="1:44" x14ac:dyDescent="0.25">
      <c r="B250" t="str">
        <f t="shared" si="8"/>
        <v>FCGB - M. Belay</v>
      </c>
      <c r="C250" t="s">
        <v>764</v>
      </c>
      <c r="D250" s="29" t="s">
        <v>633</v>
      </c>
      <c r="E250" s="30" t="s">
        <v>755</v>
      </c>
      <c r="F250" s="31">
        <v>15</v>
      </c>
      <c r="G250" s="99">
        <v>3</v>
      </c>
      <c r="H250" s="73">
        <v>1</v>
      </c>
      <c r="I250" s="34">
        <f>AVERAGE(K250,L250,M250,N250,O250,P250,Q250,S250,V250,W250,X250,Y250,Z250,AA250,AC250,AD250)</f>
        <v>5.25</v>
      </c>
      <c r="J250" s="37" t="s">
        <v>611</v>
      </c>
      <c r="K250" s="24">
        <v>5</v>
      </c>
      <c r="L250" s="77">
        <v>6</v>
      </c>
      <c r="M250" s="24">
        <v>6</v>
      </c>
      <c r="N250" s="24">
        <v>5</v>
      </c>
      <c r="O250" s="24">
        <v>4</v>
      </c>
      <c r="P250" s="37">
        <v>5</v>
      </c>
      <c r="Q250" s="24">
        <v>4</v>
      </c>
      <c r="R250" s="37" t="s">
        <v>611</v>
      </c>
      <c r="S250" s="24">
        <v>5</v>
      </c>
      <c r="T250" s="24"/>
      <c r="U250" s="24"/>
      <c r="V250" s="22">
        <v>6</v>
      </c>
      <c r="W250" s="24">
        <v>5</v>
      </c>
      <c r="X250" s="24">
        <v>6</v>
      </c>
      <c r="Y250" s="37">
        <v>6</v>
      </c>
      <c r="Z250" s="24">
        <v>5</v>
      </c>
      <c r="AA250" s="24">
        <v>5</v>
      </c>
      <c r="AB250" s="37"/>
      <c r="AC250" s="24">
        <v>6</v>
      </c>
      <c r="AD250" s="24">
        <v>5</v>
      </c>
      <c r="AE250" s="24"/>
      <c r="AF250" s="24"/>
      <c r="AG250" s="37"/>
      <c r="AH250" s="24"/>
      <c r="AI250" s="26"/>
      <c r="AJ250" s="37"/>
      <c r="AK250" s="27"/>
      <c r="AL250" s="37"/>
      <c r="AM250" s="37"/>
      <c r="AN250" s="94"/>
      <c r="AO250" s="37"/>
      <c r="AP250" s="26"/>
      <c r="AQ250" s="26"/>
      <c r="AR250">
        <f t="shared" si="9"/>
        <v>18</v>
      </c>
    </row>
    <row r="251" spans="1:44" ht="15.75" thickBot="1" x14ac:dyDescent="0.3">
      <c r="B251" t="str">
        <f t="shared" si="8"/>
        <v>SCB - Danic</v>
      </c>
      <c r="C251" t="s">
        <v>855</v>
      </c>
      <c r="D251" s="88" t="s">
        <v>622</v>
      </c>
      <c r="E251" s="141" t="s">
        <v>478</v>
      </c>
      <c r="F251" s="90">
        <v>26</v>
      </c>
      <c r="G251" s="120">
        <v>4</v>
      </c>
      <c r="H251" s="291">
        <v>4</v>
      </c>
      <c r="I251" s="121">
        <f>AVERAGE(Z251,Y251,X251,W251,K251,L251,M251,N251,O251,P251,Q251,R251,S251,T251,U251,AB251,AC251,AE251,AF251,AG251,AH251,AL251,AJ251,AM251,AN251)</f>
        <v>5</v>
      </c>
      <c r="J251" s="37" t="s">
        <v>611</v>
      </c>
      <c r="K251" s="84">
        <v>7</v>
      </c>
      <c r="L251" s="26">
        <v>5</v>
      </c>
      <c r="M251" s="77">
        <v>6</v>
      </c>
      <c r="N251" s="82">
        <v>3</v>
      </c>
      <c r="O251" s="22">
        <v>5</v>
      </c>
      <c r="P251" s="24">
        <v>4</v>
      </c>
      <c r="Q251" s="24">
        <v>5</v>
      </c>
      <c r="R251" s="24">
        <v>5</v>
      </c>
      <c r="S251" s="37">
        <v>4</v>
      </c>
      <c r="T251" s="37">
        <v>5</v>
      </c>
      <c r="U251" s="24">
        <v>6</v>
      </c>
      <c r="V251" s="22">
        <v>6</v>
      </c>
      <c r="W251" s="37" t="s">
        <v>641</v>
      </c>
      <c r="X251" s="24">
        <v>5</v>
      </c>
      <c r="Y251" s="24">
        <v>4</v>
      </c>
      <c r="Z251" s="24">
        <v>5</v>
      </c>
      <c r="AA251" s="37"/>
      <c r="AB251" s="24">
        <v>5</v>
      </c>
      <c r="AC251" s="82">
        <v>3</v>
      </c>
      <c r="AD251" s="37" t="s">
        <v>611</v>
      </c>
      <c r="AE251" s="24">
        <v>4</v>
      </c>
      <c r="AF251" s="37">
        <v>6</v>
      </c>
      <c r="AG251" s="24">
        <v>4</v>
      </c>
      <c r="AH251" s="24">
        <v>6</v>
      </c>
      <c r="AI251" s="26" t="s">
        <v>611</v>
      </c>
      <c r="AJ251" s="24">
        <v>5</v>
      </c>
      <c r="AK251" s="26" t="s">
        <v>611</v>
      </c>
      <c r="AL251" s="24">
        <v>6</v>
      </c>
      <c r="AM251" s="22">
        <v>6</v>
      </c>
      <c r="AN251" s="26">
        <v>6</v>
      </c>
      <c r="AO251" s="24"/>
      <c r="AP251" s="27"/>
      <c r="AQ251" s="27"/>
      <c r="AR251">
        <f t="shared" si="9"/>
        <v>30</v>
      </c>
    </row>
    <row r="252" spans="1:44" x14ac:dyDescent="0.25">
      <c r="B252" t="str">
        <f t="shared" si="8"/>
        <v>FCL - Chaigneau</v>
      </c>
      <c r="C252" t="s">
        <v>784</v>
      </c>
      <c r="D252" s="16" t="s">
        <v>605</v>
      </c>
      <c r="E252" s="17" t="s">
        <v>765</v>
      </c>
      <c r="F252" s="18">
        <v>1</v>
      </c>
      <c r="G252" s="95">
        <v>1</v>
      </c>
      <c r="H252" s="17"/>
      <c r="I252" s="20">
        <f>AVERAGE(L252,M252)</f>
        <v>5</v>
      </c>
      <c r="J252" s="87"/>
      <c r="K252" s="37"/>
      <c r="L252" s="37">
        <v>5</v>
      </c>
      <c r="M252" s="37">
        <v>5</v>
      </c>
      <c r="N252" s="24"/>
      <c r="O252" s="24"/>
      <c r="P252" s="27"/>
      <c r="Q252" s="37"/>
      <c r="R252" s="24"/>
      <c r="S252" s="37"/>
      <c r="T252" s="24"/>
      <c r="U252" s="24"/>
      <c r="V252" s="24"/>
      <c r="W252" s="24"/>
      <c r="X252" s="24"/>
      <c r="Y252" s="37"/>
      <c r="Z252" s="24"/>
      <c r="AA252" s="24"/>
      <c r="AB252" s="24"/>
      <c r="AC252" s="24"/>
      <c r="AD252" s="24"/>
      <c r="AE252" s="24"/>
      <c r="AF252" s="27"/>
      <c r="AG252" s="48"/>
      <c r="AH252" s="24"/>
      <c r="AI252" s="24"/>
      <c r="AJ252" s="24"/>
      <c r="AK252" s="24"/>
      <c r="AL252" s="37"/>
      <c r="AM252" s="27"/>
      <c r="AN252" s="24"/>
      <c r="AO252" s="27"/>
      <c r="AP252" s="24"/>
      <c r="AQ252" s="27"/>
      <c r="AR252">
        <f t="shared" si="9"/>
        <v>2</v>
      </c>
    </row>
    <row r="253" spans="1:44" x14ac:dyDescent="0.25">
      <c r="B253" t="str">
        <f t="shared" si="8"/>
        <v>FCN - Bammou</v>
      </c>
      <c r="C253" t="s">
        <v>923</v>
      </c>
      <c r="D253" s="67" t="s">
        <v>633</v>
      </c>
      <c r="E253" s="158" t="s">
        <v>549</v>
      </c>
      <c r="F253" s="69">
        <v>14</v>
      </c>
      <c r="G253" s="115">
        <v>15</v>
      </c>
      <c r="H253" s="85">
        <v>4</v>
      </c>
      <c r="I253" s="72">
        <f>AVERAGE(AB253,K253,J253,O253,Q253,S253,T253,U253,R253,V253,W253,X253,AC253,AJ253)</f>
        <v>4.9285714285714288</v>
      </c>
      <c r="J253" s="277">
        <v>4</v>
      </c>
      <c r="K253" s="37">
        <v>4</v>
      </c>
      <c r="L253" s="79" t="s">
        <v>611</v>
      </c>
      <c r="M253" s="79" t="s">
        <v>611</v>
      </c>
      <c r="N253" s="37" t="s">
        <v>611</v>
      </c>
      <c r="O253" s="24">
        <v>4</v>
      </c>
      <c r="P253" s="27"/>
      <c r="Q253" s="25">
        <v>7</v>
      </c>
      <c r="R253" s="24">
        <v>6</v>
      </c>
      <c r="S253" s="22">
        <v>6</v>
      </c>
      <c r="T253" s="22">
        <v>6</v>
      </c>
      <c r="U253" s="24">
        <v>4</v>
      </c>
      <c r="V253" s="22">
        <v>5</v>
      </c>
      <c r="W253" s="24">
        <v>4</v>
      </c>
      <c r="X253" s="24">
        <v>5</v>
      </c>
      <c r="Y253" s="37" t="s">
        <v>611</v>
      </c>
      <c r="Z253" s="37" t="s">
        <v>611</v>
      </c>
      <c r="AA253" s="24"/>
      <c r="AB253" s="23">
        <v>4</v>
      </c>
      <c r="AC253" s="24">
        <v>5</v>
      </c>
      <c r="AD253" s="37" t="s">
        <v>611</v>
      </c>
      <c r="AE253" s="37" t="s">
        <v>611</v>
      </c>
      <c r="AF253" s="26" t="s">
        <v>611</v>
      </c>
      <c r="AG253" s="37" t="s">
        <v>611</v>
      </c>
      <c r="AH253" s="37" t="s">
        <v>611</v>
      </c>
      <c r="AI253" s="37" t="s">
        <v>611</v>
      </c>
      <c r="AJ253" s="76">
        <v>5</v>
      </c>
      <c r="AK253" s="37" t="s">
        <v>611</v>
      </c>
      <c r="AL253" s="37" t="s">
        <v>611</v>
      </c>
      <c r="AM253" s="26" t="s">
        <v>611</v>
      </c>
      <c r="AN253" s="76" t="s">
        <v>611</v>
      </c>
      <c r="AO253" s="27"/>
      <c r="AP253" s="37"/>
      <c r="AQ253" s="26"/>
      <c r="AR253">
        <f t="shared" si="9"/>
        <v>29</v>
      </c>
    </row>
    <row r="254" spans="1:44" x14ac:dyDescent="0.25">
      <c r="A254">
        <v>0</v>
      </c>
      <c r="B254" t="str">
        <f t="shared" si="8"/>
        <v>EAG - Sankharé</v>
      </c>
      <c r="C254" t="s">
        <v>967</v>
      </c>
      <c r="D254" s="29" t="s">
        <v>622</v>
      </c>
      <c r="E254" s="30" t="s">
        <v>961</v>
      </c>
      <c r="F254" s="31">
        <v>26</v>
      </c>
      <c r="G254" s="99"/>
      <c r="H254" s="30">
        <v>4</v>
      </c>
      <c r="I254" s="34">
        <f>AVERAGE(AB254,Y254,K254,L254,M254,J254,N254,O254,P254,Q254,R254,T254,W254,X254,Z254,AC254,AD254,AF254,AG254,AH254,AJ254,AK254,AL254,AM254,AN254)</f>
        <v>5.6</v>
      </c>
      <c r="J254" s="248">
        <v>7</v>
      </c>
      <c r="K254" s="24">
        <v>6</v>
      </c>
      <c r="L254" s="37">
        <v>5</v>
      </c>
      <c r="M254" s="37">
        <v>5</v>
      </c>
      <c r="N254" s="75">
        <v>7</v>
      </c>
      <c r="O254" s="37">
        <v>5</v>
      </c>
      <c r="P254" s="26">
        <v>4</v>
      </c>
      <c r="Q254" s="37">
        <v>4</v>
      </c>
      <c r="R254" s="25">
        <v>7</v>
      </c>
      <c r="S254" s="23"/>
      <c r="T254" s="24">
        <v>4</v>
      </c>
      <c r="U254" s="37" t="s">
        <v>623</v>
      </c>
      <c r="V254" s="24"/>
      <c r="W254" s="37">
        <v>5</v>
      </c>
      <c r="X254" s="24">
        <v>5</v>
      </c>
      <c r="Y254" s="37">
        <v>6</v>
      </c>
      <c r="Z254" s="37">
        <v>5</v>
      </c>
      <c r="AA254" s="24"/>
      <c r="AB254" s="24">
        <v>5</v>
      </c>
      <c r="AC254" s="24">
        <v>5</v>
      </c>
      <c r="AD254" s="37">
        <v>5</v>
      </c>
      <c r="AE254" s="24"/>
      <c r="AF254" s="254">
        <v>8</v>
      </c>
      <c r="AG254" s="234">
        <v>7</v>
      </c>
      <c r="AH254" s="24">
        <v>6</v>
      </c>
      <c r="AI254" s="24"/>
      <c r="AJ254" s="24">
        <v>5</v>
      </c>
      <c r="AK254" s="24">
        <v>5</v>
      </c>
      <c r="AL254" s="24">
        <v>6</v>
      </c>
      <c r="AM254" s="26">
        <v>6</v>
      </c>
      <c r="AN254" s="25">
        <v>7</v>
      </c>
      <c r="AO254" s="27"/>
      <c r="AP254" s="37"/>
      <c r="AQ254" s="27"/>
      <c r="AR254">
        <f t="shared" si="9"/>
        <v>26</v>
      </c>
    </row>
    <row r="255" spans="1:44" x14ac:dyDescent="0.25">
      <c r="B255" t="str">
        <f t="shared" si="8"/>
        <v>FCL - Wachter</v>
      </c>
      <c r="C255" t="s">
        <v>784</v>
      </c>
      <c r="D255" s="50" t="s">
        <v>608</v>
      </c>
      <c r="E255" s="57" t="s">
        <v>766</v>
      </c>
      <c r="F255" s="52"/>
      <c r="G255" s="63"/>
      <c r="H255" s="57"/>
      <c r="I255" s="34"/>
      <c r="J255" s="173"/>
      <c r="K255" s="55"/>
      <c r="L255" s="55"/>
      <c r="M255" s="55"/>
      <c r="N255" s="46"/>
      <c r="O255" s="46"/>
      <c r="P255" s="47"/>
      <c r="Q255" s="55"/>
      <c r="R255" s="46"/>
      <c r="S255" s="55"/>
      <c r="T255" s="46"/>
      <c r="U255" s="46"/>
      <c r="V255" s="55"/>
      <c r="W255" s="46"/>
      <c r="X255" s="46"/>
      <c r="Y255" s="55"/>
      <c r="Z255" s="55"/>
      <c r="AA255" s="55"/>
      <c r="AB255" s="46"/>
      <c r="AC255" s="46"/>
      <c r="AD255" s="46"/>
      <c r="AE255" s="46"/>
      <c r="AF255" s="47"/>
      <c r="AG255" s="45"/>
      <c r="AH255" s="46"/>
      <c r="AI255" s="46"/>
      <c r="AJ255" s="46"/>
      <c r="AK255" s="46"/>
      <c r="AL255" s="55"/>
      <c r="AM255" s="47"/>
      <c r="AN255" s="46"/>
      <c r="AO255" s="47"/>
      <c r="AP255" s="46"/>
      <c r="AQ255" s="47"/>
      <c r="AR255">
        <f t="shared" si="9"/>
        <v>0</v>
      </c>
    </row>
    <row r="256" spans="1:44" x14ac:dyDescent="0.25">
      <c r="A256">
        <v>1</v>
      </c>
      <c r="B256" t="str">
        <f t="shared" si="8"/>
        <v>SMC - Féret</v>
      </c>
      <c r="C256" t="s">
        <v>978</v>
      </c>
      <c r="D256" s="29" t="s">
        <v>622</v>
      </c>
      <c r="E256" s="155" t="s">
        <v>63</v>
      </c>
      <c r="F256" s="31">
        <v>31</v>
      </c>
      <c r="G256" s="99"/>
      <c r="H256" s="30">
        <v>4</v>
      </c>
      <c r="I256" s="34">
        <f>AVERAGE(AB256,Y256,X256,W256,K256,L256,M256,J256,N256,O256,P256,Q256,R256,S256,T256,U256,V256,Z256,AA256,AC256,AD256,AE256,AF256,AG256,AH256,AI256,AJ256,AK256,AL256,AM256,AN256)</f>
        <v>5.290322580645161</v>
      </c>
      <c r="J256" s="179">
        <v>5</v>
      </c>
      <c r="K256" s="24">
        <v>6</v>
      </c>
      <c r="L256" s="37">
        <v>5</v>
      </c>
      <c r="M256" s="24">
        <v>4</v>
      </c>
      <c r="N256" s="75">
        <v>7</v>
      </c>
      <c r="O256" s="37">
        <v>4</v>
      </c>
      <c r="P256" s="27">
        <v>5</v>
      </c>
      <c r="Q256" s="84">
        <v>7</v>
      </c>
      <c r="R256" s="24">
        <v>5</v>
      </c>
      <c r="S256" s="25">
        <v>7</v>
      </c>
      <c r="T256" s="24">
        <v>5</v>
      </c>
      <c r="U256" s="24">
        <v>5</v>
      </c>
      <c r="V256" s="25">
        <v>8</v>
      </c>
      <c r="W256" s="37">
        <v>6</v>
      </c>
      <c r="X256" s="24">
        <v>5</v>
      </c>
      <c r="Y256" s="24">
        <v>6</v>
      </c>
      <c r="Z256" s="37">
        <v>5</v>
      </c>
      <c r="AA256" s="24">
        <v>5</v>
      </c>
      <c r="AB256" s="76">
        <v>4</v>
      </c>
      <c r="AC256" s="24">
        <v>4</v>
      </c>
      <c r="AD256" s="37">
        <v>6</v>
      </c>
      <c r="AE256" s="23">
        <v>4</v>
      </c>
      <c r="AF256" s="299">
        <v>7</v>
      </c>
      <c r="AG256" s="280">
        <v>3</v>
      </c>
      <c r="AH256" s="24">
        <v>5</v>
      </c>
      <c r="AI256" s="163">
        <v>3</v>
      </c>
      <c r="AJ256" s="24">
        <v>5</v>
      </c>
      <c r="AK256" s="24">
        <v>6</v>
      </c>
      <c r="AL256" s="22">
        <v>6</v>
      </c>
      <c r="AM256" s="26">
        <v>5</v>
      </c>
      <c r="AN256" s="24">
        <v>6</v>
      </c>
      <c r="AO256" s="27"/>
      <c r="AP256" s="37"/>
      <c r="AQ256" s="27"/>
      <c r="AR256">
        <f t="shared" si="9"/>
        <v>31</v>
      </c>
    </row>
    <row r="257" spans="1:44" x14ac:dyDescent="0.25">
      <c r="B257" t="str">
        <f t="shared" si="8"/>
        <v>ESTAC - Jean</v>
      </c>
      <c r="C257" t="s">
        <v>1002</v>
      </c>
      <c r="D257" s="29" t="s">
        <v>633</v>
      </c>
      <c r="E257" s="38" t="s">
        <v>109</v>
      </c>
      <c r="F257" s="31">
        <v>24</v>
      </c>
      <c r="G257" s="99">
        <v>4</v>
      </c>
      <c r="H257" s="30">
        <v>4</v>
      </c>
      <c r="I257" s="34">
        <f>AVERAGE(AA257,K257,L257,M257,N257,J257,O257,P257,R257,S257,T257,W257,X257,Y257,Z257,AC257,AD257,AE257,AF257,AG257,AL257,AM257,AN257)</f>
        <v>4.6521739130434785</v>
      </c>
      <c r="J257" s="179">
        <v>5</v>
      </c>
      <c r="K257" s="22">
        <v>6</v>
      </c>
      <c r="L257" s="37">
        <v>4</v>
      </c>
      <c r="M257" s="24">
        <v>5</v>
      </c>
      <c r="N257" s="37">
        <v>4</v>
      </c>
      <c r="O257" s="76">
        <v>5</v>
      </c>
      <c r="P257" s="27">
        <v>5</v>
      </c>
      <c r="Q257" s="37" t="s">
        <v>611</v>
      </c>
      <c r="R257" s="24">
        <v>5</v>
      </c>
      <c r="S257" s="23">
        <v>4</v>
      </c>
      <c r="T257" s="23">
        <v>4</v>
      </c>
      <c r="U257" s="24" t="s">
        <v>623</v>
      </c>
      <c r="V257" s="37"/>
      <c r="W257" s="77">
        <v>6</v>
      </c>
      <c r="X257" s="24">
        <v>4</v>
      </c>
      <c r="Y257" s="24">
        <v>5</v>
      </c>
      <c r="Z257" s="76">
        <v>5</v>
      </c>
      <c r="AA257" s="24">
        <v>4</v>
      </c>
      <c r="AB257" s="37"/>
      <c r="AC257" s="24">
        <v>4</v>
      </c>
      <c r="AD257" s="77">
        <v>6</v>
      </c>
      <c r="AE257" s="23">
        <v>4</v>
      </c>
      <c r="AF257" s="26">
        <v>6</v>
      </c>
      <c r="AG257" s="244">
        <v>3</v>
      </c>
      <c r="AH257" s="76" t="s">
        <v>611</v>
      </c>
      <c r="AI257" s="76" t="s">
        <v>611</v>
      </c>
      <c r="AJ257" s="22"/>
      <c r="AK257" s="37" t="s">
        <v>611</v>
      </c>
      <c r="AL257" s="77">
        <v>6</v>
      </c>
      <c r="AM257" s="259">
        <v>3</v>
      </c>
      <c r="AN257" s="76">
        <v>4</v>
      </c>
      <c r="AO257" s="27"/>
      <c r="AP257" s="37"/>
      <c r="AQ257" s="27"/>
      <c r="AR257">
        <f t="shared" si="9"/>
        <v>28</v>
      </c>
    </row>
    <row r="258" spans="1:44" x14ac:dyDescent="0.25">
      <c r="B258" t="str">
        <f t="shared" si="8"/>
        <v>FCL - L. Koné</v>
      </c>
      <c r="C258" t="s">
        <v>784</v>
      </c>
      <c r="D258" s="50" t="s">
        <v>608</v>
      </c>
      <c r="E258" s="57" t="s">
        <v>769</v>
      </c>
      <c r="F258" s="52">
        <v>17</v>
      </c>
      <c r="G258" s="63">
        <v>1</v>
      </c>
      <c r="H258" s="57"/>
      <c r="I258" s="80">
        <f>AVERAGE(AA258,Y258,L258,M258,N258,O258,Q258,R258,S258,T258,U258,V258,W258,X258,Z258,AB258,AD258,AE258)</f>
        <v>4.833333333333333</v>
      </c>
      <c r="J258" s="275"/>
      <c r="K258" s="61"/>
      <c r="L258" s="61">
        <v>5</v>
      </c>
      <c r="M258" s="61">
        <v>6</v>
      </c>
      <c r="N258" s="53">
        <v>5</v>
      </c>
      <c r="O258" s="53">
        <v>4</v>
      </c>
      <c r="P258" s="63"/>
      <c r="Q258" s="61">
        <v>4</v>
      </c>
      <c r="R258" s="53">
        <v>4</v>
      </c>
      <c r="S258" s="61">
        <v>5</v>
      </c>
      <c r="T258" s="53">
        <v>3</v>
      </c>
      <c r="U258" s="53">
        <v>5</v>
      </c>
      <c r="V258" s="61">
        <v>5</v>
      </c>
      <c r="W258" s="53">
        <v>5</v>
      </c>
      <c r="X258" s="53">
        <v>5</v>
      </c>
      <c r="Y258" s="61">
        <v>5</v>
      </c>
      <c r="Z258" s="61">
        <v>5</v>
      </c>
      <c r="AA258" s="61">
        <v>5</v>
      </c>
      <c r="AB258" s="53">
        <v>7</v>
      </c>
      <c r="AC258" s="53"/>
      <c r="AD258" s="53">
        <v>4</v>
      </c>
      <c r="AE258" s="53">
        <v>5</v>
      </c>
      <c r="AF258" s="63"/>
      <c r="AG258" s="64"/>
      <c r="AH258" s="53"/>
      <c r="AI258" s="53"/>
      <c r="AJ258" s="53"/>
      <c r="AK258" s="53"/>
      <c r="AL258" s="61"/>
      <c r="AM258" s="63"/>
      <c r="AN258" s="53"/>
      <c r="AO258" s="63"/>
      <c r="AP258" s="53"/>
      <c r="AQ258" s="63"/>
      <c r="AR258">
        <f t="shared" si="9"/>
        <v>18</v>
      </c>
    </row>
    <row r="259" spans="1:44" x14ac:dyDescent="0.25">
      <c r="B259" t="str">
        <f t="shared" si="8"/>
        <v>SCO - Ketkeophomphone</v>
      </c>
      <c r="C259" t="s">
        <v>1034</v>
      </c>
      <c r="D259" s="29" t="s">
        <v>633</v>
      </c>
      <c r="E259" s="65" t="s">
        <v>541</v>
      </c>
      <c r="F259" s="31">
        <v>24</v>
      </c>
      <c r="G259" s="99">
        <v>4</v>
      </c>
      <c r="H259" s="30">
        <v>4</v>
      </c>
      <c r="I259" s="34">
        <f>AVERAGE(AA259,K259,M259,J259,N259,P259,Q259,R259,U259,V259,W259,X259,Y259,AB259,AC259,AD259,AE259,AF259,AH259,AI259,AJ259,AK259,AL259,AM259,AN259)</f>
        <v>5</v>
      </c>
      <c r="J259" s="179">
        <v>5</v>
      </c>
      <c r="K259" s="24">
        <v>4</v>
      </c>
      <c r="L259" s="37" t="s">
        <v>611</v>
      </c>
      <c r="M259" s="37">
        <v>5</v>
      </c>
      <c r="N259" s="37">
        <v>6</v>
      </c>
      <c r="O259" s="37" t="s">
        <v>611</v>
      </c>
      <c r="P259" s="27">
        <v>5</v>
      </c>
      <c r="Q259" s="37">
        <v>4</v>
      </c>
      <c r="R259" s="25">
        <v>7</v>
      </c>
      <c r="S259" s="23"/>
      <c r="T259" s="24"/>
      <c r="U259" s="24">
        <v>5</v>
      </c>
      <c r="V259" s="24">
        <v>4</v>
      </c>
      <c r="W259" s="37">
        <v>4</v>
      </c>
      <c r="X259" s="24">
        <v>5</v>
      </c>
      <c r="Y259" s="24">
        <v>4</v>
      </c>
      <c r="Z259" s="37" t="s">
        <v>611</v>
      </c>
      <c r="AA259" s="24">
        <v>6</v>
      </c>
      <c r="AB259" s="24">
        <v>5</v>
      </c>
      <c r="AC259" s="22">
        <v>6</v>
      </c>
      <c r="AD259" s="37">
        <v>4</v>
      </c>
      <c r="AE259" s="82">
        <v>2</v>
      </c>
      <c r="AF259" s="27">
        <v>6</v>
      </c>
      <c r="AG259" s="37"/>
      <c r="AH259" s="24">
        <v>5</v>
      </c>
      <c r="AI259" s="24">
        <v>4</v>
      </c>
      <c r="AJ259" s="24">
        <v>6</v>
      </c>
      <c r="AK259" s="22">
        <v>6</v>
      </c>
      <c r="AL259" s="24">
        <v>5</v>
      </c>
      <c r="AM259" s="26">
        <v>4</v>
      </c>
      <c r="AN259" s="25">
        <v>8</v>
      </c>
      <c r="AO259" s="27"/>
      <c r="AP259" s="37"/>
      <c r="AQ259" s="27"/>
      <c r="AR259">
        <f t="shared" si="9"/>
        <v>28</v>
      </c>
    </row>
    <row r="260" spans="1:44" x14ac:dyDescent="0.25">
      <c r="B260" t="str">
        <f t="shared" si="8"/>
        <v>FCL - Paye</v>
      </c>
      <c r="C260" t="s">
        <v>784</v>
      </c>
      <c r="D260" s="29" t="s">
        <v>608</v>
      </c>
      <c r="E260" s="65" t="s">
        <v>771</v>
      </c>
      <c r="F260" s="31">
        <v>5</v>
      </c>
      <c r="G260" s="99">
        <v>1</v>
      </c>
      <c r="H260" s="174"/>
      <c r="I260" s="34">
        <f>AVERAGE(S260,Y260,AB260,AJ260,AK260)</f>
        <v>5.4</v>
      </c>
      <c r="J260" s="87"/>
      <c r="K260" s="37"/>
      <c r="L260" s="74"/>
      <c r="M260" s="74"/>
      <c r="N260" s="24"/>
      <c r="O260" s="24"/>
      <c r="P260" s="27"/>
      <c r="Q260" s="37" t="s">
        <v>611</v>
      </c>
      <c r="R260" s="24"/>
      <c r="S260" s="37">
        <v>5</v>
      </c>
      <c r="T260" s="24"/>
      <c r="U260" s="24"/>
      <c r="V260" s="24"/>
      <c r="W260" s="24"/>
      <c r="X260" s="24"/>
      <c r="Y260" s="37">
        <v>6</v>
      </c>
      <c r="Z260" s="24"/>
      <c r="AA260" s="24"/>
      <c r="AB260" s="24">
        <v>5</v>
      </c>
      <c r="AC260" s="24"/>
      <c r="AD260" s="24"/>
      <c r="AE260" s="24"/>
      <c r="AF260" s="27"/>
      <c r="AG260" s="48"/>
      <c r="AH260" s="24"/>
      <c r="AI260" s="24"/>
      <c r="AJ260" s="24">
        <v>5</v>
      </c>
      <c r="AK260" s="24">
        <v>6</v>
      </c>
      <c r="AL260" s="37"/>
      <c r="AM260" s="27"/>
      <c r="AN260" s="24"/>
      <c r="AO260" s="27"/>
      <c r="AP260" s="24"/>
      <c r="AQ260" s="27"/>
      <c r="AR260">
        <f t="shared" si="9"/>
        <v>6</v>
      </c>
    </row>
    <row r="261" spans="1:44" x14ac:dyDescent="0.25">
      <c r="B261" t="str">
        <f t="shared" si="8"/>
        <v>FCL - Karamoko</v>
      </c>
      <c r="C261" t="s">
        <v>784</v>
      </c>
      <c r="D261" s="29" t="s">
        <v>608</v>
      </c>
      <c r="E261" s="65" t="s">
        <v>535</v>
      </c>
      <c r="F261" s="31">
        <v>2</v>
      </c>
      <c r="G261" s="99"/>
      <c r="H261" s="174"/>
      <c r="I261" s="34">
        <f>AVERAGE(AC261,AF261)</f>
        <v>5.5</v>
      </c>
      <c r="J261" s="87"/>
      <c r="K261" s="37"/>
      <c r="L261" s="74"/>
      <c r="M261" s="74"/>
      <c r="N261" s="24"/>
      <c r="O261" s="24"/>
      <c r="P261" s="27"/>
      <c r="Q261" s="37"/>
      <c r="R261" s="24"/>
      <c r="S261" s="37"/>
      <c r="T261" s="24"/>
      <c r="U261" s="24"/>
      <c r="V261" s="24"/>
      <c r="W261" s="24"/>
      <c r="X261" s="24"/>
      <c r="Y261" s="37"/>
      <c r="Z261" s="24"/>
      <c r="AA261" s="24"/>
      <c r="AB261" s="24"/>
      <c r="AC261" s="24">
        <v>5</v>
      </c>
      <c r="AD261" s="24"/>
      <c r="AE261" s="24"/>
      <c r="AF261" s="27">
        <v>6</v>
      </c>
      <c r="AG261" s="48"/>
      <c r="AH261" s="24"/>
      <c r="AI261" s="24"/>
      <c r="AJ261" s="24"/>
      <c r="AK261" s="24"/>
      <c r="AL261" s="37"/>
      <c r="AM261" s="27"/>
      <c r="AN261" s="24"/>
      <c r="AO261" s="27"/>
      <c r="AP261" s="24"/>
      <c r="AQ261" s="27"/>
      <c r="AR261">
        <f t="shared" si="9"/>
        <v>2</v>
      </c>
    </row>
    <row r="262" spans="1:44" x14ac:dyDescent="0.25">
      <c r="B262" t="str">
        <f t="shared" si="8"/>
        <v>FCL - Rose</v>
      </c>
      <c r="C262" t="s">
        <v>784</v>
      </c>
      <c r="D262" s="29" t="s">
        <v>608</v>
      </c>
      <c r="E262" s="155" t="s">
        <v>642</v>
      </c>
      <c r="F262" s="31">
        <v>7</v>
      </c>
      <c r="G262" s="99"/>
      <c r="H262" s="174"/>
      <c r="I262" s="34">
        <f>AVERAGE(AG262,AH262,AI262,AJ262,AK262,AM262,AN262)</f>
        <v>4.5714285714285712</v>
      </c>
      <c r="J262" s="87"/>
      <c r="K262" s="37"/>
      <c r="L262" s="74"/>
      <c r="M262" s="74"/>
      <c r="N262" s="24"/>
      <c r="O262" s="24"/>
      <c r="P262" s="27"/>
      <c r="Q262" s="37"/>
      <c r="R262" s="24"/>
      <c r="S262" s="37"/>
      <c r="T262" s="24"/>
      <c r="U262" s="24"/>
      <c r="V262" s="24"/>
      <c r="W262" s="24"/>
      <c r="X262" s="24"/>
      <c r="Y262" s="37"/>
      <c r="Z262" s="24"/>
      <c r="AA262" s="24"/>
      <c r="AB262" s="24"/>
      <c r="AC262" s="24"/>
      <c r="AD262" s="24"/>
      <c r="AE262" s="24"/>
      <c r="AF262" s="27"/>
      <c r="AG262" s="48">
        <v>4</v>
      </c>
      <c r="AH262" s="24">
        <v>5</v>
      </c>
      <c r="AI262" s="24">
        <v>4</v>
      </c>
      <c r="AJ262" s="24">
        <v>4</v>
      </c>
      <c r="AK262" s="24">
        <v>6</v>
      </c>
      <c r="AL262" s="37"/>
      <c r="AM262" s="27">
        <v>6</v>
      </c>
      <c r="AN262" s="82">
        <v>3</v>
      </c>
      <c r="AO262" s="27"/>
      <c r="AP262" s="24"/>
      <c r="AQ262" s="27"/>
      <c r="AR262">
        <f t="shared" si="9"/>
        <v>7</v>
      </c>
    </row>
    <row r="263" spans="1:44" x14ac:dyDescent="0.25">
      <c r="B263" t="str">
        <f t="shared" si="8"/>
        <v>FCL - Musavu-King</v>
      </c>
      <c r="C263" t="s">
        <v>784</v>
      </c>
      <c r="D263" s="29" t="s">
        <v>608</v>
      </c>
      <c r="E263" s="155" t="s">
        <v>1085</v>
      </c>
      <c r="F263" s="31">
        <v>1</v>
      </c>
      <c r="G263" s="99"/>
      <c r="H263" s="174"/>
      <c r="I263" s="34">
        <f>AVERAGE(AL263)</f>
        <v>5</v>
      </c>
      <c r="J263" s="87"/>
      <c r="K263" s="37"/>
      <c r="L263" s="74"/>
      <c r="M263" s="74"/>
      <c r="N263" s="24"/>
      <c r="O263" s="24"/>
      <c r="P263" s="27"/>
      <c r="Q263" s="37"/>
      <c r="R263" s="24"/>
      <c r="S263" s="37"/>
      <c r="T263" s="24"/>
      <c r="U263" s="24"/>
      <c r="V263" s="24"/>
      <c r="W263" s="24"/>
      <c r="X263" s="24"/>
      <c r="Y263" s="37"/>
      <c r="Z263" s="24"/>
      <c r="AA263" s="24"/>
      <c r="AB263" s="24"/>
      <c r="AC263" s="24"/>
      <c r="AD263" s="24"/>
      <c r="AE263" s="24"/>
      <c r="AF263" s="27"/>
      <c r="AG263" s="48"/>
      <c r="AH263" s="24"/>
      <c r="AI263" s="24"/>
      <c r="AJ263" s="24"/>
      <c r="AK263" s="24"/>
      <c r="AL263" s="37">
        <v>5</v>
      </c>
      <c r="AM263" s="27"/>
      <c r="AN263" s="24"/>
      <c r="AO263" s="27"/>
      <c r="AP263" s="24"/>
      <c r="AQ263" s="27"/>
      <c r="AR263">
        <f t="shared" si="9"/>
        <v>1</v>
      </c>
    </row>
    <row r="264" spans="1:44" x14ac:dyDescent="0.25">
      <c r="B264" t="str">
        <f t="shared" si="8"/>
        <v>FCL - Lautoa</v>
      </c>
      <c r="C264" t="s">
        <v>784</v>
      </c>
      <c r="D264" s="67" t="s">
        <v>608</v>
      </c>
      <c r="E264" s="85" t="s">
        <v>188</v>
      </c>
      <c r="F264" s="69">
        <v>8</v>
      </c>
      <c r="G264" s="115">
        <v>1</v>
      </c>
      <c r="H264" s="85"/>
      <c r="I264" s="72">
        <f>AVERAGE(K264,L264,M264,J264,N264,P264,Q264,R264)</f>
        <v>5.25</v>
      </c>
      <c r="J264" s="87">
        <v>5</v>
      </c>
      <c r="K264" s="84">
        <v>7</v>
      </c>
      <c r="L264" s="37">
        <v>5</v>
      </c>
      <c r="M264" s="37">
        <v>4</v>
      </c>
      <c r="N264" s="24">
        <v>6</v>
      </c>
      <c r="O264" s="24"/>
      <c r="P264" s="27">
        <v>5</v>
      </c>
      <c r="Q264" s="37">
        <v>5</v>
      </c>
      <c r="R264" s="24">
        <v>5</v>
      </c>
      <c r="S264" s="37"/>
      <c r="T264" s="37" t="s">
        <v>611</v>
      </c>
      <c r="U264" s="24"/>
      <c r="V264" s="24"/>
      <c r="W264" s="24"/>
      <c r="X264" s="24"/>
      <c r="Y264" s="37"/>
      <c r="Z264" s="24"/>
      <c r="AA264" s="24"/>
      <c r="AB264" s="24"/>
      <c r="AC264" s="24"/>
      <c r="AD264" s="24"/>
      <c r="AE264" s="24"/>
      <c r="AF264" s="27"/>
      <c r="AG264" s="27"/>
      <c r="AH264" s="24"/>
      <c r="AI264" s="24"/>
      <c r="AJ264" s="24"/>
      <c r="AK264" s="24"/>
      <c r="AL264" s="37"/>
      <c r="AM264" s="27"/>
      <c r="AN264" s="24"/>
      <c r="AO264" s="27"/>
      <c r="AP264" s="24"/>
      <c r="AQ264" s="27"/>
      <c r="AR264">
        <f t="shared" si="9"/>
        <v>9</v>
      </c>
    </row>
    <row r="265" spans="1:44" x14ac:dyDescent="0.25">
      <c r="B265" t="str">
        <f t="shared" si="8"/>
        <v>FCL - Barthelmé</v>
      </c>
      <c r="C265" t="s">
        <v>784</v>
      </c>
      <c r="D265" s="29" t="s">
        <v>622</v>
      </c>
      <c r="E265" s="30" t="s">
        <v>772</v>
      </c>
      <c r="F265" s="31">
        <v>12</v>
      </c>
      <c r="G265" s="99">
        <v>6</v>
      </c>
      <c r="H265" s="30"/>
      <c r="I265" s="34">
        <f>AVERAGE(P265,Q265,R265,V265,W265,Z265,AF265,AG265,AJ265,AK265,AM265,AN265)</f>
        <v>5.083333333333333</v>
      </c>
      <c r="J265" s="87" t="s">
        <v>611</v>
      </c>
      <c r="K265" s="37"/>
      <c r="L265" s="37"/>
      <c r="M265" s="37"/>
      <c r="N265" s="24"/>
      <c r="O265" s="24"/>
      <c r="P265" s="27">
        <v>6</v>
      </c>
      <c r="Q265" s="84">
        <v>7</v>
      </c>
      <c r="R265" s="24">
        <v>4</v>
      </c>
      <c r="S265" s="37" t="s">
        <v>611</v>
      </c>
      <c r="T265" s="24"/>
      <c r="U265" s="24"/>
      <c r="V265" s="24">
        <v>5</v>
      </c>
      <c r="W265" s="37">
        <v>5</v>
      </c>
      <c r="X265" s="24"/>
      <c r="Y265" s="37"/>
      <c r="Z265" s="24">
        <v>6</v>
      </c>
      <c r="AA265" s="24"/>
      <c r="AB265" s="24"/>
      <c r="AC265" s="24"/>
      <c r="AD265" s="37" t="s">
        <v>611</v>
      </c>
      <c r="AE265" s="37" t="s">
        <v>611</v>
      </c>
      <c r="AF265" s="27">
        <v>5</v>
      </c>
      <c r="AG265" s="205">
        <v>3</v>
      </c>
      <c r="AH265" s="37"/>
      <c r="AI265" s="37" t="s">
        <v>611</v>
      </c>
      <c r="AJ265" s="37">
        <v>5</v>
      </c>
      <c r="AK265" s="37">
        <v>6</v>
      </c>
      <c r="AL265" s="37" t="s">
        <v>611</v>
      </c>
      <c r="AM265" s="27">
        <v>5</v>
      </c>
      <c r="AN265" s="24">
        <v>4</v>
      </c>
      <c r="AO265" s="27"/>
      <c r="AP265" s="24"/>
      <c r="AQ265" s="26"/>
      <c r="AR265">
        <f t="shared" si="9"/>
        <v>18</v>
      </c>
    </row>
    <row r="266" spans="1:44" x14ac:dyDescent="0.25">
      <c r="B266" t="str">
        <f t="shared" si="8"/>
        <v>FCL - Mostefa</v>
      </c>
      <c r="C266" t="s">
        <v>784</v>
      </c>
      <c r="D266" s="50" t="s">
        <v>622</v>
      </c>
      <c r="E266" s="57" t="s">
        <v>773</v>
      </c>
      <c r="F266" s="52">
        <v>1</v>
      </c>
      <c r="G266" s="63"/>
      <c r="H266" s="57"/>
      <c r="I266" s="80">
        <f>AVERAGE(J266)</f>
        <v>5</v>
      </c>
      <c r="J266" s="150">
        <v>5</v>
      </c>
      <c r="K266" s="61"/>
      <c r="L266" s="61"/>
      <c r="M266" s="61"/>
      <c r="N266" s="53"/>
      <c r="O266" s="53"/>
      <c r="P266" s="63"/>
      <c r="Q266" s="61"/>
      <c r="R266" s="53"/>
      <c r="S266" s="61"/>
      <c r="T266" s="53"/>
      <c r="U266" s="53"/>
      <c r="V266" s="53"/>
      <c r="W266" s="61"/>
      <c r="X266" s="53"/>
      <c r="Y266" s="61"/>
      <c r="Z266" s="53"/>
      <c r="AA266" s="53"/>
      <c r="AB266" s="53"/>
      <c r="AC266" s="53"/>
      <c r="AD266" s="53"/>
      <c r="AE266" s="61"/>
      <c r="AF266" s="63"/>
      <c r="AG266" s="150"/>
      <c r="AH266" s="61"/>
      <c r="AI266" s="61"/>
      <c r="AJ266" s="61"/>
      <c r="AK266" s="61"/>
      <c r="AL266" s="61"/>
      <c r="AM266" s="63"/>
      <c r="AN266" s="53"/>
      <c r="AO266" s="63"/>
      <c r="AP266" s="53"/>
      <c r="AQ266" s="62"/>
      <c r="AR266">
        <f t="shared" si="9"/>
        <v>1</v>
      </c>
    </row>
    <row r="267" spans="1:44" x14ac:dyDescent="0.25">
      <c r="A267">
        <v>1</v>
      </c>
      <c r="B267" t="str">
        <f t="shared" si="8"/>
        <v>PSG - Matuidi</v>
      </c>
      <c r="C267" t="s">
        <v>673</v>
      </c>
      <c r="D267" s="29" t="s">
        <v>622</v>
      </c>
      <c r="E267" s="30" t="s">
        <v>102</v>
      </c>
      <c r="F267" s="31">
        <v>21</v>
      </c>
      <c r="G267" s="99">
        <v>6</v>
      </c>
      <c r="H267" s="30">
        <v>3</v>
      </c>
      <c r="I267" s="34">
        <f>AVERAGE(AA267,K267,L267,M267,J267,N267,P267,R267,U267,V267,W267,Y267,Z267,AB267,AC267,AD267,AE267,AF267,AH267,AI267,AJ267)</f>
        <v>5.9047619047619051</v>
      </c>
      <c r="J267" s="295">
        <v>7</v>
      </c>
      <c r="K267" s="75">
        <v>7</v>
      </c>
      <c r="L267" s="75">
        <v>7</v>
      </c>
      <c r="M267" s="129">
        <v>7</v>
      </c>
      <c r="N267" s="37">
        <v>5</v>
      </c>
      <c r="O267" s="37" t="s">
        <v>611</v>
      </c>
      <c r="P267" s="26">
        <v>6</v>
      </c>
      <c r="Q267" s="24"/>
      <c r="R267" s="24">
        <v>6</v>
      </c>
      <c r="S267" s="24"/>
      <c r="T267" s="37" t="s">
        <v>611</v>
      </c>
      <c r="U267" s="37">
        <v>5</v>
      </c>
      <c r="V267" s="24">
        <v>6</v>
      </c>
      <c r="W267" s="25">
        <v>7</v>
      </c>
      <c r="X267" s="37" t="s">
        <v>611</v>
      </c>
      <c r="Y267" s="24">
        <v>5</v>
      </c>
      <c r="Z267" s="37">
        <v>5</v>
      </c>
      <c r="AA267" s="24">
        <v>5</v>
      </c>
      <c r="AB267" s="24">
        <v>5</v>
      </c>
      <c r="AC267" s="24">
        <v>5</v>
      </c>
      <c r="AD267" s="24">
        <v>6</v>
      </c>
      <c r="AE267" s="83">
        <v>8</v>
      </c>
      <c r="AF267" s="26">
        <v>5</v>
      </c>
      <c r="AG267" s="37" t="s">
        <v>611</v>
      </c>
      <c r="AH267" s="24">
        <v>6</v>
      </c>
      <c r="AI267" s="24">
        <v>5</v>
      </c>
      <c r="AJ267" s="24">
        <v>6</v>
      </c>
      <c r="AK267" s="76" t="s">
        <v>611</v>
      </c>
      <c r="AL267" s="24"/>
      <c r="AM267" s="27"/>
      <c r="AN267" s="76" t="s">
        <v>611</v>
      </c>
      <c r="AO267" s="27"/>
      <c r="AP267" s="37"/>
      <c r="AQ267" s="27"/>
      <c r="AR267">
        <f t="shared" si="9"/>
        <v>27</v>
      </c>
    </row>
    <row r="268" spans="1:44" x14ac:dyDescent="0.25">
      <c r="B268" t="str">
        <f t="shared" si="8"/>
        <v>FCL - Jouffre</v>
      </c>
      <c r="C268" t="s">
        <v>784</v>
      </c>
      <c r="D268" s="29" t="s">
        <v>622</v>
      </c>
      <c r="E268" s="60" t="s">
        <v>775</v>
      </c>
      <c r="F268" s="31">
        <v>17</v>
      </c>
      <c r="G268" s="99">
        <v>5</v>
      </c>
      <c r="H268" s="30">
        <v>2</v>
      </c>
      <c r="I268" s="34">
        <f>AVERAGE(N268,O268,P268,R268,S268,T268,U268,V268,X268,Y268,AA268,AB268,AC268,AD268,AE268,AF268,AH268)</f>
        <v>5.2352941176470589</v>
      </c>
      <c r="J268" s="87"/>
      <c r="K268" s="79"/>
      <c r="L268" s="37"/>
      <c r="M268" s="37"/>
      <c r="N268" s="25">
        <v>7</v>
      </c>
      <c r="O268" s="24">
        <v>6</v>
      </c>
      <c r="P268" s="27">
        <v>5</v>
      </c>
      <c r="Q268" s="37" t="s">
        <v>611</v>
      </c>
      <c r="R268" s="24">
        <v>5</v>
      </c>
      <c r="S268" s="37">
        <v>4</v>
      </c>
      <c r="T268" s="24">
        <v>5</v>
      </c>
      <c r="U268" s="24">
        <v>4</v>
      </c>
      <c r="V268" s="66">
        <v>7</v>
      </c>
      <c r="W268" s="37" t="s">
        <v>611</v>
      </c>
      <c r="X268" s="24">
        <v>4</v>
      </c>
      <c r="Y268" s="37">
        <v>6</v>
      </c>
      <c r="Z268" s="24"/>
      <c r="AA268" s="24">
        <v>4</v>
      </c>
      <c r="AB268" s="24">
        <v>6</v>
      </c>
      <c r="AC268" s="24">
        <v>4</v>
      </c>
      <c r="AD268" s="24">
        <v>4</v>
      </c>
      <c r="AE268" s="22">
        <v>6</v>
      </c>
      <c r="AF268" s="165">
        <v>7</v>
      </c>
      <c r="AG268" s="87" t="s">
        <v>611</v>
      </c>
      <c r="AH268" s="24">
        <v>5</v>
      </c>
      <c r="AI268" s="24"/>
      <c r="AJ268" s="24"/>
      <c r="AK268" s="24"/>
      <c r="AL268" s="37"/>
      <c r="AM268" s="26" t="s">
        <v>611</v>
      </c>
      <c r="AN268" s="37" t="s">
        <v>611</v>
      </c>
      <c r="AO268" s="26"/>
      <c r="AP268" s="24"/>
      <c r="AQ268" s="27"/>
      <c r="AR268">
        <f t="shared" si="9"/>
        <v>22</v>
      </c>
    </row>
    <row r="269" spans="1:44" x14ac:dyDescent="0.25">
      <c r="B269" t="str">
        <f t="shared" si="8"/>
        <v>FCL - Abdullah</v>
      </c>
      <c r="C269" t="s">
        <v>784</v>
      </c>
      <c r="D269" s="29" t="s">
        <v>622</v>
      </c>
      <c r="E269" s="60" t="s">
        <v>776</v>
      </c>
      <c r="F269" s="31">
        <v>5</v>
      </c>
      <c r="G269" s="99">
        <v>6</v>
      </c>
      <c r="H269" s="30">
        <v>1</v>
      </c>
      <c r="I269" s="34">
        <f>AVERAGE(O269,Q269,AF269,AG269,AL269)</f>
        <v>5.2</v>
      </c>
      <c r="J269" s="176"/>
      <c r="K269" s="37"/>
      <c r="L269" s="37"/>
      <c r="M269" s="37" t="s">
        <v>611</v>
      </c>
      <c r="N269" s="37" t="s">
        <v>611</v>
      </c>
      <c r="O269" s="24">
        <v>5</v>
      </c>
      <c r="P269" s="26" t="s">
        <v>611</v>
      </c>
      <c r="Q269" s="77">
        <v>6</v>
      </c>
      <c r="R269" s="24"/>
      <c r="S269" s="37"/>
      <c r="T269" s="37" t="s">
        <v>611</v>
      </c>
      <c r="U269" s="37" t="s">
        <v>611</v>
      </c>
      <c r="V269" s="37" t="s">
        <v>611</v>
      </c>
      <c r="W269" s="24"/>
      <c r="X269" s="24"/>
      <c r="Y269" s="37"/>
      <c r="Z269" s="24"/>
      <c r="AA269" s="24"/>
      <c r="AB269" s="24"/>
      <c r="AC269" s="24"/>
      <c r="AD269" s="24"/>
      <c r="AE269" s="37"/>
      <c r="AF269" s="27">
        <v>5</v>
      </c>
      <c r="AG269" s="48">
        <v>5</v>
      </c>
      <c r="AH269" s="24"/>
      <c r="AI269" s="24"/>
      <c r="AJ269" s="24"/>
      <c r="AK269" s="24"/>
      <c r="AL269" s="37">
        <v>5</v>
      </c>
      <c r="AM269" s="27"/>
      <c r="AN269" s="37"/>
      <c r="AO269" s="27"/>
      <c r="AP269" s="24"/>
      <c r="AQ269" s="26"/>
      <c r="AR269">
        <f t="shared" si="9"/>
        <v>11</v>
      </c>
    </row>
    <row r="270" spans="1:44" x14ac:dyDescent="0.25">
      <c r="A270">
        <v>1</v>
      </c>
      <c r="B270" t="str">
        <f t="shared" si="8"/>
        <v>MHSC - J. Martin</v>
      </c>
      <c r="C270" t="s">
        <v>806</v>
      </c>
      <c r="D270" s="29" t="s">
        <v>622</v>
      </c>
      <c r="E270" s="30" t="s">
        <v>795</v>
      </c>
      <c r="F270" s="31">
        <v>28</v>
      </c>
      <c r="G270" s="99">
        <v>1</v>
      </c>
      <c r="H270" s="30">
        <v>3</v>
      </c>
      <c r="I270" s="34">
        <f>AVERAGE(AB270,Z270,Y270,W270,K270,L270,M270,J270,O270,P270,Q270,R270,S270,T270,U270,V270,X270,AA270,AC270,AD270,AE270,AF270,AG270,AH270,AI270,AK270,AL270,AM270,AN270)</f>
        <v>5.3793103448275863</v>
      </c>
      <c r="J270" s="87">
        <v>6</v>
      </c>
      <c r="K270" s="37">
        <v>6</v>
      </c>
      <c r="L270" s="37">
        <v>5</v>
      </c>
      <c r="M270" s="37">
        <v>6</v>
      </c>
      <c r="N270" s="24"/>
      <c r="O270" s="22">
        <v>6</v>
      </c>
      <c r="P270" s="27">
        <v>5</v>
      </c>
      <c r="Q270" s="25">
        <v>7</v>
      </c>
      <c r="R270" s="24">
        <v>4</v>
      </c>
      <c r="S270" s="24">
        <v>5</v>
      </c>
      <c r="T270" s="24">
        <v>6</v>
      </c>
      <c r="U270" s="66">
        <v>7</v>
      </c>
      <c r="V270" s="24">
        <v>5</v>
      </c>
      <c r="W270" s="24">
        <v>5</v>
      </c>
      <c r="X270" s="24">
        <v>5</v>
      </c>
      <c r="Y270" s="24">
        <v>5</v>
      </c>
      <c r="Z270" s="23">
        <v>4</v>
      </c>
      <c r="AA270" s="24">
        <v>5</v>
      </c>
      <c r="AB270" s="24">
        <v>5</v>
      </c>
      <c r="AC270" s="24">
        <v>5</v>
      </c>
      <c r="AD270" s="24">
        <v>4</v>
      </c>
      <c r="AE270" s="24">
        <v>5</v>
      </c>
      <c r="AF270" s="254">
        <v>8</v>
      </c>
      <c r="AG270" s="38">
        <v>5</v>
      </c>
      <c r="AH270" s="37">
        <v>5</v>
      </c>
      <c r="AI270" s="24">
        <v>6</v>
      </c>
      <c r="AJ270" s="24"/>
      <c r="AK270" s="37">
        <v>6</v>
      </c>
      <c r="AL270" s="24">
        <v>6</v>
      </c>
      <c r="AM270" s="27">
        <v>5</v>
      </c>
      <c r="AN270" s="24">
        <v>4</v>
      </c>
      <c r="AO270" s="27"/>
      <c r="AP270" s="24"/>
      <c r="AQ270" s="27"/>
      <c r="AR270">
        <f t="shared" si="9"/>
        <v>29</v>
      </c>
    </row>
    <row r="271" spans="1:44" x14ac:dyDescent="0.25">
      <c r="A271">
        <v>0</v>
      </c>
      <c r="B271" t="str">
        <f t="shared" si="8"/>
        <v>Losc - Sidibé</v>
      </c>
      <c r="C271" t="s">
        <v>739</v>
      </c>
      <c r="D271" s="29" t="s">
        <v>608</v>
      </c>
      <c r="E271" t="s">
        <v>719</v>
      </c>
      <c r="F271" s="31">
        <v>29</v>
      </c>
      <c r="G271" s="99">
        <v>1</v>
      </c>
      <c r="H271" s="30">
        <v>3</v>
      </c>
      <c r="I271" s="34">
        <f>AVERAGE(Y271,J271,K271,L271,M271,N271,O271,Q271,P271,R271,S271,T271,U271,W271,X271,Z271,AA271,AB271,AC271,AD271,AE271,AG271,AH271,AI271,AJ271,AK271,AL271,AM271,AN271)</f>
        <v>5.3103448275862073</v>
      </c>
      <c r="J271" s="38">
        <v>4</v>
      </c>
      <c r="K271" s="24">
        <v>6</v>
      </c>
      <c r="L271" s="24">
        <v>6</v>
      </c>
      <c r="M271" s="165">
        <v>7</v>
      </c>
      <c r="N271" s="24">
        <v>5</v>
      </c>
      <c r="O271" s="24">
        <v>5</v>
      </c>
      <c r="P271" s="27">
        <v>5</v>
      </c>
      <c r="Q271" s="82">
        <v>3</v>
      </c>
      <c r="R271" s="25">
        <v>7</v>
      </c>
      <c r="S271" s="24">
        <v>5</v>
      </c>
      <c r="T271" s="37">
        <v>5</v>
      </c>
      <c r="U271" s="24">
        <v>5</v>
      </c>
      <c r="V271" s="77" t="s">
        <v>611</v>
      </c>
      <c r="W271" s="24">
        <v>6</v>
      </c>
      <c r="X271" s="24">
        <v>5</v>
      </c>
      <c r="Y271" s="24">
        <v>6</v>
      </c>
      <c r="Z271" s="24">
        <v>6</v>
      </c>
      <c r="AA271" s="22">
        <v>6</v>
      </c>
      <c r="AB271" s="24">
        <v>6</v>
      </c>
      <c r="AC271" s="24">
        <v>5</v>
      </c>
      <c r="AD271" s="24">
        <v>4</v>
      </c>
      <c r="AE271" s="24">
        <v>5</v>
      </c>
      <c r="AF271" s="27"/>
      <c r="AG271" s="38">
        <v>6</v>
      </c>
      <c r="AH271" s="24">
        <v>6</v>
      </c>
      <c r="AI271" s="24">
        <v>5</v>
      </c>
      <c r="AJ271" s="24">
        <v>6</v>
      </c>
      <c r="AK271" s="82">
        <v>3</v>
      </c>
      <c r="AL271" s="24">
        <v>5</v>
      </c>
      <c r="AM271" s="27">
        <v>6</v>
      </c>
      <c r="AN271" s="24">
        <v>5</v>
      </c>
      <c r="AO271" s="27"/>
      <c r="AP271" s="24"/>
      <c r="AQ271" s="27"/>
      <c r="AR271">
        <f t="shared" si="9"/>
        <v>30</v>
      </c>
    </row>
    <row r="272" spans="1:44" x14ac:dyDescent="0.25">
      <c r="A272">
        <v>0</v>
      </c>
      <c r="B272" t="str">
        <f t="shared" si="8"/>
        <v>ASSE - Sall</v>
      </c>
      <c r="C272" t="s">
        <v>714</v>
      </c>
      <c r="D272" s="29" t="s">
        <v>608</v>
      </c>
      <c r="E272" s="30" t="s">
        <v>146</v>
      </c>
      <c r="F272" s="31">
        <v>23</v>
      </c>
      <c r="G272" s="99">
        <v>1</v>
      </c>
      <c r="H272" s="30">
        <v>3</v>
      </c>
      <c r="I272" s="34">
        <f>AVERAGE(K272,L272,N272,P272,R272,S272,T272,X272,Z272,AA272,AB272,AC272,AD272,AE272,AF272,AG272,AH272,AI272,AJ272,AK272,AL272,AM272,AN272)</f>
        <v>5.0869565217391308</v>
      </c>
      <c r="J272" s="38"/>
      <c r="K272" s="24">
        <v>5</v>
      </c>
      <c r="L272" s="24">
        <v>5</v>
      </c>
      <c r="M272" s="24"/>
      <c r="N272" s="22">
        <v>5</v>
      </c>
      <c r="O272" s="24"/>
      <c r="P272" s="27">
        <v>6</v>
      </c>
      <c r="Q272" s="37" t="s">
        <v>611</v>
      </c>
      <c r="R272" s="24">
        <v>5</v>
      </c>
      <c r="S272" s="24">
        <v>5</v>
      </c>
      <c r="T272" s="24">
        <v>4</v>
      </c>
      <c r="U272" s="24"/>
      <c r="V272" s="24"/>
      <c r="W272" s="24"/>
      <c r="X272" s="23">
        <v>5</v>
      </c>
      <c r="Y272" s="24"/>
      <c r="Z272" s="24">
        <v>5</v>
      </c>
      <c r="AA272" s="24">
        <v>5</v>
      </c>
      <c r="AB272" s="24">
        <v>5</v>
      </c>
      <c r="AC272" s="24">
        <v>4</v>
      </c>
      <c r="AD272" s="24">
        <v>5</v>
      </c>
      <c r="AE272" s="24">
        <v>5</v>
      </c>
      <c r="AF272" s="27">
        <v>5</v>
      </c>
      <c r="AG272" s="254">
        <v>7</v>
      </c>
      <c r="AH272" s="24">
        <v>6</v>
      </c>
      <c r="AI272" s="25">
        <v>7</v>
      </c>
      <c r="AJ272" s="24">
        <v>5</v>
      </c>
      <c r="AK272" s="82">
        <v>3</v>
      </c>
      <c r="AL272" s="24">
        <v>5</v>
      </c>
      <c r="AM272" s="27">
        <v>4</v>
      </c>
      <c r="AN272" s="24">
        <v>6</v>
      </c>
      <c r="AO272" s="27"/>
      <c r="AP272" s="24"/>
      <c r="AQ272" s="27"/>
      <c r="AR272">
        <f t="shared" si="9"/>
        <v>24</v>
      </c>
    </row>
    <row r="273" spans="1:44" x14ac:dyDescent="0.25">
      <c r="B273" t="str">
        <f t="shared" si="8"/>
        <v>FCL - Mulumba</v>
      </c>
      <c r="C273" t="s">
        <v>784</v>
      </c>
      <c r="D273" s="29" t="s">
        <v>622</v>
      </c>
      <c r="E273" s="155" t="s">
        <v>778</v>
      </c>
      <c r="F273" s="99">
        <v>1</v>
      </c>
      <c r="G273" s="99">
        <v>5</v>
      </c>
      <c r="H273" s="30"/>
      <c r="I273" s="34">
        <f>AVERAGE(Y273)</f>
        <v>5</v>
      </c>
      <c r="J273" s="176"/>
      <c r="K273" s="37"/>
      <c r="L273" s="37"/>
      <c r="M273" s="37"/>
      <c r="N273" s="37"/>
      <c r="O273" s="37"/>
      <c r="P273" s="26"/>
      <c r="Q273" s="37"/>
      <c r="R273" s="37"/>
      <c r="S273" s="37" t="s">
        <v>611</v>
      </c>
      <c r="T273" s="24"/>
      <c r="U273" s="24"/>
      <c r="V273" s="24"/>
      <c r="W273" s="37" t="s">
        <v>611</v>
      </c>
      <c r="X273" s="24"/>
      <c r="Y273" s="37">
        <v>5</v>
      </c>
      <c r="Z273" s="37" t="s">
        <v>611</v>
      </c>
      <c r="AA273" s="24"/>
      <c r="AB273" s="24"/>
      <c r="AC273" s="24"/>
      <c r="AD273" s="24"/>
      <c r="AE273" s="37"/>
      <c r="AF273" s="26" t="s">
        <v>611</v>
      </c>
      <c r="AG273" s="48"/>
      <c r="AH273" s="24"/>
      <c r="AI273" s="24"/>
      <c r="AJ273" s="24"/>
      <c r="AK273" s="37" t="s">
        <v>611</v>
      </c>
      <c r="AL273" s="37"/>
      <c r="AM273" s="27"/>
      <c r="AN273" s="24"/>
      <c r="AO273" s="26"/>
      <c r="AP273" s="37"/>
      <c r="AQ273" s="28"/>
      <c r="AR273">
        <f t="shared" si="9"/>
        <v>6</v>
      </c>
    </row>
    <row r="274" spans="1:44" x14ac:dyDescent="0.25">
      <c r="B274" t="str">
        <f t="shared" si="8"/>
        <v>FCL - Cabot</v>
      </c>
      <c r="C274" t="s">
        <v>784</v>
      </c>
      <c r="D274" s="29" t="s">
        <v>622</v>
      </c>
      <c r="E274" s="155" t="s">
        <v>507</v>
      </c>
      <c r="F274" s="31">
        <v>6</v>
      </c>
      <c r="G274" s="99">
        <v>2</v>
      </c>
      <c r="H274" s="38">
        <v>1</v>
      </c>
      <c r="I274" s="34">
        <f>AVERAGE(AH274,AI274,AJ274,AK274,AL274,AM274)</f>
        <v>5.166666666666667</v>
      </c>
      <c r="J274" s="181"/>
      <c r="K274" s="37"/>
      <c r="L274" s="37"/>
      <c r="M274" s="76"/>
      <c r="N274" s="37"/>
      <c r="O274" s="37"/>
      <c r="P274" s="26"/>
      <c r="Q274" s="37"/>
      <c r="R274" s="24"/>
      <c r="S274" s="37"/>
      <c r="T274" s="37"/>
      <c r="U274" s="24"/>
      <c r="V274" s="24"/>
      <c r="W274" s="24"/>
      <c r="X274" s="24"/>
      <c r="Y274" s="37"/>
      <c r="Z274" s="24"/>
      <c r="AA274" s="24"/>
      <c r="AB274" s="24"/>
      <c r="AC274" s="24"/>
      <c r="AD274" s="37"/>
      <c r="AE274" s="37"/>
      <c r="AF274" s="26"/>
      <c r="AG274" s="87" t="s">
        <v>611</v>
      </c>
      <c r="AH274" s="77">
        <v>6</v>
      </c>
      <c r="AI274" s="24">
        <v>4</v>
      </c>
      <c r="AJ274" s="24">
        <v>5</v>
      </c>
      <c r="AK274" s="24">
        <v>6</v>
      </c>
      <c r="AL274" s="37">
        <v>5</v>
      </c>
      <c r="AM274" s="27">
        <v>5</v>
      </c>
      <c r="AN274" s="37" t="s">
        <v>611</v>
      </c>
      <c r="AO274" s="27"/>
      <c r="AP274" s="24"/>
      <c r="AQ274" s="27"/>
      <c r="AR274">
        <f t="shared" si="9"/>
        <v>8</v>
      </c>
    </row>
    <row r="275" spans="1:44" x14ac:dyDescent="0.25">
      <c r="B275" t="str">
        <f t="shared" si="8"/>
        <v>FCL - Fofana</v>
      </c>
      <c r="C275" t="s">
        <v>784</v>
      </c>
      <c r="D275" s="29" t="s">
        <v>622</v>
      </c>
      <c r="E275" s="65" t="s">
        <v>782</v>
      </c>
      <c r="F275" s="31"/>
      <c r="G275" s="99">
        <v>5</v>
      </c>
      <c r="H275" s="30"/>
      <c r="I275" s="34"/>
      <c r="J275" s="181"/>
      <c r="K275" s="37" t="s">
        <v>611</v>
      </c>
      <c r="L275" s="37"/>
      <c r="M275" s="76" t="s">
        <v>611</v>
      </c>
      <c r="N275" s="37"/>
      <c r="O275" s="37"/>
      <c r="P275" s="26"/>
      <c r="Q275" s="37" t="s">
        <v>611</v>
      </c>
      <c r="R275" s="24"/>
      <c r="S275" s="37"/>
      <c r="T275" s="37"/>
      <c r="U275" s="24"/>
      <c r="V275" s="24"/>
      <c r="W275" s="24"/>
      <c r="X275" s="24"/>
      <c r="Y275" s="37"/>
      <c r="Z275" s="24"/>
      <c r="AA275" s="24"/>
      <c r="AB275" s="24"/>
      <c r="AC275" s="24"/>
      <c r="AD275" s="37" t="s">
        <v>611</v>
      </c>
      <c r="AE275" s="37"/>
      <c r="AF275" s="26"/>
      <c r="AG275" s="48"/>
      <c r="AH275" s="37"/>
      <c r="AI275" s="37" t="s">
        <v>611</v>
      </c>
      <c r="AJ275" s="24"/>
      <c r="AK275" s="24"/>
      <c r="AL275" s="37"/>
      <c r="AM275" s="27"/>
      <c r="AN275" s="24"/>
      <c r="AO275" s="27"/>
      <c r="AP275" s="24"/>
      <c r="AQ275" s="27"/>
      <c r="AR275">
        <f t="shared" si="9"/>
        <v>5</v>
      </c>
    </row>
    <row r="276" spans="1:44" x14ac:dyDescent="0.25">
      <c r="B276" t="str">
        <f t="shared" si="8"/>
        <v>FCL - Gakpa</v>
      </c>
      <c r="C276" t="s">
        <v>784</v>
      </c>
      <c r="D276" s="29" t="s">
        <v>622</v>
      </c>
      <c r="E276" s="155" t="s">
        <v>783</v>
      </c>
      <c r="F276" s="99"/>
      <c r="G276" s="99">
        <v>2</v>
      </c>
      <c r="H276" s="30"/>
      <c r="I276" s="34"/>
      <c r="J276" s="87"/>
      <c r="K276" s="37" t="s">
        <v>611</v>
      </c>
      <c r="L276" s="37"/>
      <c r="M276" s="37"/>
      <c r="N276" s="24"/>
      <c r="O276" s="37" t="s">
        <v>611</v>
      </c>
      <c r="P276" s="27"/>
      <c r="Q276" s="37"/>
      <c r="R276" s="24"/>
      <c r="S276" s="37"/>
      <c r="T276" s="37"/>
      <c r="U276" s="24"/>
      <c r="V276" s="24"/>
      <c r="W276" s="24"/>
      <c r="X276" s="37"/>
      <c r="Y276" s="37"/>
      <c r="Z276" s="24"/>
      <c r="AA276" s="37"/>
      <c r="AB276" s="24"/>
      <c r="AC276" s="37"/>
      <c r="AD276" s="37"/>
      <c r="AE276" s="24"/>
      <c r="AF276" s="27"/>
      <c r="AG276" s="48"/>
      <c r="AH276" s="24"/>
      <c r="AI276" s="24"/>
      <c r="AJ276" s="24"/>
      <c r="AK276" s="24"/>
      <c r="AL276" s="37"/>
      <c r="AM276" s="27"/>
      <c r="AN276" s="24"/>
      <c r="AO276" s="27"/>
      <c r="AP276" s="24"/>
      <c r="AQ276" s="27"/>
      <c r="AR276">
        <f t="shared" si="9"/>
        <v>2</v>
      </c>
    </row>
    <row r="277" spans="1:44" x14ac:dyDescent="0.25">
      <c r="B277" t="str">
        <f t="shared" si="8"/>
        <v>FCL - Traoré</v>
      </c>
      <c r="C277" t="s">
        <v>784</v>
      </c>
      <c r="D277" s="102" t="s">
        <v>622</v>
      </c>
      <c r="E277" s="158" t="s">
        <v>756</v>
      </c>
      <c r="F277" s="178"/>
      <c r="G277" s="178">
        <v>2</v>
      </c>
      <c r="H277" s="158"/>
      <c r="I277" s="72"/>
      <c r="J277" s="179" t="s">
        <v>611</v>
      </c>
      <c r="K277" s="108"/>
      <c r="L277" s="108"/>
      <c r="M277" s="108"/>
      <c r="N277" s="109"/>
      <c r="O277" s="108"/>
      <c r="P277" s="180"/>
      <c r="Q277" s="108"/>
      <c r="R277" s="109"/>
      <c r="S277" s="108"/>
      <c r="T277" s="109"/>
      <c r="U277" s="109"/>
      <c r="V277" s="109"/>
      <c r="W277" s="109"/>
      <c r="X277" s="109"/>
      <c r="Y277" s="108"/>
      <c r="Z277" s="109"/>
      <c r="AA277" s="109"/>
      <c r="AB277" s="109"/>
      <c r="AC277" s="109"/>
      <c r="AD277" s="109"/>
      <c r="AE277" s="76" t="s">
        <v>611</v>
      </c>
      <c r="AF277" s="180"/>
      <c r="AG277" s="111"/>
      <c r="AH277" s="109"/>
      <c r="AI277" s="109"/>
      <c r="AJ277" s="109"/>
      <c r="AK277" s="109"/>
      <c r="AL277" s="108"/>
      <c r="AM277" s="110"/>
      <c r="AN277" s="109"/>
      <c r="AO277" s="110"/>
      <c r="AP277" s="109"/>
      <c r="AQ277" s="110"/>
      <c r="AR277">
        <f t="shared" si="9"/>
        <v>2</v>
      </c>
    </row>
    <row r="278" spans="1:44" x14ac:dyDescent="0.25">
      <c r="B278" t="str">
        <f t="shared" si="8"/>
        <v>FCL - Jeannot</v>
      </c>
      <c r="C278" t="s">
        <v>784</v>
      </c>
      <c r="D278" s="29" t="s">
        <v>633</v>
      </c>
      <c r="E278" s="30" t="s">
        <v>187</v>
      </c>
      <c r="F278" s="31">
        <v>12</v>
      </c>
      <c r="G278" s="99">
        <v>10</v>
      </c>
      <c r="H278" s="30">
        <v>6</v>
      </c>
      <c r="I278" s="34">
        <f>AVERAGE(K278,M278,J278,V278,W278,Y278,Z278,AD278,AE278,AI278,AJ278,AK278,AM278,AN278)</f>
        <v>4.7142857142857144</v>
      </c>
      <c r="J278" s="87">
        <v>4</v>
      </c>
      <c r="K278" s="37">
        <v>4</v>
      </c>
      <c r="L278" s="37" t="s">
        <v>611</v>
      </c>
      <c r="M278" s="76">
        <v>4</v>
      </c>
      <c r="N278" s="77" t="s">
        <v>611</v>
      </c>
      <c r="O278" s="77" t="s">
        <v>641</v>
      </c>
      <c r="P278" s="27"/>
      <c r="Q278" s="37"/>
      <c r="R278" s="24"/>
      <c r="S278" s="37"/>
      <c r="T278" s="24"/>
      <c r="U278" s="37"/>
      <c r="V278" s="77">
        <v>6</v>
      </c>
      <c r="W278" s="37">
        <v>5</v>
      </c>
      <c r="X278" s="76" t="s">
        <v>611</v>
      </c>
      <c r="Y278" s="37">
        <v>4</v>
      </c>
      <c r="Z278" s="25">
        <v>7</v>
      </c>
      <c r="AA278" s="76" t="s">
        <v>611</v>
      </c>
      <c r="AB278" s="37" t="s">
        <v>611</v>
      </c>
      <c r="AC278" s="76" t="s">
        <v>611</v>
      </c>
      <c r="AD278" s="24">
        <v>4</v>
      </c>
      <c r="AE278" s="23">
        <v>5</v>
      </c>
      <c r="AF278" s="27"/>
      <c r="AG278" s="28"/>
      <c r="AH278" s="37" t="s">
        <v>611</v>
      </c>
      <c r="AI278" s="24">
        <v>4</v>
      </c>
      <c r="AJ278" s="22">
        <v>6</v>
      </c>
      <c r="AK278" s="24">
        <v>5</v>
      </c>
      <c r="AL278" s="37"/>
      <c r="AM278" s="26">
        <v>4</v>
      </c>
      <c r="AN278" s="37">
        <v>4</v>
      </c>
      <c r="AO278" s="27"/>
      <c r="AP278" s="24"/>
      <c r="AQ278" s="27"/>
      <c r="AR278">
        <f t="shared" si="9"/>
        <v>22</v>
      </c>
    </row>
    <row r="279" spans="1:44" x14ac:dyDescent="0.25">
      <c r="B279" t="str">
        <f t="shared" si="8"/>
        <v>FCL - Bouanga</v>
      </c>
      <c r="C279" t="s">
        <v>784</v>
      </c>
      <c r="D279" s="50" t="s">
        <v>633</v>
      </c>
      <c r="E279" s="57" t="s">
        <v>779</v>
      </c>
      <c r="F279" s="52">
        <v>3</v>
      </c>
      <c r="G279" s="63">
        <v>1</v>
      </c>
      <c r="H279" s="57">
        <v>1</v>
      </c>
      <c r="I279" s="80">
        <f>AVERAGE(J279,M279)</f>
        <v>5.5</v>
      </c>
      <c r="J279" s="150">
        <v>5</v>
      </c>
      <c r="K279" s="61" t="s">
        <v>611</v>
      </c>
      <c r="L279" s="61" t="s">
        <v>645</v>
      </c>
      <c r="M279" s="61">
        <v>6</v>
      </c>
      <c r="N279" s="53"/>
      <c r="O279" s="53"/>
      <c r="P279" s="63"/>
      <c r="Q279" s="61"/>
      <c r="R279" s="53"/>
      <c r="S279" s="61"/>
      <c r="T279" s="53"/>
      <c r="U279" s="53"/>
      <c r="V279" s="53"/>
      <c r="W279" s="61"/>
      <c r="X279" s="53"/>
      <c r="Y279" s="61"/>
      <c r="Z279" s="53"/>
      <c r="AA279" s="53"/>
      <c r="AB279" s="53"/>
      <c r="AC279" s="53"/>
      <c r="AD279" s="53"/>
      <c r="AE279" s="61"/>
      <c r="AF279" s="63"/>
      <c r="AG279" s="150"/>
      <c r="AH279" s="61"/>
      <c r="AI279" s="61"/>
      <c r="AJ279" s="61"/>
      <c r="AK279" s="61"/>
      <c r="AL279" s="61"/>
      <c r="AM279" s="63"/>
      <c r="AN279" s="53"/>
      <c r="AO279" s="63"/>
      <c r="AP279" s="53"/>
      <c r="AQ279" s="62"/>
      <c r="AR279">
        <f t="shared" si="9"/>
        <v>4</v>
      </c>
    </row>
    <row r="280" spans="1:44" x14ac:dyDescent="0.25">
      <c r="B280" t="str">
        <f t="shared" si="8"/>
        <v>FCL - Lavigne</v>
      </c>
      <c r="C280" t="s">
        <v>784</v>
      </c>
      <c r="D280" s="50" t="s">
        <v>633</v>
      </c>
      <c r="E280" s="57" t="s">
        <v>780</v>
      </c>
      <c r="F280" s="52">
        <v>1</v>
      </c>
      <c r="G280" s="63">
        <v>5</v>
      </c>
      <c r="H280" s="57"/>
      <c r="I280" s="80">
        <f>AVERAGE(AA280)</f>
        <v>4</v>
      </c>
      <c r="J280" s="150"/>
      <c r="K280" s="61"/>
      <c r="L280" s="61"/>
      <c r="M280" s="61"/>
      <c r="N280" s="53"/>
      <c r="O280" s="53"/>
      <c r="P280" s="63"/>
      <c r="Q280" s="61"/>
      <c r="R280" s="53"/>
      <c r="S280" s="61"/>
      <c r="T280" s="53"/>
      <c r="U280" s="53"/>
      <c r="V280" s="53"/>
      <c r="W280" s="61"/>
      <c r="X280" s="53" t="s">
        <v>611</v>
      </c>
      <c r="Y280" s="61" t="s">
        <v>611</v>
      </c>
      <c r="Z280" s="53" t="s">
        <v>611</v>
      </c>
      <c r="AA280" s="53">
        <v>4</v>
      </c>
      <c r="AB280" s="53"/>
      <c r="AC280" s="53" t="s">
        <v>611</v>
      </c>
      <c r="AD280" s="53" t="s">
        <v>611</v>
      </c>
      <c r="AE280" s="61"/>
      <c r="AF280" s="63"/>
      <c r="AG280" s="150"/>
      <c r="AH280" s="61"/>
      <c r="AI280" s="61"/>
      <c r="AJ280" s="61"/>
      <c r="AK280" s="61"/>
      <c r="AL280" s="61"/>
      <c r="AM280" s="63"/>
      <c r="AN280" s="53"/>
      <c r="AO280" s="63"/>
      <c r="AP280" s="53"/>
      <c r="AQ280" s="62"/>
      <c r="AR280">
        <f t="shared" si="9"/>
        <v>6</v>
      </c>
    </row>
    <row r="281" spans="1:44" x14ac:dyDescent="0.25">
      <c r="A281">
        <v>0</v>
      </c>
      <c r="B281" t="str">
        <f t="shared" si="8"/>
        <v>FCL - Z. Touré</v>
      </c>
      <c r="C281" t="s">
        <v>784</v>
      </c>
      <c r="D281" s="29" t="s">
        <v>608</v>
      </c>
      <c r="E281" s="38" t="s">
        <v>770</v>
      </c>
      <c r="F281" s="31">
        <v>25</v>
      </c>
      <c r="G281" s="99"/>
      <c r="H281" s="174">
        <v>3</v>
      </c>
      <c r="I281" s="34">
        <f>AVERAGE(AA281,O281,P281,R281,S281,T281,U281,V281,W281,X281,Y281,Z281,AB281,AC281,AD281,AE281,AF281,AG281,AH281,AI281,AJ281,AK281,AL281,AM281,AN281)</f>
        <v>5.04</v>
      </c>
      <c r="J281" s="87"/>
      <c r="K281" s="37"/>
      <c r="L281" s="74"/>
      <c r="M281" s="74"/>
      <c r="N281" s="24"/>
      <c r="O281" s="24">
        <v>5</v>
      </c>
      <c r="P281" s="27">
        <v>6</v>
      </c>
      <c r="Q281" s="37"/>
      <c r="R281" s="25">
        <v>7</v>
      </c>
      <c r="S281" s="37">
        <v>5</v>
      </c>
      <c r="T281" s="24">
        <v>5</v>
      </c>
      <c r="U281" s="24">
        <v>4</v>
      </c>
      <c r="V281" s="24">
        <v>5</v>
      </c>
      <c r="W281" s="24">
        <v>5</v>
      </c>
      <c r="X281" s="24">
        <v>5</v>
      </c>
      <c r="Y281" s="37">
        <v>6</v>
      </c>
      <c r="Z281" s="24">
        <v>5</v>
      </c>
      <c r="AA281" s="24">
        <v>5</v>
      </c>
      <c r="AB281" s="24">
        <v>5</v>
      </c>
      <c r="AC281" s="24">
        <v>5</v>
      </c>
      <c r="AD281" s="24">
        <v>4</v>
      </c>
      <c r="AE281" s="24">
        <v>5</v>
      </c>
      <c r="AF281" s="254">
        <v>8</v>
      </c>
      <c r="AG281" s="38">
        <v>4</v>
      </c>
      <c r="AH281" s="24">
        <v>5</v>
      </c>
      <c r="AI281" s="24">
        <v>4</v>
      </c>
      <c r="AJ281" s="24">
        <v>4</v>
      </c>
      <c r="AK281" s="24">
        <v>6</v>
      </c>
      <c r="AL281" s="37">
        <v>6</v>
      </c>
      <c r="AM281" s="27">
        <v>5</v>
      </c>
      <c r="AN281" s="82">
        <v>2</v>
      </c>
      <c r="AO281" s="27"/>
      <c r="AP281" s="24"/>
      <c r="AQ281" s="27"/>
      <c r="AR281">
        <f t="shared" si="9"/>
        <v>25</v>
      </c>
    </row>
    <row r="282" spans="1:44" ht="15.75" thickBot="1" x14ac:dyDescent="0.3">
      <c r="B282" t="str">
        <f t="shared" si="8"/>
        <v>FCL - Waris</v>
      </c>
      <c r="C282" t="s">
        <v>784</v>
      </c>
      <c r="D282" s="88" t="s">
        <v>633</v>
      </c>
      <c r="E282" s="167" t="s">
        <v>781</v>
      </c>
      <c r="F282" s="90">
        <v>18</v>
      </c>
      <c r="G282" s="120"/>
      <c r="H282" s="141">
        <v>9</v>
      </c>
      <c r="I282" s="121">
        <f>AVERAGE(K282,N282,O282,P282,Q282,R282,T282,AB282,AC282,AF282,AG282,AH282,AJ282,AK282,AL282,AM282,AN282)</f>
        <v>5.2941176470588234</v>
      </c>
      <c r="J282" s="181"/>
      <c r="K282" s="37">
        <v>4</v>
      </c>
      <c r="L282" s="37"/>
      <c r="M282" s="77"/>
      <c r="N282" s="75">
        <v>7</v>
      </c>
      <c r="O282" s="37">
        <v>4</v>
      </c>
      <c r="P282" s="94">
        <v>6</v>
      </c>
      <c r="Q282" s="37">
        <v>4</v>
      </c>
      <c r="R282" s="22">
        <v>6</v>
      </c>
      <c r="S282" s="37"/>
      <c r="T282" s="37">
        <v>6</v>
      </c>
      <c r="U282" s="24" t="s">
        <v>623</v>
      </c>
      <c r="V282" s="24"/>
      <c r="W282" s="24"/>
      <c r="X282" s="24"/>
      <c r="Y282" s="37"/>
      <c r="Z282" s="24"/>
      <c r="AA282" s="24"/>
      <c r="AB282" s="24">
        <v>4</v>
      </c>
      <c r="AC282" s="22">
        <v>6</v>
      </c>
      <c r="AD282" s="24"/>
      <c r="AE282" s="37"/>
      <c r="AF282" s="26">
        <v>4</v>
      </c>
      <c r="AG282" s="48">
        <v>6</v>
      </c>
      <c r="AH282" s="37">
        <v>4</v>
      </c>
      <c r="AI282" s="24"/>
      <c r="AJ282" s="25">
        <v>8</v>
      </c>
      <c r="AK282" s="25">
        <v>7</v>
      </c>
      <c r="AL282" s="37">
        <v>4</v>
      </c>
      <c r="AM282" s="28">
        <v>6</v>
      </c>
      <c r="AN282" s="22">
        <v>4</v>
      </c>
      <c r="AO282" s="27"/>
      <c r="AP282" s="24"/>
      <c r="AQ282" s="27"/>
      <c r="AR282">
        <f t="shared" si="9"/>
        <v>18</v>
      </c>
    </row>
    <row r="283" spans="1:44" x14ac:dyDescent="0.25">
      <c r="B283" t="str">
        <f t="shared" si="8"/>
        <v>MHSC - Jourdren</v>
      </c>
      <c r="C283" t="s">
        <v>806</v>
      </c>
      <c r="D283" s="16" t="s">
        <v>605</v>
      </c>
      <c r="E283" s="17" t="s">
        <v>785</v>
      </c>
      <c r="F283" s="18">
        <v>2</v>
      </c>
      <c r="G283" s="95"/>
      <c r="H283" s="160"/>
      <c r="I283" s="20">
        <f>AVERAGE(K283,J283)</f>
        <v>5.5</v>
      </c>
      <c r="J283" s="87">
        <v>6</v>
      </c>
      <c r="K283" s="140">
        <v>5</v>
      </c>
      <c r="L283" s="94"/>
      <c r="M283" s="24"/>
      <c r="N283" s="22"/>
      <c r="O283" s="22"/>
      <c r="P283" s="24"/>
      <c r="Q283" s="24"/>
      <c r="R283" s="24"/>
      <c r="S283" s="24"/>
      <c r="T283" s="24"/>
      <c r="U283" s="22"/>
      <c r="V283" s="24"/>
      <c r="W283" s="22"/>
      <c r="X283" s="24"/>
      <c r="Y283" s="24"/>
      <c r="Z283" s="24"/>
      <c r="AA283" s="24"/>
      <c r="AB283" s="24"/>
      <c r="AC283" s="24"/>
      <c r="AD283" s="24"/>
      <c r="AE283" s="22"/>
      <c r="AF283" s="22"/>
      <c r="AG283" s="24"/>
      <c r="AH283" s="22"/>
      <c r="AI283" s="28"/>
      <c r="AJ283" s="24"/>
      <c r="AK283" s="24"/>
      <c r="AL283" s="24"/>
      <c r="AM283" s="27"/>
      <c r="AN283" s="27"/>
      <c r="AO283" s="24"/>
      <c r="AP283" s="28"/>
      <c r="AQ283" s="24"/>
      <c r="AR283">
        <f t="shared" si="9"/>
        <v>2</v>
      </c>
    </row>
    <row r="284" spans="1:44" x14ac:dyDescent="0.25">
      <c r="B284" t="str">
        <f t="shared" si="8"/>
        <v>MHSC - Ligali</v>
      </c>
      <c r="C284" t="s">
        <v>806</v>
      </c>
      <c r="D284" s="29" t="s">
        <v>605</v>
      </c>
      <c r="E284" s="30" t="s">
        <v>786</v>
      </c>
      <c r="F284" s="31">
        <v>6</v>
      </c>
      <c r="G284" s="99"/>
      <c r="H284" s="73"/>
      <c r="I284" s="34">
        <f>AVERAGE(L284,M284,N284,O284,P284,AJ284)</f>
        <v>5.333333333333333</v>
      </c>
      <c r="J284" s="87"/>
      <c r="K284" s="24"/>
      <c r="L284" s="24">
        <v>6</v>
      </c>
      <c r="M284" s="22">
        <v>6</v>
      </c>
      <c r="N284" s="24">
        <v>5</v>
      </c>
      <c r="O284" s="24">
        <v>6</v>
      </c>
      <c r="P284" s="24">
        <v>4</v>
      </c>
      <c r="Q284" s="24"/>
      <c r="R284" s="24"/>
      <c r="S284" s="24"/>
      <c r="T284" s="24"/>
      <c r="U284" s="24"/>
      <c r="V284" s="24"/>
      <c r="W284" s="24"/>
      <c r="X284" s="24"/>
      <c r="Y284" s="24"/>
      <c r="Z284" s="22"/>
      <c r="AA284" s="24"/>
      <c r="AB284" s="22"/>
      <c r="AC284" s="24"/>
      <c r="AD284" s="24"/>
      <c r="AE284" s="24"/>
      <c r="AF284" s="24"/>
      <c r="AG284" s="24"/>
      <c r="AH284" s="24"/>
      <c r="AI284" s="27"/>
      <c r="AJ284" s="24">
        <v>5</v>
      </c>
      <c r="AK284" s="24"/>
      <c r="AL284" s="24"/>
      <c r="AM284" s="27"/>
      <c r="AN284" s="27"/>
      <c r="AO284" s="24"/>
      <c r="AP284" s="27"/>
      <c r="AQ284" s="24"/>
      <c r="AR284">
        <f t="shared" si="9"/>
        <v>6</v>
      </c>
    </row>
    <row r="285" spans="1:44" x14ac:dyDescent="0.25">
      <c r="B285" t="str">
        <f t="shared" si="8"/>
        <v>MHSC - Pionnier</v>
      </c>
      <c r="C285" t="s">
        <v>806</v>
      </c>
      <c r="D285" s="67" t="s">
        <v>605</v>
      </c>
      <c r="E285" s="85" t="s">
        <v>787</v>
      </c>
      <c r="F285" s="69">
        <v>23</v>
      </c>
      <c r="G285" s="115"/>
      <c r="H285" s="68"/>
      <c r="I285" s="72">
        <f>AVERAGE(Q285,R285,S285,T285,U285,V285,W285,X285,Y285,Z285,AA285,AB285,AC285,AD285,AE285,AF285,AG285,AH285,AI285,AK285,AL285,AM285,AN285)</f>
        <v>5.3478260869565215</v>
      </c>
      <c r="J285" s="87"/>
      <c r="K285" s="24"/>
      <c r="L285" s="24"/>
      <c r="M285" s="24"/>
      <c r="N285" s="24"/>
      <c r="O285" s="24"/>
      <c r="P285" s="24"/>
      <c r="Q285" s="24">
        <v>6</v>
      </c>
      <c r="R285" s="24">
        <v>5</v>
      </c>
      <c r="S285" s="25">
        <v>7</v>
      </c>
      <c r="T285" s="22">
        <v>5</v>
      </c>
      <c r="U285" s="24">
        <v>6</v>
      </c>
      <c r="V285" s="24">
        <v>5</v>
      </c>
      <c r="W285" s="24">
        <v>5</v>
      </c>
      <c r="X285" s="24">
        <v>5</v>
      </c>
      <c r="Y285" s="24">
        <v>4</v>
      </c>
      <c r="Z285" s="24">
        <v>6</v>
      </c>
      <c r="AA285" s="24">
        <v>5</v>
      </c>
      <c r="AB285" s="24">
        <v>6</v>
      </c>
      <c r="AC285" s="24">
        <v>5</v>
      </c>
      <c r="AD285" s="24">
        <v>5</v>
      </c>
      <c r="AE285" s="24">
        <v>5</v>
      </c>
      <c r="AF285" s="22">
        <v>6</v>
      </c>
      <c r="AG285" s="24">
        <v>4</v>
      </c>
      <c r="AH285" s="24">
        <v>5</v>
      </c>
      <c r="AI285" s="254">
        <v>7</v>
      </c>
      <c r="AJ285" s="24"/>
      <c r="AK285" s="22">
        <v>6</v>
      </c>
      <c r="AL285" s="25">
        <v>7</v>
      </c>
      <c r="AM285" s="27">
        <v>4</v>
      </c>
      <c r="AN285" s="27">
        <v>4</v>
      </c>
      <c r="AO285" s="24"/>
      <c r="AP285" s="27"/>
      <c r="AQ285" s="24"/>
      <c r="AR285">
        <f t="shared" si="9"/>
        <v>23</v>
      </c>
    </row>
    <row r="286" spans="1:44" x14ac:dyDescent="0.25">
      <c r="A286">
        <v>0</v>
      </c>
      <c r="B286" t="str">
        <f t="shared" si="8"/>
        <v>OGCN - Koziello</v>
      </c>
      <c r="C286" t="s">
        <v>696</v>
      </c>
      <c r="D286" s="29" t="s">
        <v>622</v>
      </c>
      <c r="E286" s="60" t="s">
        <v>525</v>
      </c>
      <c r="F286" s="31">
        <v>25</v>
      </c>
      <c r="G286" s="99">
        <v>3</v>
      </c>
      <c r="H286" s="73">
        <v>3</v>
      </c>
      <c r="I286" s="34">
        <f>AVERAGE(AB286,AA286,Z286,X286,K286,L286,M286,J286,N286,O286,P286,Q286,S286,T286,U286,V286,W286,AD286,AE286,AF286,AH286,AI286,AJ286,AK286,AM286)</f>
        <v>5.24</v>
      </c>
      <c r="J286" s="48">
        <v>5</v>
      </c>
      <c r="K286" s="24">
        <v>5</v>
      </c>
      <c r="L286" s="24">
        <v>5</v>
      </c>
      <c r="M286" s="24">
        <v>5</v>
      </c>
      <c r="N286" s="24">
        <v>5</v>
      </c>
      <c r="O286" s="37">
        <v>5</v>
      </c>
      <c r="P286" s="24">
        <v>4</v>
      </c>
      <c r="Q286" s="25">
        <v>7</v>
      </c>
      <c r="R286" s="24"/>
      <c r="S286" s="24">
        <v>5</v>
      </c>
      <c r="T286" s="24">
        <v>4</v>
      </c>
      <c r="U286" s="37">
        <v>5</v>
      </c>
      <c r="V286" s="24">
        <v>5</v>
      </c>
      <c r="W286" s="25">
        <v>7</v>
      </c>
      <c r="X286" s="24">
        <v>5</v>
      </c>
      <c r="Y286" s="37" t="s">
        <v>611</v>
      </c>
      <c r="Z286" s="24">
        <v>4</v>
      </c>
      <c r="AA286" s="24">
        <v>5</v>
      </c>
      <c r="AB286" s="24">
        <v>5</v>
      </c>
      <c r="AC286" s="24"/>
      <c r="AD286" s="24">
        <v>6</v>
      </c>
      <c r="AE286" s="25">
        <v>7</v>
      </c>
      <c r="AF286" s="24">
        <v>4</v>
      </c>
      <c r="AG286" s="37" t="s">
        <v>611</v>
      </c>
      <c r="AH286" s="24">
        <v>5</v>
      </c>
      <c r="AI286" s="27">
        <v>6</v>
      </c>
      <c r="AJ286" s="24">
        <v>5</v>
      </c>
      <c r="AK286" s="37">
        <v>5</v>
      </c>
      <c r="AL286" s="37"/>
      <c r="AM286" s="200">
        <v>7</v>
      </c>
      <c r="AN286" s="26" t="s">
        <v>611</v>
      </c>
      <c r="AO286" s="24"/>
      <c r="AP286" s="27"/>
      <c r="AQ286" s="24"/>
      <c r="AR286">
        <f t="shared" si="9"/>
        <v>28</v>
      </c>
    </row>
    <row r="287" spans="1:44" x14ac:dyDescent="0.25">
      <c r="B287" t="str">
        <f t="shared" si="8"/>
        <v>MHSC - Deplagne</v>
      </c>
      <c r="C287" t="s">
        <v>806</v>
      </c>
      <c r="D287" s="29" t="s">
        <v>608</v>
      </c>
      <c r="E287" s="30" t="s">
        <v>788</v>
      </c>
      <c r="F287" s="31">
        <v>17</v>
      </c>
      <c r="G287" s="99">
        <v>4</v>
      </c>
      <c r="H287" s="73"/>
      <c r="I287" s="34">
        <f>AVERAGE(AB287,K287,J287,N287,O287,P287,S287,T287,U287,V287,X287,Z287,AC287,AD287,AF287,AG287,AN287)</f>
        <v>4.6470588235294121</v>
      </c>
      <c r="J287" s="177">
        <v>5</v>
      </c>
      <c r="K287" s="37">
        <v>4</v>
      </c>
      <c r="L287" s="37" t="s">
        <v>611</v>
      </c>
      <c r="M287" s="37" t="s">
        <v>611</v>
      </c>
      <c r="N287" s="24">
        <v>5</v>
      </c>
      <c r="O287" s="24">
        <v>5</v>
      </c>
      <c r="P287" s="24">
        <v>5</v>
      </c>
      <c r="Q287" s="24"/>
      <c r="R287" s="24"/>
      <c r="S287" s="24">
        <v>6</v>
      </c>
      <c r="T287" s="24">
        <v>5</v>
      </c>
      <c r="U287" s="24">
        <v>4</v>
      </c>
      <c r="V287" s="24">
        <v>4</v>
      </c>
      <c r="W287" s="37" t="s">
        <v>611</v>
      </c>
      <c r="X287" s="24">
        <v>5</v>
      </c>
      <c r="Y287" s="24"/>
      <c r="Z287" s="24">
        <v>5</v>
      </c>
      <c r="AA287" s="37" t="s">
        <v>645</v>
      </c>
      <c r="AB287" s="37">
        <v>4</v>
      </c>
      <c r="AC287" s="37">
        <v>5</v>
      </c>
      <c r="AD287" s="37">
        <v>4</v>
      </c>
      <c r="AE287" s="37"/>
      <c r="AF287" s="37">
        <v>6</v>
      </c>
      <c r="AG287" s="24">
        <v>4</v>
      </c>
      <c r="AH287" s="24"/>
      <c r="AI287" s="27"/>
      <c r="AJ287" s="24"/>
      <c r="AK287" s="24"/>
      <c r="AL287" s="37"/>
      <c r="AM287" s="27"/>
      <c r="AN287" s="259">
        <v>3</v>
      </c>
      <c r="AO287" s="24"/>
      <c r="AP287" s="27"/>
      <c r="AQ287" s="24"/>
      <c r="AR287">
        <f t="shared" si="9"/>
        <v>21</v>
      </c>
    </row>
    <row r="288" spans="1:44" x14ac:dyDescent="0.25">
      <c r="B288" t="str">
        <f t="shared" si="8"/>
        <v>MHSC - Gissi</v>
      </c>
      <c r="C288" t="s">
        <v>806</v>
      </c>
      <c r="D288" s="29" t="s">
        <v>608</v>
      </c>
      <c r="E288" s="60" t="s">
        <v>789</v>
      </c>
      <c r="F288" s="31"/>
      <c r="G288" s="99"/>
      <c r="H288" s="114"/>
      <c r="I288" s="34"/>
      <c r="J288" s="87"/>
      <c r="K288" s="37"/>
      <c r="L288" s="37"/>
      <c r="M288" s="37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7"/>
      <c r="AJ288" s="24"/>
      <c r="AK288" s="24"/>
      <c r="AL288" s="24"/>
      <c r="AM288" s="27"/>
      <c r="AN288" s="27"/>
      <c r="AO288" s="24"/>
      <c r="AP288" s="27"/>
      <c r="AQ288" s="24"/>
      <c r="AR288">
        <f t="shared" si="9"/>
        <v>0</v>
      </c>
    </row>
    <row r="289" spans="1:44" x14ac:dyDescent="0.25">
      <c r="A289">
        <v>1</v>
      </c>
      <c r="B289" t="str">
        <f t="shared" si="8"/>
        <v>FCL - Guerreiro</v>
      </c>
      <c r="C289" t="s">
        <v>784</v>
      </c>
      <c r="D289" s="29" t="s">
        <v>622</v>
      </c>
      <c r="E289" s="30" t="s">
        <v>777</v>
      </c>
      <c r="F289" s="31">
        <v>22</v>
      </c>
      <c r="G289" s="99">
        <v>5</v>
      </c>
      <c r="H289" s="290">
        <v>3</v>
      </c>
      <c r="I289" s="34">
        <f>AVERAGE(AA289,K289,L289,M289,J289,N289,O289,T289,V289,W289,X289,Y289,AB289,AC289,AD289,AE289,AF289,AG289,AI289,AJ289,AK289,AM289)</f>
        <v>5.2272727272727275</v>
      </c>
      <c r="J289" s="177">
        <v>5</v>
      </c>
      <c r="K289" s="26">
        <v>5</v>
      </c>
      <c r="L289" s="37">
        <v>4</v>
      </c>
      <c r="M289" s="74">
        <v>5</v>
      </c>
      <c r="N289" s="37">
        <v>5</v>
      </c>
      <c r="O289" s="24">
        <v>5</v>
      </c>
      <c r="P289" s="37" t="s">
        <v>611</v>
      </c>
      <c r="Q289" s="37"/>
      <c r="R289" s="24"/>
      <c r="S289" s="37" t="s">
        <v>611</v>
      </c>
      <c r="T289" s="22">
        <v>6</v>
      </c>
      <c r="U289" s="37" t="s">
        <v>611</v>
      </c>
      <c r="V289" s="66">
        <v>7</v>
      </c>
      <c r="W289" s="24">
        <v>5</v>
      </c>
      <c r="X289" s="24">
        <v>5</v>
      </c>
      <c r="Y289" s="37">
        <v>4</v>
      </c>
      <c r="Z289" s="24"/>
      <c r="AA289" s="24">
        <v>5</v>
      </c>
      <c r="AB289" s="24">
        <v>6</v>
      </c>
      <c r="AC289" s="24">
        <v>5</v>
      </c>
      <c r="AD289" s="24">
        <v>5</v>
      </c>
      <c r="AE289" s="37">
        <v>4</v>
      </c>
      <c r="AF289" s="24">
        <v>5</v>
      </c>
      <c r="AG289" s="77">
        <v>5</v>
      </c>
      <c r="AH289" s="37" t="s">
        <v>611</v>
      </c>
      <c r="AI289" s="26">
        <v>4</v>
      </c>
      <c r="AJ289" s="75">
        <v>7</v>
      </c>
      <c r="AK289" s="66">
        <v>7</v>
      </c>
      <c r="AL289" s="37" t="s">
        <v>611</v>
      </c>
      <c r="AM289" s="27">
        <v>6</v>
      </c>
      <c r="AN289" s="27"/>
      <c r="AO289" s="24"/>
      <c r="AP289" s="27"/>
      <c r="AQ289" s="24"/>
      <c r="AR289">
        <f t="shared" si="9"/>
        <v>27</v>
      </c>
    </row>
    <row r="290" spans="1:44" x14ac:dyDescent="0.25">
      <c r="B290" t="str">
        <f t="shared" si="8"/>
        <v>SR - Mandi</v>
      </c>
      <c r="C290" t="s">
        <v>901</v>
      </c>
      <c r="D290" s="29" t="s">
        <v>608</v>
      </c>
      <c r="E290" s="30" t="s">
        <v>885</v>
      </c>
      <c r="F290" s="31">
        <v>25</v>
      </c>
      <c r="G290" s="99"/>
      <c r="H290" s="114">
        <v>3</v>
      </c>
      <c r="I290" s="34">
        <f>AVERAGE(AA290,K290,L290,M290,J290,N290,O290,P290,V290,W290,X290,Y290,Z290,AC290,AD290,AE290,AF290,AG290,AH290,AI290,AJ290,AK290,AL290,AM290,AN290)</f>
        <v>4.8</v>
      </c>
      <c r="J290" s="48">
        <v>5</v>
      </c>
      <c r="K290" s="74">
        <v>6</v>
      </c>
      <c r="L290" s="74">
        <v>5</v>
      </c>
      <c r="M290" s="76">
        <v>5</v>
      </c>
      <c r="N290" s="24">
        <v>4</v>
      </c>
      <c r="O290" s="24">
        <v>5</v>
      </c>
      <c r="P290" s="24">
        <v>5</v>
      </c>
      <c r="Q290" s="24"/>
      <c r="R290" s="24"/>
      <c r="S290" s="24"/>
      <c r="T290" s="24"/>
      <c r="U290" s="24"/>
      <c r="V290" s="23">
        <v>4</v>
      </c>
      <c r="W290" s="24">
        <v>4</v>
      </c>
      <c r="X290" s="22">
        <v>6</v>
      </c>
      <c r="Y290" s="24">
        <v>5</v>
      </c>
      <c r="Z290" s="24">
        <v>5</v>
      </c>
      <c r="AA290" s="23">
        <v>4</v>
      </c>
      <c r="AB290" s="24"/>
      <c r="AC290" s="24">
        <v>4</v>
      </c>
      <c r="AD290" s="82">
        <v>3</v>
      </c>
      <c r="AE290" s="25">
        <v>7</v>
      </c>
      <c r="AF290" s="82">
        <v>3</v>
      </c>
      <c r="AG290" s="24">
        <v>5</v>
      </c>
      <c r="AH290" s="24">
        <v>5</v>
      </c>
      <c r="AI290" s="27">
        <v>6</v>
      </c>
      <c r="AJ290" s="82">
        <v>3</v>
      </c>
      <c r="AK290" s="25">
        <v>8</v>
      </c>
      <c r="AL290" s="37">
        <v>4</v>
      </c>
      <c r="AM290" s="27">
        <v>4</v>
      </c>
      <c r="AN290" s="27">
        <v>5</v>
      </c>
      <c r="AO290" s="24"/>
      <c r="AP290" s="28"/>
      <c r="AQ290" s="24"/>
      <c r="AR290">
        <f t="shared" si="9"/>
        <v>25</v>
      </c>
    </row>
    <row r="291" spans="1:44" x14ac:dyDescent="0.25">
      <c r="B291" t="str">
        <f t="shared" si="8"/>
        <v>MHSC - N'Diaye</v>
      </c>
      <c r="C291" t="s">
        <v>806</v>
      </c>
      <c r="D291" s="29" t="s">
        <v>608</v>
      </c>
      <c r="E291" s="60" t="s">
        <v>791</v>
      </c>
      <c r="F291" s="31">
        <v>1</v>
      </c>
      <c r="G291" s="99">
        <v>6</v>
      </c>
      <c r="H291" s="73"/>
      <c r="I291" s="34">
        <f>AVERAGE(V291)</f>
        <v>5</v>
      </c>
      <c r="J291" s="87" t="s">
        <v>611</v>
      </c>
      <c r="K291" s="37"/>
      <c r="L291" s="37"/>
      <c r="M291" s="37"/>
      <c r="N291" s="24"/>
      <c r="O291" s="24"/>
      <c r="P291" s="24"/>
      <c r="Q291" s="24"/>
      <c r="R291" s="24"/>
      <c r="S291" s="37" t="s">
        <v>611</v>
      </c>
      <c r="T291" s="24"/>
      <c r="U291" s="37" t="s">
        <v>611</v>
      </c>
      <c r="V291" s="24">
        <v>5</v>
      </c>
      <c r="W291" s="24"/>
      <c r="X291" s="24"/>
      <c r="Y291" s="24"/>
      <c r="Z291" s="76" t="s">
        <v>611</v>
      </c>
      <c r="AA291" s="24"/>
      <c r="AB291" s="24"/>
      <c r="AC291" s="24"/>
      <c r="AD291" s="37" t="s">
        <v>611</v>
      </c>
      <c r="AE291" s="24"/>
      <c r="AF291" s="24"/>
      <c r="AG291" s="76" t="s">
        <v>611</v>
      </c>
      <c r="AH291" s="24"/>
      <c r="AI291" s="27"/>
      <c r="AJ291" s="22"/>
      <c r="AK291" s="24"/>
      <c r="AL291" s="24"/>
      <c r="AM291" s="27"/>
      <c r="AN291" s="27"/>
      <c r="AO291" s="24"/>
      <c r="AP291" s="27"/>
      <c r="AQ291" s="24"/>
      <c r="AR291">
        <f t="shared" si="9"/>
        <v>7</v>
      </c>
    </row>
    <row r="292" spans="1:44" x14ac:dyDescent="0.25">
      <c r="B292" t="str">
        <f t="shared" si="8"/>
        <v>MHSC - Rémy</v>
      </c>
      <c r="C292" t="s">
        <v>806</v>
      </c>
      <c r="D292" s="29" t="s">
        <v>608</v>
      </c>
      <c r="E292" s="182" t="s">
        <v>90</v>
      </c>
      <c r="F292" s="31">
        <v>21</v>
      </c>
      <c r="G292" s="99">
        <v>1</v>
      </c>
      <c r="H292" s="73"/>
      <c r="I292" s="34">
        <f>AVERAGE(M292,P292,Q292,R292,S292,T292,W292,X292,Y292,Z292,AB292,AC292,AD292,AF292,AG292,AH292,AI292,AJ292,AK292,AL292,AM292)</f>
        <v>5.3809523809523814</v>
      </c>
      <c r="J292" s="87"/>
      <c r="K292" s="37"/>
      <c r="L292" s="37"/>
      <c r="M292" s="37">
        <v>6</v>
      </c>
      <c r="N292" s="24"/>
      <c r="O292" s="37" t="s">
        <v>611</v>
      </c>
      <c r="P292" s="24">
        <v>6</v>
      </c>
      <c r="Q292" s="24">
        <v>5</v>
      </c>
      <c r="R292" s="24">
        <v>5</v>
      </c>
      <c r="S292" s="24">
        <v>5</v>
      </c>
      <c r="T292" s="66">
        <v>7</v>
      </c>
      <c r="U292" s="24"/>
      <c r="V292" s="24"/>
      <c r="W292" s="24">
        <v>5</v>
      </c>
      <c r="X292" s="66">
        <v>7</v>
      </c>
      <c r="Y292" s="24">
        <v>5</v>
      </c>
      <c r="Z292" s="24">
        <v>5</v>
      </c>
      <c r="AA292" s="24"/>
      <c r="AB292" s="24">
        <v>5</v>
      </c>
      <c r="AC292" s="24">
        <v>4</v>
      </c>
      <c r="AD292" s="24">
        <v>6</v>
      </c>
      <c r="AE292" s="24"/>
      <c r="AF292" s="24">
        <v>6</v>
      </c>
      <c r="AG292" s="23">
        <v>5</v>
      </c>
      <c r="AH292" s="24">
        <v>6</v>
      </c>
      <c r="AI292" s="27">
        <v>6</v>
      </c>
      <c r="AJ292" s="23">
        <v>5</v>
      </c>
      <c r="AK292" s="24">
        <v>5</v>
      </c>
      <c r="AL292" s="24">
        <v>5</v>
      </c>
      <c r="AM292" s="27">
        <v>4</v>
      </c>
      <c r="AN292" s="27"/>
      <c r="AO292" s="24"/>
      <c r="AP292" s="27"/>
      <c r="AQ292" s="24"/>
      <c r="AR292">
        <f t="shared" si="9"/>
        <v>22</v>
      </c>
    </row>
    <row r="293" spans="1:44" x14ac:dyDescent="0.25">
      <c r="B293" t="str">
        <f t="shared" si="8"/>
        <v>SR - Siebatcheu</v>
      </c>
      <c r="C293" t="s">
        <v>901</v>
      </c>
      <c r="D293" s="29" t="s">
        <v>633</v>
      </c>
      <c r="E293" s="60" t="s">
        <v>489</v>
      </c>
      <c r="F293" s="31">
        <v>6</v>
      </c>
      <c r="G293" s="99">
        <v>18</v>
      </c>
      <c r="H293" s="73">
        <v>3</v>
      </c>
      <c r="I293" s="34">
        <f>AVERAGE(P293,U293,W293,AB293,AD293)</f>
        <v>4.2</v>
      </c>
      <c r="J293" s="181" t="s">
        <v>611</v>
      </c>
      <c r="K293" s="37" t="s">
        <v>611</v>
      </c>
      <c r="L293" s="37"/>
      <c r="M293" s="79" t="s">
        <v>611</v>
      </c>
      <c r="N293" s="77" t="s">
        <v>611</v>
      </c>
      <c r="O293" s="77" t="s">
        <v>611</v>
      </c>
      <c r="P293" s="24">
        <v>4</v>
      </c>
      <c r="Q293" s="37" t="s">
        <v>611</v>
      </c>
      <c r="R293" s="37" t="s">
        <v>611</v>
      </c>
      <c r="S293" s="37" t="s">
        <v>611</v>
      </c>
      <c r="T293" s="37" t="s">
        <v>611</v>
      </c>
      <c r="U293" s="172">
        <v>3</v>
      </c>
      <c r="V293" s="37" t="s">
        <v>611</v>
      </c>
      <c r="W293" s="24">
        <v>4</v>
      </c>
      <c r="X293" s="37" t="s">
        <v>611</v>
      </c>
      <c r="Y293" s="37" t="s">
        <v>611</v>
      </c>
      <c r="Z293" s="37" t="s">
        <v>611</v>
      </c>
      <c r="AA293" s="37" t="s">
        <v>611</v>
      </c>
      <c r="AB293" s="76">
        <v>4</v>
      </c>
      <c r="AC293" s="37" t="s">
        <v>611</v>
      </c>
      <c r="AD293" s="24">
        <v>6</v>
      </c>
      <c r="AE293" s="24" t="s">
        <v>641</v>
      </c>
      <c r="AF293" s="37"/>
      <c r="AG293" s="24"/>
      <c r="AH293" s="24"/>
      <c r="AI293" s="27"/>
      <c r="AJ293" s="24"/>
      <c r="AK293" s="24"/>
      <c r="AL293" s="37" t="s">
        <v>611</v>
      </c>
      <c r="AM293" s="26" t="s">
        <v>611</v>
      </c>
      <c r="AN293" s="26" t="s">
        <v>611</v>
      </c>
      <c r="AO293" s="24"/>
      <c r="AP293" s="27"/>
      <c r="AQ293" s="24"/>
      <c r="AR293">
        <f t="shared" si="9"/>
        <v>24</v>
      </c>
    </row>
    <row r="294" spans="1:44" x14ac:dyDescent="0.25">
      <c r="B294" t="str">
        <f t="shared" si="8"/>
        <v>MHSC - Bensebaini</v>
      </c>
      <c r="C294" t="s">
        <v>806</v>
      </c>
      <c r="D294" s="67" t="s">
        <v>608</v>
      </c>
      <c r="E294" s="154" t="s">
        <v>792</v>
      </c>
      <c r="F294" s="69">
        <v>15</v>
      </c>
      <c r="G294" s="115">
        <v>6</v>
      </c>
      <c r="H294" s="68">
        <v>2</v>
      </c>
      <c r="I294" s="72">
        <f>AVERAGE(K294,L294,J294,N294,Q294,R294,U294,V294,W294,X294,Z294,AB294,AD294,AE294,AG294)</f>
        <v>5</v>
      </c>
      <c r="J294" s="87">
        <v>4</v>
      </c>
      <c r="K294" s="37">
        <v>5</v>
      </c>
      <c r="L294" s="37">
        <v>5</v>
      </c>
      <c r="M294" s="37"/>
      <c r="N294" s="24">
        <v>5</v>
      </c>
      <c r="O294" s="24"/>
      <c r="P294" s="37" t="s">
        <v>611</v>
      </c>
      <c r="Q294" s="22">
        <v>6</v>
      </c>
      <c r="R294" s="24">
        <v>5</v>
      </c>
      <c r="S294" s="24"/>
      <c r="T294" s="37" t="s">
        <v>611</v>
      </c>
      <c r="U294" s="24">
        <v>5</v>
      </c>
      <c r="V294" s="24">
        <v>5</v>
      </c>
      <c r="W294" s="24">
        <v>4</v>
      </c>
      <c r="X294" s="24">
        <v>5</v>
      </c>
      <c r="Y294" s="24"/>
      <c r="Z294" s="24">
        <v>5</v>
      </c>
      <c r="AA294" s="37" t="s">
        <v>611</v>
      </c>
      <c r="AB294" s="24">
        <v>5</v>
      </c>
      <c r="AC294" s="24"/>
      <c r="AD294" s="24">
        <v>5</v>
      </c>
      <c r="AE294" s="22">
        <v>6</v>
      </c>
      <c r="AF294" s="37" t="s">
        <v>611</v>
      </c>
      <c r="AG294" s="23">
        <v>5</v>
      </c>
      <c r="AH294" s="24"/>
      <c r="AI294" s="140" t="s">
        <v>611</v>
      </c>
      <c r="AJ294" s="22"/>
      <c r="AK294" s="24"/>
      <c r="AL294" s="37" t="s">
        <v>611</v>
      </c>
      <c r="AM294" s="27"/>
      <c r="AN294" s="26" t="s">
        <v>611</v>
      </c>
      <c r="AO294" s="24"/>
      <c r="AP294" s="27"/>
      <c r="AQ294" s="24"/>
      <c r="AR294">
        <f t="shared" si="9"/>
        <v>21</v>
      </c>
    </row>
    <row r="295" spans="1:44" x14ac:dyDescent="0.25">
      <c r="B295" t="str">
        <f t="shared" ref="B295:B358" si="10">C295 &amp; " - " &amp;E295</f>
        <v>MHSC - Ribelin</v>
      </c>
      <c r="C295" t="s">
        <v>806</v>
      </c>
      <c r="D295" s="29" t="s">
        <v>622</v>
      </c>
      <c r="E295" s="60" t="s">
        <v>793</v>
      </c>
      <c r="F295" s="31">
        <v>1</v>
      </c>
      <c r="G295" s="99"/>
      <c r="H295" s="73"/>
      <c r="I295" s="100">
        <f>AVERAGE(AE295)</f>
        <v>4</v>
      </c>
      <c r="J295" s="87"/>
      <c r="K295" s="37"/>
      <c r="L295" s="37"/>
      <c r="M295" s="37"/>
      <c r="N295" s="24"/>
      <c r="O295" s="24"/>
      <c r="P295" s="24"/>
      <c r="Q295" s="24"/>
      <c r="R295" s="24"/>
      <c r="S295" s="24"/>
      <c r="T295" s="24"/>
      <c r="U295" s="24"/>
      <c r="V295" s="24"/>
      <c r="W295" s="37"/>
      <c r="X295" s="37"/>
      <c r="Y295" s="24"/>
      <c r="Z295" s="37"/>
      <c r="AA295" s="24"/>
      <c r="AB295" s="24"/>
      <c r="AC295" s="24"/>
      <c r="AD295" s="24"/>
      <c r="AE295" s="24">
        <v>4</v>
      </c>
      <c r="AF295" s="24"/>
      <c r="AG295" s="24"/>
      <c r="AH295" s="24"/>
      <c r="AI295" s="27"/>
      <c r="AJ295" s="24"/>
      <c r="AK295" s="24"/>
      <c r="AL295" s="24"/>
      <c r="AM295" s="27"/>
      <c r="AN295" s="27"/>
      <c r="AO295" s="24"/>
      <c r="AP295" s="27"/>
      <c r="AQ295" s="24"/>
      <c r="AR295">
        <f t="shared" ref="AR295:AR358" si="11">F295 +G295</f>
        <v>1</v>
      </c>
    </row>
    <row r="296" spans="1:44" x14ac:dyDescent="0.25">
      <c r="B296" t="str">
        <f t="shared" si="10"/>
        <v>MHSC - Lasne</v>
      </c>
      <c r="C296" t="s">
        <v>806</v>
      </c>
      <c r="D296" s="29" t="s">
        <v>622</v>
      </c>
      <c r="E296" s="30" t="s">
        <v>794</v>
      </c>
      <c r="F296" s="31">
        <v>6</v>
      </c>
      <c r="G296" s="99">
        <v>3</v>
      </c>
      <c r="H296" s="73"/>
      <c r="I296" s="34">
        <f>AVERAGE(K296,L296,M296,J296,N296,O296,S296)</f>
        <v>4.5714285714285712</v>
      </c>
      <c r="J296" s="87">
        <v>4</v>
      </c>
      <c r="K296" s="37">
        <v>5</v>
      </c>
      <c r="L296" s="37">
        <v>4</v>
      </c>
      <c r="M296" s="37">
        <v>5</v>
      </c>
      <c r="N296" s="37">
        <v>5</v>
      </c>
      <c r="O296" s="24">
        <v>4</v>
      </c>
      <c r="P296" s="24"/>
      <c r="Q296" s="37" t="s">
        <v>611</v>
      </c>
      <c r="R296" s="76" t="s">
        <v>611</v>
      </c>
      <c r="S296" s="24">
        <v>5</v>
      </c>
      <c r="T296" s="24"/>
      <c r="U296" s="24"/>
      <c r="V296" s="24"/>
      <c r="W296" s="37"/>
      <c r="X296" s="37"/>
      <c r="Y296" s="24"/>
      <c r="Z296" s="24"/>
      <c r="AA296" s="37"/>
      <c r="AB296" s="24"/>
      <c r="AC296" s="22"/>
      <c r="AD296" s="24"/>
      <c r="AE296" s="22"/>
      <c r="AF296" s="24"/>
      <c r="AG296" s="24"/>
      <c r="AH296" s="24"/>
      <c r="AI296" s="26"/>
      <c r="AJ296" s="37"/>
      <c r="AK296" s="24"/>
      <c r="AL296" s="24"/>
      <c r="AM296" s="27"/>
      <c r="AN296" s="27"/>
      <c r="AO296" s="24"/>
      <c r="AP296" s="26"/>
      <c r="AQ296" s="24"/>
      <c r="AR296">
        <f t="shared" si="11"/>
        <v>9</v>
      </c>
    </row>
    <row r="297" spans="1:44" x14ac:dyDescent="0.25">
      <c r="B297" t="str">
        <f t="shared" si="10"/>
        <v>FCN - Sigthorsson</v>
      </c>
      <c r="C297" t="s">
        <v>923</v>
      </c>
      <c r="D297" s="29" t="s">
        <v>633</v>
      </c>
      <c r="E297" s="65" t="s">
        <v>919</v>
      </c>
      <c r="F297" s="31">
        <v>16</v>
      </c>
      <c r="G297" s="99">
        <v>8</v>
      </c>
      <c r="H297" s="73">
        <v>3</v>
      </c>
      <c r="I297" s="34">
        <f>AVERAGE(K297,L297,M297,N297,P297,R297,V297,W297,X297,Z297,AD297,AE297,AF297,AK297,AL297,AJ297,AM297,AN297)</f>
        <v>4.666666666666667</v>
      </c>
      <c r="J297" s="87" t="s">
        <v>611</v>
      </c>
      <c r="K297" s="24">
        <v>4</v>
      </c>
      <c r="L297" s="26">
        <v>4</v>
      </c>
      <c r="M297" s="24">
        <v>5</v>
      </c>
      <c r="N297" s="37">
        <v>4</v>
      </c>
      <c r="O297" s="24"/>
      <c r="P297" s="37">
        <v>5</v>
      </c>
      <c r="Q297" s="24"/>
      <c r="R297" s="75">
        <v>7</v>
      </c>
      <c r="S297" s="76" t="s">
        <v>611</v>
      </c>
      <c r="T297" s="37"/>
      <c r="U297" s="37" t="s">
        <v>611</v>
      </c>
      <c r="V297" s="24">
        <v>4</v>
      </c>
      <c r="W297" s="24">
        <v>4</v>
      </c>
      <c r="X297" s="24">
        <v>5</v>
      </c>
      <c r="Y297" s="37" t="s">
        <v>611</v>
      </c>
      <c r="Z297" s="24">
        <v>4</v>
      </c>
      <c r="AA297" s="24"/>
      <c r="AB297" s="24"/>
      <c r="AC297" s="77" t="s">
        <v>611</v>
      </c>
      <c r="AD297" s="37">
        <v>4</v>
      </c>
      <c r="AE297" s="25">
        <v>7</v>
      </c>
      <c r="AF297" s="37">
        <v>5</v>
      </c>
      <c r="AG297" s="24"/>
      <c r="AH297" s="37"/>
      <c r="AI297" s="26" t="s">
        <v>611</v>
      </c>
      <c r="AJ297" s="24">
        <v>4</v>
      </c>
      <c r="AK297" s="37">
        <v>5</v>
      </c>
      <c r="AL297" s="24">
        <v>4</v>
      </c>
      <c r="AM297" s="27">
        <v>5</v>
      </c>
      <c r="AN297" s="27">
        <v>4</v>
      </c>
      <c r="AO297" s="24"/>
      <c r="AP297" s="27"/>
      <c r="AQ297" s="24"/>
      <c r="AR297">
        <f t="shared" si="11"/>
        <v>24</v>
      </c>
    </row>
    <row r="298" spans="1:44" x14ac:dyDescent="0.25">
      <c r="B298" t="str">
        <f t="shared" si="10"/>
        <v>MHSC - Marveaux</v>
      </c>
      <c r="C298" t="s">
        <v>806</v>
      </c>
      <c r="D298" s="29" t="s">
        <v>622</v>
      </c>
      <c r="E298" s="30" t="s">
        <v>796</v>
      </c>
      <c r="F298" s="31">
        <v>5</v>
      </c>
      <c r="G298" s="99">
        <v>3</v>
      </c>
      <c r="H298" s="73">
        <v>1</v>
      </c>
      <c r="I298" s="34">
        <f>AVERAGE(M298,J298,N298,O298)</f>
        <v>5.5</v>
      </c>
      <c r="J298" s="87">
        <v>5</v>
      </c>
      <c r="K298" s="37"/>
      <c r="L298" s="37" t="s">
        <v>611</v>
      </c>
      <c r="M298" s="37">
        <v>5</v>
      </c>
      <c r="N298" s="25">
        <v>7</v>
      </c>
      <c r="O298" s="37">
        <v>5</v>
      </c>
      <c r="P298" s="37"/>
      <c r="Q298" s="37" t="s">
        <v>611</v>
      </c>
      <c r="R298" s="37"/>
      <c r="S298" s="24" t="s">
        <v>641</v>
      </c>
      <c r="T298" s="24"/>
      <c r="U298" s="37"/>
      <c r="V298" s="24"/>
      <c r="W298" s="24"/>
      <c r="X298" s="24"/>
      <c r="Y298" s="24"/>
      <c r="Z298" s="24"/>
      <c r="AA298" s="24"/>
      <c r="AB298" s="24"/>
      <c r="AC298" s="24"/>
      <c r="AD298" s="24"/>
      <c r="AE298" s="37"/>
      <c r="AF298" s="24"/>
      <c r="AG298" s="24"/>
      <c r="AH298" s="37" t="s">
        <v>611</v>
      </c>
      <c r="AI298" s="27"/>
      <c r="AJ298" s="24"/>
      <c r="AK298" s="24"/>
      <c r="AL298" s="37"/>
      <c r="AM298" s="27"/>
      <c r="AN298" s="27"/>
      <c r="AO298" s="24"/>
      <c r="AP298" s="26"/>
      <c r="AQ298" s="24"/>
      <c r="AR298">
        <f t="shared" si="11"/>
        <v>8</v>
      </c>
    </row>
    <row r="299" spans="1:44" x14ac:dyDescent="0.25">
      <c r="B299" t="str">
        <f t="shared" si="10"/>
        <v>MHSC - Saihi</v>
      </c>
      <c r="C299" t="s">
        <v>806</v>
      </c>
      <c r="D299" s="29" t="s">
        <v>622</v>
      </c>
      <c r="E299" s="30" t="s">
        <v>797</v>
      </c>
      <c r="F299" s="31">
        <v>7</v>
      </c>
      <c r="G299" s="99">
        <v>4</v>
      </c>
      <c r="H299" s="73"/>
      <c r="I299" s="34">
        <f>AVERAGE(AB299,AE299,AH299,AI299,AJ299,AK299,AM299)</f>
        <v>5</v>
      </c>
      <c r="J299" s="87"/>
      <c r="K299" s="37"/>
      <c r="L299" s="37"/>
      <c r="M299" s="37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37" t="s">
        <v>611</v>
      </c>
      <c r="AB299" s="24">
        <v>4</v>
      </c>
      <c r="AC299" s="76" t="s">
        <v>611</v>
      </c>
      <c r="AD299" s="24"/>
      <c r="AE299" s="24">
        <v>5</v>
      </c>
      <c r="AF299" s="24"/>
      <c r="AG299" s="37" t="s">
        <v>611</v>
      </c>
      <c r="AH299" s="24">
        <v>5</v>
      </c>
      <c r="AI299" s="27">
        <v>6</v>
      </c>
      <c r="AJ299" s="24">
        <v>6</v>
      </c>
      <c r="AK299" s="24">
        <v>4</v>
      </c>
      <c r="AL299" s="37" t="s">
        <v>611</v>
      </c>
      <c r="AM299" s="27">
        <v>5</v>
      </c>
      <c r="AN299" s="27"/>
      <c r="AO299" s="24"/>
      <c r="AP299" s="27"/>
      <c r="AQ299" s="24"/>
      <c r="AR299">
        <f t="shared" si="11"/>
        <v>11</v>
      </c>
    </row>
    <row r="300" spans="1:44" x14ac:dyDescent="0.25">
      <c r="B300" t="str">
        <f t="shared" si="10"/>
        <v>MHSC - Skhiri</v>
      </c>
      <c r="C300" t="s">
        <v>806</v>
      </c>
      <c r="D300" s="29" t="s">
        <v>622</v>
      </c>
      <c r="E300" s="60" t="s">
        <v>798</v>
      </c>
      <c r="F300" s="31">
        <v>3</v>
      </c>
      <c r="G300" s="99">
        <v>3</v>
      </c>
      <c r="H300" s="73">
        <v>1</v>
      </c>
      <c r="I300" s="34">
        <f>AVERAGE(R300,AL300,AN300)</f>
        <v>5</v>
      </c>
      <c r="J300" s="87"/>
      <c r="K300" s="37"/>
      <c r="L300" s="37"/>
      <c r="M300" s="37"/>
      <c r="N300" s="24"/>
      <c r="O300" s="24"/>
      <c r="P300" s="24"/>
      <c r="Q300" s="24"/>
      <c r="R300" s="24">
        <v>5</v>
      </c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37" t="s">
        <v>611</v>
      </c>
      <c r="AF300" s="24"/>
      <c r="AG300" s="24"/>
      <c r="AH300" s="24"/>
      <c r="AI300" s="27"/>
      <c r="AJ300" s="37" t="s">
        <v>611</v>
      </c>
      <c r="AK300" s="77" t="s">
        <v>611</v>
      </c>
      <c r="AL300" s="24">
        <v>6</v>
      </c>
      <c r="AM300" s="26"/>
      <c r="AN300" s="27">
        <v>4</v>
      </c>
      <c r="AO300" s="24"/>
      <c r="AP300" s="27"/>
      <c r="AQ300" s="24"/>
      <c r="AR300">
        <f t="shared" si="11"/>
        <v>6</v>
      </c>
    </row>
    <row r="301" spans="1:44" x14ac:dyDescent="0.25">
      <c r="B301" t="str">
        <f t="shared" si="10"/>
        <v>MHSC - Wüthrich</v>
      </c>
      <c r="C301" t="s">
        <v>806</v>
      </c>
      <c r="D301" s="29" t="s">
        <v>622</v>
      </c>
      <c r="E301" s="60" t="s">
        <v>799</v>
      </c>
      <c r="F301" s="31"/>
      <c r="G301" s="99"/>
      <c r="H301" s="73"/>
      <c r="I301" s="34"/>
      <c r="J301" s="87"/>
      <c r="K301" s="37"/>
      <c r="L301" s="37"/>
      <c r="M301" s="37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7"/>
      <c r="AJ301" s="24"/>
      <c r="AK301" s="24"/>
      <c r="AL301" s="24"/>
      <c r="AM301" s="26"/>
      <c r="AN301" s="27"/>
      <c r="AO301" s="24"/>
      <c r="AP301" s="27"/>
      <c r="AQ301" s="24"/>
      <c r="AR301">
        <f t="shared" si="11"/>
        <v>0</v>
      </c>
    </row>
    <row r="302" spans="1:44" x14ac:dyDescent="0.25">
      <c r="B302" t="str">
        <f t="shared" si="10"/>
        <v>ESTAC - Pi</v>
      </c>
      <c r="C302" t="s">
        <v>1002</v>
      </c>
      <c r="D302" s="29" t="s">
        <v>622</v>
      </c>
      <c r="E302" s="155" t="s">
        <v>995</v>
      </c>
      <c r="F302" s="31">
        <v>28</v>
      </c>
      <c r="G302" s="99">
        <v>2</v>
      </c>
      <c r="H302" s="73">
        <v>3</v>
      </c>
      <c r="I302" s="34">
        <f>AVERAGE(AB302,AA302,X302,W302,K302,L302,M302,N302,J302,O302,P302,Q302,R302,S302,T302,U302,V302,Y302,Z302,AC302,AD302,AE302,AF302,AH302,AJ302,AK302,AL302,AM302,AN302)</f>
        <v>4.7241379310344831</v>
      </c>
      <c r="J302" s="179">
        <v>5</v>
      </c>
      <c r="K302" s="24">
        <v>5</v>
      </c>
      <c r="L302" s="37">
        <v>4</v>
      </c>
      <c r="M302" s="24">
        <v>5</v>
      </c>
      <c r="N302" s="37">
        <v>4</v>
      </c>
      <c r="O302" s="37">
        <v>5</v>
      </c>
      <c r="P302" s="24">
        <v>5</v>
      </c>
      <c r="Q302" s="77">
        <v>6</v>
      </c>
      <c r="R302" s="24">
        <v>4</v>
      </c>
      <c r="S302" s="23">
        <v>4</v>
      </c>
      <c r="T302" s="24">
        <v>5</v>
      </c>
      <c r="U302" s="24">
        <v>5</v>
      </c>
      <c r="V302" s="24">
        <v>5</v>
      </c>
      <c r="W302" s="37">
        <v>5</v>
      </c>
      <c r="X302" s="24">
        <v>5</v>
      </c>
      <c r="Y302" s="24">
        <v>5</v>
      </c>
      <c r="Z302" s="77">
        <v>6</v>
      </c>
      <c r="AA302" s="24">
        <v>5</v>
      </c>
      <c r="AB302" s="24">
        <v>5</v>
      </c>
      <c r="AC302" s="24">
        <v>4</v>
      </c>
      <c r="AD302" s="37">
        <v>4</v>
      </c>
      <c r="AE302" s="25">
        <v>7</v>
      </c>
      <c r="AF302" s="82">
        <v>3</v>
      </c>
      <c r="AG302" s="24"/>
      <c r="AH302" s="24">
        <v>4</v>
      </c>
      <c r="AI302" s="140" t="s">
        <v>611</v>
      </c>
      <c r="AJ302" s="24">
        <v>4</v>
      </c>
      <c r="AK302" s="24">
        <v>5</v>
      </c>
      <c r="AL302" s="24">
        <v>5</v>
      </c>
      <c r="AM302" s="26">
        <v>4</v>
      </c>
      <c r="AN302" s="26">
        <v>4</v>
      </c>
      <c r="AO302" s="24"/>
      <c r="AP302" s="26"/>
      <c r="AQ302" s="24"/>
      <c r="AR302">
        <f t="shared" si="11"/>
        <v>30</v>
      </c>
    </row>
    <row r="303" spans="1:44" x14ac:dyDescent="0.25">
      <c r="B303" t="str">
        <f t="shared" si="10"/>
        <v>MHSC - Cornette</v>
      </c>
      <c r="C303" t="s">
        <v>806</v>
      </c>
      <c r="D303" s="29" t="s">
        <v>622</v>
      </c>
      <c r="E303" s="65" t="s">
        <v>800</v>
      </c>
      <c r="F303" s="31">
        <v>1</v>
      </c>
      <c r="G303" s="99">
        <v>4</v>
      </c>
      <c r="H303" s="73"/>
      <c r="I303" s="34">
        <f>AVERAGE(N303)</f>
        <v>5</v>
      </c>
      <c r="J303" s="87"/>
      <c r="K303" s="37"/>
      <c r="L303" s="37"/>
      <c r="M303" s="37" t="s">
        <v>611</v>
      </c>
      <c r="N303" s="24">
        <v>5</v>
      </c>
      <c r="O303" s="37" t="s">
        <v>611</v>
      </c>
      <c r="P303" s="24"/>
      <c r="Q303" s="24"/>
      <c r="R303" s="76" t="s">
        <v>611</v>
      </c>
      <c r="S303" s="37" t="s">
        <v>611</v>
      </c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7"/>
      <c r="AJ303" s="24"/>
      <c r="AK303" s="24"/>
      <c r="AL303" s="24"/>
      <c r="AM303" s="26"/>
      <c r="AN303" s="27"/>
      <c r="AO303" s="24"/>
      <c r="AP303" s="27"/>
      <c r="AQ303" s="24"/>
      <c r="AR303">
        <f t="shared" si="11"/>
        <v>5</v>
      </c>
    </row>
    <row r="304" spans="1:44" x14ac:dyDescent="0.25">
      <c r="B304" t="str">
        <f t="shared" si="10"/>
        <v>MHSC - Deza</v>
      </c>
      <c r="C304" t="s">
        <v>806</v>
      </c>
      <c r="D304" s="29" t="s">
        <v>622</v>
      </c>
      <c r="E304" s="60" t="s">
        <v>805</v>
      </c>
      <c r="F304" s="31">
        <v>2</v>
      </c>
      <c r="G304" s="99">
        <v>5</v>
      </c>
      <c r="H304" s="73"/>
      <c r="I304" s="34">
        <f>AVERAGE(S304,T304)</f>
        <v>4</v>
      </c>
      <c r="J304" s="187"/>
      <c r="K304" s="109"/>
      <c r="L304" s="109"/>
      <c r="M304" s="109"/>
      <c r="N304" s="109"/>
      <c r="O304" s="109"/>
      <c r="P304" s="76" t="s">
        <v>611</v>
      </c>
      <c r="Q304" s="109"/>
      <c r="R304" s="76" t="s">
        <v>611</v>
      </c>
      <c r="S304" s="76">
        <v>4</v>
      </c>
      <c r="T304" s="76">
        <v>4</v>
      </c>
      <c r="U304" s="76" t="s">
        <v>611</v>
      </c>
      <c r="V304" s="76" t="s">
        <v>611</v>
      </c>
      <c r="W304" s="109"/>
      <c r="X304" s="109"/>
      <c r="Y304" s="76" t="s">
        <v>611</v>
      </c>
      <c r="Z304" s="109"/>
      <c r="AA304" s="109"/>
      <c r="AB304" s="109"/>
      <c r="AC304" s="109"/>
      <c r="AD304" s="109"/>
      <c r="AE304" s="109"/>
      <c r="AF304" s="109"/>
      <c r="AG304" s="109"/>
      <c r="AH304" s="109"/>
      <c r="AI304" s="110"/>
      <c r="AJ304" s="109"/>
      <c r="AK304" s="109"/>
      <c r="AL304" s="109"/>
      <c r="AM304" s="110"/>
      <c r="AN304" s="110"/>
      <c r="AO304" s="109"/>
      <c r="AP304" s="110"/>
      <c r="AQ304" s="109"/>
      <c r="AR304">
        <f t="shared" si="11"/>
        <v>7</v>
      </c>
    </row>
    <row r="305" spans="2:44" x14ac:dyDescent="0.25">
      <c r="B305" t="str">
        <f t="shared" si="10"/>
        <v>MHSC - Sanson</v>
      </c>
      <c r="C305" t="s">
        <v>806</v>
      </c>
      <c r="D305" s="67" t="s">
        <v>622</v>
      </c>
      <c r="E305" s="85" t="s">
        <v>801</v>
      </c>
      <c r="F305" s="69">
        <v>3</v>
      </c>
      <c r="G305" s="115">
        <v>5</v>
      </c>
      <c r="H305" s="68"/>
      <c r="I305" s="72">
        <f>AVERAGE(Y305,AA305,AB305)</f>
        <v>4.333333333333333</v>
      </c>
      <c r="J305" s="176"/>
      <c r="K305" s="77"/>
      <c r="L305" s="37"/>
      <c r="M305" s="37"/>
      <c r="N305" s="24"/>
      <c r="O305" s="24"/>
      <c r="P305" s="24"/>
      <c r="Q305" s="24"/>
      <c r="R305" s="24"/>
      <c r="S305" s="24"/>
      <c r="T305" s="24"/>
      <c r="U305" s="24"/>
      <c r="V305" s="24"/>
      <c r="W305" s="37" t="s">
        <v>611</v>
      </c>
      <c r="X305" s="37" t="s">
        <v>611</v>
      </c>
      <c r="Y305" s="24">
        <v>5</v>
      </c>
      <c r="Z305" s="76" t="s">
        <v>611</v>
      </c>
      <c r="AA305" s="23">
        <v>4</v>
      </c>
      <c r="AB305" s="24">
        <v>4</v>
      </c>
      <c r="AC305" s="24"/>
      <c r="AD305" s="24"/>
      <c r="AE305" s="24"/>
      <c r="AF305" s="24"/>
      <c r="AG305" s="24"/>
      <c r="AH305" s="24"/>
      <c r="AI305" s="28"/>
      <c r="AJ305" s="24"/>
      <c r="AK305" s="24"/>
      <c r="AL305" s="22"/>
      <c r="AM305" s="26" t="s">
        <v>611</v>
      </c>
      <c r="AN305" s="140" t="s">
        <v>611</v>
      </c>
      <c r="AO305" s="24"/>
      <c r="AP305" s="27"/>
      <c r="AQ305" s="24"/>
      <c r="AR305">
        <f t="shared" si="11"/>
        <v>8</v>
      </c>
    </row>
    <row r="306" spans="2:44" x14ac:dyDescent="0.25">
      <c r="B306" t="str">
        <f t="shared" si="10"/>
        <v>MHSC - Bakar</v>
      </c>
      <c r="C306" t="s">
        <v>806</v>
      </c>
      <c r="D306" s="29" t="s">
        <v>633</v>
      </c>
      <c r="E306" s="30" t="s">
        <v>547</v>
      </c>
      <c r="F306" s="31">
        <v>2</v>
      </c>
      <c r="G306" s="99">
        <v>3</v>
      </c>
      <c r="H306" s="73"/>
      <c r="I306" s="34">
        <f>AVERAGE(L306,N306)</f>
        <v>3.5</v>
      </c>
      <c r="J306" s="87"/>
      <c r="K306" s="37" t="s">
        <v>611</v>
      </c>
      <c r="L306" s="37">
        <v>4</v>
      </c>
      <c r="M306" s="37" t="s">
        <v>611</v>
      </c>
      <c r="N306" s="82">
        <v>3</v>
      </c>
      <c r="O306" s="24"/>
      <c r="P306" s="24"/>
      <c r="Q306" s="24"/>
      <c r="R306" s="24"/>
      <c r="S306" s="24"/>
      <c r="T306" s="24"/>
      <c r="U306" s="37"/>
      <c r="V306" s="24"/>
      <c r="W306" s="37"/>
      <c r="X306" s="37"/>
      <c r="Y306" s="37"/>
      <c r="Z306" s="24"/>
      <c r="AA306" s="37"/>
      <c r="AB306" s="24"/>
      <c r="AC306" s="37"/>
      <c r="AD306" s="24"/>
      <c r="AE306" s="24"/>
      <c r="AF306" s="37"/>
      <c r="AG306" s="37" t="s">
        <v>611</v>
      </c>
      <c r="AH306" s="24"/>
      <c r="AI306" s="26"/>
      <c r="AJ306" s="37"/>
      <c r="AK306" s="37"/>
      <c r="AL306" s="24"/>
      <c r="AM306" s="26"/>
      <c r="AN306" s="27"/>
      <c r="AO306" s="24"/>
      <c r="AP306" s="27"/>
      <c r="AQ306" s="24"/>
      <c r="AR306">
        <f t="shared" si="11"/>
        <v>5</v>
      </c>
    </row>
    <row r="307" spans="2:44" x14ac:dyDescent="0.25">
      <c r="B307" t="str">
        <f t="shared" si="10"/>
        <v>MHSC - Berigaud</v>
      </c>
      <c r="C307" t="s">
        <v>806</v>
      </c>
      <c r="D307" s="29" t="s">
        <v>633</v>
      </c>
      <c r="E307" s="30" t="s">
        <v>802</v>
      </c>
      <c r="F307" s="31">
        <v>10</v>
      </c>
      <c r="G307" s="99">
        <v>7</v>
      </c>
      <c r="H307" s="73">
        <v>3</v>
      </c>
      <c r="I307" s="34">
        <f>AVERAGE(K307,M307,J307,N307,P307,AH307,AJ307,AK307,AL307,AM307,AN307)</f>
        <v>5.2727272727272725</v>
      </c>
      <c r="J307" s="87">
        <v>5</v>
      </c>
      <c r="K307" s="37">
        <v>4</v>
      </c>
      <c r="L307" s="37"/>
      <c r="M307" s="37">
        <v>6</v>
      </c>
      <c r="N307" s="24">
        <v>5</v>
      </c>
      <c r="O307" s="37" t="s">
        <v>611</v>
      </c>
      <c r="P307" s="24">
        <v>4</v>
      </c>
      <c r="Q307" s="24" t="s">
        <v>641</v>
      </c>
      <c r="R307" s="24"/>
      <c r="S307" s="24"/>
      <c r="T307" s="24"/>
      <c r="U307" s="22"/>
      <c r="V307" s="24"/>
      <c r="W307" s="24"/>
      <c r="X307" s="24"/>
      <c r="Y307" s="24"/>
      <c r="Z307" s="24"/>
      <c r="AA307" s="24"/>
      <c r="AB307" s="37"/>
      <c r="AC307" s="76" t="s">
        <v>611</v>
      </c>
      <c r="AD307" s="37" t="s">
        <v>611</v>
      </c>
      <c r="AE307" s="22"/>
      <c r="AF307" s="37" t="s">
        <v>611</v>
      </c>
      <c r="AG307" s="24"/>
      <c r="AH307" s="77">
        <v>6</v>
      </c>
      <c r="AI307" s="140" t="s">
        <v>611</v>
      </c>
      <c r="AJ307" s="25">
        <v>7</v>
      </c>
      <c r="AK307" s="25">
        <v>8</v>
      </c>
      <c r="AL307" s="24">
        <v>5</v>
      </c>
      <c r="AM307" s="27">
        <v>4</v>
      </c>
      <c r="AN307" s="27">
        <v>4</v>
      </c>
      <c r="AO307" s="24"/>
      <c r="AP307" s="27"/>
      <c r="AQ307" s="37"/>
      <c r="AR307">
        <f t="shared" si="11"/>
        <v>17</v>
      </c>
    </row>
    <row r="308" spans="2:44" x14ac:dyDescent="0.25">
      <c r="B308" t="str">
        <f t="shared" si="10"/>
        <v>ESTAC - Camus</v>
      </c>
      <c r="C308" t="s">
        <v>1002</v>
      </c>
      <c r="D308" s="29" t="s">
        <v>622</v>
      </c>
      <c r="E308" s="155" t="s">
        <v>996</v>
      </c>
      <c r="F308" s="31">
        <v>22</v>
      </c>
      <c r="G308" s="99">
        <v>6</v>
      </c>
      <c r="H308" s="73">
        <v>3</v>
      </c>
      <c r="I308" s="34">
        <f>AVERAGE(AB308,AA308,L308,N308,J308,Q308,R308,S308,T308,U308,V308,X308,Y308,AC308,AD308,AE308,AF308,AH308,AI308,AJ308,AK308,AM308)</f>
        <v>4.4545454545454541</v>
      </c>
      <c r="J308" s="179">
        <v>5</v>
      </c>
      <c r="K308" s="77" t="s">
        <v>611</v>
      </c>
      <c r="L308" s="37">
        <v>4</v>
      </c>
      <c r="M308" s="37" t="s">
        <v>611</v>
      </c>
      <c r="N308" s="37">
        <v>5</v>
      </c>
      <c r="O308" s="37" t="s">
        <v>611</v>
      </c>
      <c r="P308" s="24"/>
      <c r="Q308" s="37">
        <v>5</v>
      </c>
      <c r="R308" s="24">
        <v>4</v>
      </c>
      <c r="S308" s="23">
        <v>4</v>
      </c>
      <c r="T308" s="24">
        <v>5</v>
      </c>
      <c r="U308" s="24">
        <v>5</v>
      </c>
      <c r="V308" s="24">
        <v>5</v>
      </c>
      <c r="W308" s="37" t="s">
        <v>611</v>
      </c>
      <c r="X308" s="24">
        <v>5</v>
      </c>
      <c r="Y308" s="24">
        <v>4</v>
      </c>
      <c r="Z308" s="37" t="s">
        <v>611</v>
      </c>
      <c r="AA308" s="24">
        <v>5</v>
      </c>
      <c r="AB308" s="24">
        <v>4</v>
      </c>
      <c r="AC308" s="22">
        <v>4</v>
      </c>
      <c r="AD308" s="75">
        <v>7</v>
      </c>
      <c r="AE308" s="24">
        <v>4</v>
      </c>
      <c r="AF308" s="24">
        <v>4</v>
      </c>
      <c r="AG308" s="24"/>
      <c r="AH308" s="24">
        <v>4</v>
      </c>
      <c r="AI308" s="27">
        <v>4</v>
      </c>
      <c r="AJ308" s="24">
        <v>4</v>
      </c>
      <c r="AK308" s="24">
        <v>4</v>
      </c>
      <c r="AL308" s="24"/>
      <c r="AM308" s="259">
        <v>3</v>
      </c>
      <c r="AN308" s="26" t="s">
        <v>611</v>
      </c>
      <c r="AO308" s="24"/>
      <c r="AP308" s="26"/>
      <c r="AQ308" s="24"/>
      <c r="AR308">
        <f t="shared" si="11"/>
        <v>28</v>
      </c>
    </row>
    <row r="309" spans="2:44" x14ac:dyDescent="0.25">
      <c r="B309" t="str">
        <f t="shared" si="10"/>
        <v>MHSC - Mounié</v>
      </c>
      <c r="C309" t="s">
        <v>806</v>
      </c>
      <c r="D309" s="131" t="s">
        <v>633</v>
      </c>
      <c r="E309" s="132" t="s">
        <v>803</v>
      </c>
      <c r="F309" s="133"/>
      <c r="G309" s="134">
        <v>2</v>
      </c>
      <c r="H309" s="135"/>
      <c r="I309" s="34"/>
      <c r="J309" s="183" t="s">
        <v>611</v>
      </c>
      <c r="K309" s="138" t="s">
        <v>611</v>
      </c>
      <c r="L309" s="184"/>
      <c r="M309" s="138"/>
      <c r="N309" s="138"/>
      <c r="O309" s="138"/>
      <c r="P309" s="138"/>
      <c r="Q309" s="185"/>
      <c r="R309" s="139"/>
      <c r="S309" s="139"/>
      <c r="T309" s="138"/>
      <c r="U309" s="138"/>
      <c r="V309" s="138"/>
      <c r="W309" s="185"/>
      <c r="X309" s="139"/>
      <c r="Y309" s="139"/>
      <c r="Z309" s="138"/>
      <c r="AA309" s="139"/>
      <c r="AB309" s="138"/>
      <c r="AC309" s="138"/>
      <c r="AD309" s="138"/>
      <c r="AE309" s="138"/>
      <c r="AF309" s="139"/>
      <c r="AG309" s="138"/>
      <c r="AH309" s="138"/>
      <c r="AI309" s="134"/>
      <c r="AJ309" s="138"/>
      <c r="AK309" s="138"/>
      <c r="AL309" s="138"/>
      <c r="AM309" s="137"/>
      <c r="AN309" s="134"/>
      <c r="AO309" s="138"/>
      <c r="AP309" s="137"/>
      <c r="AQ309" s="138"/>
      <c r="AR309">
        <f t="shared" si="11"/>
        <v>2</v>
      </c>
    </row>
    <row r="310" spans="2:44" x14ac:dyDescent="0.25">
      <c r="B310" t="str">
        <f t="shared" si="10"/>
        <v>MHSC - Yatabaré</v>
      </c>
      <c r="C310" t="s">
        <v>806</v>
      </c>
      <c r="D310" s="147" t="s">
        <v>633</v>
      </c>
      <c r="E310" s="155" t="s">
        <v>531</v>
      </c>
      <c r="F310" s="149">
        <v>13</v>
      </c>
      <c r="G310" s="143">
        <v>9</v>
      </c>
      <c r="H310" s="49">
        <v>4</v>
      </c>
      <c r="I310" s="34">
        <f>AVERAGE(N310,O310,P310,Q310,W310,Y310,AA310,AC310,AF310,AG310,AI310,AJ310,AK310,AL310,AM310)</f>
        <v>4.8</v>
      </c>
      <c r="J310" s="176"/>
      <c r="K310" s="37"/>
      <c r="L310" s="77"/>
      <c r="M310" s="37"/>
      <c r="N310" s="37">
        <v>4</v>
      </c>
      <c r="O310" s="37">
        <v>4</v>
      </c>
      <c r="P310" s="37">
        <v>5</v>
      </c>
      <c r="Q310" s="23">
        <v>4</v>
      </c>
      <c r="R310" s="24"/>
      <c r="S310" s="24"/>
      <c r="T310" s="37" t="s">
        <v>611</v>
      </c>
      <c r="U310" s="37" t="s">
        <v>611</v>
      </c>
      <c r="V310" s="37" t="s">
        <v>611</v>
      </c>
      <c r="W310" s="22">
        <v>6</v>
      </c>
      <c r="X310" s="37" t="s">
        <v>611</v>
      </c>
      <c r="Y310" s="24">
        <v>4</v>
      </c>
      <c r="Z310" s="37"/>
      <c r="AA310" s="24">
        <v>5</v>
      </c>
      <c r="AB310" s="37"/>
      <c r="AC310" s="37">
        <v>4</v>
      </c>
      <c r="AD310" s="37" t="s">
        <v>611</v>
      </c>
      <c r="AE310" s="37" t="s">
        <v>611</v>
      </c>
      <c r="AF310" s="22">
        <v>6</v>
      </c>
      <c r="AG310" s="172">
        <v>3</v>
      </c>
      <c r="AH310" s="37" t="s">
        <v>611</v>
      </c>
      <c r="AI310" s="254">
        <v>7</v>
      </c>
      <c r="AJ310" s="75">
        <v>7</v>
      </c>
      <c r="AK310" s="37">
        <v>5</v>
      </c>
      <c r="AL310" s="37">
        <v>4</v>
      </c>
      <c r="AM310" s="26">
        <v>4</v>
      </c>
      <c r="AN310" s="140" t="s">
        <v>611</v>
      </c>
      <c r="AO310" s="37"/>
      <c r="AP310" s="26"/>
      <c r="AQ310" s="37"/>
      <c r="AR310">
        <f t="shared" si="11"/>
        <v>22</v>
      </c>
    </row>
    <row r="311" spans="2:44" x14ac:dyDescent="0.25">
      <c r="B311" t="str">
        <f t="shared" si="10"/>
        <v>MHSC - Sotoca</v>
      </c>
      <c r="C311" t="s">
        <v>806</v>
      </c>
      <c r="D311" s="147" t="s">
        <v>633</v>
      </c>
      <c r="E311" s="65" t="s">
        <v>1086</v>
      </c>
      <c r="F311" s="149"/>
      <c r="G311" s="143">
        <v>1</v>
      </c>
      <c r="H311" s="49"/>
      <c r="I311" s="34"/>
      <c r="J311" s="176"/>
      <c r="K311" s="37"/>
      <c r="L311" s="77"/>
      <c r="M311" s="37"/>
      <c r="N311" s="37"/>
      <c r="O311" s="37"/>
      <c r="P311" s="37"/>
      <c r="Q311" s="23"/>
      <c r="R311" s="24"/>
      <c r="S311" s="24"/>
      <c r="T311" s="37"/>
      <c r="U311" s="37"/>
      <c r="V311" s="37"/>
      <c r="W311" s="22"/>
      <c r="X311" s="37"/>
      <c r="Y311" s="24"/>
      <c r="Z311" s="37"/>
      <c r="AA311" s="24"/>
      <c r="AB311" s="37"/>
      <c r="AC311" s="37"/>
      <c r="AD311" s="37"/>
      <c r="AE311" s="37"/>
      <c r="AF311" s="22"/>
      <c r="AG311" s="24"/>
      <c r="AH311" s="37"/>
      <c r="AI311" s="24"/>
      <c r="AJ311" s="37"/>
      <c r="AK311" s="37" t="s">
        <v>611</v>
      </c>
      <c r="AL311" s="37"/>
      <c r="AM311" s="26"/>
      <c r="AN311" s="27"/>
      <c r="AO311" s="37"/>
      <c r="AP311" s="26"/>
      <c r="AQ311" s="37"/>
      <c r="AR311">
        <f t="shared" si="11"/>
        <v>1</v>
      </c>
    </row>
    <row r="312" spans="2:44" ht="15.75" thickBot="1" x14ac:dyDescent="0.3">
      <c r="B312" t="str">
        <f t="shared" si="10"/>
        <v>MHSC - Ninga</v>
      </c>
      <c r="C312" t="s">
        <v>806</v>
      </c>
      <c r="D312" s="186" t="s">
        <v>633</v>
      </c>
      <c r="E312" s="168" t="s">
        <v>804</v>
      </c>
      <c r="F312" s="169">
        <v>14</v>
      </c>
      <c r="G312" s="170">
        <v>6</v>
      </c>
      <c r="H312" s="171">
        <v>6</v>
      </c>
      <c r="I312" s="121">
        <f>AVERAGE(S312,T312,U312,V312,W312,X312,Y312,Z312,AA312,AB312,AC312,AD312,AE312,AH312,AJ312,AK312,AL312)</f>
        <v>4.882352941176471</v>
      </c>
      <c r="J312" s="176"/>
      <c r="K312" s="37"/>
      <c r="L312" s="77"/>
      <c r="M312" s="37"/>
      <c r="N312" s="37"/>
      <c r="O312" s="37"/>
      <c r="P312" s="37"/>
      <c r="Q312" s="23"/>
      <c r="R312" s="24"/>
      <c r="S312" s="24">
        <v>4</v>
      </c>
      <c r="T312" s="77">
        <v>6</v>
      </c>
      <c r="U312" s="172">
        <v>3</v>
      </c>
      <c r="V312" s="37">
        <v>5</v>
      </c>
      <c r="W312" s="23">
        <v>4</v>
      </c>
      <c r="X312" s="25">
        <v>8</v>
      </c>
      <c r="Y312" s="24">
        <v>4</v>
      </c>
      <c r="Z312" s="75">
        <v>8</v>
      </c>
      <c r="AA312" s="22">
        <v>5</v>
      </c>
      <c r="AB312" s="37">
        <v>5</v>
      </c>
      <c r="AC312" s="37">
        <v>4</v>
      </c>
      <c r="AD312" s="37">
        <v>4</v>
      </c>
      <c r="AE312" s="172">
        <v>3</v>
      </c>
      <c r="AF312" s="37" t="s">
        <v>611</v>
      </c>
      <c r="AG312" s="37"/>
      <c r="AH312" s="37">
        <v>6</v>
      </c>
      <c r="AI312" s="140" t="s">
        <v>611</v>
      </c>
      <c r="AJ312" s="37">
        <v>4</v>
      </c>
      <c r="AK312" s="37">
        <v>5</v>
      </c>
      <c r="AL312" s="37">
        <v>5</v>
      </c>
      <c r="AM312" s="26" t="s">
        <v>611</v>
      </c>
      <c r="AN312" s="27"/>
      <c r="AO312" s="37"/>
      <c r="AP312" s="26"/>
      <c r="AQ312" s="37"/>
      <c r="AR312">
        <f t="shared" si="11"/>
        <v>20</v>
      </c>
    </row>
    <row r="313" spans="2:44" x14ac:dyDescent="0.25">
      <c r="B313" t="str">
        <f t="shared" si="10"/>
        <v>TFC - Lafont</v>
      </c>
      <c r="C313" t="s">
        <v>836</v>
      </c>
      <c r="D313" t="s">
        <v>605</v>
      </c>
      <c r="E313" s="127" t="s">
        <v>807</v>
      </c>
      <c r="F313" s="31">
        <v>17</v>
      </c>
      <c r="G313" s="99"/>
      <c r="H313" s="73"/>
      <c r="I313" s="34">
        <f>AVERAGE(X313,Y313,Z313,AA313,AB313,AC313,AD313,AE313,AF313,AG313,AH313,AI313,AJ313,AK313,AL313,AM313,AN313)</f>
        <v>5.1764705882352944</v>
      </c>
      <c r="J313" s="87"/>
      <c r="K313" s="24"/>
      <c r="L313" s="24"/>
      <c r="M313" s="24"/>
      <c r="N313" s="37"/>
      <c r="O313" s="24"/>
      <c r="P313" s="24"/>
      <c r="Q313" s="24"/>
      <c r="R313" s="24"/>
      <c r="S313" s="24"/>
      <c r="T313" s="24"/>
      <c r="U313" s="37"/>
      <c r="V313" s="24"/>
      <c r="W313" s="24"/>
      <c r="X313" s="22">
        <v>6</v>
      </c>
      <c r="Y313" s="25">
        <v>7</v>
      </c>
      <c r="Z313" s="24">
        <v>4</v>
      </c>
      <c r="AA313" s="24">
        <v>5</v>
      </c>
      <c r="AB313" s="24">
        <v>6</v>
      </c>
      <c r="AC313" s="24">
        <v>6</v>
      </c>
      <c r="AD313" s="24">
        <v>5</v>
      </c>
      <c r="AE313" s="244">
        <v>3</v>
      </c>
      <c r="AF313" s="188">
        <v>4</v>
      </c>
      <c r="AG313" s="188">
        <v>5</v>
      </c>
      <c r="AH313" s="25">
        <v>7</v>
      </c>
      <c r="AI313" s="24">
        <v>4</v>
      </c>
      <c r="AJ313" s="24">
        <v>5</v>
      </c>
      <c r="AK313" s="24">
        <v>5</v>
      </c>
      <c r="AL313" s="24">
        <v>6</v>
      </c>
      <c r="AM313" s="28">
        <v>6</v>
      </c>
      <c r="AN313" s="27">
        <v>4</v>
      </c>
      <c r="AO313" s="27"/>
      <c r="AP313" s="27"/>
      <c r="AQ313" s="24"/>
      <c r="AR313">
        <f t="shared" si="11"/>
        <v>17</v>
      </c>
    </row>
    <row r="314" spans="2:44" x14ac:dyDescent="0.25">
      <c r="B314" t="str">
        <f t="shared" si="10"/>
        <v>TFC - Goicoechea</v>
      </c>
      <c r="C314" t="s">
        <v>836</v>
      </c>
      <c r="D314" s="124" t="s">
        <v>605</v>
      </c>
      <c r="E314" s="127" t="s">
        <v>808</v>
      </c>
      <c r="F314" s="31">
        <v>8</v>
      </c>
      <c r="G314" s="99">
        <v>1</v>
      </c>
      <c r="H314" s="73"/>
      <c r="I314" s="34">
        <f>AVERAGE(K314,L314,M314,J314,N314,O314,P314,Q314)</f>
        <v>4.625</v>
      </c>
      <c r="J314" s="87">
        <v>5</v>
      </c>
      <c r="K314" s="24">
        <v>5</v>
      </c>
      <c r="L314" s="24">
        <v>5</v>
      </c>
      <c r="M314" s="82">
        <v>3</v>
      </c>
      <c r="N314" s="37">
        <v>5</v>
      </c>
      <c r="O314" s="24">
        <v>5</v>
      </c>
      <c r="P314" s="24">
        <v>5</v>
      </c>
      <c r="Q314" s="24">
        <v>4</v>
      </c>
      <c r="R314" s="24"/>
      <c r="S314" s="24"/>
      <c r="T314" s="24"/>
      <c r="U314" s="37"/>
      <c r="V314" s="24"/>
      <c r="W314" s="24"/>
      <c r="X314" s="24"/>
      <c r="Y314" s="24"/>
      <c r="Z314" s="24"/>
      <c r="AA314" s="24"/>
      <c r="AB314" s="24"/>
      <c r="AC314" s="24"/>
      <c r="AD314" s="24"/>
      <c r="AE314" s="27"/>
      <c r="AF314" s="188"/>
      <c r="AG314" s="48"/>
      <c r="AH314" s="77" t="s">
        <v>611</v>
      </c>
      <c r="AI314" s="24"/>
      <c r="AJ314" s="24"/>
      <c r="AK314" s="24"/>
      <c r="AL314" s="24"/>
      <c r="AM314" s="27"/>
      <c r="AN314" s="27"/>
      <c r="AO314" s="27"/>
      <c r="AP314" s="27"/>
      <c r="AQ314" s="24"/>
      <c r="AR314">
        <f t="shared" si="11"/>
        <v>9</v>
      </c>
    </row>
    <row r="315" spans="2:44" x14ac:dyDescent="0.25">
      <c r="B315" t="str">
        <f t="shared" si="10"/>
        <v>TFC - Ahamada</v>
      </c>
      <c r="C315" t="s">
        <v>836</v>
      </c>
      <c r="D315" s="232" t="s">
        <v>605</v>
      </c>
      <c r="E315" s="232" t="s">
        <v>809</v>
      </c>
      <c r="F315" s="41">
        <v>6</v>
      </c>
      <c r="G315" s="233"/>
      <c r="H315" s="268"/>
      <c r="I315" s="270">
        <f>AVERAGE(R315,S315,T315,U315,V315,W315)</f>
        <v>4.5</v>
      </c>
      <c r="J315" s="150"/>
      <c r="K315" s="53"/>
      <c r="L315" s="53"/>
      <c r="M315" s="61"/>
      <c r="N315" s="61"/>
      <c r="O315" s="53"/>
      <c r="P315" s="53"/>
      <c r="Q315" s="53"/>
      <c r="R315" s="53">
        <v>5</v>
      </c>
      <c r="S315" s="53">
        <v>4</v>
      </c>
      <c r="T315" s="53">
        <v>5</v>
      </c>
      <c r="U315" s="61">
        <v>5</v>
      </c>
      <c r="V315" s="53">
        <v>4</v>
      </c>
      <c r="W315" s="53">
        <v>4</v>
      </c>
      <c r="X315" s="53"/>
      <c r="Y315" s="53"/>
      <c r="Z315" s="53"/>
      <c r="AA315" s="53"/>
      <c r="AB315" s="53"/>
      <c r="AC315" s="53"/>
      <c r="AD315" s="53"/>
      <c r="AE315" s="63"/>
      <c r="AF315" s="276"/>
      <c r="AG315" s="63"/>
      <c r="AH315" s="53"/>
      <c r="AI315" s="53"/>
      <c r="AJ315" s="53"/>
      <c r="AK315" s="53"/>
      <c r="AL315" s="53"/>
      <c r="AM315" s="63"/>
      <c r="AN315" s="63"/>
      <c r="AO315" s="166"/>
      <c r="AP315" s="166"/>
      <c r="AQ315" s="53"/>
      <c r="AR315">
        <f t="shared" si="11"/>
        <v>6</v>
      </c>
    </row>
    <row r="316" spans="2:44" x14ac:dyDescent="0.25">
      <c r="B316" t="str">
        <f t="shared" si="10"/>
        <v>OGCN - Seri</v>
      </c>
      <c r="C316" t="s">
        <v>696</v>
      </c>
      <c r="D316" s="38" t="s">
        <v>622</v>
      </c>
      <c r="E316" s="182" t="s">
        <v>488</v>
      </c>
      <c r="F316" s="31">
        <v>28</v>
      </c>
      <c r="G316" s="99">
        <v>3</v>
      </c>
      <c r="H316" s="73">
        <v>2</v>
      </c>
      <c r="I316" s="34">
        <f>AVERAGE(AA316,Z316,X316,K316,L316,M316,J316,N316,O316,P316,Q316,S316,T316,U316,R316,V316,W316,AC316,AD316,AE316,AF316,AG316,AH316,AI316,AJ316,AL316,AM316,AN316)</f>
        <v>5.6428571428571432</v>
      </c>
      <c r="J316" s="38">
        <v>5</v>
      </c>
      <c r="K316" s="27">
        <v>5</v>
      </c>
      <c r="L316" s="24">
        <v>5</v>
      </c>
      <c r="M316" s="24">
        <v>5</v>
      </c>
      <c r="N316" s="24">
        <v>6</v>
      </c>
      <c r="O316" s="37">
        <v>5</v>
      </c>
      <c r="P316" s="24">
        <v>6</v>
      </c>
      <c r="Q316" s="25">
        <v>7</v>
      </c>
      <c r="R316" s="24">
        <v>5</v>
      </c>
      <c r="S316" s="66">
        <v>7</v>
      </c>
      <c r="T316" s="24">
        <v>5</v>
      </c>
      <c r="U316" s="37">
        <v>5</v>
      </c>
      <c r="V316" s="24">
        <v>6</v>
      </c>
      <c r="W316" s="66">
        <v>7</v>
      </c>
      <c r="X316" s="24">
        <v>5</v>
      </c>
      <c r="Y316" s="37" t="s">
        <v>611</v>
      </c>
      <c r="Z316" s="24">
        <v>5</v>
      </c>
      <c r="AA316" s="24">
        <v>5</v>
      </c>
      <c r="AB316" s="37" t="s">
        <v>611</v>
      </c>
      <c r="AC316" s="24">
        <v>5</v>
      </c>
      <c r="AD316" s="24">
        <v>6</v>
      </c>
      <c r="AE316" s="27">
        <v>5</v>
      </c>
      <c r="AF316" s="188">
        <v>6</v>
      </c>
      <c r="AG316" s="38">
        <v>5</v>
      </c>
      <c r="AH316" s="24">
        <v>4</v>
      </c>
      <c r="AI316" s="66">
        <v>7</v>
      </c>
      <c r="AJ316" s="24">
        <v>5</v>
      </c>
      <c r="AK316" s="37" t="s">
        <v>611</v>
      </c>
      <c r="AL316" s="37">
        <v>6</v>
      </c>
      <c r="AM316" s="200">
        <v>8</v>
      </c>
      <c r="AN316" s="254">
        <v>7</v>
      </c>
      <c r="AO316" s="27"/>
      <c r="AP316" s="27"/>
      <c r="AQ316" s="24"/>
      <c r="AR316">
        <f t="shared" si="11"/>
        <v>31</v>
      </c>
    </row>
    <row r="317" spans="2:44" x14ac:dyDescent="0.25">
      <c r="B317" t="str">
        <f t="shared" si="10"/>
        <v>TFC - Spajic</v>
      </c>
      <c r="C317" t="s">
        <v>836</v>
      </c>
      <c r="D317" t="s">
        <v>608</v>
      </c>
      <c r="E317" t="s">
        <v>811</v>
      </c>
      <c r="F317" s="31">
        <v>11</v>
      </c>
      <c r="G317" s="99">
        <v>3</v>
      </c>
      <c r="H317" s="73"/>
      <c r="I317" s="34">
        <f>AVERAGE(K317,J317,O317,Q317,AA317,AD317,AE317,AG317,AH317,AI317,AJ317,AK317)</f>
        <v>4.333333333333333</v>
      </c>
      <c r="J317" s="87">
        <v>5</v>
      </c>
      <c r="K317" s="21">
        <v>4</v>
      </c>
      <c r="L317" s="36"/>
      <c r="M317" s="24"/>
      <c r="N317" s="79"/>
      <c r="O317" s="24">
        <v>4</v>
      </c>
      <c r="P317" s="37" t="s">
        <v>611</v>
      </c>
      <c r="Q317" s="24">
        <v>4</v>
      </c>
      <c r="R317" s="24"/>
      <c r="S317" s="24"/>
      <c r="T317" s="24"/>
      <c r="U317" s="37"/>
      <c r="V317" s="24"/>
      <c r="W317" s="24"/>
      <c r="X317" s="24"/>
      <c r="Y317" s="37" t="s">
        <v>611</v>
      </c>
      <c r="Z317" s="24"/>
      <c r="AA317" s="24">
        <v>5</v>
      </c>
      <c r="AB317" s="24"/>
      <c r="AC317" s="24"/>
      <c r="AD317" s="24">
        <v>5</v>
      </c>
      <c r="AE317" s="244">
        <v>3</v>
      </c>
      <c r="AF317" s="188"/>
      <c r="AG317" s="48">
        <v>5</v>
      </c>
      <c r="AH317" s="24">
        <v>5</v>
      </c>
      <c r="AI317" s="24">
        <v>4</v>
      </c>
      <c r="AJ317" s="24">
        <v>5</v>
      </c>
      <c r="AK317" s="82">
        <v>3</v>
      </c>
      <c r="AL317" s="24"/>
      <c r="AM317" s="27"/>
      <c r="AN317" s="27"/>
      <c r="AO317" s="27"/>
      <c r="AP317" s="27"/>
      <c r="AQ317" s="24"/>
      <c r="AR317">
        <f t="shared" si="11"/>
        <v>14</v>
      </c>
    </row>
    <row r="318" spans="2:44" x14ac:dyDescent="0.25">
      <c r="B318" t="str">
        <f t="shared" si="10"/>
        <v>TFC - Yago</v>
      </c>
      <c r="C318" t="s">
        <v>836</v>
      </c>
      <c r="D318" t="s">
        <v>608</v>
      </c>
      <c r="E318" t="s">
        <v>812</v>
      </c>
      <c r="F318" s="31">
        <v>9</v>
      </c>
      <c r="G318" s="99">
        <v>3</v>
      </c>
      <c r="H318" s="114" t="s">
        <v>647</v>
      </c>
      <c r="I318" s="34">
        <f>AVERAGE(L318,M318,N318,O318,P318,R318,S318,T318,AN318)</f>
        <v>4.666666666666667</v>
      </c>
      <c r="J318" s="87"/>
      <c r="K318" s="24"/>
      <c r="L318" s="24">
        <v>5</v>
      </c>
      <c r="M318" s="24">
        <v>4</v>
      </c>
      <c r="N318" s="74">
        <v>4</v>
      </c>
      <c r="O318" s="24">
        <v>5</v>
      </c>
      <c r="P318" s="24">
        <v>5</v>
      </c>
      <c r="Q318" s="24"/>
      <c r="R318" s="24">
        <v>5</v>
      </c>
      <c r="S318" s="24">
        <v>5</v>
      </c>
      <c r="T318" s="24">
        <v>4</v>
      </c>
      <c r="U318" s="37"/>
      <c r="V318" s="24"/>
      <c r="W318" s="37" t="s">
        <v>611</v>
      </c>
      <c r="X318" s="24"/>
      <c r="Y318" s="37"/>
      <c r="Z318" s="24"/>
      <c r="AA318" s="37" t="s">
        <v>611</v>
      </c>
      <c r="AB318" s="76" t="s">
        <v>611</v>
      </c>
      <c r="AC318" s="24"/>
      <c r="AD318" s="24"/>
      <c r="AE318" s="27"/>
      <c r="AF318" s="188"/>
      <c r="AG318" s="48"/>
      <c r="AH318" s="24"/>
      <c r="AI318" s="24"/>
      <c r="AJ318" s="24"/>
      <c r="AK318" s="24"/>
      <c r="AL318" s="24"/>
      <c r="AM318" s="27"/>
      <c r="AN318" s="27">
        <v>5</v>
      </c>
      <c r="AO318" s="27"/>
      <c r="AP318" s="27"/>
      <c r="AQ318" s="24"/>
      <c r="AR318">
        <f t="shared" si="11"/>
        <v>12</v>
      </c>
    </row>
    <row r="319" spans="2:44" x14ac:dyDescent="0.25">
      <c r="B319" t="str">
        <f t="shared" si="10"/>
        <v>TFC - Spano</v>
      </c>
      <c r="C319" t="s">
        <v>836</v>
      </c>
      <c r="D319" t="s">
        <v>608</v>
      </c>
      <c r="E319" s="124" t="s">
        <v>813</v>
      </c>
      <c r="F319" s="31"/>
      <c r="G319" s="99"/>
      <c r="H319" s="73"/>
      <c r="I319" s="34"/>
      <c r="J319" s="87"/>
      <c r="K319" s="24"/>
      <c r="L319" s="24"/>
      <c r="M319" s="24"/>
      <c r="N319" s="79"/>
      <c r="O319" s="24"/>
      <c r="P319" s="24"/>
      <c r="Q319" s="24"/>
      <c r="R319" s="24"/>
      <c r="S319" s="24"/>
      <c r="T319" s="24"/>
      <c r="U319" s="37"/>
      <c r="V319" s="24"/>
      <c r="W319" s="24"/>
      <c r="X319" s="24"/>
      <c r="Y319" s="24"/>
      <c r="Z319" s="24"/>
      <c r="AA319" s="24"/>
      <c r="AB319" s="24"/>
      <c r="AC319" s="24"/>
      <c r="AD319" s="24"/>
      <c r="AE319" s="27"/>
      <c r="AF319" s="188"/>
      <c r="AG319" s="48"/>
      <c r="AH319" s="24"/>
      <c r="AI319" s="24"/>
      <c r="AJ319" s="24"/>
      <c r="AK319" s="24"/>
      <c r="AL319" s="24"/>
      <c r="AM319" s="27"/>
      <c r="AN319" s="27"/>
      <c r="AO319" s="27"/>
      <c r="AP319" s="27"/>
      <c r="AQ319" s="24"/>
      <c r="AR319">
        <f t="shared" si="11"/>
        <v>0</v>
      </c>
    </row>
    <row r="320" spans="2:44" x14ac:dyDescent="0.25">
      <c r="B320" t="str">
        <f t="shared" si="10"/>
        <v>TFC - Grigore</v>
      </c>
      <c r="C320" t="s">
        <v>836</v>
      </c>
      <c r="D320" s="64" t="s">
        <v>608</v>
      </c>
      <c r="E320" s="64" t="s">
        <v>814</v>
      </c>
      <c r="F320" s="52"/>
      <c r="G320" s="63"/>
      <c r="H320" s="146"/>
      <c r="I320" s="34"/>
      <c r="J320" s="173"/>
      <c r="K320" s="46"/>
      <c r="L320" s="189"/>
      <c r="M320" s="46"/>
      <c r="N320" s="190"/>
      <c r="O320" s="46"/>
      <c r="P320" s="46"/>
      <c r="Q320" s="46"/>
      <c r="R320" s="46"/>
      <c r="S320" s="46"/>
      <c r="T320" s="46"/>
      <c r="U320" s="55"/>
      <c r="V320" s="46"/>
      <c r="W320" s="46"/>
      <c r="X320" s="46"/>
      <c r="Y320" s="46"/>
      <c r="Z320" s="46"/>
      <c r="AA320" s="46"/>
      <c r="AB320" s="46"/>
      <c r="AC320" s="46"/>
      <c r="AD320" s="46"/>
      <c r="AE320" s="47"/>
      <c r="AF320" s="191"/>
      <c r="AG320" s="45"/>
      <c r="AH320" s="46"/>
      <c r="AI320" s="46"/>
      <c r="AJ320" s="46"/>
      <c r="AK320" s="46"/>
      <c r="AL320" s="46"/>
      <c r="AM320" s="47"/>
      <c r="AN320" s="47"/>
      <c r="AO320" s="47"/>
      <c r="AP320" s="47"/>
      <c r="AQ320" s="55"/>
      <c r="AR320">
        <f t="shared" si="11"/>
        <v>0</v>
      </c>
    </row>
    <row r="321" spans="1:44" x14ac:dyDescent="0.25">
      <c r="B321" t="str">
        <f t="shared" si="10"/>
        <v>TFC - Ninkov</v>
      </c>
      <c r="C321" t="s">
        <v>836</v>
      </c>
      <c r="D321" t="s">
        <v>608</v>
      </c>
      <c r="E321" s="124" t="s">
        <v>815</v>
      </c>
      <c r="F321" s="31">
        <v>4</v>
      </c>
      <c r="G321" s="99">
        <v>1</v>
      </c>
      <c r="H321" s="73"/>
      <c r="I321" s="34">
        <f>AVERAGE(K321,L321,M321,V321,AM321)</f>
        <v>4.8</v>
      </c>
      <c r="J321" s="87"/>
      <c r="K321" s="24">
        <v>6</v>
      </c>
      <c r="L321" s="37">
        <v>5</v>
      </c>
      <c r="M321" s="21">
        <v>4</v>
      </c>
      <c r="N321" s="79"/>
      <c r="O321" s="22"/>
      <c r="P321" s="37"/>
      <c r="Q321" s="24"/>
      <c r="R321" s="24"/>
      <c r="S321" s="24"/>
      <c r="T321" s="24"/>
      <c r="U321" s="37"/>
      <c r="V321" s="37">
        <v>4</v>
      </c>
      <c r="W321" s="24"/>
      <c r="X321" s="37"/>
      <c r="Y321" s="37"/>
      <c r="Z321" s="24"/>
      <c r="AA321" s="24"/>
      <c r="AB321" s="24"/>
      <c r="AC321" s="24"/>
      <c r="AD321" s="24"/>
      <c r="AE321" s="27"/>
      <c r="AF321" s="188"/>
      <c r="AG321" s="48"/>
      <c r="AH321" s="24"/>
      <c r="AI321" s="24"/>
      <c r="AJ321" s="24"/>
      <c r="AK321" s="24"/>
      <c r="AL321" s="24"/>
      <c r="AM321" s="26">
        <v>5</v>
      </c>
      <c r="AN321" s="27"/>
      <c r="AO321" s="27"/>
      <c r="AP321" s="27"/>
      <c r="AQ321" s="24"/>
      <c r="AR321">
        <f t="shared" si="11"/>
        <v>5</v>
      </c>
    </row>
    <row r="322" spans="1:44" x14ac:dyDescent="0.25">
      <c r="B322" t="str">
        <f t="shared" si="10"/>
        <v>TFC - Matheus</v>
      </c>
      <c r="C322" t="s">
        <v>836</v>
      </c>
      <c r="D322" t="s">
        <v>608</v>
      </c>
      <c r="E322" s="124" t="s">
        <v>816</v>
      </c>
      <c r="F322" s="31">
        <v>14</v>
      </c>
      <c r="G322" s="99"/>
      <c r="H322" s="73"/>
      <c r="I322" s="34">
        <f>AVERAGE(L322,J322,U322,V322,W322,X322,Y322,Z322,AA322,AB322,AC322,AD322,AG322,AF322)</f>
        <v>4.8571428571428568</v>
      </c>
      <c r="J322" s="24">
        <v>5</v>
      </c>
      <c r="K322" s="36"/>
      <c r="L322" s="24">
        <v>5</v>
      </c>
      <c r="M322" s="24"/>
      <c r="N322" s="79"/>
      <c r="O322" s="24"/>
      <c r="P322" s="24"/>
      <c r="Q322" s="24"/>
      <c r="R322" s="24"/>
      <c r="S322" s="24"/>
      <c r="T322" s="24"/>
      <c r="U322" s="37">
        <v>5</v>
      </c>
      <c r="V322" s="24">
        <v>4</v>
      </c>
      <c r="W322" s="24">
        <v>5</v>
      </c>
      <c r="X322" s="24">
        <v>5</v>
      </c>
      <c r="Y322" s="37">
        <v>6</v>
      </c>
      <c r="Z322" s="24">
        <v>5</v>
      </c>
      <c r="AA322" s="24">
        <v>4</v>
      </c>
      <c r="AB322" s="24">
        <v>6</v>
      </c>
      <c r="AC322" s="24">
        <v>5</v>
      </c>
      <c r="AD322" s="24">
        <v>5</v>
      </c>
      <c r="AE322" s="27"/>
      <c r="AF322" s="188">
        <v>4</v>
      </c>
      <c r="AG322" s="188">
        <v>4</v>
      </c>
      <c r="AH322" s="24"/>
      <c r="AI322" s="37"/>
      <c r="AJ322" s="37"/>
      <c r="AK322" s="23"/>
      <c r="AL322" s="37"/>
      <c r="AM322" s="27"/>
      <c r="AN322" s="27"/>
      <c r="AO322" s="27"/>
      <c r="AP322" s="27"/>
      <c r="AQ322" s="24"/>
      <c r="AR322">
        <f t="shared" si="11"/>
        <v>14</v>
      </c>
    </row>
    <row r="323" spans="1:44" x14ac:dyDescent="0.25">
      <c r="B323" t="str">
        <f t="shared" si="10"/>
        <v>TFC - Maury</v>
      </c>
      <c r="C323" t="s">
        <v>836</v>
      </c>
      <c r="D323" t="s">
        <v>608</v>
      </c>
      <c r="E323" t="s">
        <v>211</v>
      </c>
      <c r="F323" s="31"/>
      <c r="G323" s="99"/>
      <c r="H323" s="73"/>
      <c r="I323" s="34"/>
      <c r="J323" s="87"/>
      <c r="K323" s="24"/>
      <c r="L323" s="24"/>
      <c r="M323" s="24"/>
      <c r="N323" s="79"/>
      <c r="O323" s="24"/>
      <c r="P323" s="24"/>
      <c r="Q323" s="24"/>
      <c r="R323" s="24"/>
      <c r="S323" s="24"/>
      <c r="T323" s="24"/>
      <c r="U323" s="37"/>
      <c r="V323" s="24"/>
      <c r="W323" s="24"/>
      <c r="X323" s="24"/>
      <c r="Y323" s="24"/>
      <c r="Z323" s="24"/>
      <c r="AA323" s="24"/>
      <c r="AB323" s="24"/>
      <c r="AC323" s="24"/>
      <c r="AD323" s="24"/>
      <c r="AE323" s="27"/>
      <c r="AF323" s="188"/>
      <c r="AG323" s="48"/>
      <c r="AH323" s="24"/>
      <c r="AI323" s="24"/>
      <c r="AJ323" s="24"/>
      <c r="AK323" s="24"/>
      <c r="AL323" s="24"/>
      <c r="AM323" s="27"/>
      <c r="AN323" s="27"/>
      <c r="AO323" s="27"/>
      <c r="AP323" s="27"/>
      <c r="AQ323" s="24"/>
      <c r="AR323">
        <f t="shared" si="11"/>
        <v>0</v>
      </c>
    </row>
    <row r="324" spans="1:44" x14ac:dyDescent="0.25">
      <c r="B324" t="str">
        <f t="shared" si="10"/>
        <v>TFC - Veskovac</v>
      </c>
      <c r="C324" t="s">
        <v>836</v>
      </c>
      <c r="D324" s="64" t="s">
        <v>608</v>
      </c>
      <c r="E324" s="64" t="s">
        <v>817</v>
      </c>
      <c r="F324" s="52"/>
      <c r="G324" s="63"/>
      <c r="H324" s="146"/>
      <c r="I324" s="34"/>
      <c r="J324" s="58"/>
      <c r="K324" s="189"/>
      <c r="L324" s="46"/>
      <c r="M324" s="46"/>
      <c r="N324" s="192"/>
      <c r="O324" s="46"/>
      <c r="P324" s="46"/>
      <c r="Q324" s="46"/>
      <c r="R324" s="46"/>
      <c r="S324" s="46"/>
      <c r="T324" s="46"/>
      <c r="U324" s="55"/>
      <c r="V324" s="46"/>
      <c r="W324" s="46"/>
      <c r="X324" s="46"/>
      <c r="Y324" s="46"/>
      <c r="Z324" s="46"/>
      <c r="AA324" s="46"/>
      <c r="AB324" s="46"/>
      <c r="AC324" s="46"/>
      <c r="AD324" s="46"/>
      <c r="AE324" s="47"/>
      <c r="AF324" s="191"/>
      <c r="AG324" s="45"/>
      <c r="AH324" s="46"/>
      <c r="AI324" s="46"/>
      <c r="AJ324" s="46"/>
      <c r="AK324" s="46"/>
      <c r="AL324" s="46"/>
      <c r="AM324" s="47"/>
      <c r="AN324" s="47"/>
      <c r="AO324" s="47"/>
      <c r="AP324" s="47"/>
      <c r="AQ324" s="46"/>
      <c r="AR324">
        <f t="shared" si="11"/>
        <v>0</v>
      </c>
    </row>
    <row r="325" spans="1:44" x14ac:dyDescent="0.25">
      <c r="B325" t="str">
        <f t="shared" si="10"/>
        <v>TFC - Kana-Biyik</v>
      </c>
      <c r="C325" t="s">
        <v>836</v>
      </c>
      <c r="D325" t="s">
        <v>608</v>
      </c>
      <c r="E325" t="s">
        <v>818</v>
      </c>
      <c r="F325" s="31">
        <v>15</v>
      </c>
      <c r="G325" s="99"/>
      <c r="H325" s="73">
        <v>2</v>
      </c>
      <c r="I325" s="34">
        <f>AVERAGE(Z325,W325,K325,L325,M325,J325,N325,P325,Q325,R325,S325,T325,U325,V325)</f>
        <v>4.7857142857142856</v>
      </c>
      <c r="J325" s="87">
        <v>5</v>
      </c>
      <c r="K325" s="24">
        <v>5</v>
      </c>
      <c r="L325" s="24">
        <v>5</v>
      </c>
      <c r="M325" s="24">
        <v>4</v>
      </c>
      <c r="N325" s="193">
        <v>6</v>
      </c>
      <c r="O325" s="24" t="s">
        <v>641</v>
      </c>
      <c r="P325" s="24">
        <v>4</v>
      </c>
      <c r="Q325" s="24">
        <v>5</v>
      </c>
      <c r="R325" s="24">
        <v>5</v>
      </c>
      <c r="S325" s="24">
        <v>5</v>
      </c>
      <c r="T325" s="24">
        <v>5</v>
      </c>
      <c r="U325" s="37">
        <v>5</v>
      </c>
      <c r="V325" s="24">
        <v>4</v>
      </c>
      <c r="W325" s="24">
        <v>4</v>
      </c>
      <c r="X325" s="24"/>
      <c r="Y325" s="24"/>
      <c r="Z325" s="22">
        <v>5</v>
      </c>
      <c r="AA325" s="24"/>
      <c r="AB325" s="24"/>
      <c r="AC325" s="24"/>
      <c r="AD325" s="24"/>
      <c r="AE325" s="27"/>
      <c r="AF325" s="188"/>
      <c r="AG325" s="48"/>
      <c r="AH325" s="24"/>
      <c r="AI325" s="24"/>
      <c r="AJ325" s="24"/>
      <c r="AK325" s="24"/>
      <c r="AL325" s="24"/>
      <c r="AM325" s="28"/>
      <c r="AN325" s="27"/>
      <c r="AO325" s="27"/>
      <c r="AP325" s="27"/>
      <c r="AQ325" s="24"/>
      <c r="AR325">
        <f t="shared" si="11"/>
        <v>15</v>
      </c>
    </row>
    <row r="326" spans="1:44" x14ac:dyDescent="0.25">
      <c r="B326" t="str">
        <f t="shared" si="10"/>
        <v>TFC - Diop</v>
      </c>
      <c r="C326" t="s">
        <v>836</v>
      </c>
      <c r="D326" t="s">
        <v>608</v>
      </c>
      <c r="E326" s="127" t="s">
        <v>819</v>
      </c>
      <c r="F326" s="31">
        <v>15</v>
      </c>
      <c r="G326" s="99"/>
      <c r="H326" s="73">
        <v>1</v>
      </c>
      <c r="I326" s="34">
        <f>AVERAGE(X326,Y326,Z326,AA326,AB326,AC326,AD326,AE326,AF326,AH326,AI326,AK326,AL326,AM326,AN326)</f>
        <v>4.7333333333333334</v>
      </c>
      <c r="J326" s="87"/>
      <c r="K326" s="24"/>
      <c r="L326" s="24"/>
      <c r="M326" s="24"/>
      <c r="N326" s="79"/>
      <c r="O326" s="24"/>
      <c r="P326" s="24"/>
      <c r="Q326" s="24"/>
      <c r="R326" s="24"/>
      <c r="S326" s="24"/>
      <c r="T326" s="24"/>
      <c r="U326" s="37"/>
      <c r="V326" s="24"/>
      <c r="W326" s="24"/>
      <c r="X326" s="24">
        <v>5</v>
      </c>
      <c r="Y326" s="25">
        <v>7</v>
      </c>
      <c r="Z326" s="82">
        <v>3</v>
      </c>
      <c r="AA326" s="24">
        <v>4</v>
      </c>
      <c r="AB326" s="24">
        <v>5</v>
      </c>
      <c r="AC326" s="24">
        <v>5</v>
      </c>
      <c r="AD326" s="37">
        <v>6</v>
      </c>
      <c r="AE326" s="244">
        <v>3</v>
      </c>
      <c r="AF326" s="188">
        <v>4</v>
      </c>
      <c r="AG326" s="48"/>
      <c r="AH326" s="24">
        <v>5</v>
      </c>
      <c r="AI326" s="24">
        <v>5</v>
      </c>
      <c r="AJ326" s="24"/>
      <c r="AK326" s="24">
        <v>4</v>
      </c>
      <c r="AL326" s="24">
        <v>5</v>
      </c>
      <c r="AM326" s="27">
        <v>6</v>
      </c>
      <c r="AN326" s="27">
        <v>4</v>
      </c>
      <c r="AO326" s="27"/>
      <c r="AP326" s="27"/>
      <c r="AQ326" s="24"/>
      <c r="AR326">
        <f t="shared" si="11"/>
        <v>15</v>
      </c>
    </row>
    <row r="327" spans="1:44" x14ac:dyDescent="0.25">
      <c r="B327" t="str">
        <f t="shared" si="10"/>
        <v>OL - Ferri</v>
      </c>
      <c r="C327" t="s">
        <v>672</v>
      </c>
      <c r="D327" s="30" t="s">
        <v>622</v>
      </c>
      <c r="E327" s="30" t="s">
        <v>139</v>
      </c>
      <c r="F327" s="31">
        <v>20</v>
      </c>
      <c r="G327" s="99">
        <v>8</v>
      </c>
      <c r="H327" s="73">
        <v>2</v>
      </c>
      <c r="I327" s="34">
        <f>AVERAGE(AA327,Y327,K327,L327,M327,J327,N327,Q327,R327,S327,T327,U327,V327,W327,X327,Z327,AB327,AD327,AF327,AI327,AJ327,AK327,AM327)</f>
        <v>5.3478260869565215</v>
      </c>
      <c r="J327" s="101">
        <v>6</v>
      </c>
      <c r="K327" s="74">
        <v>6</v>
      </c>
      <c r="L327" s="24">
        <v>4</v>
      </c>
      <c r="M327" s="37">
        <v>6</v>
      </c>
      <c r="N327" s="24">
        <v>4</v>
      </c>
      <c r="O327" s="37" t="s">
        <v>611</v>
      </c>
      <c r="P327" s="24"/>
      <c r="Q327" s="24">
        <v>4</v>
      </c>
      <c r="R327" s="24">
        <v>5</v>
      </c>
      <c r="S327" s="24">
        <v>5</v>
      </c>
      <c r="T327" s="24">
        <v>5</v>
      </c>
      <c r="U327" s="24">
        <v>6</v>
      </c>
      <c r="V327" s="66">
        <v>7</v>
      </c>
      <c r="W327" s="37">
        <v>5</v>
      </c>
      <c r="X327" s="24">
        <v>6</v>
      </c>
      <c r="Y327" s="37">
        <v>6</v>
      </c>
      <c r="Z327" s="24">
        <v>6</v>
      </c>
      <c r="AA327" s="22">
        <v>5</v>
      </c>
      <c r="AB327" s="76">
        <v>5</v>
      </c>
      <c r="AC327" s="77" t="s">
        <v>611</v>
      </c>
      <c r="AD327" s="24">
        <v>5</v>
      </c>
      <c r="AE327" s="27"/>
      <c r="AF327" s="188">
        <v>4</v>
      </c>
      <c r="AG327" s="195" t="s">
        <v>611</v>
      </c>
      <c r="AH327" s="37" t="s">
        <v>611</v>
      </c>
      <c r="AI327" s="66">
        <v>7</v>
      </c>
      <c r="AJ327" s="24">
        <v>4</v>
      </c>
      <c r="AK327" s="24">
        <v>6</v>
      </c>
      <c r="AL327" s="24"/>
      <c r="AM327" s="27">
        <v>6</v>
      </c>
      <c r="AN327" s="140" t="s">
        <v>611</v>
      </c>
      <c r="AO327" s="27"/>
      <c r="AP327" s="27"/>
      <c r="AQ327" s="37"/>
      <c r="AR327">
        <f t="shared" si="11"/>
        <v>28</v>
      </c>
    </row>
    <row r="328" spans="1:44" x14ac:dyDescent="0.25">
      <c r="B328" t="str">
        <f t="shared" si="10"/>
        <v>TFC - Moubandjé</v>
      </c>
      <c r="C328" t="s">
        <v>836</v>
      </c>
      <c r="D328" s="85" t="s">
        <v>608</v>
      </c>
      <c r="E328" s="85" t="s">
        <v>821</v>
      </c>
      <c r="F328" s="69">
        <v>14</v>
      </c>
      <c r="G328" s="115">
        <v>3</v>
      </c>
      <c r="H328" s="68"/>
      <c r="I328" s="72">
        <f>AVERAGE(K328,M328,O328,P328,R328,S328,T328,AE328,AH328,AI328,AJ328,AK328,AL328,AM328,AN328)</f>
        <v>4.5333333333333332</v>
      </c>
      <c r="J328" s="87"/>
      <c r="K328" s="37">
        <v>4</v>
      </c>
      <c r="L328" s="79"/>
      <c r="M328" s="37">
        <v>5</v>
      </c>
      <c r="N328" s="79"/>
      <c r="O328" s="24">
        <v>5</v>
      </c>
      <c r="P328" s="24">
        <v>5</v>
      </c>
      <c r="Q328" s="24"/>
      <c r="R328" s="24">
        <v>5</v>
      </c>
      <c r="S328" s="24">
        <v>5</v>
      </c>
      <c r="T328" s="24">
        <v>4</v>
      </c>
      <c r="U328" s="37"/>
      <c r="V328" s="24"/>
      <c r="W328" s="24"/>
      <c r="X328" s="24"/>
      <c r="Y328" s="24"/>
      <c r="Z328" s="24"/>
      <c r="AA328" s="24"/>
      <c r="AB328" s="24"/>
      <c r="AC328" s="24"/>
      <c r="AD328" s="37" t="s">
        <v>611</v>
      </c>
      <c r="AE328" s="244">
        <v>3</v>
      </c>
      <c r="AF328" s="277" t="s">
        <v>611</v>
      </c>
      <c r="AG328" s="48"/>
      <c r="AH328" s="24">
        <v>5</v>
      </c>
      <c r="AI328" s="24">
        <v>4</v>
      </c>
      <c r="AJ328" s="24">
        <v>5</v>
      </c>
      <c r="AK328" s="82">
        <v>3</v>
      </c>
      <c r="AL328" s="24">
        <v>5</v>
      </c>
      <c r="AM328" s="27">
        <v>6</v>
      </c>
      <c r="AN328" s="27">
        <v>4</v>
      </c>
      <c r="AO328" s="27"/>
      <c r="AP328" s="27"/>
      <c r="AQ328" s="24"/>
      <c r="AR328">
        <f t="shared" si="11"/>
        <v>17</v>
      </c>
    </row>
    <row r="329" spans="1:44" x14ac:dyDescent="0.25">
      <c r="B329" t="str">
        <f t="shared" si="10"/>
        <v>TFC - Didot</v>
      </c>
      <c r="C329" t="s">
        <v>836</v>
      </c>
      <c r="D329" t="s">
        <v>622</v>
      </c>
      <c r="E329" t="s">
        <v>602</v>
      </c>
      <c r="F329" s="31">
        <v>14</v>
      </c>
      <c r="G329" s="99">
        <v>2</v>
      </c>
      <c r="H329" s="73"/>
      <c r="I329" s="34">
        <f>AVERAGE(K329,L329,M329,J329,N329,P329,R329,S329,U329,V329,AI329,AL329,AM329,AN329)</f>
        <v>4.6428571428571432</v>
      </c>
      <c r="J329" s="87">
        <v>5</v>
      </c>
      <c r="K329" s="37">
        <v>5</v>
      </c>
      <c r="L329" s="37">
        <v>5</v>
      </c>
      <c r="M329" s="37">
        <v>4</v>
      </c>
      <c r="N329" s="37">
        <v>5</v>
      </c>
      <c r="O329" s="24"/>
      <c r="P329" s="24">
        <v>4</v>
      </c>
      <c r="Q329" s="24"/>
      <c r="R329" s="24">
        <v>5</v>
      </c>
      <c r="S329" s="24">
        <v>5</v>
      </c>
      <c r="T329" s="24"/>
      <c r="U329" s="37">
        <v>4</v>
      </c>
      <c r="V329" s="82">
        <v>3</v>
      </c>
      <c r="W329" s="37" t="s">
        <v>611</v>
      </c>
      <c r="X329" s="24"/>
      <c r="Y329" s="24"/>
      <c r="Z329" s="37"/>
      <c r="AA329" s="24"/>
      <c r="AB329" s="24"/>
      <c r="AC329" s="24"/>
      <c r="AD329" s="24"/>
      <c r="AE329" s="26"/>
      <c r="AF329" s="188"/>
      <c r="AG329" s="87" t="s">
        <v>611</v>
      </c>
      <c r="AH329" s="24"/>
      <c r="AI329" s="24">
        <v>4</v>
      </c>
      <c r="AJ329" s="24"/>
      <c r="AK329" s="24"/>
      <c r="AL329" s="24">
        <v>5</v>
      </c>
      <c r="AM329" s="165">
        <v>7</v>
      </c>
      <c r="AN329" s="27">
        <v>4</v>
      </c>
      <c r="AO329" s="27"/>
      <c r="AP329" s="27"/>
      <c r="AQ329" s="24"/>
      <c r="AR329">
        <f t="shared" si="11"/>
        <v>16</v>
      </c>
    </row>
    <row r="330" spans="1:44" x14ac:dyDescent="0.25">
      <c r="B330" t="str">
        <f t="shared" si="10"/>
        <v>TFC - Furman</v>
      </c>
      <c r="C330" t="s">
        <v>836</v>
      </c>
      <c r="D330" s="64" t="s">
        <v>622</v>
      </c>
      <c r="E330" s="64" t="s">
        <v>822</v>
      </c>
      <c r="F330" s="52"/>
      <c r="G330" s="63"/>
      <c r="H330" s="146"/>
      <c r="I330" s="34"/>
      <c r="J330" s="58"/>
      <c r="K330" s="55"/>
      <c r="L330" s="55"/>
      <c r="M330" s="55"/>
      <c r="N330" s="55"/>
      <c r="O330" s="46"/>
      <c r="P330" s="46"/>
      <c r="Q330" s="46"/>
      <c r="R330" s="46"/>
      <c r="S330" s="46"/>
      <c r="T330" s="46"/>
      <c r="U330" s="55"/>
      <c r="V330" s="46"/>
      <c r="W330" s="46"/>
      <c r="X330" s="46"/>
      <c r="Y330" s="46"/>
      <c r="Z330" s="46"/>
      <c r="AA330" s="46"/>
      <c r="AB330" s="46"/>
      <c r="AC330" s="46"/>
      <c r="AD330" s="46"/>
      <c r="AE330" s="47"/>
      <c r="AF330" s="191"/>
      <c r="AG330" s="45"/>
      <c r="AH330" s="46"/>
      <c r="AI330" s="46"/>
      <c r="AJ330" s="46"/>
      <c r="AK330" s="46"/>
      <c r="AL330" s="46"/>
      <c r="AM330" s="47"/>
      <c r="AN330" s="47"/>
      <c r="AO330" s="47"/>
      <c r="AP330" s="47"/>
      <c r="AQ330" s="46"/>
      <c r="AR330">
        <f t="shared" si="11"/>
        <v>0</v>
      </c>
    </row>
    <row r="331" spans="1:44" x14ac:dyDescent="0.25">
      <c r="B331" t="str">
        <f t="shared" si="10"/>
        <v>TFC - Sirieix</v>
      </c>
      <c r="C331" t="s">
        <v>836</v>
      </c>
      <c r="D331" t="s">
        <v>622</v>
      </c>
      <c r="E331" t="s">
        <v>823</v>
      </c>
      <c r="F331" s="31"/>
      <c r="G331" s="99">
        <v>2</v>
      </c>
      <c r="H331" s="73"/>
      <c r="I331" s="34"/>
      <c r="J331" s="87"/>
      <c r="K331" s="37"/>
      <c r="L331" s="37"/>
      <c r="M331" s="37"/>
      <c r="N331" s="37"/>
      <c r="O331" s="24"/>
      <c r="P331" s="24"/>
      <c r="Q331" s="24"/>
      <c r="R331" s="37"/>
      <c r="S331" s="24"/>
      <c r="T331" s="24"/>
      <c r="U331" s="37"/>
      <c r="V331" s="22"/>
      <c r="W331" s="24"/>
      <c r="X331" s="24"/>
      <c r="Y331" s="37"/>
      <c r="Z331" s="24"/>
      <c r="AA331" s="37"/>
      <c r="AB331" s="24"/>
      <c r="AC331" s="24"/>
      <c r="AD331" s="24"/>
      <c r="AE331" s="27"/>
      <c r="AF331" s="188"/>
      <c r="AG331" s="87"/>
      <c r="AH331" s="24"/>
      <c r="AI331" s="37"/>
      <c r="AJ331" s="24"/>
      <c r="AK331" s="24"/>
      <c r="AL331" s="37" t="s">
        <v>611</v>
      </c>
      <c r="AM331" s="26"/>
      <c r="AN331" s="26" t="s">
        <v>611</v>
      </c>
      <c r="AO331" s="27"/>
      <c r="AP331" s="27"/>
      <c r="AQ331" s="24"/>
      <c r="AR331">
        <f t="shared" si="11"/>
        <v>2</v>
      </c>
    </row>
    <row r="332" spans="1:44" x14ac:dyDescent="0.25">
      <c r="B332" t="str">
        <f t="shared" si="10"/>
        <v>TFC - Bodiger</v>
      </c>
      <c r="C332" t="s">
        <v>836</v>
      </c>
      <c r="D332" t="s">
        <v>622</v>
      </c>
      <c r="E332" s="124" t="s">
        <v>824</v>
      </c>
      <c r="F332" s="31">
        <v>12</v>
      </c>
      <c r="G332" s="99">
        <v>8</v>
      </c>
      <c r="H332" s="73"/>
      <c r="I332" s="34">
        <f>AVERAGE(O332,Q332,S332,T332,W332,X332,Y332,Z332,AA332,AB332,AK332,AN332)</f>
        <v>4.916666666666667</v>
      </c>
      <c r="J332" s="87"/>
      <c r="K332" s="37" t="s">
        <v>611</v>
      </c>
      <c r="L332" s="37" t="s">
        <v>611</v>
      </c>
      <c r="M332" s="37" t="s">
        <v>611</v>
      </c>
      <c r="N332" s="37"/>
      <c r="O332" s="24">
        <v>5</v>
      </c>
      <c r="P332" s="37" t="s">
        <v>611</v>
      </c>
      <c r="Q332" s="24">
        <v>5</v>
      </c>
      <c r="R332" s="37" t="s">
        <v>611</v>
      </c>
      <c r="S332" s="37">
        <v>5</v>
      </c>
      <c r="T332" s="24">
        <v>5</v>
      </c>
      <c r="U332" s="37" t="s">
        <v>611</v>
      </c>
      <c r="V332" s="24"/>
      <c r="W332" s="24">
        <v>5</v>
      </c>
      <c r="X332" s="24">
        <v>5</v>
      </c>
      <c r="Y332" s="24">
        <v>6</v>
      </c>
      <c r="Z332" s="24">
        <v>5</v>
      </c>
      <c r="AA332" s="24">
        <v>4</v>
      </c>
      <c r="AB332" s="24">
        <v>5</v>
      </c>
      <c r="AC332" s="37" t="s">
        <v>611</v>
      </c>
      <c r="AD332" s="24"/>
      <c r="AE332" s="27"/>
      <c r="AF332" s="188"/>
      <c r="AG332" s="48"/>
      <c r="AH332" s="24"/>
      <c r="AI332" s="24"/>
      <c r="AJ332" s="24"/>
      <c r="AK332" s="24">
        <v>4</v>
      </c>
      <c r="AL332" s="37" t="s">
        <v>611</v>
      </c>
      <c r="AM332" s="27"/>
      <c r="AN332" s="27">
        <v>5</v>
      </c>
      <c r="AO332" s="27"/>
      <c r="AP332" s="27"/>
      <c r="AQ332" s="24"/>
      <c r="AR332">
        <f t="shared" si="11"/>
        <v>20</v>
      </c>
    </row>
    <row r="333" spans="1:44" x14ac:dyDescent="0.25">
      <c r="B333" t="str">
        <f t="shared" si="10"/>
        <v>TFC - Doumbia</v>
      </c>
      <c r="C333" t="s">
        <v>836</v>
      </c>
      <c r="D333" t="s">
        <v>622</v>
      </c>
      <c r="E333" s="124" t="s">
        <v>825</v>
      </c>
      <c r="F333" s="31">
        <v>18</v>
      </c>
      <c r="G333" s="99">
        <v>3</v>
      </c>
      <c r="H333" s="73">
        <v>1</v>
      </c>
      <c r="I333" s="34">
        <f>AVERAGE(K333,L333,J333,N333,O333,P333,Q333,R333,S333,AA333,AD333,AE333,AF333,AG333,AL333,AM333,AN333)</f>
        <v>5.1764705882352944</v>
      </c>
      <c r="J333" s="87">
        <v>5</v>
      </c>
      <c r="K333" s="37">
        <v>5</v>
      </c>
      <c r="L333" s="75">
        <v>7</v>
      </c>
      <c r="M333" s="37"/>
      <c r="N333" s="37">
        <v>5</v>
      </c>
      <c r="O333" s="24">
        <v>5</v>
      </c>
      <c r="P333" s="24">
        <v>5</v>
      </c>
      <c r="Q333" s="24">
        <v>5</v>
      </c>
      <c r="R333" s="24">
        <v>5</v>
      </c>
      <c r="S333" s="24">
        <v>6</v>
      </c>
      <c r="T333" s="24" t="s">
        <v>641</v>
      </c>
      <c r="U333" s="37"/>
      <c r="V333" s="24"/>
      <c r="W333" s="24"/>
      <c r="X333" s="22"/>
      <c r="Y333" s="24"/>
      <c r="Z333" s="37" t="s">
        <v>611</v>
      </c>
      <c r="AA333" s="24">
        <v>5</v>
      </c>
      <c r="AB333" s="76" t="s">
        <v>611</v>
      </c>
      <c r="AC333" s="24"/>
      <c r="AD333" s="24">
        <v>5</v>
      </c>
      <c r="AE333" s="244">
        <v>3</v>
      </c>
      <c r="AF333" s="188">
        <v>5</v>
      </c>
      <c r="AG333" s="188">
        <v>6</v>
      </c>
      <c r="AH333" s="24"/>
      <c r="AI333" s="24"/>
      <c r="AJ333" s="37" t="s">
        <v>611</v>
      </c>
      <c r="AK333" s="24"/>
      <c r="AL333" s="24">
        <v>6</v>
      </c>
      <c r="AM333" s="27">
        <v>5</v>
      </c>
      <c r="AN333" s="143">
        <v>5</v>
      </c>
      <c r="AO333" s="27"/>
      <c r="AP333" s="27"/>
      <c r="AQ333" s="24"/>
      <c r="AR333">
        <f t="shared" si="11"/>
        <v>21</v>
      </c>
    </row>
    <row r="334" spans="1:44" x14ac:dyDescent="0.25">
      <c r="B334" t="str">
        <f t="shared" si="10"/>
        <v>TFC - Aguilar</v>
      </c>
      <c r="C334" t="s">
        <v>836</v>
      </c>
      <c r="D334" s="64" t="s">
        <v>622</v>
      </c>
      <c r="E334" s="64" t="s">
        <v>826</v>
      </c>
      <c r="F334" s="52"/>
      <c r="G334" s="63"/>
      <c r="H334" s="146"/>
      <c r="I334" s="34"/>
      <c r="J334" s="58"/>
      <c r="K334" s="55"/>
      <c r="L334" s="55"/>
      <c r="M334" s="55"/>
      <c r="N334" s="55"/>
      <c r="O334" s="46"/>
      <c r="P334" s="46"/>
      <c r="Q334" s="46"/>
      <c r="R334" s="46"/>
      <c r="S334" s="46"/>
      <c r="T334" s="46"/>
      <c r="U334" s="55"/>
      <c r="V334" s="46"/>
      <c r="W334" s="46"/>
      <c r="X334" s="46"/>
      <c r="Y334" s="46"/>
      <c r="Z334" s="46"/>
      <c r="AA334" s="46"/>
      <c r="AB334" s="46"/>
      <c r="AC334" s="46"/>
      <c r="AD334" s="46"/>
      <c r="AE334" s="47"/>
      <c r="AF334" s="191"/>
      <c r="AG334" s="45"/>
      <c r="AH334" s="46"/>
      <c r="AI334" s="46"/>
      <c r="AJ334" s="46"/>
      <c r="AK334" s="46"/>
      <c r="AL334" s="46"/>
      <c r="AM334" s="47"/>
      <c r="AN334" s="47"/>
      <c r="AO334" s="47"/>
      <c r="AP334" s="47"/>
      <c r="AQ334" s="46"/>
      <c r="AR334">
        <f t="shared" si="11"/>
        <v>0</v>
      </c>
    </row>
    <row r="335" spans="1:44" x14ac:dyDescent="0.25">
      <c r="B335" t="str">
        <f t="shared" si="10"/>
        <v>ASSE - Monnet-Paquet</v>
      </c>
      <c r="C335" t="s">
        <v>714</v>
      </c>
      <c r="D335" s="30" t="s">
        <v>633</v>
      </c>
      <c r="E335" s="155" t="s">
        <v>132</v>
      </c>
      <c r="F335" s="31">
        <v>20</v>
      </c>
      <c r="G335" s="99">
        <v>6</v>
      </c>
      <c r="H335" s="73">
        <v>2</v>
      </c>
      <c r="I335" s="34">
        <f>AVERAGE(Z335,L335,J335,N335,P335,R335,S335,T335,U335,W335,X335,Y335,AA335,AD335,AE335,AF335,AG335,AI335,AL335,AN335)</f>
        <v>4.8</v>
      </c>
      <c r="J335" s="38">
        <v>5</v>
      </c>
      <c r="K335" s="76" t="s">
        <v>611</v>
      </c>
      <c r="L335" s="37">
        <v>5</v>
      </c>
      <c r="M335" s="37" t="s">
        <v>611</v>
      </c>
      <c r="N335" s="24">
        <v>5</v>
      </c>
      <c r="O335" s="37"/>
      <c r="P335" s="24">
        <v>5</v>
      </c>
      <c r="Q335" s="24"/>
      <c r="R335" s="24">
        <v>4</v>
      </c>
      <c r="S335" s="25">
        <v>7</v>
      </c>
      <c r="T335" s="24">
        <v>4</v>
      </c>
      <c r="U335" s="24">
        <v>5</v>
      </c>
      <c r="V335" s="37" t="s">
        <v>611</v>
      </c>
      <c r="W335" s="24">
        <v>5</v>
      </c>
      <c r="X335" s="37">
        <v>5</v>
      </c>
      <c r="Y335" s="24">
        <v>4</v>
      </c>
      <c r="Z335" s="24">
        <v>5</v>
      </c>
      <c r="AA335" s="37">
        <v>4</v>
      </c>
      <c r="AB335" s="37"/>
      <c r="AC335" s="37"/>
      <c r="AD335" s="24">
        <v>5</v>
      </c>
      <c r="AE335" s="27">
        <v>4</v>
      </c>
      <c r="AF335" s="188">
        <v>4</v>
      </c>
      <c r="AG335" s="38">
        <v>4</v>
      </c>
      <c r="AH335" s="24"/>
      <c r="AI335" s="37">
        <v>6</v>
      </c>
      <c r="AJ335" s="77" t="s">
        <v>611</v>
      </c>
      <c r="AK335" s="37" t="s">
        <v>611</v>
      </c>
      <c r="AL335" s="37">
        <v>4</v>
      </c>
      <c r="AM335" s="26" t="s">
        <v>611</v>
      </c>
      <c r="AN335" s="27">
        <v>6</v>
      </c>
      <c r="AO335" s="27"/>
      <c r="AP335" s="26"/>
      <c r="AQ335" s="24"/>
      <c r="AR335">
        <f t="shared" si="11"/>
        <v>26</v>
      </c>
    </row>
    <row r="336" spans="1:44" x14ac:dyDescent="0.25">
      <c r="A336">
        <v>1</v>
      </c>
      <c r="B336" t="str">
        <f t="shared" si="10"/>
        <v>Losc - Corchia</v>
      </c>
      <c r="C336" t="s">
        <v>739</v>
      </c>
      <c r="D336" s="30" t="s">
        <v>608</v>
      </c>
      <c r="E336" s="30" t="s">
        <v>122</v>
      </c>
      <c r="F336" s="31">
        <v>24</v>
      </c>
      <c r="G336" s="99">
        <v>2</v>
      </c>
      <c r="H336" s="73">
        <v>2</v>
      </c>
      <c r="I336" s="34">
        <f>AVERAGE(J336,L336,M336,N336,P336,R336,T336,V336,W336,X336,Y336,Z336,AB336,AC336,AD336,AE336,AF336,AG336,AH336,AI336,AJ336,AK336,AL336)</f>
        <v>5.1304347826086953</v>
      </c>
      <c r="J336" s="48">
        <v>5</v>
      </c>
      <c r="K336" s="24" t="s">
        <v>641</v>
      </c>
      <c r="L336" s="24">
        <v>6</v>
      </c>
      <c r="M336" s="24">
        <v>5</v>
      </c>
      <c r="N336" s="24">
        <v>5</v>
      </c>
      <c r="O336" s="37" t="s">
        <v>611</v>
      </c>
      <c r="P336" s="24">
        <v>5</v>
      </c>
      <c r="Q336" s="37" t="s">
        <v>611</v>
      </c>
      <c r="R336" s="24">
        <v>4</v>
      </c>
      <c r="S336" s="24"/>
      <c r="T336" s="22">
        <v>6</v>
      </c>
      <c r="U336" s="24"/>
      <c r="V336" s="24">
        <v>5</v>
      </c>
      <c r="W336" s="24">
        <v>5</v>
      </c>
      <c r="X336" s="24">
        <v>5</v>
      </c>
      <c r="Y336" s="24">
        <v>6</v>
      </c>
      <c r="Z336" s="24">
        <v>6</v>
      </c>
      <c r="AA336" s="24"/>
      <c r="AB336" s="24">
        <v>6</v>
      </c>
      <c r="AC336" s="24">
        <v>4</v>
      </c>
      <c r="AD336" s="24">
        <v>4</v>
      </c>
      <c r="AE336" s="27">
        <v>5</v>
      </c>
      <c r="AF336" s="307">
        <v>6</v>
      </c>
      <c r="AG336" s="188">
        <v>6</v>
      </c>
      <c r="AH336" s="24">
        <v>6</v>
      </c>
      <c r="AI336" s="24">
        <v>5</v>
      </c>
      <c r="AJ336" s="24">
        <v>5</v>
      </c>
      <c r="AK336" s="24">
        <v>4</v>
      </c>
      <c r="AL336" s="24">
        <v>4</v>
      </c>
      <c r="AM336" s="27"/>
      <c r="AN336" s="28"/>
      <c r="AO336" s="27"/>
      <c r="AP336" s="27"/>
      <c r="AQ336" s="24"/>
      <c r="AR336">
        <f t="shared" si="11"/>
        <v>26</v>
      </c>
    </row>
    <row r="337" spans="1:44" x14ac:dyDescent="0.25">
      <c r="B337" t="str">
        <f t="shared" si="10"/>
        <v>TFC - Blin</v>
      </c>
      <c r="C337" t="s">
        <v>836</v>
      </c>
      <c r="D337" t="s">
        <v>622</v>
      </c>
      <c r="E337" s="124" t="s">
        <v>829</v>
      </c>
      <c r="F337" s="31">
        <v>9</v>
      </c>
      <c r="G337" s="99">
        <v>9</v>
      </c>
      <c r="H337" s="73"/>
      <c r="I337" s="34">
        <f>AVERAGE(Q337,AC337,AG337,AH337,AI337,AJ337,AK337,AL337,AM337)</f>
        <v>5.666666666666667</v>
      </c>
      <c r="J337" s="87" t="s">
        <v>611</v>
      </c>
      <c r="K337" s="37"/>
      <c r="L337" s="79"/>
      <c r="M337" s="79"/>
      <c r="N337" s="37" t="s">
        <v>611</v>
      </c>
      <c r="O337" s="37"/>
      <c r="P337" s="37" t="s">
        <v>611</v>
      </c>
      <c r="Q337" s="37">
        <v>5</v>
      </c>
      <c r="R337" s="37" t="s">
        <v>611</v>
      </c>
      <c r="S337" s="24"/>
      <c r="T337" s="24"/>
      <c r="U337" s="37"/>
      <c r="V337" s="37" t="s">
        <v>611</v>
      </c>
      <c r="W337" s="24"/>
      <c r="X337" s="76" t="s">
        <v>611</v>
      </c>
      <c r="Y337" s="37" t="s">
        <v>611</v>
      </c>
      <c r="Z337" s="24"/>
      <c r="AA337" s="37" t="s">
        <v>611</v>
      </c>
      <c r="AB337" s="76" t="s">
        <v>611</v>
      </c>
      <c r="AC337" s="24">
        <v>6</v>
      </c>
      <c r="AD337" s="24"/>
      <c r="AE337" s="27"/>
      <c r="AF337" s="188"/>
      <c r="AG337" s="48">
        <v>6</v>
      </c>
      <c r="AH337" s="37">
        <v>6</v>
      </c>
      <c r="AI337" s="24">
        <v>5</v>
      </c>
      <c r="AJ337" s="24">
        <v>6</v>
      </c>
      <c r="AK337" s="24">
        <v>5</v>
      </c>
      <c r="AL337" s="24">
        <v>5</v>
      </c>
      <c r="AM337" s="165">
        <v>7</v>
      </c>
      <c r="AN337" s="27"/>
      <c r="AO337" s="27"/>
      <c r="AP337" s="27"/>
      <c r="AQ337" s="37"/>
      <c r="AR337">
        <f t="shared" si="11"/>
        <v>18</v>
      </c>
    </row>
    <row r="338" spans="1:44" x14ac:dyDescent="0.25">
      <c r="B338" t="str">
        <f t="shared" si="10"/>
        <v>TFC - Machach</v>
      </c>
      <c r="C338" t="s">
        <v>836</v>
      </c>
      <c r="D338" s="283" t="s">
        <v>622</v>
      </c>
      <c r="E338" s="124" t="s">
        <v>830</v>
      </c>
      <c r="F338" s="31">
        <v>10</v>
      </c>
      <c r="G338" s="99">
        <v>6</v>
      </c>
      <c r="H338" s="73">
        <v>1</v>
      </c>
      <c r="I338" s="34">
        <f>AVERAGE(U338,V338,W338,X338,Y338,Z338,AB338,AC338,AF338,AJ338)</f>
        <v>4.4000000000000004</v>
      </c>
      <c r="J338" s="87"/>
      <c r="K338" s="37"/>
      <c r="L338" s="79"/>
      <c r="M338" s="79"/>
      <c r="N338" s="37"/>
      <c r="O338" s="37"/>
      <c r="P338" s="37"/>
      <c r="Q338" s="37"/>
      <c r="R338" s="24"/>
      <c r="S338" s="37" t="s">
        <v>611</v>
      </c>
      <c r="T338" s="24"/>
      <c r="U338" s="75">
        <v>7</v>
      </c>
      <c r="V338" s="37">
        <v>4</v>
      </c>
      <c r="W338" s="24">
        <v>5</v>
      </c>
      <c r="X338" s="24">
        <v>5</v>
      </c>
      <c r="Y338" s="24">
        <v>5</v>
      </c>
      <c r="Z338" s="82">
        <v>3</v>
      </c>
      <c r="AA338" s="24"/>
      <c r="AB338" s="24">
        <v>4</v>
      </c>
      <c r="AC338" s="82">
        <v>3</v>
      </c>
      <c r="AD338" s="24"/>
      <c r="AE338" s="26" t="s">
        <v>611</v>
      </c>
      <c r="AF338" s="188">
        <v>4</v>
      </c>
      <c r="AG338" s="87" t="s">
        <v>611</v>
      </c>
      <c r="AH338" s="37" t="s">
        <v>611</v>
      </c>
      <c r="AI338" s="37" t="s">
        <v>611</v>
      </c>
      <c r="AJ338" s="24">
        <v>4</v>
      </c>
      <c r="AK338" s="37" t="s">
        <v>611</v>
      </c>
      <c r="AL338" s="24"/>
      <c r="AM338" s="27"/>
      <c r="AN338" s="27"/>
      <c r="AO338" s="27"/>
      <c r="AP338" s="27"/>
      <c r="AQ338" s="37"/>
      <c r="AR338">
        <f t="shared" si="11"/>
        <v>16</v>
      </c>
    </row>
    <row r="339" spans="1:44" x14ac:dyDescent="0.25">
      <c r="B339" t="str">
        <f t="shared" si="10"/>
        <v>Losc - Bauthéac</v>
      </c>
      <c r="C339" t="s">
        <v>739</v>
      </c>
      <c r="D339" s="283" t="s">
        <v>622</v>
      </c>
      <c r="E339" s="124" t="s">
        <v>201</v>
      </c>
      <c r="F339" s="31">
        <v>25</v>
      </c>
      <c r="G339" s="99">
        <v>3</v>
      </c>
      <c r="H339" s="73">
        <v>2</v>
      </c>
      <c r="I339" s="34">
        <f>AVERAGE(Y339,K339,L339,M339,J339,N339,O339,Q339,P339,U339,V339,W339,X339,Z339,AA339,AB339,AC339,AD339,AE339,AF339,AG339,AH339,AI339,AJ339,AK339)</f>
        <v>4.72</v>
      </c>
      <c r="J339" s="48">
        <v>4</v>
      </c>
      <c r="K339" s="24">
        <v>5</v>
      </c>
      <c r="L339" s="24">
        <v>5</v>
      </c>
      <c r="M339" s="24">
        <v>4</v>
      </c>
      <c r="N339" s="24">
        <v>5</v>
      </c>
      <c r="O339" s="24">
        <v>4</v>
      </c>
      <c r="P339" s="24">
        <v>5</v>
      </c>
      <c r="Q339" s="24">
        <v>4</v>
      </c>
      <c r="R339" s="37" t="s">
        <v>611</v>
      </c>
      <c r="S339" s="24"/>
      <c r="T339" s="24"/>
      <c r="U339" s="24">
        <v>5</v>
      </c>
      <c r="V339" s="37">
        <v>4</v>
      </c>
      <c r="W339" s="24">
        <v>4</v>
      </c>
      <c r="X339" s="24">
        <v>4</v>
      </c>
      <c r="Y339" s="24">
        <v>6</v>
      </c>
      <c r="Z339" s="37">
        <v>5</v>
      </c>
      <c r="AA339" s="75">
        <v>7</v>
      </c>
      <c r="AB339" s="37">
        <v>5</v>
      </c>
      <c r="AC339" s="24">
        <v>4</v>
      </c>
      <c r="AD339" s="24">
        <v>4</v>
      </c>
      <c r="AE339" s="26">
        <v>4</v>
      </c>
      <c r="AF339" s="188">
        <v>4</v>
      </c>
      <c r="AG339" s="188">
        <v>6</v>
      </c>
      <c r="AH339" s="24">
        <v>6</v>
      </c>
      <c r="AI339" s="24">
        <v>5</v>
      </c>
      <c r="AJ339" s="24">
        <v>5</v>
      </c>
      <c r="AK339" s="24">
        <v>4</v>
      </c>
      <c r="AL339" s="24"/>
      <c r="AM339" s="26" t="s">
        <v>611</v>
      </c>
      <c r="AN339" s="26" t="s">
        <v>611</v>
      </c>
      <c r="AO339" s="28"/>
      <c r="AP339" s="27"/>
      <c r="AQ339" s="24"/>
      <c r="AR339">
        <f t="shared" si="11"/>
        <v>28</v>
      </c>
    </row>
    <row r="340" spans="1:44" x14ac:dyDescent="0.25">
      <c r="B340" t="str">
        <f t="shared" si="10"/>
        <v>TFC - Pesic</v>
      </c>
      <c r="C340" t="s">
        <v>836</v>
      </c>
      <c r="D340" s="283" t="s">
        <v>622</v>
      </c>
      <c r="E340" s="124" t="s">
        <v>833</v>
      </c>
      <c r="F340" s="31">
        <v>5</v>
      </c>
      <c r="G340" s="99">
        <v>18</v>
      </c>
      <c r="H340" s="73">
        <v>2</v>
      </c>
      <c r="I340" s="34">
        <f>AVERAGE(R340,Z340,AA340,AH340,AK340)</f>
        <v>4.4000000000000004</v>
      </c>
      <c r="J340" s="87" t="s">
        <v>611</v>
      </c>
      <c r="K340" s="37"/>
      <c r="L340" s="37"/>
      <c r="M340" s="37" t="s">
        <v>611</v>
      </c>
      <c r="N340" s="37" t="s">
        <v>611</v>
      </c>
      <c r="O340" s="37" t="s">
        <v>611</v>
      </c>
      <c r="P340" s="22"/>
      <c r="Q340" s="37" t="s">
        <v>611</v>
      </c>
      <c r="R340" s="24">
        <v>5</v>
      </c>
      <c r="S340" s="37" t="s">
        <v>611</v>
      </c>
      <c r="T340" s="37" t="s">
        <v>611</v>
      </c>
      <c r="U340" s="76" t="s">
        <v>611</v>
      </c>
      <c r="V340" s="76" t="s">
        <v>611</v>
      </c>
      <c r="W340" s="37" t="s">
        <v>611</v>
      </c>
      <c r="X340" s="76" t="s">
        <v>611</v>
      </c>
      <c r="Y340" s="77" t="s">
        <v>611</v>
      </c>
      <c r="Z340" s="24">
        <v>4</v>
      </c>
      <c r="AA340" s="22">
        <v>5</v>
      </c>
      <c r="AB340" s="37"/>
      <c r="AC340" s="37" t="s">
        <v>611</v>
      </c>
      <c r="AD340" s="37" t="s">
        <v>611</v>
      </c>
      <c r="AE340" s="26" t="s">
        <v>611</v>
      </c>
      <c r="AF340" s="277" t="s">
        <v>611</v>
      </c>
      <c r="AG340" s="48"/>
      <c r="AH340" s="23">
        <v>4</v>
      </c>
      <c r="AI340" s="24"/>
      <c r="AJ340" s="37" t="s">
        <v>611</v>
      </c>
      <c r="AK340" s="24">
        <v>4</v>
      </c>
      <c r="AL340" s="24"/>
      <c r="AM340" s="27"/>
      <c r="AN340" s="26" t="s">
        <v>611</v>
      </c>
      <c r="AO340" s="27"/>
      <c r="AP340" s="27"/>
      <c r="AQ340" s="24"/>
      <c r="AR340">
        <f t="shared" si="11"/>
        <v>23</v>
      </c>
    </row>
    <row r="341" spans="1:44" x14ac:dyDescent="0.25">
      <c r="B341" t="str">
        <f t="shared" si="10"/>
        <v>TFC - Roman</v>
      </c>
      <c r="C341" t="s">
        <v>836</v>
      </c>
      <c r="D341" s="85" t="s">
        <v>622</v>
      </c>
      <c r="E341" s="85" t="s">
        <v>832</v>
      </c>
      <c r="F341" s="69"/>
      <c r="G341" s="115"/>
      <c r="H341" s="68"/>
      <c r="I341" s="44"/>
      <c r="J341" s="87"/>
      <c r="K341" s="37"/>
      <c r="L341" s="37"/>
      <c r="M341" s="37"/>
      <c r="N341" s="37"/>
      <c r="O341" s="24"/>
      <c r="P341" s="24"/>
      <c r="Q341" s="37"/>
      <c r="R341" s="24"/>
      <c r="S341" s="24"/>
      <c r="T341" s="24"/>
      <c r="U341" s="37"/>
      <c r="V341" s="24"/>
      <c r="W341" s="24"/>
      <c r="X341" s="24"/>
      <c r="Y341" s="24"/>
      <c r="Z341" s="24"/>
      <c r="AA341" s="24"/>
      <c r="AB341" s="24"/>
      <c r="AC341" s="24"/>
      <c r="AD341" s="24"/>
      <c r="AE341" s="27"/>
      <c r="AF341" s="188"/>
      <c r="AG341" s="48"/>
      <c r="AH341" s="24"/>
      <c r="AI341" s="24"/>
      <c r="AJ341" s="24"/>
      <c r="AK341" s="24"/>
      <c r="AL341" s="24"/>
      <c r="AM341" s="27"/>
      <c r="AN341" s="27"/>
      <c r="AO341" s="27"/>
      <c r="AP341" s="27"/>
      <c r="AQ341" s="24"/>
      <c r="AR341">
        <f t="shared" si="11"/>
        <v>0</v>
      </c>
    </row>
    <row r="342" spans="1:44" x14ac:dyDescent="0.25">
      <c r="B342" t="str">
        <f t="shared" si="10"/>
        <v>FCL - Ndong</v>
      </c>
      <c r="C342" t="s">
        <v>784</v>
      </c>
      <c r="D342" s="30" t="s">
        <v>622</v>
      </c>
      <c r="E342" s="60" t="s">
        <v>483</v>
      </c>
      <c r="F342" s="31">
        <v>28</v>
      </c>
      <c r="G342" s="99"/>
      <c r="H342" s="73">
        <v>2</v>
      </c>
      <c r="I342" s="34">
        <f>AVERAGE(AA342,Y342,X342,K342,L342,M342,N342,O342,P342,Q342,R342,S342,T342,U342,V342,W342,Z342,AB342,AC342,AD342,AE342,AG342,AH342,AI342,AJ342,AL342,AM342,AN342)</f>
        <v>4.9642857142857144</v>
      </c>
      <c r="J342" s="176"/>
      <c r="K342" s="37">
        <v>5</v>
      </c>
      <c r="L342" s="172">
        <v>3</v>
      </c>
      <c r="M342" s="37">
        <v>5</v>
      </c>
      <c r="N342" s="37">
        <v>5</v>
      </c>
      <c r="O342" s="25">
        <v>7</v>
      </c>
      <c r="P342" s="24">
        <v>6</v>
      </c>
      <c r="Q342" s="37">
        <v>5</v>
      </c>
      <c r="R342" s="24">
        <v>5</v>
      </c>
      <c r="S342" s="37">
        <v>4</v>
      </c>
      <c r="T342" s="24">
        <v>6</v>
      </c>
      <c r="U342" s="24">
        <v>5</v>
      </c>
      <c r="V342" s="25">
        <v>7</v>
      </c>
      <c r="W342" s="24">
        <v>5</v>
      </c>
      <c r="X342" s="24">
        <v>5</v>
      </c>
      <c r="Y342" s="37">
        <v>6</v>
      </c>
      <c r="Z342" s="24">
        <v>5</v>
      </c>
      <c r="AA342" s="24">
        <v>5</v>
      </c>
      <c r="AB342" s="24">
        <v>5</v>
      </c>
      <c r="AC342" s="24">
        <v>4</v>
      </c>
      <c r="AD342" s="24">
        <v>5</v>
      </c>
      <c r="AE342" s="26">
        <v>4</v>
      </c>
      <c r="AF342" s="188"/>
      <c r="AG342" s="195">
        <v>5</v>
      </c>
      <c r="AH342" s="24">
        <v>5</v>
      </c>
      <c r="AI342" s="37">
        <v>4</v>
      </c>
      <c r="AJ342" s="37">
        <v>5</v>
      </c>
      <c r="AK342" s="24"/>
      <c r="AL342" s="37">
        <v>5</v>
      </c>
      <c r="AM342" s="27">
        <v>6</v>
      </c>
      <c r="AN342" s="244">
        <v>2</v>
      </c>
      <c r="AO342" s="27"/>
      <c r="AP342" s="27"/>
      <c r="AQ342" s="24"/>
      <c r="AR342">
        <f t="shared" si="11"/>
        <v>28</v>
      </c>
    </row>
    <row r="343" spans="1:44" x14ac:dyDescent="0.25">
      <c r="A343">
        <v>1</v>
      </c>
      <c r="B343" t="str">
        <f t="shared" si="10"/>
        <v>SCB - Squillaci</v>
      </c>
      <c r="C343" t="s">
        <v>855</v>
      </c>
      <c r="D343" s="30" t="s">
        <v>608</v>
      </c>
      <c r="E343" s="30" t="s">
        <v>170</v>
      </c>
      <c r="F343" s="31">
        <v>24</v>
      </c>
      <c r="G343" s="99">
        <v>2</v>
      </c>
      <c r="H343" s="73">
        <v>2</v>
      </c>
      <c r="I343" s="34">
        <f>AVERAGE(L343,M343,J343,N343,O343,P343,Q343,R343,S343,T343,U343,V343,W343,AA343,AB343,AC343,AD343,AE343,AF343,AG343,AH343,AK343,AL343,AM343,AN343)</f>
        <v>5.12</v>
      </c>
      <c r="J343" s="37">
        <v>5</v>
      </c>
      <c r="K343" s="37" t="s">
        <v>611</v>
      </c>
      <c r="L343" s="198">
        <v>7</v>
      </c>
      <c r="M343" s="37">
        <v>4</v>
      </c>
      <c r="N343" s="24">
        <v>4</v>
      </c>
      <c r="O343" s="24">
        <v>5</v>
      </c>
      <c r="P343" s="24">
        <v>5</v>
      </c>
      <c r="Q343" s="25">
        <v>8</v>
      </c>
      <c r="R343" s="24">
        <v>5</v>
      </c>
      <c r="S343" s="24">
        <v>4</v>
      </c>
      <c r="T343" s="24">
        <v>5</v>
      </c>
      <c r="U343" s="24">
        <v>5</v>
      </c>
      <c r="V343" s="24">
        <v>5</v>
      </c>
      <c r="W343" s="24">
        <v>4</v>
      </c>
      <c r="X343" s="24"/>
      <c r="Y343" s="24"/>
      <c r="Z343" s="24"/>
      <c r="AA343" s="24">
        <v>5</v>
      </c>
      <c r="AB343" s="24">
        <v>6</v>
      </c>
      <c r="AC343" s="24">
        <v>4</v>
      </c>
      <c r="AD343" s="24">
        <v>6</v>
      </c>
      <c r="AE343" s="27">
        <v>6</v>
      </c>
      <c r="AF343" s="188">
        <v>6</v>
      </c>
      <c r="AG343" s="188">
        <v>4</v>
      </c>
      <c r="AH343" s="24">
        <v>5</v>
      </c>
      <c r="AI343" s="24"/>
      <c r="AJ343" s="24"/>
      <c r="AK343" s="24">
        <v>6</v>
      </c>
      <c r="AL343" s="24">
        <v>5</v>
      </c>
      <c r="AM343" s="27">
        <v>4</v>
      </c>
      <c r="AN343" s="27">
        <v>5</v>
      </c>
      <c r="AO343" s="27"/>
      <c r="AP343" s="27"/>
      <c r="AQ343" s="24"/>
      <c r="AR343">
        <f t="shared" si="11"/>
        <v>26</v>
      </c>
    </row>
    <row r="344" spans="1:44" x14ac:dyDescent="0.25">
      <c r="B344" t="str">
        <f t="shared" si="10"/>
        <v>TFC - Zaniou</v>
      </c>
      <c r="C344" t="s">
        <v>836</v>
      </c>
      <c r="D344" t="s">
        <v>633</v>
      </c>
      <c r="E344" t="s">
        <v>834</v>
      </c>
      <c r="F344" s="31"/>
      <c r="G344" s="99"/>
      <c r="H344" s="73"/>
      <c r="I344" s="100"/>
      <c r="J344" s="87"/>
      <c r="K344" s="37"/>
      <c r="L344" s="37"/>
      <c r="M344" s="37"/>
      <c r="N344" s="37"/>
      <c r="O344" s="24"/>
      <c r="P344" s="24"/>
      <c r="Q344" s="24"/>
      <c r="R344" s="24"/>
      <c r="S344" s="24"/>
      <c r="T344" s="24"/>
      <c r="U344" s="37"/>
      <c r="V344" s="24"/>
      <c r="W344" s="24"/>
      <c r="X344" s="24"/>
      <c r="Y344" s="24"/>
      <c r="Z344" s="24"/>
      <c r="AA344" s="24"/>
      <c r="AB344" s="24"/>
      <c r="AC344" s="24"/>
      <c r="AD344" s="24"/>
      <c r="AE344" s="27"/>
      <c r="AF344" s="188"/>
      <c r="AG344" s="48"/>
      <c r="AH344" s="24"/>
      <c r="AI344" s="24"/>
      <c r="AJ344" s="24"/>
      <c r="AK344" s="24"/>
      <c r="AL344" s="24"/>
      <c r="AM344" s="27"/>
      <c r="AN344" s="27"/>
      <c r="AO344" s="27"/>
      <c r="AP344" s="27"/>
      <c r="AQ344" s="24"/>
      <c r="AR344">
        <f t="shared" si="11"/>
        <v>0</v>
      </c>
    </row>
    <row r="345" spans="1:44" ht="15.75" thickBot="1" x14ac:dyDescent="0.3">
      <c r="B345" t="str">
        <f t="shared" si="10"/>
        <v>TFC - Ben Ali</v>
      </c>
      <c r="C345" t="s">
        <v>836</v>
      </c>
      <c r="D345" s="141" t="s">
        <v>633</v>
      </c>
      <c r="E345" s="159" t="s">
        <v>835</v>
      </c>
      <c r="F345" s="90"/>
      <c r="G345" s="120">
        <v>1</v>
      </c>
      <c r="H345" s="89"/>
      <c r="I345" s="93"/>
      <c r="J345" s="87"/>
      <c r="K345" s="24"/>
      <c r="L345" s="24"/>
      <c r="M345" s="24"/>
      <c r="N345" s="37"/>
      <c r="O345" s="24"/>
      <c r="P345" s="24"/>
      <c r="Q345" s="37" t="s">
        <v>611</v>
      </c>
      <c r="R345" s="24"/>
      <c r="S345" s="24"/>
      <c r="T345" s="24"/>
      <c r="U345" s="37"/>
      <c r="V345" s="24"/>
      <c r="W345" s="37"/>
      <c r="X345" s="24"/>
      <c r="Y345" s="24"/>
      <c r="Z345" s="24"/>
      <c r="AA345" s="24"/>
      <c r="AB345" s="24"/>
      <c r="AC345" s="37"/>
      <c r="AD345" s="24"/>
      <c r="AE345" s="26"/>
      <c r="AF345" s="188"/>
      <c r="AG345" s="48"/>
      <c r="AH345" s="24"/>
      <c r="AI345" s="24"/>
      <c r="AJ345" s="24"/>
      <c r="AK345" s="24"/>
      <c r="AL345" s="24"/>
      <c r="AM345" s="27"/>
      <c r="AN345" s="27"/>
      <c r="AO345" s="27"/>
      <c r="AP345" s="27"/>
      <c r="AQ345" s="24"/>
      <c r="AR345">
        <f t="shared" si="11"/>
        <v>1</v>
      </c>
    </row>
    <row r="346" spans="1:44" x14ac:dyDescent="0.25">
      <c r="B346" t="str">
        <f t="shared" si="10"/>
        <v>TFC - Trejo</v>
      </c>
      <c r="C346" t="s">
        <v>836</v>
      </c>
      <c r="D346" s="29" t="s">
        <v>622</v>
      </c>
      <c r="E346" s="124" t="s">
        <v>828</v>
      </c>
      <c r="F346" s="31">
        <v>23</v>
      </c>
      <c r="G346" s="99">
        <v>4</v>
      </c>
      <c r="H346" s="73">
        <v>2</v>
      </c>
      <c r="I346" s="34">
        <f>AVERAGE(AB346,Z346,K346,L346,M346,N346,O346,S346,T346,U346,V346,W346,X346,Y346,AA346,AC346,AD346,AE346,AG346,AH346,AF346,AI346,AJ346,AK346)</f>
        <v>4.958333333333333</v>
      </c>
      <c r="J346" s="87" t="s">
        <v>611</v>
      </c>
      <c r="K346" s="37">
        <v>4</v>
      </c>
      <c r="L346" s="74">
        <v>5</v>
      </c>
      <c r="M346" s="74">
        <v>5</v>
      </c>
      <c r="N346" s="37">
        <v>4</v>
      </c>
      <c r="O346" s="37">
        <v>6</v>
      </c>
      <c r="P346" s="37"/>
      <c r="Q346" s="37"/>
      <c r="R346" s="24"/>
      <c r="S346" s="75">
        <v>8</v>
      </c>
      <c r="T346" s="24">
        <v>4</v>
      </c>
      <c r="U346" s="37">
        <v>5</v>
      </c>
      <c r="V346" s="172">
        <v>2</v>
      </c>
      <c r="W346" s="24">
        <v>5</v>
      </c>
      <c r="X346" s="24">
        <v>6</v>
      </c>
      <c r="Y346" s="66">
        <v>7</v>
      </c>
      <c r="Z346" s="66">
        <v>7</v>
      </c>
      <c r="AA346" s="24">
        <v>5</v>
      </c>
      <c r="AB346" s="24">
        <v>5</v>
      </c>
      <c r="AC346" s="24">
        <v>6</v>
      </c>
      <c r="AD346" s="24">
        <v>4</v>
      </c>
      <c r="AE346" s="244">
        <v>2</v>
      </c>
      <c r="AF346" s="76">
        <v>5</v>
      </c>
      <c r="AG346" s="27">
        <v>5</v>
      </c>
      <c r="AH346" s="23">
        <v>6</v>
      </c>
      <c r="AI346" s="27">
        <v>4</v>
      </c>
      <c r="AJ346" s="27">
        <v>5</v>
      </c>
      <c r="AK346" s="24">
        <v>4</v>
      </c>
      <c r="AL346" s="37" t="s">
        <v>611</v>
      </c>
      <c r="AM346" s="77" t="s">
        <v>611</v>
      </c>
      <c r="AN346" s="24"/>
      <c r="AO346" s="28"/>
      <c r="AP346" s="24"/>
      <c r="AQ346" s="24"/>
      <c r="AR346">
        <f t="shared" si="11"/>
        <v>27</v>
      </c>
    </row>
    <row r="347" spans="1:44" x14ac:dyDescent="0.25">
      <c r="B347" t="str">
        <f t="shared" si="10"/>
        <v>SCB - Hansen</v>
      </c>
      <c r="C347" t="s">
        <v>855</v>
      </c>
      <c r="D347" s="29" t="s">
        <v>605</v>
      </c>
      <c r="E347" s="30" t="s">
        <v>181</v>
      </c>
      <c r="F347" s="31">
        <v>3</v>
      </c>
      <c r="G347" s="99">
        <v>1</v>
      </c>
      <c r="H347" s="73"/>
      <c r="I347" s="34">
        <f>AVERAGE(L347,M347,N347)</f>
        <v>5.666666666666667</v>
      </c>
      <c r="J347" s="87"/>
      <c r="K347" s="24"/>
      <c r="L347" s="25">
        <v>7</v>
      </c>
      <c r="M347" s="24">
        <v>6</v>
      </c>
      <c r="N347" s="24">
        <v>4</v>
      </c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8"/>
      <c r="AF347" s="24"/>
      <c r="AG347" s="27"/>
      <c r="AH347" s="77" t="s">
        <v>611</v>
      </c>
      <c r="AI347" s="27"/>
      <c r="AJ347" s="27"/>
      <c r="AK347" s="24"/>
      <c r="AL347" s="24"/>
      <c r="AM347" s="24"/>
      <c r="AN347" s="24"/>
      <c r="AO347" s="27"/>
      <c r="AP347" s="24"/>
      <c r="AQ347" s="24"/>
      <c r="AR347">
        <f t="shared" si="11"/>
        <v>4</v>
      </c>
    </row>
    <row r="348" spans="1:44" x14ac:dyDescent="0.25">
      <c r="B348" t="str">
        <f t="shared" si="10"/>
        <v>SCB - Vincensini</v>
      </c>
      <c r="C348" t="s">
        <v>855</v>
      </c>
      <c r="D348" s="67" t="s">
        <v>605</v>
      </c>
      <c r="E348" s="85" t="s">
        <v>837</v>
      </c>
      <c r="F348" s="69">
        <v>1</v>
      </c>
      <c r="G348" s="115">
        <v>1</v>
      </c>
      <c r="H348" s="68"/>
      <c r="I348" s="44">
        <f>AVERAGE(AI348)</f>
        <v>7</v>
      </c>
      <c r="J348" s="87"/>
      <c r="K348" s="37" t="s">
        <v>611</v>
      </c>
      <c r="L348" s="37"/>
      <c r="M348" s="37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7"/>
      <c r="AF348" s="24"/>
      <c r="AG348" s="27"/>
      <c r="AH348" s="24"/>
      <c r="AI348" s="254">
        <v>7</v>
      </c>
      <c r="AJ348" s="27"/>
      <c r="AK348" s="24"/>
      <c r="AL348" s="24"/>
      <c r="AM348" s="24"/>
      <c r="AN348" s="24"/>
      <c r="AO348" s="27"/>
      <c r="AP348" s="24"/>
      <c r="AQ348" s="24"/>
      <c r="AR348">
        <f t="shared" si="11"/>
        <v>2</v>
      </c>
    </row>
    <row r="349" spans="1:44" x14ac:dyDescent="0.25">
      <c r="B349" t="str">
        <f t="shared" si="10"/>
        <v>SCB - Cioni</v>
      </c>
      <c r="C349" t="s">
        <v>855</v>
      </c>
      <c r="D349" s="29" t="s">
        <v>608</v>
      </c>
      <c r="E349" s="30" t="s">
        <v>568</v>
      </c>
      <c r="F349" s="31">
        <v>16</v>
      </c>
      <c r="G349" s="99">
        <v>3</v>
      </c>
      <c r="H349" s="73"/>
      <c r="I349" s="34">
        <f>AVERAGE(O349,P349,R349,S349,T349,U349,V349,W349,X349,Z349,AA349,AB349,AC349,AE349,AF349,AH349,AI349)</f>
        <v>4.7647058823529411</v>
      </c>
      <c r="J349" s="87"/>
      <c r="K349" s="37"/>
      <c r="L349" s="37"/>
      <c r="M349" s="37"/>
      <c r="N349" s="24"/>
      <c r="O349" s="24">
        <v>4</v>
      </c>
      <c r="P349" s="24">
        <v>4</v>
      </c>
      <c r="Q349" s="37" t="s">
        <v>611</v>
      </c>
      <c r="R349" s="24">
        <v>5</v>
      </c>
      <c r="S349" s="24">
        <v>5</v>
      </c>
      <c r="T349" s="24">
        <v>5</v>
      </c>
      <c r="U349" s="24">
        <v>5</v>
      </c>
      <c r="V349" s="24">
        <v>5</v>
      </c>
      <c r="W349" s="24">
        <v>5</v>
      </c>
      <c r="X349" s="24">
        <v>5</v>
      </c>
      <c r="Y349" s="37" t="s">
        <v>611</v>
      </c>
      <c r="Z349" s="24">
        <v>4</v>
      </c>
      <c r="AA349" s="24">
        <v>5</v>
      </c>
      <c r="AB349" s="24">
        <v>5</v>
      </c>
      <c r="AC349" s="82">
        <v>3</v>
      </c>
      <c r="AD349" s="24"/>
      <c r="AE349" s="26">
        <v>5</v>
      </c>
      <c r="AF349" s="24">
        <v>5</v>
      </c>
      <c r="AG349" s="27"/>
      <c r="AH349" s="24">
        <v>6</v>
      </c>
      <c r="AI349" s="26">
        <v>5</v>
      </c>
      <c r="AJ349" s="27"/>
      <c r="AK349" s="24"/>
      <c r="AL349" s="24"/>
      <c r="AM349" s="24"/>
      <c r="AN349" s="24"/>
      <c r="AO349" s="27"/>
      <c r="AP349" s="24"/>
      <c r="AQ349" s="37"/>
      <c r="AR349">
        <f t="shared" si="11"/>
        <v>19</v>
      </c>
    </row>
    <row r="350" spans="1:44" x14ac:dyDescent="0.25">
      <c r="B350" t="str">
        <f t="shared" si="10"/>
        <v>SCB - Marange</v>
      </c>
      <c r="C350" t="s">
        <v>855</v>
      </c>
      <c r="D350" s="29" t="s">
        <v>608</v>
      </c>
      <c r="E350" s="30" t="s">
        <v>838</v>
      </c>
      <c r="F350" s="31">
        <v>17</v>
      </c>
      <c r="G350" s="99">
        <v>2</v>
      </c>
      <c r="H350" s="73"/>
      <c r="I350" s="34">
        <f>AVERAGE(K350,L350,P350,Q350,R350,T350,U350,W350,X350,Y350,Z350,AC350,AD350,AE350,AI350,AK350,AJ350,AN350)</f>
        <v>5.166666666666667</v>
      </c>
      <c r="J350" s="87"/>
      <c r="K350" s="37">
        <v>5</v>
      </c>
      <c r="L350" s="37">
        <v>6</v>
      </c>
      <c r="M350" s="37"/>
      <c r="N350" s="24"/>
      <c r="O350" s="37" t="s">
        <v>611</v>
      </c>
      <c r="P350" s="24">
        <v>5</v>
      </c>
      <c r="Q350" s="24">
        <v>5</v>
      </c>
      <c r="R350" s="24">
        <v>5</v>
      </c>
      <c r="S350" s="24"/>
      <c r="T350" s="24">
        <v>5</v>
      </c>
      <c r="U350" s="24">
        <v>4</v>
      </c>
      <c r="V350" s="37"/>
      <c r="W350" s="37">
        <v>4</v>
      </c>
      <c r="X350" s="37">
        <v>5</v>
      </c>
      <c r="Y350" s="24">
        <v>6</v>
      </c>
      <c r="Z350" s="24">
        <v>5</v>
      </c>
      <c r="AA350" s="24"/>
      <c r="AB350" s="24"/>
      <c r="AC350" s="24">
        <v>4</v>
      </c>
      <c r="AD350" s="66">
        <v>7</v>
      </c>
      <c r="AE350" s="27">
        <v>5</v>
      </c>
      <c r="AF350" s="24"/>
      <c r="AG350" s="27"/>
      <c r="AH350" s="24"/>
      <c r="AI350" s="27">
        <v>6</v>
      </c>
      <c r="AJ350" s="27">
        <v>5</v>
      </c>
      <c r="AK350" s="24">
        <v>5</v>
      </c>
      <c r="AL350" s="24"/>
      <c r="AM350" s="24"/>
      <c r="AN350" s="24">
        <v>6</v>
      </c>
      <c r="AO350" s="27"/>
      <c r="AP350" s="24"/>
      <c r="AQ350" s="24"/>
      <c r="AR350">
        <f t="shared" si="11"/>
        <v>19</v>
      </c>
    </row>
    <row r="351" spans="1:44" x14ac:dyDescent="0.25">
      <c r="B351" t="str">
        <f t="shared" si="10"/>
        <v>SCB - Djiku</v>
      </c>
      <c r="C351" t="s">
        <v>855</v>
      </c>
      <c r="D351" s="29" t="s">
        <v>608</v>
      </c>
      <c r="E351" s="30" t="s">
        <v>839</v>
      </c>
      <c r="F351" s="31">
        <v>12</v>
      </c>
      <c r="G351" s="99">
        <v>1</v>
      </c>
      <c r="H351" s="114"/>
      <c r="I351" s="34">
        <f>AVERAGE(K351,L351,J351,P351,AD351,AK351,AL351,AJ351,AM351,AN351)</f>
        <v>4.7</v>
      </c>
      <c r="J351" s="87">
        <v>5</v>
      </c>
      <c r="K351" s="26">
        <v>6</v>
      </c>
      <c r="L351" s="37">
        <v>5</v>
      </c>
      <c r="M351" s="37" t="s">
        <v>623</v>
      </c>
      <c r="N351" s="24"/>
      <c r="O351" s="24"/>
      <c r="P351" s="24">
        <v>4</v>
      </c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37" t="s">
        <v>611</v>
      </c>
      <c r="AD351" s="24">
        <v>4</v>
      </c>
      <c r="AE351" s="27" t="s">
        <v>641</v>
      </c>
      <c r="AF351" s="24"/>
      <c r="AG351" s="27"/>
      <c r="AH351" s="24"/>
      <c r="AI351" s="27"/>
      <c r="AJ351" s="27">
        <v>5</v>
      </c>
      <c r="AK351" s="24">
        <v>4</v>
      </c>
      <c r="AL351" s="24">
        <v>6</v>
      </c>
      <c r="AM351" s="24">
        <v>4</v>
      </c>
      <c r="AN351" s="24">
        <v>4</v>
      </c>
      <c r="AO351" s="27"/>
      <c r="AP351" s="24"/>
      <c r="AQ351" s="24"/>
      <c r="AR351">
        <f t="shared" si="11"/>
        <v>13</v>
      </c>
    </row>
    <row r="352" spans="1:44" x14ac:dyDescent="0.25">
      <c r="B352" t="str">
        <f t="shared" si="10"/>
        <v>SCB - Peybernes</v>
      </c>
      <c r="C352" t="s">
        <v>855</v>
      </c>
      <c r="D352" s="29" t="s">
        <v>608</v>
      </c>
      <c r="E352" s="30" t="s">
        <v>840</v>
      </c>
      <c r="F352" s="31">
        <v>18</v>
      </c>
      <c r="G352" s="99">
        <v>2</v>
      </c>
      <c r="H352" s="114"/>
      <c r="I352" s="34">
        <f>AVERAGE(K352,M352,Q352,R352,S352,T352,X352,Y352,Z352,AE352,AF352,AG352,AH352,AI352,AK352,AL352,AJ352,AN352)</f>
        <v>5.166666666666667</v>
      </c>
      <c r="J352" s="87"/>
      <c r="K352" s="175">
        <v>5</v>
      </c>
      <c r="L352" s="37"/>
      <c r="M352" s="37">
        <v>5</v>
      </c>
      <c r="N352" s="24"/>
      <c r="O352" s="24"/>
      <c r="P352" s="24"/>
      <c r="Q352" s="24">
        <v>5</v>
      </c>
      <c r="R352" s="24">
        <v>4</v>
      </c>
      <c r="S352" s="24">
        <v>5</v>
      </c>
      <c r="T352" s="24">
        <v>5</v>
      </c>
      <c r="U352" s="24"/>
      <c r="V352" s="37" t="s">
        <v>611</v>
      </c>
      <c r="W352" s="24"/>
      <c r="X352" s="24">
        <v>5</v>
      </c>
      <c r="Y352" s="24">
        <v>6</v>
      </c>
      <c r="Z352" s="24">
        <v>4</v>
      </c>
      <c r="AA352" s="37" t="s">
        <v>611</v>
      </c>
      <c r="AB352" s="24"/>
      <c r="AC352" s="37"/>
      <c r="AD352" s="24"/>
      <c r="AE352" s="26">
        <v>5</v>
      </c>
      <c r="AF352" s="24">
        <v>6</v>
      </c>
      <c r="AG352" s="27">
        <v>5</v>
      </c>
      <c r="AH352" s="24">
        <v>6</v>
      </c>
      <c r="AI352" s="27">
        <v>6</v>
      </c>
      <c r="AJ352" s="27">
        <v>5</v>
      </c>
      <c r="AK352" s="24">
        <v>5</v>
      </c>
      <c r="AL352" s="24">
        <v>6</v>
      </c>
      <c r="AM352" s="24"/>
      <c r="AN352" s="24">
        <v>5</v>
      </c>
      <c r="AO352" s="27"/>
      <c r="AP352" s="24"/>
      <c r="AQ352" s="24"/>
      <c r="AR352">
        <f t="shared" si="11"/>
        <v>20</v>
      </c>
    </row>
    <row r="353" spans="1:44" x14ac:dyDescent="0.25">
      <c r="B353" t="str">
        <f t="shared" si="10"/>
        <v>SCB - Palmieri</v>
      </c>
      <c r="C353" t="s">
        <v>855</v>
      </c>
      <c r="D353" s="29" t="s">
        <v>608</v>
      </c>
      <c r="E353" s="30" t="s">
        <v>168</v>
      </c>
      <c r="F353" s="31">
        <v>27</v>
      </c>
      <c r="G353" s="27">
        <v>1</v>
      </c>
      <c r="H353" s="114">
        <v>2</v>
      </c>
      <c r="I353" s="34">
        <f>AVERAGE(Z353,Y353,L353,M353,J353,N353,O353,P353,Q353,S353,T353,U353,V353,W353,X353,AA353,AB353,AC353,AD353,AE353,AF353,AG353,AH353,AI353,AL353,AM353,AN353)</f>
        <v>4.8888888888888893</v>
      </c>
      <c r="J353" s="87">
        <v>5</v>
      </c>
      <c r="K353" s="157"/>
      <c r="L353" s="193">
        <v>6</v>
      </c>
      <c r="M353" s="172">
        <v>3</v>
      </c>
      <c r="N353" s="24">
        <v>6</v>
      </c>
      <c r="O353" s="24">
        <v>5</v>
      </c>
      <c r="P353" s="24">
        <v>5</v>
      </c>
      <c r="Q353" s="22">
        <v>6</v>
      </c>
      <c r="R353" s="24"/>
      <c r="S353" s="24">
        <v>4</v>
      </c>
      <c r="T353" s="24">
        <v>5</v>
      </c>
      <c r="U353" s="24">
        <v>5</v>
      </c>
      <c r="V353" s="24">
        <v>5</v>
      </c>
      <c r="W353" s="24">
        <v>5</v>
      </c>
      <c r="X353" s="24">
        <v>6</v>
      </c>
      <c r="Y353" s="24">
        <v>4</v>
      </c>
      <c r="Z353" s="24">
        <v>4</v>
      </c>
      <c r="AA353" s="24">
        <v>6</v>
      </c>
      <c r="AB353" s="24">
        <v>6</v>
      </c>
      <c r="AC353" s="23">
        <v>4</v>
      </c>
      <c r="AD353" s="24">
        <v>6</v>
      </c>
      <c r="AE353" s="244">
        <v>3</v>
      </c>
      <c r="AF353" s="24">
        <v>6</v>
      </c>
      <c r="AG353" s="27">
        <v>4</v>
      </c>
      <c r="AH353" s="24">
        <v>6</v>
      </c>
      <c r="AI353" s="27">
        <v>5</v>
      </c>
      <c r="AJ353" s="26" t="s">
        <v>611</v>
      </c>
      <c r="AK353" s="24"/>
      <c r="AL353" s="24">
        <v>5</v>
      </c>
      <c r="AM353" s="82">
        <v>3</v>
      </c>
      <c r="AN353" s="24">
        <v>4</v>
      </c>
      <c r="AO353" s="27"/>
      <c r="AP353" s="24"/>
      <c r="AQ353" s="24"/>
      <c r="AR353">
        <f t="shared" si="11"/>
        <v>28</v>
      </c>
    </row>
    <row r="354" spans="1:44" x14ac:dyDescent="0.25">
      <c r="A354">
        <v>0</v>
      </c>
      <c r="B354" t="str">
        <f t="shared" si="10"/>
        <v>MHSC - Roussillon</v>
      </c>
      <c r="C354" t="s">
        <v>806</v>
      </c>
      <c r="D354" s="29" t="s">
        <v>608</v>
      </c>
      <c r="E354" s="60" t="s">
        <v>556</v>
      </c>
      <c r="F354" s="31">
        <v>25</v>
      </c>
      <c r="G354" s="99">
        <v>2</v>
      </c>
      <c r="H354" s="99">
        <v>2</v>
      </c>
      <c r="I354" s="34">
        <f>AVERAGE(Z354,Y354,L354,M354,O354,P354,Q354,R354,S354,T354,U354,V354,W354,X354,AA354,AB354,AC354,AE354,AF354,AH354,AI354,AJ354,AK354,AL354,AM354,AN354)</f>
        <v>5.115384615384615</v>
      </c>
      <c r="J354" s="101"/>
      <c r="K354" s="26"/>
      <c r="L354" s="37">
        <v>4</v>
      </c>
      <c r="M354" s="37">
        <v>5</v>
      </c>
      <c r="N354" s="37" t="s">
        <v>611</v>
      </c>
      <c r="O354" s="24">
        <v>5</v>
      </c>
      <c r="P354" s="24">
        <v>5</v>
      </c>
      <c r="Q354" s="24">
        <v>6</v>
      </c>
      <c r="R354" s="24">
        <v>5</v>
      </c>
      <c r="S354" s="24">
        <v>5</v>
      </c>
      <c r="T354" s="24">
        <v>5</v>
      </c>
      <c r="U354" s="22">
        <v>5</v>
      </c>
      <c r="V354" s="22">
        <v>6</v>
      </c>
      <c r="W354" s="24">
        <v>4</v>
      </c>
      <c r="X354" s="24">
        <v>5</v>
      </c>
      <c r="Y354" s="24">
        <v>6</v>
      </c>
      <c r="Z354" s="24">
        <v>4</v>
      </c>
      <c r="AA354" s="24">
        <v>4</v>
      </c>
      <c r="AB354" s="37">
        <v>4</v>
      </c>
      <c r="AC354" s="24">
        <v>6</v>
      </c>
      <c r="AD354" s="24"/>
      <c r="AE354" s="27">
        <v>5</v>
      </c>
      <c r="AF354" s="24">
        <v>5</v>
      </c>
      <c r="AG354" s="28"/>
      <c r="AH354" s="24">
        <v>5</v>
      </c>
      <c r="AI354" s="27">
        <v>6</v>
      </c>
      <c r="AJ354" s="299">
        <v>7</v>
      </c>
      <c r="AK354" s="24">
        <v>6</v>
      </c>
      <c r="AL354" s="24">
        <v>5</v>
      </c>
      <c r="AM354" s="24">
        <v>5</v>
      </c>
      <c r="AN354" s="24">
        <v>5</v>
      </c>
      <c r="AO354" s="27"/>
      <c r="AP354" s="24"/>
      <c r="AQ354" s="24"/>
      <c r="AR354">
        <f t="shared" si="11"/>
        <v>27</v>
      </c>
    </row>
    <row r="355" spans="1:44" x14ac:dyDescent="0.25">
      <c r="B355" t="str">
        <f t="shared" si="10"/>
        <v>SCB - Jebbour</v>
      </c>
      <c r="C355" t="s">
        <v>855</v>
      </c>
      <c r="D355" s="29" t="s">
        <v>608</v>
      </c>
      <c r="E355" s="38" t="s">
        <v>842</v>
      </c>
      <c r="F355" s="31">
        <v>2</v>
      </c>
      <c r="G355" s="30">
        <v>2</v>
      </c>
      <c r="H355" s="197"/>
      <c r="I355" s="34">
        <f>AVERAGE(N355,Y355)</f>
        <v>4</v>
      </c>
      <c r="J355" s="87"/>
      <c r="K355" s="157" t="s">
        <v>611</v>
      </c>
      <c r="L355" s="79" t="s">
        <v>611</v>
      </c>
      <c r="M355" s="37"/>
      <c r="N355" s="82">
        <v>3</v>
      </c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>
        <v>5</v>
      </c>
      <c r="Z355" s="24"/>
      <c r="AA355" s="24"/>
      <c r="AB355" s="24"/>
      <c r="AC355" s="22"/>
      <c r="AD355" s="24"/>
      <c r="AE355" s="27"/>
      <c r="AF355" s="24"/>
      <c r="AG355" s="27"/>
      <c r="AH355" s="24"/>
      <c r="AI355" s="27"/>
      <c r="AJ355" s="27"/>
      <c r="AK355" s="24"/>
      <c r="AL355" s="24"/>
      <c r="AM355" s="24"/>
      <c r="AN355" s="24"/>
      <c r="AO355" s="27"/>
      <c r="AP355" s="24"/>
      <c r="AQ355" s="24"/>
      <c r="AR355">
        <f t="shared" si="11"/>
        <v>4</v>
      </c>
    </row>
    <row r="356" spans="1:44" x14ac:dyDescent="0.25">
      <c r="A356">
        <v>0</v>
      </c>
      <c r="B356" t="str">
        <f t="shared" si="10"/>
        <v>SR - Traoré</v>
      </c>
      <c r="C356" t="s">
        <v>901</v>
      </c>
      <c r="D356" s="67" t="s">
        <v>608</v>
      </c>
      <c r="E356" s="306" t="s">
        <v>756</v>
      </c>
      <c r="F356" s="69">
        <v>27</v>
      </c>
      <c r="G356" s="115"/>
      <c r="H356" s="123">
        <v>2</v>
      </c>
      <c r="I356" s="72">
        <f>AVERAGE(AA356,Y356,X356,K356,L356,J356,N356,O356,P356,Q356,R356,T356,U356,V356,W356,AB356,AC356,AD356,AE356,AF356,AG356,AH356,AI356,AK356,AL356,AM356,AN356)</f>
        <v>5.1111111111111107</v>
      </c>
      <c r="J356" s="48">
        <v>6</v>
      </c>
      <c r="K356" s="130">
        <v>7</v>
      </c>
      <c r="L356" s="37">
        <v>5</v>
      </c>
      <c r="M356" s="37"/>
      <c r="N356" s="37">
        <v>5</v>
      </c>
      <c r="O356" s="24">
        <v>5</v>
      </c>
      <c r="P356" s="24">
        <v>5</v>
      </c>
      <c r="Q356" s="37">
        <v>6</v>
      </c>
      <c r="R356" s="24">
        <v>5</v>
      </c>
      <c r="S356" s="24"/>
      <c r="T356" s="24">
        <v>5</v>
      </c>
      <c r="U356" s="24">
        <v>5</v>
      </c>
      <c r="V356" s="24">
        <v>5</v>
      </c>
      <c r="W356" s="24">
        <v>5</v>
      </c>
      <c r="X356" s="24">
        <v>5</v>
      </c>
      <c r="Y356" s="24">
        <v>4</v>
      </c>
      <c r="Z356" s="24"/>
      <c r="AA356" s="37">
        <v>5</v>
      </c>
      <c r="AB356" s="24">
        <v>5</v>
      </c>
      <c r="AC356" s="24">
        <v>5</v>
      </c>
      <c r="AD356" s="24">
        <v>5</v>
      </c>
      <c r="AE356" s="27">
        <v>5</v>
      </c>
      <c r="AF356" s="24">
        <v>4</v>
      </c>
      <c r="AG356" s="254">
        <v>7</v>
      </c>
      <c r="AH356" s="24">
        <v>6</v>
      </c>
      <c r="AI356" s="27">
        <v>4</v>
      </c>
      <c r="AJ356" s="27"/>
      <c r="AK356" s="24">
        <v>5</v>
      </c>
      <c r="AL356" s="37">
        <v>4</v>
      </c>
      <c r="AM356" s="24">
        <v>5</v>
      </c>
      <c r="AN356" s="24">
        <v>5</v>
      </c>
      <c r="AO356" s="27"/>
      <c r="AP356" s="24"/>
      <c r="AQ356" s="24"/>
      <c r="AR356">
        <f t="shared" si="11"/>
        <v>27</v>
      </c>
    </row>
    <row r="357" spans="1:44" x14ac:dyDescent="0.25">
      <c r="A357">
        <v>1</v>
      </c>
      <c r="B357" t="str">
        <f t="shared" si="10"/>
        <v>SMC - Da Silva</v>
      </c>
      <c r="C357" t="s">
        <v>978</v>
      </c>
      <c r="D357" s="29" t="s">
        <v>608</v>
      </c>
      <c r="E357" s="155" t="s">
        <v>54</v>
      </c>
      <c r="F357" s="31">
        <v>24</v>
      </c>
      <c r="G357" s="99"/>
      <c r="H357" s="73">
        <v>2</v>
      </c>
      <c r="I357" s="34">
        <f>AVERAGE(AB357,Y357,X357,K357,L357,M357,J357,P357,Q357,R357,S357,T357,U357,V357,W357,Z357,AA357,AC357,AH357,AI357,AJ357,AL357,AM357,AN357)</f>
        <v>5.083333333333333</v>
      </c>
      <c r="J357" s="179">
        <v>6</v>
      </c>
      <c r="K357" s="130">
        <v>7</v>
      </c>
      <c r="L357" s="76">
        <v>5</v>
      </c>
      <c r="M357" s="24">
        <v>5</v>
      </c>
      <c r="N357" s="37"/>
      <c r="O357" s="37"/>
      <c r="P357" s="24">
        <v>5</v>
      </c>
      <c r="Q357" s="37">
        <v>5</v>
      </c>
      <c r="R357" s="24">
        <v>5</v>
      </c>
      <c r="S357" s="23">
        <v>5</v>
      </c>
      <c r="T357" s="24">
        <v>5</v>
      </c>
      <c r="U357" s="24">
        <v>4</v>
      </c>
      <c r="V357" s="24">
        <v>5</v>
      </c>
      <c r="W357" s="37">
        <v>6</v>
      </c>
      <c r="X357" s="25">
        <v>7</v>
      </c>
      <c r="Y357" s="24">
        <v>5</v>
      </c>
      <c r="Z357" s="37">
        <v>4</v>
      </c>
      <c r="AA357" s="24">
        <v>6</v>
      </c>
      <c r="AB357" s="24">
        <v>4</v>
      </c>
      <c r="AC357" s="24">
        <v>4</v>
      </c>
      <c r="AD357" s="37"/>
      <c r="AE357" s="28"/>
      <c r="AF357" s="24"/>
      <c r="AG357" s="27"/>
      <c r="AH357" s="24">
        <v>5</v>
      </c>
      <c r="AI357" s="244">
        <v>3</v>
      </c>
      <c r="AJ357" s="27">
        <v>6</v>
      </c>
      <c r="AK357" s="24"/>
      <c r="AL357" s="24">
        <v>5</v>
      </c>
      <c r="AM357" s="37">
        <v>5</v>
      </c>
      <c r="AN357" s="24">
        <v>5</v>
      </c>
      <c r="AO357" s="27"/>
      <c r="AP357" s="37"/>
      <c r="AQ357" s="24"/>
      <c r="AR357">
        <f t="shared" si="11"/>
        <v>24</v>
      </c>
    </row>
    <row r="358" spans="1:44" x14ac:dyDescent="0.25">
      <c r="B358" t="str">
        <f t="shared" si="10"/>
        <v>SCB - Kikabidze</v>
      </c>
      <c r="C358" t="s">
        <v>855</v>
      </c>
      <c r="D358" s="131" t="s">
        <v>622</v>
      </c>
      <c r="E358" s="199" t="s">
        <v>844</v>
      </c>
      <c r="F358" s="133"/>
      <c r="G358" s="134"/>
      <c r="H358" s="135"/>
      <c r="I358" s="34"/>
      <c r="J358" s="136"/>
      <c r="K358" s="137"/>
      <c r="L358" s="138"/>
      <c r="M358" s="138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4"/>
      <c r="AF358" s="139"/>
      <c r="AG358" s="134"/>
      <c r="AH358" s="139"/>
      <c r="AI358" s="134"/>
      <c r="AJ358" s="134"/>
      <c r="AK358" s="139"/>
      <c r="AL358" s="139"/>
      <c r="AM358" s="139"/>
      <c r="AN358" s="139"/>
      <c r="AO358" s="134"/>
      <c r="AP358" s="139"/>
      <c r="AQ358" s="139"/>
      <c r="AR358">
        <f t="shared" si="11"/>
        <v>0</v>
      </c>
    </row>
    <row r="359" spans="1:44" x14ac:dyDescent="0.25">
      <c r="B359" t="str">
        <f t="shared" ref="B359:B422" si="12">C359 &amp; " - " &amp;E359</f>
        <v>SCB - Abd. Keita</v>
      </c>
      <c r="C359" t="s">
        <v>855</v>
      </c>
      <c r="D359" s="29" t="s">
        <v>622</v>
      </c>
      <c r="E359" s="30" t="s">
        <v>845</v>
      </c>
      <c r="F359" s="31"/>
      <c r="G359" s="99">
        <v>4</v>
      </c>
      <c r="H359" s="73"/>
      <c r="I359" s="100"/>
      <c r="J359" s="87"/>
      <c r="K359" s="26"/>
      <c r="L359" s="37"/>
      <c r="M359" s="37"/>
      <c r="N359" s="24"/>
      <c r="O359" s="24"/>
      <c r="P359" s="37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37"/>
      <c r="AC359" s="37"/>
      <c r="AD359" s="24"/>
      <c r="AE359" s="27"/>
      <c r="AF359" s="37" t="s">
        <v>611</v>
      </c>
      <c r="AG359" s="26" t="s">
        <v>611</v>
      </c>
      <c r="AH359" s="24"/>
      <c r="AI359" s="26" t="s">
        <v>611</v>
      </c>
      <c r="AJ359" s="27"/>
      <c r="AK359" s="37" t="s">
        <v>611</v>
      </c>
      <c r="AL359" s="37"/>
      <c r="AM359" s="24"/>
      <c r="AN359" s="24"/>
      <c r="AO359" s="27"/>
      <c r="AP359" s="24"/>
      <c r="AQ359" s="24"/>
      <c r="AR359">
        <f t="shared" ref="AR359:AR422" si="13">F359 +G359</f>
        <v>4</v>
      </c>
    </row>
    <row r="360" spans="1:44" x14ac:dyDescent="0.25">
      <c r="B360" t="str">
        <f t="shared" si="12"/>
        <v>SCB - Romain</v>
      </c>
      <c r="C360" t="s">
        <v>855</v>
      </c>
      <c r="D360" s="29" t="s">
        <v>622</v>
      </c>
      <c r="E360" s="60" t="s">
        <v>112</v>
      </c>
      <c r="F360" s="31">
        <v>1</v>
      </c>
      <c r="G360" s="99">
        <v>3</v>
      </c>
      <c r="H360" s="73">
        <v>2</v>
      </c>
      <c r="I360" s="100">
        <f>AVERAGE(AB360,AG360)</f>
        <v>4</v>
      </c>
      <c r="J360" s="87"/>
      <c r="K360" s="26"/>
      <c r="L360" s="37"/>
      <c r="M360" s="37"/>
      <c r="N360" s="24"/>
      <c r="O360" s="24"/>
      <c r="P360" s="37"/>
      <c r="Q360" s="24"/>
      <c r="R360" s="24"/>
      <c r="S360" s="24"/>
      <c r="T360" s="24"/>
      <c r="U360" s="24"/>
      <c r="V360" s="24"/>
      <c r="W360" s="24"/>
      <c r="X360" s="24"/>
      <c r="Y360" s="37"/>
      <c r="Z360" s="77" t="s">
        <v>611</v>
      </c>
      <c r="AA360" s="37" t="s">
        <v>611</v>
      </c>
      <c r="AB360" s="77">
        <v>5</v>
      </c>
      <c r="AC360" s="24"/>
      <c r="AD360" s="24"/>
      <c r="AE360" s="27"/>
      <c r="AF360" s="24"/>
      <c r="AG360" s="244">
        <v>3</v>
      </c>
      <c r="AH360" s="24"/>
      <c r="AI360" s="27"/>
      <c r="AJ360" s="27"/>
      <c r="AK360" s="24"/>
      <c r="AL360" s="24"/>
      <c r="AM360" s="24"/>
      <c r="AN360" s="24"/>
      <c r="AO360" s="27"/>
      <c r="AP360" s="24"/>
      <c r="AQ360" s="24"/>
      <c r="AR360">
        <f t="shared" si="13"/>
        <v>4</v>
      </c>
    </row>
    <row r="361" spans="1:44" x14ac:dyDescent="0.25">
      <c r="B361" t="str">
        <f t="shared" si="12"/>
        <v>GFCA - Djokovic</v>
      </c>
      <c r="C361" t="s">
        <v>1015</v>
      </c>
      <c r="D361" s="29" t="s">
        <v>622</v>
      </c>
      <c r="E361" s="65" t="s">
        <v>1007</v>
      </c>
      <c r="F361" s="31">
        <v>22</v>
      </c>
      <c r="G361" s="99">
        <v>7</v>
      </c>
      <c r="H361" s="73">
        <v>2</v>
      </c>
      <c r="I361" s="34">
        <f>AVERAGE(AC361,Z361,K361,L361,M361,N361,J361,O361,Q361,S361,T361,U361,W361,X361,AD361,AE361,AF361,AH361,AI361,AJ361,AL361,AK361,AM361,AN361)</f>
        <v>4.958333333333333</v>
      </c>
      <c r="J361" s="87">
        <v>6</v>
      </c>
      <c r="K361" s="26">
        <v>4</v>
      </c>
      <c r="L361" s="37">
        <v>4</v>
      </c>
      <c r="M361" s="37">
        <v>5</v>
      </c>
      <c r="N361" s="37">
        <v>5</v>
      </c>
      <c r="O361" s="37">
        <v>5</v>
      </c>
      <c r="P361" s="37"/>
      <c r="Q361" s="37">
        <v>4</v>
      </c>
      <c r="R361" s="37" t="s">
        <v>611</v>
      </c>
      <c r="S361" s="37">
        <v>4</v>
      </c>
      <c r="T361" s="25">
        <v>7</v>
      </c>
      <c r="U361" s="24">
        <v>5</v>
      </c>
      <c r="V361" s="24"/>
      <c r="W361" s="37">
        <v>5</v>
      </c>
      <c r="X361" s="37">
        <v>5</v>
      </c>
      <c r="Y361" s="37" t="s">
        <v>611</v>
      </c>
      <c r="Z361" s="37">
        <v>5</v>
      </c>
      <c r="AA361" s="37" t="s">
        <v>611</v>
      </c>
      <c r="AB361" s="37" t="s">
        <v>611</v>
      </c>
      <c r="AC361" s="24">
        <v>5</v>
      </c>
      <c r="AD361" s="77">
        <v>6</v>
      </c>
      <c r="AE361" s="27">
        <v>4</v>
      </c>
      <c r="AF361" s="37">
        <v>4</v>
      </c>
      <c r="AG361" s="26" t="s">
        <v>611</v>
      </c>
      <c r="AH361" s="24">
        <v>5</v>
      </c>
      <c r="AI361" s="200">
        <v>7</v>
      </c>
      <c r="AJ361" s="27">
        <v>4</v>
      </c>
      <c r="AK361" s="32">
        <v>5</v>
      </c>
      <c r="AL361" s="37">
        <v>5</v>
      </c>
      <c r="AM361" s="37">
        <v>5</v>
      </c>
      <c r="AN361" s="76">
        <v>5</v>
      </c>
      <c r="AO361" s="26"/>
      <c r="AP361" s="37"/>
      <c r="AQ361" s="24"/>
      <c r="AR361">
        <f t="shared" si="13"/>
        <v>29</v>
      </c>
    </row>
    <row r="362" spans="1:44" x14ac:dyDescent="0.25">
      <c r="B362" t="str">
        <f t="shared" si="12"/>
        <v>SCB - Diallo</v>
      </c>
      <c r="C362" t="s">
        <v>855</v>
      </c>
      <c r="D362" s="29" t="s">
        <v>622</v>
      </c>
      <c r="E362" s="38" t="s">
        <v>847</v>
      </c>
      <c r="F362" s="31">
        <v>9</v>
      </c>
      <c r="G362" s="99">
        <v>6</v>
      </c>
      <c r="H362" s="114">
        <v>2</v>
      </c>
      <c r="I362" s="34">
        <f>AVERAGE(J362,N362,O362,Q362,S362,U362,V362,AG362,AI362,AK362)</f>
        <v>5.6</v>
      </c>
      <c r="J362" s="87">
        <v>6</v>
      </c>
      <c r="K362" s="26"/>
      <c r="L362" s="37"/>
      <c r="M362" s="37" t="s">
        <v>611</v>
      </c>
      <c r="N362" s="24">
        <v>4</v>
      </c>
      <c r="O362" s="24">
        <v>4</v>
      </c>
      <c r="P362" s="24"/>
      <c r="Q362" s="24">
        <v>6</v>
      </c>
      <c r="R362" s="37" t="s">
        <v>611</v>
      </c>
      <c r="S362" s="37">
        <v>6</v>
      </c>
      <c r="T362" s="37" t="s">
        <v>611</v>
      </c>
      <c r="U362" s="25">
        <v>8</v>
      </c>
      <c r="V362" s="24">
        <v>5</v>
      </c>
      <c r="W362" s="37"/>
      <c r="X362" s="24"/>
      <c r="Y362" s="24"/>
      <c r="Z362" s="24"/>
      <c r="AA362" s="37"/>
      <c r="AB362" s="24"/>
      <c r="AC362" s="24"/>
      <c r="AD362" s="37"/>
      <c r="AE362" s="27"/>
      <c r="AF362" s="37" t="s">
        <v>611</v>
      </c>
      <c r="AG362" s="26">
        <v>5</v>
      </c>
      <c r="AH362" s="37"/>
      <c r="AI362" s="27">
        <v>5</v>
      </c>
      <c r="AJ362" s="27"/>
      <c r="AK362" s="25">
        <v>7</v>
      </c>
      <c r="AL362" s="37" t="s">
        <v>611</v>
      </c>
      <c r="AM362" s="37"/>
      <c r="AN362" s="24"/>
      <c r="AO362" s="27"/>
      <c r="AP362" s="24"/>
      <c r="AQ362" s="24"/>
      <c r="AR362">
        <f t="shared" si="13"/>
        <v>15</v>
      </c>
    </row>
    <row r="363" spans="1:44" x14ac:dyDescent="0.25">
      <c r="B363" t="str">
        <f t="shared" si="12"/>
        <v>SCO - Thomas</v>
      </c>
      <c r="C363" t="s">
        <v>1034</v>
      </c>
      <c r="D363" s="29" t="s">
        <v>608</v>
      </c>
      <c r="E363" s="65" t="s">
        <v>49</v>
      </c>
      <c r="F363" s="31">
        <v>30</v>
      </c>
      <c r="G363" s="99"/>
      <c r="H363" s="73">
        <v>2</v>
      </c>
      <c r="I363" s="34">
        <f>AVERAGE(AA363,W363,K363,L363,M363,J363,N363,O363,P363,Q363,R363,S363,T363,U363,X363,Z363,Y363,AB363,AC363,AD363,AE363,AF363,AG363,AH363,AI363,AJ363,AK363,AL363,AM363,AN363)</f>
        <v>4.9000000000000004</v>
      </c>
      <c r="J363" s="179">
        <v>5</v>
      </c>
      <c r="K363" s="27">
        <v>5</v>
      </c>
      <c r="L363" s="37">
        <v>5</v>
      </c>
      <c r="M363" s="24">
        <v>5</v>
      </c>
      <c r="N363" s="37">
        <v>4</v>
      </c>
      <c r="O363" s="37">
        <v>5</v>
      </c>
      <c r="P363" s="24">
        <v>5</v>
      </c>
      <c r="Q363" s="77">
        <v>6</v>
      </c>
      <c r="R363" s="24">
        <v>5</v>
      </c>
      <c r="S363" s="23">
        <v>5</v>
      </c>
      <c r="T363" s="24">
        <v>5</v>
      </c>
      <c r="U363" s="24">
        <v>4</v>
      </c>
      <c r="V363" s="24"/>
      <c r="W363" s="37">
        <v>5</v>
      </c>
      <c r="X363" s="24">
        <v>5</v>
      </c>
      <c r="Y363" s="24">
        <v>6</v>
      </c>
      <c r="Z363" s="37">
        <v>5</v>
      </c>
      <c r="AA363" s="22">
        <v>6</v>
      </c>
      <c r="AB363" s="24">
        <v>4</v>
      </c>
      <c r="AC363" s="66">
        <v>7</v>
      </c>
      <c r="AD363" s="37">
        <v>5</v>
      </c>
      <c r="AE363" s="259">
        <v>3</v>
      </c>
      <c r="AF363" s="66">
        <v>7</v>
      </c>
      <c r="AG363" s="27">
        <v>4</v>
      </c>
      <c r="AH363" s="172">
        <v>3</v>
      </c>
      <c r="AI363" s="27">
        <v>5</v>
      </c>
      <c r="AJ363" s="244">
        <v>3</v>
      </c>
      <c r="AK363" s="24">
        <v>5</v>
      </c>
      <c r="AL363" s="24">
        <v>5</v>
      </c>
      <c r="AM363" s="37">
        <v>4</v>
      </c>
      <c r="AN363" s="24">
        <v>6</v>
      </c>
      <c r="AO363" s="27"/>
      <c r="AP363" s="37"/>
      <c r="AQ363" s="24"/>
      <c r="AR363">
        <f t="shared" si="13"/>
        <v>30</v>
      </c>
    </row>
    <row r="364" spans="1:44" x14ac:dyDescent="0.25">
      <c r="B364" t="str">
        <f t="shared" si="12"/>
        <v>SCB - Ngando</v>
      </c>
      <c r="C364" t="s">
        <v>855</v>
      </c>
      <c r="D364" s="29" t="s">
        <v>622</v>
      </c>
      <c r="E364" s="38" t="s">
        <v>848</v>
      </c>
      <c r="F364" s="31">
        <v>13</v>
      </c>
      <c r="G364" s="99">
        <v>4</v>
      </c>
      <c r="H364" s="114">
        <v>1</v>
      </c>
      <c r="I364" s="34">
        <f>AVERAGE(S364,T364,W364,Z364,AB364,AC364,AD364,AE364,AF364,AG364,AH364,AJ364,AM364)</f>
        <v>4.615384615384615</v>
      </c>
      <c r="J364" s="87"/>
      <c r="K364" s="37"/>
      <c r="L364" s="37"/>
      <c r="M364" s="77"/>
      <c r="N364" s="37" t="s">
        <v>611</v>
      </c>
      <c r="O364" s="24"/>
      <c r="P364" s="24"/>
      <c r="Q364" s="24"/>
      <c r="R364" s="24"/>
      <c r="S364" s="37">
        <v>4</v>
      </c>
      <c r="T364" s="37">
        <v>4</v>
      </c>
      <c r="U364" s="24"/>
      <c r="V364" s="24"/>
      <c r="W364" s="37">
        <v>4</v>
      </c>
      <c r="X364" s="24"/>
      <c r="Y364" s="37" t="s">
        <v>611</v>
      </c>
      <c r="Z364" s="24">
        <v>4</v>
      </c>
      <c r="AA364" s="37" t="s">
        <v>611</v>
      </c>
      <c r="AB364" s="24">
        <v>5</v>
      </c>
      <c r="AC364" s="24">
        <v>4</v>
      </c>
      <c r="AD364" s="37">
        <v>5</v>
      </c>
      <c r="AE364" s="27">
        <v>5</v>
      </c>
      <c r="AF364" s="84">
        <v>7</v>
      </c>
      <c r="AG364" s="24">
        <v>4</v>
      </c>
      <c r="AH364" s="24">
        <v>5</v>
      </c>
      <c r="AI364" s="24"/>
      <c r="AJ364" s="24">
        <v>5</v>
      </c>
      <c r="AK364" s="24"/>
      <c r="AL364" s="24"/>
      <c r="AM364" s="24">
        <v>4</v>
      </c>
      <c r="AN364" s="77" t="s">
        <v>611</v>
      </c>
      <c r="AO364" s="27"/>
      <c r="AP364" s="24"/>
      <c r="AQ364" s="24"/>
      <c r="AR364">
        <f t="shared" si="13"/>
        <v>17</v>
      </c>
    </row>
    <row r="365" spans="1:44" x14ac:dyDescent="0.25">
      <c r="B365" t="str">
        <f t="shared" si="12"/>
        <v>SCB - Mostefa</v>
      </c>
      <c r="C365" t="s">
        <v>855</v>
      </c>
      <c r="D365" s="29" t="s">
        <v>622</v>
      </c>
      <c r="E365" s="38" t="s">
        <v>773</v>
      </c>
      <c r="F365" s="31">
        <v>14</v>
      </c>
      <c r="G365" s="99">
        <v>5</v>
      </c>
      <c r="H365" s="114"/>
      <c r="I365" s="34">
        <f>AVERAGE(P365,Q365,R365,X365,Y365,Z365,AA365,AF365,AG365,AI365,AK365,AL365,AJ365,AM365)</f>
        <v>4.5714285714285712</v>
      </c>
      <c r="J365" s="87"/>
      <c r="K365" s="37"/>
      <c r="L365" s="37"/>
      <c r="M365" s="77"/>
      <c r="N365" s="24"/>
      <c r="O365" s="37"/>
      <c r="P365" s="24">
        <v>4</v>
      </c>
      <c r="Q365" s="24">
        <v>5</v>
      </c>
      <c r="R365" s="24">
        <v>4</v>
      </c>
      <c r="S365" s="37"/>
      <c r="T365" s="37"/>
      <c r="U365" s="37" t="s">
        <v>611</v>
      </c>
      <c r="V365" s="24"/>
      <c r="W365" s="37"/>
      <c r="X365" s="24">
        <v>4</v>
      </c>
      <c r="Y365" s="24">
        <v>4</v>
      </c>
      <c r="Z365" s="24">
        <v>5</v>
      </c>
      <c r="AA365" s="37">
        <v>4</v>
      </c>
      <c r="AB365" s="37" t="s">
        <v>611</v>
      </c>
      <c r="AC365" s="37" t="s">
        <v>611</v>
      </c>
      <c r="AD365" s="37" t="s">
        <v>611</v>
      </c>
      <c r="AE365" s="26" t="s">
        <v>611</v>
      </c>
      <c r="AF365" s="37">
        <v>5</v>
      </c>
      <c r="AG365" s="24">
        <v>4</v>
      </c>
      <c r="AH365" s="24"/>
      <c r="AI365" s="24">
        <v>6</v>
      </c>
      <c r="AJ365" s="24">
        <v>5</v>
      </c>
      <c r="AK365" s="24">
        <v>5</v>
      </c>
      <c r="AL365" s="24">
        <v>5</v>
      </c>
      <c r="AM365" s="24">
        <v>4</v>
      </c>
      <c r="AN365" s="37"/>
      <c r="AO365" s="27"/>
      <c r="AP365" s="24"/>
      <c r="AQ365" s="24"/>
      <c r="AR365">
        <f t="shared" si="13"/>
        <v>19</v>
      </c>
    </row>
    <row r="366" spans="1:44" x14ac:dyDescent="0.25">
      <c r="B366" t="str">
        <f t="shared" si="12"/>
        <v>SCB - Houri</v>
      </c>
      <c r="C366" t="s">
        <v>855</v>
      </c>
      <c r="D366" s="50" t="s">
        <v>622</v>
      </c>
      <c r="E366" s="57" t="s">
        <v>850</v>
      </c>
      <c r="F366" s="52"/>
      <c r="G366" s="63">
        <v>1</v>
      </c>
      <c r="H366" s="278"/>
      <c r="I366" s="34"/>
      <c r="J366" s="150"/>
      <c r="K366" s="62"/>
      <c r="L366" s="61"/>
      <c r="M366" s="61"/>
      <c r="N366" s="53"/>
      <c r="O366" s="53"/>
      <c r="P366" s="53"/>
      <c r="Q366" s="53"/>
      <c r="R366" s="53"/>
      <c r="S366" s="61"/>
      <c r="T366" s="61"/>
      <c r="U366" s="53"/>
      <c r="V366" s="53"/>
      <c r="W366" s="61" t="s">
        <v>611</v>
      </c>
      <c r="X366" s="53"/>
      <c r="Y366" s="53"/>
      <c r="Z366" s="53"/>
      <c r="AA366" s="61"/>
      <c r="AB366" s="53"/>
      <c r="AC366" s="53"/>
      <c r="AD366" s="61"/>
      <c r="AE366" s="63"/>
      <c r="AF366" s="61"/>
      <c r="AG366" s="53"/>
      <c r="AH366" s="61"/>
      <c r="AI366" s="53"/>
      <c r="AJ366" s="61"/>
      <c r="AK366" s="53"/>
      <c r="AL366" s="53"/>
      <c r="AM366" s="53"/>
      <c r="AN366" s="53"/>
      <c r="AO366" s="63"/>
      <c r="AP366" s="53"/>
      <c r="AQ366" s="53"/>
      <c r="AR366">
        <f t="shared" si="13"/>
        <v>1</v>
      </c>
    </row>
    <row r="367" spans="1:44" x14ac:dyDescent="0.25">
      <c r="B367" t="str">
        <f t="shared" si="12"/>
        <v>SCO - Saïss</v>
      </c>
      <c r="C367" t="s">
        <v>1034</v>
      </c>
      <c r="D367" s="201" t="s">
        <v>622</v>
      </c>
      <c r="E367" s="286" t="s">
        <v>1029</v>
      </c>
      <c r="F367" s="202">
        <v>29</v>
      </c>
      <c r="G367" s="203"/>
      <c r="H367" s="204">
        <v>2</v>
      </c>
      <c r="I367" s="126">
        <f>AVERAGE(AA367,K367,L367,M367,J367,O367,N367,P367,Q367,R367,T367,U367,V367,W367,X367,Y367,Z367,AB367,AC367,AD367,AE367,AF367,AG367,AH367,AI367,AK367,AL367,AM367,AN367)</f>
        <v>5.1724137931034484</v>
      </c>
      <c r="J367" s="179">
        <v>5</v>
      </c>
      <c r="K367" s="27">
        <v>5</v>
      </c>
      <c r="L367" s="37">
        <v>5</v>
      </c>
      <c r="M367" s="37">
        <v>4</v>
      </c>
      <c r="N367" s="75">
        <v>7</v>
      </c>
      <c r="O367" s="37">
        <v>5</v>
      </c>
      <c r="P367" s="24">
        <v>5</v>
      </c>
      <c r="Q367" s="37">
        <v>4</v>
      </c>
      <c r="R367" s="24">
        <v>5</v>
      </c>
      <c r="S367" s="23"/>
      <c r="T367" s="24">
        <v>6</v>
      </c>
      <c r="U367" s="24">
        <v>5</v>
      </c>
      <c r="V367" s="24">
        <v>5</v>
      </c>
      <c r="W367" s="37">
        <v>6</v>
      </c>
      <c r="X367" s="24">
        <v>6</v>
      </c>
      <c r="Y367" s="24">
        <v>5</v>
      </c>
      <c r="Z367" s="37">
        <v>5</v>
      </c>
      <c r="AA367" s="24">
        <v>5</v>
      </c>
      <c r="AB367" s="24">
        <v>4</v>
      </c>
      <c r="AC367" s="24">
        <v>5</v>
      </c>
      <c r="AD367" s="84">
        <v>7</v>
      </c>
      <c r="AE367" s="244">
        <v>3</v>
      </c>
      <c r="AF367" s="24">
        <v>6</v>
      </c>
      <c r="AG367" s="27">
        <v>5</v>
      </c>
      <c r="AH367" s="82">
        <v>3</v>
      </c>
      <c r="AI367" s="27">
        <v>5</v>
      </c>
      <c r="AJ367" s="27"/>
      <c r="AK367" s="24">
        <v>5</v>
      </c>
      <c r="AL367" s="24">
        <v>6</v>
      </c>
      <c r="AM367" s="37">
        <v>5</v>
      </c>
      <c r="AN367" s="25">
        <v>8</v>
      </c>
      <c r="AO367" s="27"/>
      <c r="AP367" s="37"/>
      <c r="AQ367" s="24"/>
      <c r="AR367">
        <f t="shared" si="13"/>
        <v>29</v>
      </c>
    </row>
    <row r="368" spans="1:44" x14ac:dyDescent="0.25">
      <c r="B368" t="str">
        <f t="shared" si="12"/>
        <v>SCB - Brandao</v>
      </c>
      <c r="C368" t="s">
        <v>855</v>
      </c>
      <c r="D368" s="29" t="s">
        <v>633</v>
      </c>
      <c r="E368" s="30" t="s">
        <v>852</v>
      </c>
      <c r="F368" s="31">
        <v>17</v>
      </c>
      <c r="G368" s="99">
        <v>4</v>
      </c>
      <c r="H368" s="73">
        <v>3</v>
      </c>
      <c r="I368" s="34">
        <f>AVERAGE(J368,N368,O368,Q368,R368,V368,W368,Y368,AA368,AB368,AC368,AD368,AF368,AH368,AG368,AI368,AK368,AL368,AJ368,AN368)</f>
        <v>4.3</v>
      </c>
      <c r="J368" s="205">
        <v>3</v>
      </c>
      <c r="K368" s="157"/>
      <c r="L368" s="37"/>
      <c r="M368" s="37"/>
      <c r="N368" s="22">
        <v>5</v>
      </c>
      <c r="O368" s="24">
        <v>4</v>
      </c>
      <c r="P368" s="24"/>
      <c r="Q368" s="24">
        <v>5</v>
      </c>
      <c r="R368" s="24">
        <v>4</v>
      </c>
      <c r="S368" s="37" t="s">
        <v>611</v>
      </c>
      <c r="T368" s="24"/>
      <c r="U368" s="24"/>
      <c r="V368" s="24">
        <v>4</v>
      </c>
      <c r="W368" s="22">
        <v>5</v>
      </c>
      <c r="X368" s="24"/>
      <c r="Y368" s="24">
        <v>4</v>
      </c>
      <c r="Z368" s="24"/>
      <c r="AA368" s="24">
        <v>5</v>
      </c>
      <c r="AB368" s="37">
        <v>5</v>
      </c>
      <c r="AC368" s="24">
        <v>4</v>
      </c>
      <c r="AD368" s="24">
        <v>4</v>
      </c>
      <c r="AE368" s="27"/>
      <c r="AF368" s="22">
        <v>6</v>
      </c>
      <c r="AG368" s="26">
        <v>4</v>
      </c>
      <c r="AH368" s="24">
        <v>4</v>
      </c>
      <c r="AI368" s="27">
        <v>4</v>
      </c>
      <c r="AJ368" s="244">
        <v>3</v>
      </c>
      <c r="AK368" s="24">
        <v>5</v>
      </c>
      <c r="AL368" s="24">
        <v>4</v>
      </c>
      <c r="AM368" s="24"/>
      <c r="AN368" s="24">
        <v>4</v>
      </c>
      <c r="AO368" s="27"/>
      <c r="AP368" s="24"/>
      <c r="AQ368" s="24"/>
      <c r="AR368">
        <f t="shared" si="13"/>
        <v>21</v>
      </c>
    </row>
    <row r="369" spans="1:44" x14ac:dyDescent="0.25">
      <c r="B369" t="str">
        <f t="shared" si="12"/>
        <v>SCB - Kamano</v>
      </c>
      <c r="C369" t="s">
        <v>855</v>
      </c>
      <c r="D369" s="29" t="s">
        <v>633</v>
      </c>
      <c r="E369" s="60" t="s">
        <v>528</v>
      </c>
      <c r="F369" s="31">
        <v>10</v>
      </c>
      <c r="G369" s="99">
        <v>6</v>
      </c>
      <c r="H369" s="73">
        <v>1</v>
      </c>
      <c r="I369" s="34">
        <f>AVERAGE(K369,L369,M369,J369,AF369,AG369,AL369,AJ369,AM369)</f>
        <v>4.2222222222222223</v>
      </c>
      <c r="J369" s="181">
        <v>5</v>
      </c>
      <c r="K369" s="26">
        <v>4</v>
      </c>
      <c r="L369" s="37">
        <v>4</v>
      </c>
      <c r="M369" s="172">
        <v>3</v>
      </c>
      <c r="N369" s="24"/>
      <c r="O369" s="24"/>
      <c r="P369" s="24" t="s">
        <v>623</v>
      </c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2"/>
      <c r="AC369" s="37" t="s">
        <v>611</v>
      </c>
      <c r="AD369" s="37" t="s">
        <v>611</v>
      </c>
      <c r="AE369" s="26" t="s">
        <v>611</v>
      </c>
      <c r="AF369" s="24">
        <v>5</v>
      </c>
      <c r="AG369" s="140">
        <v>4</v>
      </c>
      <c r="AH369" s="76" t="s">
        <v>611</v>
      </c>
      <c r="AI369" s="26" t="s">
        <v>611</v>
      </c>
      <c r="AJ369" s="27">
        <v>4</v>
      </c>
      <c r="AK369" s="24"/>
      <c r="AL369" s="24">
        <v>5</v>
      </c>
      <c r="AM369" s="24">
        <v>4</v>
      </c>
      <c r="AN369" s="37" t="s">
        <v>611</v>
      </c>
      <c r="AO369" s="27"/>
      <c r="AP369" s="37"/>
      <c r="AQ369" s="22"/>
      <c r="AR369">
        <f t="shared" si="13"/>
        <v>16</v>
      </c>
    </row>
    <row r="370" spans="1:44" x14ac:dyDescent="0.25">
      <c r="B370" t="str">
        <f t="shared" si="12"/>
        <v>SCB - Koné</v>
      </c>
      <c r="C370" t="s">
        <v>855</v>
      </c>
      <c r="D370" s="131" t="s">
        <v>633</v>
      </c>
      <c r="E370" s="132" t="s">
        <v>853</v>
      </c>
      <c r="F370" s="133"/>
      <c r="G370" s="134"/>
      <c r="H370" s="135"/>
      <c r="I370" s="34"/>
      <c r="J370" s="206"/>
      <c r="K370" s="207"/>
      <c r="L370" s="207"/>
      <c r="M370" s="207"/>
      <c r="N370" s="207"/>
      <c r="O370" s="207"/>
      <c r="P370" s="208"/>
      <c r="Q370" s="207"/>
      <c r="R370" s="207"/>
      <c r="S370" s="208"/>
      <c r="T370" s="208"/>
      <c r="U370" s="208"/>
      <c r="V370" s="208"/>
      <c r="W370" s="208"/>
      <c r="X370" s="208"/>
      <c r="Y370" s="208"/>
      <c r="Z370" s="207"/>
      <c r="AA370" s="208"/>
      <c r="AB370" s="208"/>
      <c r="AC370" s="208"/>
      <c r="AD370" s="208"/>
      <c r="AE370" s="209"/>
      <c r="AF370" s="208"/>
      <c r="AG370" s="209"/>
      <c r="AH370" s="208"/>
      <c r="AI370" s="209"/>
      <c r="AJ370" s="209"/>
      <c r="AK370" s="208"/>
      <c r="AL370" s="208"/>
      <c r="AM370" s="208"/>
      <c r="AN370" s="208"/>
      <c r="AO370" s="209"/>
      <c r="AP370" s="208"/>
      <c r="AQ370" s="208"/>
      <c r="AR370">
        <f t="shared" si="13"/>
        <v>0</v>
      </c>
    </row>
    <row r="371" spans="1:44" x14ac:dyDescent="0.25">
      <c r="B371" t="str">
        <f t="shared" si="12"/>
        <v>SCB - Raspentino</v>
      </c>
      <c r="C371" t="s">
        <v>855</v>
      </c>
      <c r="D371" s="29" t="s">
        <v>633</v>
      </c>
      <c r="E371" s="38" t="s">
        <v>849</v>
      </c>
      <c r="F371" s="31">
        <v>5</v>
      </c>
      <c r="G371" s="99">
        <v>5</v>
      </c>
      <c r="H371" s="114">
        <v>1</v>
      </c>
      <c r="I371" s="34">
        <f>AVERAGE(V371,X371,Z371,AA371,AB371)</f>
        <v>4</v>
      </c>
      <c r="J371" s="87"/>
      <c r="K371" s="37"/>
      <c r="L371" s="37"/>
      <c r="M371" s="77"/>
      <c r="N371" s="24"/>
      <c r="O371" s="37" t="s">
        <v>611</v>
      </c>
      <c r="P371" s="37" t="s">
        <v>611</v>
      </c>
      <c r="Q371" s="24"/>
      <c r="R371" s="37" t="s">
        <v>611</v>
      </c>
      <c r="S371" s="37"/>
      <c r="T371" s="37" t="s">
        <v>611</v>
      </c>
      <c r="U371" s="37" t="s">
        <v>611</v>
      </c>
      <c r="V371" s="24">
        <v>4</v>
      </c>
      <c r="W371" s="37"/>
      <c r="X371" s="24">
        <v>4</v>
      </c>
      <c r="Y371" s="77" t="s">
        <v>611</v>
      </c>
      <c r="Z371" s="24">
        <v>4</v>
      </c>
      <c r="AA371" s="37">
        <v>4</v>
      </c>
      <c r="AB371" s="24">
        <v>4</v>
      </c>
      <c r="AC371" s="24"/>
      <c r="AD371" s="37"/>
      <c r="AE371" s="27"/>
      <c r="AF371" s="37"/>
      <c r="AG371" s="24"/>
      <c r="AH371" s="24"/>
      <c r="AI371" s="24"/>
      <c r="AJ371" s="24"/>
      <c r="AK371" s="24"/>
      <c r="AL371" s="24"/>
      <c r="AM371" s="24"/>
      <c r="AN371" s="37"/>
      <c r="AO371" s="27"/>
      <c r="AP371" s="24"/>
      <c r="AQ371" s="24"/>
      <c r="AR371">
        <f t="shared" si="13"/>
        <v>10</v>
      </c>
    </row>
    <row r="372" spans="1:44" x14ac:dyDescent="0.25">
      <c r="B372" t="str">
        <f t="shared" si="12"/>
        <v>SCB - Maboulou</v>
      </c>
      <c r="C372" t="s">
        <v>855</v>
      </c>
      <c r="D372" s="29" t="s">
        <v>633</v>
      </c>
      <c r="E372" s="60" t="s">
        <v>846</v>
      </c>
      <c r="F372" s="31">
        <v>1</v>
      </c>
      <c r="G372" s="99">
        <v>6</v>
      </c>
      <c r="H372" s="73"/>
      <c r="I372" s="34">
        <f>AVERAGE(K372)</f>
        <v>4</v>
      </c>
      <c r="J372" s="76" t="s">
        <v>611</v>
      </c>
      <c r="K372" s="26">
        <v>4</v>
      </c>
      <c r="L372" s="37" t="s">
        <v>611</v>
      </c>
      <c r="M372" s="37"/>
      <c r="N372" s="24"/>
      <c r="O372" s="24"/>
      <c r="P372" s="37"/>
      <c r="Q372" s="37" t="s">
        <v>611</v>
      </c>
      <c r="R372" s="24"/>
      <c r="S372" s="24"/>
      <c r="T372" s="22"/>
      <c r="U372" s="24"/>
      <c r="V372" s="24"/>
      <c r="W372" s="37"/>
      <c r="X372" s="24"/>
      <c r="Y372" s="24"/>
      <c r="Z372" s="37"/>
      <c r="AA372" s="24"/>
      <c r="AB372" s="24"/>
      <c r="AC372" s="24"/>
      <c r="AD372" s="24"/>
      <c r="AE372" s="27"/>
      <c r="AF372" s="37" t="s">
        <v>611</v>
      </c>
      <c r="AG372" s="27"/>
      <c r="AH372" s="24"/>
      <c r="AI372" s="27"/>
      <c r="AJ372" s="27"/>
      <c r="AK372" s="24"/>
      <c r="AL372" s="24"/>
      <c r="AM372" s="37" t="s">
        <v>611</v>
      </c>
      <c r="AN372" s="37" t="s">
        <v>611</v>
      </c>
      <c r="AO372" s="26"/>
      <c r="AP372" s="24"/>
      <c r="AQ372" s="24"/>
      <c r="AR372">
        <f t="shared" si="13"/>
        <v>7</v>
      </c>
    </row>
    <row r="373" spans="1:44" ht="15.75" thickBot="1" x14ac:dyDescent="0.3">
      <c r="B373" t="str">
        <f t="shared" si="12"/>
        <v>SCB - Coulibaly</v>
      </c>
      <c r="C373" t="s">
        <v>855</v>
      </c>
      <c r="D373" s="88" t="s">
        <v>633</v>
      </c>
      <c r="E373" s="210" t="s">
        <v>854</v>
      </c>
      <c r="F373" s="90">
        <v>4</v>
      </c>
      <c r="G373" s="120">
        <v>7</v>
      </c>
      <c r="H373" s="89">
        <v>1</v>
      </c>
      <c r="I373" s="121">
        <f>AVERAGE(M373,R373,AA373,AF373,AG373)</f>
        <v>4.5999999999999996</v>
      </c>
      <c r="J373" s="87" t="s">
        <v>611</v>
      </c>
      <c r="K373" s="37"/>
      <c r="L373" s="77" t="s">
        <v>611</v>
      </c>
      <c r="M373" s="37">
        <v>5</v>
      </c>
      <c r="N373" s="24"/>
      <c r="O373" s="37" t="s">
        <v>611</v>
      </c>
      <c r="P373" s="24"/>
      <c r="Q373" s="37" t="s">
        <v>611</v>
      </c>
      <c r="R373" s="24">
        <v>4</v>
      </c>
      <c r="S373" s="24"/>
      <c r="T373" s="37"/>
      <c r="U373" s="37"/>
      <c r="V373" s="37"/>
      <c r="W373" s="24"/>
      <c r="X373" s="37"/>
      <c r="Y373" s="24"/>
      <c r="Z373" s="24"/>
      <c r="AA373" s="37">
        <v>4</v>
      </c>
      <c r="AB373" s="24"/>
      <c r="AC373" s="24"/>
      <c r="AD373" s="24"/>
      <c r="AE373" s="27"/>
      <c r="AF373" s="37">
        <v>6</v>
      </c>
      <c r="AG373" s="27">
        <v>4</v>
      </c>
      <c r="AH373" s="76" t="s">
        <v>611</v>
      </c>
      <c r="AI373" s="28"/>
      <c r="AJ373" s="26" t="s">
        <v>611</v>
      </c>
      <c r="AK373" s="22"/>
      <c r="AL373" s="37"/>
      <c r="AM373" s="24"/>
      <c r="AN373" s="22"/>
      <c r="AO373" s="26"/>
      <c r="AP373" s="22"/>
      <c r="AQ373" s="24"/>
      <c r="AR373">
        <f t="shared" si="13"/>
        <v>11</v>
      </c>
    </row>
    <row r="374" spans="1:44" x14ac:dyDescent="0.25">
      <c r="B374" t="str">
        <f t="shared" si="12"/>
        <v>SCO - Sunu</v>
      </c>
      <c r="C374" t="s">
        <v>1034</v>
      </c>
      <c r="D374" s="17" t="s">
        <v>633</v>
      </c>
      <c r="E374" s="287" t="s">
        <v>191</v>
      </c>
      <c r="F374" s="18">
        <v>25</v>
      </c>
      <c r="G374" s="95"/>
      <c r="H374" s="160">
        <v>2</v>
      </c>
      <c r="I374" s="34">
        <f>AVERAGE(AA374,K374,L374,M374,J374,S374,T374,U374,V374,W374,X374,Y374,Z374,AB374,AC374,AD374,AE374,AF374,AG374,AH374,AI374,AK374,AL374,AM374,AN374)</f>
        <v>4.5599999999999996</v>
      </c>
      <c r="J374" s="181">
        <v>6</v>
      </c>
      <c r="K374" s="24">
        <v>5</v>
      </c>
      <c r="L374" s="26">
        <v>4</v>
      </c>
      <c r="M374" s="24">
        <v>4</v>
      </c>
      <c r="N374" s="37"/>
      <c r="O374" s="37"/>
      <c r="P374" s="24"/>
      <c r="Q374" s="37"/>
      <c r="R374" s="24"/>
      <c r="S374" s="23">
        <v>5</v>
      </c>
      <c r="T374" s="24">
        <v>5</v>
      </c>
      <c r="U374" s="24">
        <v>5</v>
      </c>
      <c r="V374" s="37">
        <v>4</v>
      </c>
      <c r="W374" s="37">
        <v>4</v>
      </c>
      <c r="X374" s="22">
        <v>6</v>
      </c>
      <c r="Y374" s="24">
        <v>4</v>
      </c>
      <c r="Z374" s="37">
        <v>5</v>
      </c>
      <c r="AA374" s="24">
        <v>4</v>
      </c>
      <c r="AB374" s="37">
        <v>4</v>
      </c>
      <c r="AC374" s="24">
        <v>5</v>
      </c>
      <c r="AD374" s="76">
        <v>4</v>
      </c>
      <c r="AE374" s="23">
        <v>4</v>
      </c>
      <c r="AF374" s="24">
        <v>6</v>
      </c>
      <c r="AG374" s="23">
        <v>4</v>
      </c>
      <c r="AH374" s="24">
        <v>4</v>
      </c>
      <c r="AI374" s="27">
        <v>4</v>
      </c>
      <c r="AJ374" s="37"/>
      <c r="AK374" s="23">
        <v>4</v>
      </c>
      <c r="AL374" s="24">
        <v>4</v>
      </c>
      <c r="AM374" s="26">
        <v>4</v>
      </c>
      <c r="AN374" s="24">
        <v>6</v>
      </c>
      <c r="AO374" s="24"/>
      <c r="AP374" s="37"/>
      <c r="AQ374" s="37"/>
      <c r="AR374">
        <f t="shared" si="13"/>
        <v>25</v>
      </c>
    </row>
    <row r="375" spans="1:44" x14ac:dyDescent="0.25">
      <c r="B375" t="str">
        <f t="shared" si="12"/>
        <v>SRFC - Diallo</v>
      </c>
      <c r="C375" t="s">
        <v>881</v>
      </c>
      <c r="D375" s="38" t="s">
        <v>605</v>
      </c>
      <c r="E375" s="30" t="s">
        <v>847</v>
      </c>
      <c r="F375" s="31">
        <v>7</v>
      </c>
      <c r="G375" s="99"/>
      <c r="H375" s="73"/>
      <c r="I375" s="211">
        <f>AVERAGE(N375,O375,P375,Q375,R375,S375,T375)</f>
        <v>5.1428571428571432</v>
      </c>
      <c r="J375" s="87"/>
      <c r="K375" s="22"/>
      <c r="L375" s="23"/>
      <c r="M375" s="23"/>
      <c r="N375" s="22">
        <v>6</v>
      </c>
      <c r="O375" s="24">
        <v>5</v>
      </c>
      <c r="P375" s="24">
        <v>4</v>
      </c>
      <c r="Q375" s="24">
        <v>5</v>
      </c>
      <c r="R375" s="23">
        <v>6</v>
      </c>
      <c r="S375" s="23">
        <v>4</v>
      </c>
      <c r="T375" s="23">
        <v>6</v>
      </c>
      <c r="U375" s="24"/>
      <c r="V375" s="22"/>
      <c r="W375" s="22"/>
      <c r="X375" s="22"/>
      <c r="Y375" s="24"/>
      <c r="Z375" s="24"/>
      <c r="AA375" s="24"/>
      <c r="AB375" s="24"/>
      <c r="AC375" s="24"/>
      <c r="AD375" s="22"/>
      <c r="AE375" s="24"/>
      <c r="AF375" s="24"/>
      <c r="AG375" s="24"/>
      <c r="AH375" s="24"/>
      <c r="AI375" s="27"/>
      <c r="AJ375" s="22"/>
      <c r="AK375" s="22"/>
      <c r="AL375" s="24"/>
      <c r="AM375" s="28"/>
      <c r="AN375" s="22"/>
      <c r="AO375" s="22"/>
      <c r="AP375" s="24"/>
      <c r="AQ375" s="24"/>
      <c r="AR375">
        <f t="shared" si="13"/>
        <v>7</v>
      </c>
    </row>
    <row r="376" spans="1:44" x14ac:dyDescent="0.25">
      <c r="B376" t="str">
        <f t="shared" si="12"/>
        <v>SRFC - Sorin</v>
      </c>
      <c r="C376" t="s">
        <v>881</v>
      </c>
      <c r="D376" s="86" t="s">
        <v>605</v>
      </c>
      <c r="E376" s="85" t="s">
        <v>857</v>
      </c>
      <c r="F376" s="69"/>
      <c r="G376" s="115"/>
      <c r="H376" s="68"/>
      <c r="I376" s="211"/>
      <c r="J376" s="87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7"/>
      <c r="AJ376" s="24"/>
      <c r="AK376" s="24"/>
      <c r="AL376" s="24"/>
      <c r="AM376" s="27"/>
      <c r="AN376" s="24"/>
      <c r="AO376" s="24"/>
      <c r="AP376" s="24"/>
      <c r="AQ376" s="24"/>
      <c r="AR376">
        <f t="shared" si="13"/>
        <v>0</v>
      </c>
    </row>
    <row r="377" spans="1:44" x14ac:dyDescent="0.25">
      <c r="A377">
        <v>0</v>
      </c>
      <c r="B377" t="str">
        <f t="shared" si="12"/>
        <v>PSG - Thiago Silva</v>
      </c>
      <c r="C377" t="s">
        <v>673</v>
      </c>
      <c r="D377" s="30" t="s">
        <v>608</v>
      </c>
      <c r="E377" t="s">
        <v>25</v>
      </c>
      <c r="F377" s="31">
        <v>25</v>
      </c>
      <c r="G377" s="99">
        <v>1</v>
      </c>
      <c r="H377" s="174">
        <v>1</v>
      </c>
      <c r="I377" s="126">
        <f>AVERAGE(AA377,Z377,X377,K377,L377,M377,J377,N377,O377,Q377,R377,S377,T377,U377,V377,W377,Y377,AB377,AC377,AG377,AH377,AJ377,AK377,AM377,AN377)</f>
        <v>6</v>
      </c>
      <c r="J377" s="101">
        <v>6</v>
      </c>
      <c r="K377" s="75">
        <v>8</v>
      </c>
      <c r="L377" s="37">
        <v>6</v>
      </c>
      <c r="M377" s="37">
        <v>6</v>
      </c>
      <c r="N377" s="37">
        <v>6</v>
      </c>
      <c r="O377" s="24">
        <v>5</v>
      </c>
      <c r="P377" s="37" t="s">
        <v>611</v>
      </c>
      <c r="Q377" s="24">
        <v>5</v>
      </c>
      <c r="R377" s="24">
        <v>5</v>
      </c>
      <c r="S377" s="66">
        <v>7</v>
      </c>
      <c r="T377" s="24">
        <v>5</v>
      </c>
      <c r="U377" s="24">
        <v>6</v>
      </c>
      <c r="V377" s="24">
        <v>6</v>
      </c>
      <c r="W377" s="24">
        <v>6</v>
      </c>
      <c r="X377" s="24">
        <v>6</v>
      </c>
      <c r="Y377" s="24">
        <v>6</v>
      </c>
      <c r="Z377" s="24">
        <v>6</v>
      </c>
      <c r="AA377" s="24">
        <v>6</v>
      </c>
      <c r="AB377" s="24">
        <v>6</v>
      </c>
      <c r="AC377" s="66">
        <v>7</v>
      </c>
      <c r="AD377" s="24"/>
      <c r="AE377" s="24"/>
      <c r="AF377" s="24"/>
      <c r="AG377" s="24">
        <v>6</v>
      </c>
      <c r="AH377" s="66">
        <v>7</v>
      </c>
      <c r="AI377" s="28"/>
      <c r="AJ377" s="24">
        <v>6</v>
      </c>
      <c r="AK377" s="24">
        <v>5</v>
      </c>
      <c r="AL377" s="24"/>
      <c r="AM377" s="27">
        <v>6</v>
      </c>
      <c r="AN377" s="24">
        <v>6</v>
      </c>
      <c r="AO377" s="24"/>
      <c r="AP377" s="24"/>
      <c r="AQ377" s="24"/>
      <c r="AR377">
        <f t="shared" si="13"/>
        <v>26</v>
      </c>
    </row>
    <row r="378" spans="1:44" x14ac:dyDescent="0.25">
      <c r="B378" t="str">
        <f t="shared" si="12"/>
        <v>SRFC - Danzé</v>
      </c>
      <c r="C378" t="s">
        <v>881</v>
      </c>
      <c r="D378" t="s">
        <v>608</v>
      </c>
      <c r="E378" t="s">
        <v>858</v>
      </c>
      <c r="F378" s="31">
        <v>13</v>
      </c>
      <c r="G378" s="99">
        <v>2</v>
      </c>
      <c r="H378" s="73"/>
      <c r="I378" s="34">
        <f>AVERAGE(P378,Z378,AA378,AB378,AE378,AF378,AG378,AH378,AI378,AK378,AL378,AM378,AN378)</f>
        <v>5.0769230769230766</v>
      </c>
      <c r="J378" s="87"/>
      <c r="K378" s="212"/>
      <c r="L378" s="24"/>
      <c r="M378" s="24"/>
      <c r="N378" s="37" t="s">
        <v>611</v>
      </c>
      <c r="O378" s="24"/>
      <c r="P378" s="24">
        <v>6</v>
      </c>
      <c r="Q378" s="24"/>
      <c r="R378" s="76" t="s">
        <v>611</v>
      </c>
      <c r="S378" s="24"/>
      <c r="T378" s="24"/>
      <c r="U378" s="24"/>
      <c r="V378" s="24"/>
      <c r="W378" s="24"/>
      <c r="X378" s="24"/>
      <c r="Y378" s="24"/>
      <c r="Z378" s="24">
        <v>5</v>
      </c>
      <c r="AA378" s="24">
        <v>5</v>
      </c>
      <c r="AB378" s="24">
        <v>5</v>
      </c>
      <c r="AC378" s="24"/>
      <c r="AD378" s="24"/>
      <c r="AE378" s="24">
        <v>6</v>
      </c>
      <c r="AF378" s="82">
        <v>3</v>
      </c>
      <c r="AG378" s="24">
        <v>4</v>
      </c>
      <c r="AH378" s="24">
        <v>4</v>
      </c>
      <c r="AI378" s="27">
        <v>6</v>
      </c>
      <c r="AJ378" s="24"/>
      <c r="AK378" s="24">
        <v>6</v>
      </c>
      <c r="AL378" s="24">
        <v>6</v>
      </c>
      <c r="AM378" s="27">
        <v>5</v>
      </c>
      <c r="AN378" s="24">
        <v>5</v>
      </c>
      <c r="AO378" s="24"/>
      <c r="AP378" s="24"/>
      <c r="AQ378" s="24"/>
      <c r="AR378">
        <f t="shared" si="13"/>
        <v>15</v>
      </c>
    </row>
    <row r="379" spans="1:44" x14ac:dyDescent="0.25">
      <c r="B379" t="str">
        <f t="shared" si="12"/>
        <v>SRFC - Mexer</v>
      </c>
      <c r="C379" t="s">
        <v>881</v>
      </c>
      <c r="D379" t="s">
        <v>608</v>
      </c>
      <c r="E379" s="124" t="s">
        <v>859</v>
      </c>
      <c r="F379" s="31">
        <v>13</v>
      </c>
      <c r="G379" s="99"/>
      <c r="H379" s="73"/>
      <c r="I379" s="34">
        <f>AVERAGE(K379,L379,M379,J379,N379,O379,P379,Q379,X379,Y379,AF379,AG379,AH379)</f>
        <v>4.5384615384615383</v>
      </c>
      <c r="J379" s="177">
        <v>5</v>
      </c>
      <c r="K379" s="213">
        <v>5</v>
      </c>
      <c r="L379" s="21">
        <v>4</v>
      </c>
      <c r="M379" s="24">
        <v>5</v>
      </c>
      <c r="N379" s="24">
        <v>5</v>
      </c>
      <c r="O379" s="24">
        <v>5</v>
      </c>
      <c r="P379" s="24">
        <v>4</v>
      </c>
      <c r="Q379" s="24">
        <v>4</v>
      </c>
      <c r="R379" s="24"/>
      <c r="S379" s="24"/>
      <c r="T379" s="24"/>
      <c r="U379" s="24"/>
      <c r="V379" s="24"/>
      <c r="W379" s="24"/>
      <c r="X379" s="24">
        <v>5</v>
      </c>
      <c r="Y379" s="24">
        <v>5</v>
      </c>
      <c r="Z379" s="24"/>
      <c r="AA379" s="24"/>
      <c r="AB379" s="22"/>
      <c r="AC379" s="24"/>
      <c r="AD379" s="24"/>
      <c r="AE379" s="24"/>
      <c r="AF379" s="82">
        <v>3</v>
      </c>
      <c r="AG379" s="24">
        <v>4</v>
      </c>
      <c r="AH379" s="24">
        <v>5</v>
      </c>
      <c r="AI379" s="27"/>
      <c r="AJ379" s="24"/>
      <c r="AK379" s="24"/>
      <c r="AL379" s="24"/>
      <c r="AM379" s="27"/>
      <c r="AN379" s="22"/>
      <c r="AO379" s="24"/>
      <c r="AP379" s="24"/>
      <c r="AQ379" s="24"/>
      <c r="AR379">
        <f t="shared" si="13"/>
        <v>13</v>
      </c>
    </row>
    <row r="380" spans="1:44" x14ac:dyDescent="0.25">
      <c r="B380" t="str">
        <f t="shared" si="12"/>
        <v>SRFC - Zajkov</v>
      </c>
      <c r="C380" t="s">
        <v>881</v>
      </c>
      <c r="D380" s="64" t="s">
        <v>608</v>
      </c>
      <c r="E380" s="214" t="s">
        <v>860</v>
      </c>
      <c r="F380" s="52"/>
      <c r="G380" s="63"/>
      <c r="H380" s="146"/>
      <c r="I380" s="34"/>
      <c r="J380" s="58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  <c r="AG380" s="46"/>
      <c r="AH380" s="46"/>
      <c r="AI380" s="47"/>
      <c r="AJ380" s="46"/>
      <c r="AK380" s="46"/>
      <c r="AL380" s="46"/>
      <c r="AM380" s="47"/>
      <c r="AN380" s="46"/>
      <c r="AO380" s="46"/>
      <c r="AP380" s="46"/>
      <c r="AQ380" s="46"/>
      <c r="AR380">
        <f t="shared" si="13"/>
        <v>0</v>
      </c>
    </row>
    <row r="381" spans="1:44" x14ac:dyDescent="0.25">
      <c r="B381" t="str">
        <f t="shared" si="12"/>
        <v>SRFC - Diagne</v>
      </c>
      <c r="C381" t="s">
        <v>881</v>
      </c>
      <c r="D381" t="s">
        <v>608</v>
      </c>
      <c r="E381" s="124" t="s">
        <v>861</v>
      </c>
      <c r="F381" s="31">
        <v>15</v>
      </c>
      <c r="G381" s="99">
        <v>1</v>
      </c>
      <c r="H381" s="114" t="s">
        <v>1087</v>
      </c>
      <c r="I381" s="34">
        <f>AVERAGE(L381,M381,P381,Q381,R381,S381,T381,U381,V381,W381,AB381,AC381,AD381,AE381,AM381,AN381)</f>
        <v>5.375</v>
      </c>
      <c r="J381" s="87"/>
      <c r="K381" s="24"/>
      <c r="L381" s="24">
        <v>5</v>
      </c>
      <c r="M381" s="24">
        <v>4</v>
      </c>
      <c r="N381" s="24"/>
      <c r="O381" s="37"/>
      <c r="P381" s="24">
        <v>5</v>
      </c>
      <c r="Q381" s="25">
        <v>7</v>
      </c>
      <c r="R381" s="24">
        <v>5</v>
      </c>
      <c r="S381" s="24">
        <v>5</v>
      </c>
      <c r="T381" s="24">
        <v>5</v>
      </c>
      <c r="U381" s="24">
        <v>5</v>
      </c>
      <c r="V381" s="24">
        <v>6</v>
      </c>
      <c r="W381" s="24">
        <v>5</v>
      </c>
      <c r="X381" s="24"/>
      <c r="Y381" s="24"/>
      <c r="Z381" s="24"/>
      <c r="AA381" s="24"/>
      <c r="AB381" s="37">
        <v>6</v>
      </c>
      <c r="AC381" s="82">
        <v>3</v>
      </c>
      <c r="AD381" s="25">
        <v>7</v>
      </c>
      <c r="AE381" s="24">
        <v>6</v>
      </c>
      <c r="AF381" s="24"/>
      <c r="AG381" s="24"/>
      <c r="AH381" s="24"/>
      <c r="AI381" s="27"/>
      <c r="AJ381" s="37"/>
      <c r="AK381" s="24"/>
      <c r="AL381" s="24"/>
      <c r="AM381" s="94">
        <v>6</v>
      </c>
      <c r="AN381" s="22">
        <v>6</v>
      </c>
      <c r="AO381" s="37"/>
      <c r="AP381" s="24"/>
      <c r="AQ381" s="24"/>
      <c r="AR381">
        <f t="shared" si="13"/>
        <v>16</v>
      </c>
    </row>
    <row r="382" spans="1:44" x14ac:dyDescent="0.25">
      <c r="B382" t="str">
        <f t="shared" si="12"/>
        <v>SRFC - Moreira</v>
      </c>
      <c r="C382" t="s">
        <v>881</v>
      </c>
      <c r="D382" t="s">
        <v>608</v>
      </c>
      <c r="E382" t="s">
        <v>862</v>
      </c>
      <c r="F382" s="31">
        <v>13</v>
      </c>
      <c r="G382" s="99">
        <v>2</v>
      </c>
      <c r="H382" s="73"/>
      <c r="I382" s="34">
        <f>AVERAGE(K382,L382,J382,N382,O382,R382,S382,T382,V382,W382,X382,Y382,AC382)</f>
        <v>4.615384615384615</v>
      </c>
      <c r="J382" s="87">
        <v>4</v>
      </c>
      <c r="K382" s="37">
        <v>6</v>
      </c>
      <c r="L382" s="37">
        <v>5</v>
      </c>
      <c r="M382" s="37" t="s">
        <v>611</v>
      </c>
      <c r="N382" s="37">
        <v>4</v>
      </c>
      <c r="O382" s="24">
        <v>5</v>
      </c>
      <c r="P382" s="24"/>
      <c r="Q382" s="24"/>
      <c r="R382" s="37">
        <v>4</v>
      </c>
      <c r="S382" s="24">
        <v>4</v>
      </c>
      <c r="T382" s="24">
        <v>4</v>
      </c>
      <c r="U382" s="24"/>
      <c r="V382" s="24">
        <v>6</v>
      </c>
      <c r="W382" s="24">
        <v>4</v>
      </c>
      <c r="X382" s="37">
        <v>4</v>
      </c>
      <c r="Y382" s="24">
        <v>5</v>
      </c>
      <c r="Z382" s="24"/>
      <c r="AA382" s="24"/>
      <c r="AB382" s="37" t="s">
        <v>611</v>
      </c>
      <c r="AC382" s="37">
        <v>5</v>
      </c>
      <c r="AD382" s="24"/>
      <c r="AE382" s="24"/>
      <c r="AF382" s="24"/>
      <c r="AG382" s="24"/>
      <c r="AH382" s="24"/>
      <c r="AI382" s="26"/>
      <c r="AJ382" s="37"/>
      <c r="AK382" s="37"/>
      <c r="AL382" s="24"/>
      <c r="AM382" s="27"/>
      <c r="AN382" s="37"/>
      <c r="AO382" s="24"/>
      <c r="AP382" s="24"/>
      <c r="AQ382" s="37"/>
      <c r="AR382">
        <f t="shared" si="13"/>
        <v>15</v>
      </c>
    </row>
    <row r="383" spans="1:44" x14ac:dyDescent="0.25">
      <c r="B383" t="str">
        <f t="shared" si="12"/>
        <v>SRFC - Lenjani</v>
      </c>
      <c r="C383" t="s">
        <v>881</v>
      </c>
      <c r="D383" s="64" t="s">
        <v>608</v>
      </c>
      <c r="E383" s="64" t="s">
        <v>863</v>
      </c>
      <c r="F383" s="52"/>
      <c r="G383" s="63">
        <v>1</v>
      </c>
      <c r="H383" s="146"/>
      <c r="I383" s="34"/>
      <c r="J383" s="150">
        <v>4</v>
      </c>
      <c r="K383" s="55"/>
      <c r="L383" s="55"/>
      <c r="M383" s="55"/>
      <c r="N383" s="55"/>
      <c r="O383" s="46"/>
      <c r="P383" s="46"/>
      <c r="Q383" s="46"/>
      <c r="R383" s="55"/>
      <c r="S383" s="46"/>
      <c r="T383" s="46"/>
      <c r="U383" s="46"/>
      <c r="V383" s="55"/>
      <c r="W383" s="46"/>
      <c r="X383" s="46"/>
      <c r="Y383" s="46"/>
      <c r="Z383" s="46"/>
      <c r="AA383" s="46"/>
      <c r="AB383" s="46"/>
      <c r="AC383" s="55"/>
      <c r="AD383" s="46"/>
      <c r="AE383" s="46"/>
      <c r="AF383" s="46"/>
      <c r="AG383" s="55"/>
      <c r="AH383" s="46"/>
      <c r="AI383" s="47"/>
      <c r="AJ383" s="55"/>
      <c r="AK383" s="46"/>
      <c r="AL383" s="46"/>
      <c r="AM383" s="47"/>
      <c r="AN383" s="46"/>
      <c r="AO383" s="46"/>
      <c r="AP383" s="46"/>
      <c r="AQ383" s="46"/>
      <c r="AR383">
        <f t="shared" si="13"/>
        <v>1</v>
      </c>
    </row>
    <row r="384" spans="1:44" x14ac:dyDescent="0.25">
      <c r="B384" t="str">
        <f t="shared" si="12"/>
        <v>SRFC - Pedro Mendes</v>
      </c>
      <c r="C384" t="s">
        <v>881</v>
      </c>
      <c r="D384" t="s">
        <v>608</v>
      </c>
      <c r="E384" s="127" t="s">
        <v>864</v>
      </c>
      <c r="F384" s="31">
        <v>19</v>
      </c>
      <c r="G384" s="99"/>
      <c r="H384" s="73"/>
      <c r="I384" s="34">
        <f>AVERAGE(K384,J384,N384,O384,P384,R384,S384,T384,U384,Y384,Z384,AA384,AG384,AH384,AI384,AJ384,AK384,AL384,AM384)</f>
        <v>5.0526315789473681</v>
      </c>
      <c r="J384" s="87">
        <v>5</v>
      </c>
      <c r="K384" s="37">
        <v>6</v>
      </c>
      <c r="L384" s="37"/>
      <c r="M384" s="37"/>
      <c r="N384" s="37">
        <v>5</v>
      </c>
      <c r="O384" s="24">
        <v>5</v>
      </c>
      <c r="P384" s="24">
        <v>5</v>
      </c>
      <c r="Q384" s="24"/>
      <c r="R384" s="37">
        <v>4</v>
      </c>
      <c r="S384" s="24">
        <v>5</v>
      </c>
      <c r="T384" s="24">
        <v>5</v>
      </c>
      <c r="U384" s="24">
        <v>5</v>
      </c>
      <c r="V384" s="37"/>
      <c r="W384" s="24"/>
      <c r="X384" s="24"/>
      <c r="Y384" s="24">
        <v>5</v>
      </c>
      <c r="Z384" s="24">
        <v>5</v>
      </c>
      <c r="AA384" s="24">
        <v>5</v>
      </c>
      <c r="AB384" s="24"/>
      <c r="AC384" s="37"/>
      <c r="AD384" s="24"/>
      <c r="AE384" s="24"/>
      <c r="AF384" s="24"/>
      <c r="AG384" s="37">
        <v>5</v>
      </c>
      <c r="AH384" s="24">
        <v>6</v>
      </c>
      <c r="AI384" s="27">
        <v>6</v>
      </c>
      <c r="AJ384" s="37">
        <v>4</v>
      </c>
      <c r="AK384" s="24">
        <v>6</v>
      </c>
      <c r="AL384" s="24">
        <v>5</v>
      </c>
      <c r="AM384" s="27">
        <v>4</v>
      </c>
      <c r="AN384" s="24"/>
      <c r="AO384" s="24"/>
      <c r="AP384" s="24"/>
      <c r="AQ384" s="24"/>
      <c r="AR384">
        <f t="shared" si="13"/>
        <v>19</v>
      </c>
    </row>
    <row r="385" spans="2:44" x14ac:dyDescent="0.25">
      <c r="B385" t="str">
        <f t="shared" si="12"/>
        <v>SRFC - Baal</v>
      </c>
      <c r="C385" t="s">
        <v>881</v>
      </c>
      <c r="D385" t="s">
        <v>608</v>
      </c>
      <c r="E385" s="124" t="s">
        <v>865</v>
      </c>
      <c r="F385" s="31">
        <v>15</v>
      </c>
      <c r="G385" s="99">
        <v>1</v>
      </c>
      <c r="H385" s="73"/>
      <c r="I385" s="34">
        <f>AVERAGE(Z385,K385,L385,M385,J385,N385,Q385,R385,S385,T385,U385,V385,W385,AK385,AN385)</f>
        <v>5.2</v>
      </c>
      <c r="J385" s="87">
        <v>6</v>
      </c>
      <c r="K385" s="84">
        <v>7</v>
      </c>
      <c r="L385" s="37">
        <v>5</v>
      </c>
      <c r="M385" s="37">
        <v>5</v>
      </c>
      <c r="N385" s="37">
        <v>5</v>
      </c>
      <c r="O385" s="24"/>
      <c r="P385" s="24"/>
      <c r="Q385" s="24">
        <v>5</v>
      </c>
      <c r="R385" s="37">
        <v>6</v>
      </c>
      <c r="S385" s="24">
        <v>5</v>
      </c>
      <c r="T385" s="24">
        <v>6</v>
      </c>
      <c r="U385" s="24">
        <v>5</v>
      </c>
      <c r="V385" s="37">
        <v>5</v>
      </c>
      <c r="W385" s="24">
        <v>4</v>
      </c>
      <c r="X385" s="24"/>
      <c r="Y385" s="24"/>
      <c r="Z385" s="24">
        <v>4</v>
      </c>
      <c r="AA385" s="24"/>
      <c r="AB385" s="24"/>
      <c r="AC385" s="37"/>
      <c r="AD385" s="24"/>
      <c r="AE385" s="24"/>
      <c r="AF385" s="24"/>
      <c r="AG385" s="37"/>
      <c r="AH385" s="24"/>
      <c r="AI385" s="27"/>
      <c r="AJ385" s="37"/>
      <c r="AK385" s="24">
        <v>5</v>
      </c>
      <c r="AL385" s="37" t="s">
        <v>611</v>
      </c>
      <c r="AM385" s="27"/>
      <c r="AN385" s="24">
        <v>5</v>
      </c>
      <c r="AO385" s="24"/>
      <c r="AP385" s="24"/>
      <c r="AQ385" s="24"/>
      <c r="AR385">
        <f t="shared" si="13"/>
        <v>16</v>
      </c>
    </row>
    <row r="386" spans="2:44" x14ac:dyDescent="0.25">
      <c r="B386" t="str">
        <f t="shared" si="12"/>
        <v>SRFC - Zeffane</v>
      </c>
      <c r="C386" t="s">
        <v>881</v>
      </c>
      <c r="D386" t="s">
        <v>608</v>
      </c>
      <c r="E386" s="124" t="s">
        <v>192</v>
      </c>
      <c r="F386" s="31">
        <v>9</v>
      </c>
      <c r="G386" s="99">
        <v>5</v>
      </c>
      <c r="H386" s="73">
        <v>1</v>
      </c>
      <c r="I386" s="34">
        <f>AVERAGE(L386,M386,O386,Q386,T386,Y386,AD386,AJ386,AM386)</f>
        <v>4.666666666666667</v>
      </c>
      <c r="J386" s="87"/>
      <c r="K386" s="37" t="s">
        <v>611</v>
      </c>
      <c r="L386" s="75">
        <v>7</v>
      </c>
      <c r="M386" s="37">
        <v>4</v>
      </c>
      <c r="N386" s="37" t="s">
        <v>611</v>
      </c>
      <c r="O386" s="24">
        <v>4</v>
      </c>
      <c r="P386" s="24"/>
      <c r="Q386" s="24">
        <v>5</v>
      </c>
      <c r="R386" s="37"/>
      <c r="S386" s="37" t="s">
        <v>611</v>
      </c>
      <c r="T386" s="24">
        <v>5</v>
      </c>
      <c r="U386" s="24"/>
      <c r="V386" s="37" t="s">
        <v>611</v>
      </c>
      <c r="W386" s="24"/>
      <c r="X386" s="24"/>
      <c r="Y386" s="24">
        <v>4</v>
      </c>
      <c r="Z386" s="24"/>
      <c r="AA386" s="24"/>
      <c r="AB386" s="24"/>
      <c r="AC386" s="37"/>
      <c r="AD386" s="24">
        <v>5</v>
      </c>
      <c r="AE386" s="24"/>
      <c r="AF386" s="24"/>
      <c r="AG386" s="37"/>
      <c r="AH386" s="37" t="s">
        <v>611</v>
      </c>
      <c r="AI386" s="27"/>
      <c r="AJ386" s="37">
        <v>4</v>
      </c>
      <c r="AK386" s="24"/>
      <c r="AL386" s="24"/>
      <c r="AM386" s="27">
        <v>4</v>
      </c>
      <c r="AN386" s="24"/>
      <c r="AO386" s="24"/>
      <c r="AP386" s="24"/>
      <c r="AQ386" s="24"/>
      <c r="AR386">
        <f t="shared" si="13"/>
        <v>14</v>
      </c>
    </row>
    <row r="387" spans="2:44" x14ac:dyDescent="0.25">
      <c r="B387" t="str">
        <f t="shared" si="12"/>
        <v>SRFC - Gnagnon</v>
      </c>
      <c r="C387" t="s">
        <v>881</v>
      </c>
      <c r="D387" t="s">
        <v>608</v>
      </c>
      <c r="E387" s="127" t="s">
        <v>1051</v>
      </c>
      <c r="F387" s="31"/>
      <c r="G387" s="99">
        <v>3</v>
      </c>
      <c r="H387" s="73"/>
      <c r="I387" s="34">
        <f>AVERAGE(AD387)</f>
        <v>5</v>
      </c>
      <c r="J387" s="87"/>
      <c r="K387" s="37"/>
      <c r="L387" s="37"/>
      <c r="M387" s="37"/>
      <c r="N387" s="37"/>
      <c r="O387" s="24"/>
      <c r="P387" s="24"/>
      <c r="Q387" s="24"/>
      <c r="R387" s="37"/>
      <c r="S387" s="37"/>
      <c r="T387" s="24"/>
      <c r="U387" s="24"/>
      <c r="V387" s="37"/>
      <c r="W387" s="24"/>
      <c r="X387" s="24"/>
      <c r="Y387" s="24"/>
      <c r="Z387" s="24"/>
      <c r="AA387" s="24"/>
      <c r="AB387" s="24"/>
      <c r="AC387" s="37"/>
      <c r="AD387" s="37">
        <v>5</v>
      </c>
      <c r="AE387" s="24"/>
      <c r="AF387" s="24"/>
      <c r="AG387" s="37"/>
      <c r="AH387" s="24"/>
      <c r="AI387" s="27"/>
      <c r="AJ387" s="37"/>
      <c r="AK387" s="24"/>
      <c r="AL387" s="37" t="s">
        <v>611</v>
      </c>
      <c r="AM387" s="27"/>
      <c r="AN387" s="37" t="s">
        <v>611</v>
      </c>
      <c r="AO387" s="24"/>
      <c r="AP387" s="24"/>
      <c r="AQ387" s="24"/>
      <c r="AR387">
        <f t="shared" si="13"/>
        <v>3</v>
      </c>
    </row>
    <row r="388" spans="2:44" x14ac:dyDescent="0.25">
      <c r="B388" t="str">
        <f t="shared" si="12"/>
        <v>SRFC - M'Bengue</v>
      </c>
      <c r="C388" t="s">
        <v>881</v>
      </c>
      <c r="D388" s="85" t="s">
        <v>608</v>
      </c>
      <c r="E388" s="85" t="s">
        <v>866</v>
      </c>
      <c r="F388" s="69">
        <v>19</v>
      </c>
      <c r="G388" s="115">
        <v>2</v>
      </c>
      <c r="H388" s="68"/>
      <c r="I388" s="72">
        <f>AVERAGE(P388,R388,T388,U388,X388,Y388,Z388,AA388,AB388,AC388,AD388,AE388,AF388,AG388,AH388,AI388,AJ388,AK388,AL388)</f>
        <v>4.8947368421052628</v>
      </c>
      <c r="J388" s="87"/>
      <c r="K388" s="79"/>
      <c r="L388" s="79" t="s">
        <v>611</v>
      </c>
      <c r="M388" s="37"/>
      <c r="N388" s="24"/>
      <c r="O388" s="24"/>
      <c r="P388" s="24">
        <v>5</v>
      </c>
      <c r="Q388" s="24"/>
      <c r="R388" s="24">
        <v>5</v>
      </c>
      <c r="S388" s="24"/>
      <c r="T388" s="24">
        <v>4</v>
      </c>
      <c r="U388" s="24">
        <v>5</v>
      </c>
      <c r="V388" s="24"/>
      <c r="W388" s="24"/>
      <c r="X388" s="24">
        <v>4</v>
      </c>
      <c r="Y388" s="24">
        <v>5</v>
      </c>
      <c r="Z388" s="24">
        <v>5</v>
      </c>
      <c r="AA388" s="24">
        <v>5</v>
      </c>
      <c r="AB388" s="24">
        <v>6</v>
      </c>
      <c r="AC388" s="24">
        <v>5</v>
      </c>
      <c r="AD388" s="24">
        <v>5</v>
      </c>
      <c r="AE388" s="24">
        <v>6</v>
      </c>
      <c r="AF388" s="82">
        <v>2</v>
      </c>
      <c r="AG388" s="24">
        <v>6</v>
      </c>
      <c r="AH388" s="24">
        <v>5</v>
      </c>
      <c r="AI388" s="27">
        <v>6</v>
      </c>
      <c r="AJ388" s="24">
        <v>4</v>
      </c>
      <c r="AK388" s="24">
        <v>5</v>
      </c>
      <c r="AL388" s="24">
        <v>5</v>
      </c>
      <c r="AM388" s="27"/>
      <c r="AN388" s="37" t="s">
        <v>611</v>
      </c>
      <c r="AO388" s="24"/>
      <c r="AP388" s="24"/>
      <c r="AQ388" s="24"/>
      <c r="AR388">
        <f t="shared" si="13"/>
        <v>21</v>
      </c>
    </row>
    <row r="389" spans="2:44" x14ac:dyDescent="0.25">
      <c r="B389" t="str">
        <f t="shared" si="12"/>
        <v>SRFC - Doucouré</v>
      </c>
      <c r="C389" t="s">
        <v>881</v>
      </c>
      <c r="D389" s="64" t="s">
        <v>622</v>
      </c>
      <c r="E389" s="64" t="s">
        <v>867</v>
      </c>
      <c r="F389" s="52">
        <v>11</v>
      </c>
      <c r="G389" s="63">
        <v>5</v>
      </c>
      <c r="H389" s="146">
        <v>2</v>
      </c>
      <c r="I389" s="80">
        <f>AVERAGE(N389,O389,P389,R389,S389,U389,V389,W389,AA389,AD389)</f>
        <v>5.4</v>
      </c>
      <c r="J389" s="150" t="s">
        <v>641</v>
      </c>
      <c r="K389" s="61"/>
      <c r="L389" s="62"/>
      <c r="M389" s="61"/>
      <c r="N389" s="53">
        <v>6</v>
      </c>
      <c r="O389" s="53">
        <v>5</v>
      </c>
      <c r="P389" s="53">
        <v>4</v>
      </c>
      <c r="Q389" s="61" t="s">
        <v>611</v>
      </c>
      <c r="R389" s="59">
        <v>6</v>
      </c>
      <c r="S389" s="53">
        <v>5</v>
      </c>
      <c r="T389" s="61" t="s">
        <v>611</v>
      </c>
      <c r="U389" s="53">
        <v>5</v>
      </c>
      <c r="V389" s="59">
        <v>7</v>
      </c>
      <c r="W389" s="53">
        <v>6</v>
      </c>
      <c r="X389" s="53"/>
      <c r="Y389" s="61"/>
      <c r="Z389" s="53"/>
      <c r="AA389" s="61">
        <v>5</v>
      </c>
      <c r="AB389" s="61" t="s">
        <v>611</v>
      </c>
      <c r="AC389" s="61" t="s">
        <v>611</v>
      </c>
      <c r="AD389" s="53">
        <v>5</v>
      </c>
      <c r="AE389" s="61" t="s">
        <v>611</v>
      </c>
      <c r="AF389" s="53"/>
      <c r="AG389" s="53"/>
      <c r="AH389" s="53"/>
      <c r="AI389" s="63"/>
      <c r="AJ389" s="59"/>
      <c r="AK389" s="53"/>
      <c r="AL389" s="53"/>
      <c r="AM389" s="63"/>
      <c r="AN389" s="59"/>
      <c r="AO389" s="53"/>
      <c r="AP389" s="53"/>
      <c r="AQ389" s="53"/>
      <c r="AR389">
        <f t="shared" si="13"/>
        <v>16</v>
      </c>
    </row>
    <row r="390" spans="2:44" x14ac:dyDescent="0.25">
      <c r="B390" t="str">
        <f t="shared" si="12"/>
        <v>SRFC - Hunou</v>
      </c>
      <c r="C390" t="s">
        <v>881</v>
      </c>
      <c r="D390" s="64" t="s">
        <v>622</v>
      </c>
      <c r="E390" s="64" t="s">
        <v>868</v>
      </c>
      <c r="F390" s="52"/>
      <c r="G390" s="63"/>
      <c r="H390" s="146"/>
      <c r="I390" s="34"/>
      <c r="J390" s="58"/>
      <c r="K390" s="55"/>
      <c r="L390" s="55"/>
      <c r="M390" s="55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7"/>
      <c r="AJ390" s="46"/>
      <c r="AK390" s="46"/>
      <c r="AL390" s="46"/>
      <c r="AM390" s="47"/>
      <c r="AN390" s="46"/>
      <c r="AO390" s="46"/>
      <c r="AP390" s="46"/>
      <c r="AQ390" s="46"/>
      <c r="AR390">
        <f t="shared" si="13"/>
        <v>0</v>
      </c>
    </row>
    <row r="391" spans="2:44" x14ac:dyDescent="0.25">
      <c r="B391" t="str">
        <f t="shared" si="12"/>
        <v>TFC - Regattin</v>
      </c>
      <c r="C391" t="s">
        <v>836</v>
      </c>
      <c r="D391" s="30" t="s">
        <v>622</v>
      </c>
      <c r="E391" s="60" t="s">
        <v>827</v>
      </c>
      <c r="F391" s="31">
        <v>9</v>
      </c>
      <c r="G391" s="99">
        <v>18</v>
      </c>
      <c r="H391" s="73">
        <v>1</v>
      </c>
      <c r="I391" s="34">
        <f>AVERAGE(M391,J391,O391,P391,Q391,R391,AI391,AF391,AM391)</f>
        <v>5.5555555555555554</v>
      </c>
      <c r="J391" s="101">
        <v>5</v>
      </c>
      <c r="K391" s="37" t="s">
        <v>611</v>
      </c>
      <c r="L391" s="37" t="s">
        <v>611</v>
      </c>
      <c r="M391" s="129">
        <v>7</v>
      </c>
      <c r="N391" s="37" t="s">
        <v>611</v>
      </c>
      <c r="O391" s="75">
        <v>7</v>
      </c>
      <c r="P391" s="24">
        <v>6</v>
      </c>
      <c r="Q391" s="24">
        <v>6</v>
      </c>
      <c r="R391" s="24">
        <v>4</v>
      </c>
      <c r="S391" s="37" t="s">
        <v>611</v>
      </c>
      <c r="T391" s="37" t="s">
        <v>611</v>
      </c>
      <c r="U391" s="37" t="s">
        <v>611</v>
      </c>
      <c r="V391" s="37" t="s">
        <v>611</v>
      </c>
      <c r="W391" s="24"/>
      <c r="X391" s="76" t="s">
        <v>611</v>
      </c>
      <c r="Y391" s="24"/>
      <c r="Z391" s="37" t="s">
        <v>611</v>
      </c>
      <c r="AA391" s="37" t="s">
        <v>611</v>
      </c>
      <c r="AB391" s="24"/>
      <c r="AC391" s="37" t="s">
        <v>611</v>
      </c>
      <c r="AD391" s="37" t="s">
        <v>611</v>
      </c>
      <c r="AE391" s="37" t="s">
        <v>611</v>
      </c>
      <c r="AF391" s="37">
        <v>5</v>
      </c>
      <c r="AG391" s="37" t="s">
        <v>611</v>
      </c>
      <c r="AH391" s="37" t="s">
        <v>611</v>
      </c>
      <c r="AI391" s="27">
        <v>4</v>
      </c>
      <c r="AJ391" s="37" t="s">
        <v>611</v>
      </c>
      <c r="AK391" s="37" t="s">
        <v>611</v>
      </c>
      <c r="AL391" s="24"/>
      <c r="AM391" s="27">
        <v>6</v>
      </c>
      <c r="AN391" s="37" t="s">
        <v>611</v>
      </c>
      <c r="AO391" s="37"/>
      <c r="AP391" s="37"/>
      <c r="AQ391" s="22"/>
      <c r="AR391">
        <f t="shared" si="13"/>
        <v>27</v>
      </c>
    </row>
    <row r="392" spans="2:44" x14ac:dyDescent="0.25">
      <c r="B392" t="str">
        <f t="shared" si="12"/>
        <v>SRFC - Prcic</v>
      </c>
      <c r="C392" t="s">
        <v>881</v>
      </c>
      <c r="D392" s="64" t="s">
        <v>622</v>
      </c>
      <c r="E392" s="64" t="s">
        <v>870</v>
      </c>
      <c r="F392" s="52"/>
      <c r="G392" s="63"/>
      <c r="H392" s="146"/>
      <c r="I392" s="34"/>
      <c r="J392" s="58"/>
      <c r="K392" s="216"/>
      <c r="L392" s="55"/>
      <c r="M392" s="55"/>
      <c r="N392" s="46"/>
      <c r="O392" s="46"/>
      <c r="P392" s="46"/>
      <c r="Q392" s="46"/>
      <c r="R392" s="55"/>
      <c r="S392" s="46"/>
      <c r="T392" s="55"/>
      <c r="U392" s="46"/>
      <c r="V392" s="55"/>
      <c r="W392" s="46"/>
      <c r="X392" s="46"/>
      <c r="Y392" s="46"/>
      <c r="Z392" s="46"/>
      <c r="AA392" s="46"/>
      <c r="AB392" s="55"/>
      <c r="AC392" s="46"/>
      <c r="AD392" s="55"/>
      <c r="AE392" s="46"/>
      <c r="AF392" s="46"/>
      <c r="AG392" s="46"/>
      <c r="AH392" s="46"/>
      <c r="AI392" s="47"/>
      <c r="AJ392" s="46"/>
      <c r="AK392" s="55"/>
      <c r="AL392" s="55"/>
      <c r="AM392" s="47"/>
      <c r="AN392" s="46"/>
      <c r="AO392" s="46"/>
      <c r="AP392" s="55"/>
      <c r="AQ392" s="59"/>
      <c r="AR392">
        <f t="shared" si="13"/>
        <v>0</v>
      </c>
    </row>
    <row r="393" spans="2:44" x14ac:dyDescent="0.25">
      <c r="B393" t="str">
        <f t="shared" si="12"/>
        <v>SRFC - Brüls</v>
      </c>
      <c r="C393" t="s">
        <v>881</v>
      </c>
      <c r="D393" s="64" t="s">
        <v>622</v>
      </c>
      <c r="E393" s="64" t="s">
        <v>871</v>
      </c>
      <c r="F393" s="52"/>
      <c r="G393" s="63"/>
      <c r="H393" s="146"/>
      <c r="I393" s="34"/>
      <c r="J393" s="58"/>
      <c r="K393" s="55"/>
      <c r="L393" s="55"/>
      <c r="M393" s="55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55"/>
      <c r="Y393" s="46"/>
      <c r="Z393" s="46"/>
      <c r="AA393" s="46"/>
      <c r="AB393" s="46"/>
      <c r="AC393" s="46"/>
      <c r="AD393" s="46"/>
      <c r="AE393" s="46"/>
      <c r="AF393" s="55"/>
      <c r="AG393" s="46"/>
      <c r="AH393" s="46"/>
      <c r="AI393" s="47"/>
      <c r="AJ393" s="46"/>
      <c r="AK393" s="46"/>
      <c r="AL393" s="46"/>
      <c r="AM393" s="47"/>
      <c r="AN393" s="46"/>
      <c r="AO393" s="46"/>
      <c r="AP393" s="46"/>
      <c r="AQ393" s="46"/>
      <c r="AR393">
        <f t="shared" si="13"/>
        <v>0</v>
      </c>
    </row>
    <row r="394" spans="2:44" x14ac:dyDescent="0.25">
      <c r="B394" t="str">
        <f t="shared" si="12"/>
        <v>PSG - T. Motta</v>
      </c>
      <c r="C394" t="s">
        <v>673</v>
      </c>
      <c r="D394" s="30" t="s">
        <v>622</v>
      </c>
      <c r="E394" t="s">
        <v>663</v>
      </c>
      <c r="F394" s="31">
        <v>22</v>
      </c>
      <c r="G394" s="99">
        <v>5</v>
      </c>
      <c r="H394" s="73">
        <v>1</v>
      </c>
      <c r="I394" s="34">
        <f>AVERAGE(AA394,K394,L394,M394,J394,N394,P394,R394,T394,V394,W394,Y394,Z394,AB394,AC394,AD394,AE394,AF394,AG394,AH394,AJ394,AK394,AN394)</f>
        <v>5.4782608695652177</v>
      </c>
      <c r="J394" s="101">
        <v>5</v>
      </c>
      <c r="K394" s="200">
        <v>7</v>
      </c>
      <c r="L394" s="37">
        <v>5</v>
      </c>
      <c r="M394" s="37">
        <v>6</v>
      </c>
      <c r="N394" s="24">
        <v>5</v>
      </c>
      <c r="O394" s="37"/>
      <c r="P394" s="24">
        <v>5</v>
      </c>
      <c r="Q394" s="37" t="s">
        <v>611</v>
      </c>
      <c r="R394" s="24">
        <v>5</v>
      </c>
      <c r="S394" s="37" t="s">
        <v>611</v>
      </c>
      <c r="T394" s="24">
        <v>5</v>
      </c>
      <c r="U394" s="37" t="s">
        <v>611</v>
      </c>
      <c r="V394" s="24">
        <v>6</v>
      </c>
      <c r="W394" s="24">
        <v>5</v>
      </c>
      <c r="X394" s="37" t="s">
        <v>611</v>
      </c>
      <c r="Y394" s="24">
        <v>5</v>
      </c>
      <c r="Z394" s="24">
        <v>5</v>
      </c>
      <c r="AA394" s="24">
        <v>5</v>
      </c>
      <c r="AB394" s="24">
        <v>5</v>
      </c>
      <c r="AC394" s="25">
        <v>7</v>
      </c>
      <c r="AD394" s="24">
        <v>6</v>
      </c>
      <c r="AE394" s="24">
        <v>6</v>
      </c>
      <c r="AF394" s="24">
        <v>6</v>
      </c>
      <c r="AG394" s="24">
        <v>5</v>
      </c>
      <c r="AH394" s="24">
        <v>6</v>
      </c>
      <c r="AI394" s="27"/>
      <c r="AJ394" s="66">
        <v>7</v>
      </c>
      <c r="AK394" s="24">
        <v>5</v>
      </c>
      <c r="AL394" s="24"/>
      <c r="AM394" s="27"/>
      <c r="AN394" s="24">
        <v>4</v>
      </c>
      <c r="AO394" s="24"/>
      <c r="AP394" s="24"/>
      <c r="AQ394" s="24"/>
      <c r="AR394">
        <f t="shared" si="13"/>
        <v>27</v>
      </c>
    </row>
    <row r="395" spans="2:44" x14ac:dyDescent="0.25">
      <c r="B395" t="str">
        <f t="shared" si="12"/>
        <v>SRFC - Quintero</v>
      </c>
      <c r="C395" t="s">
        <v>881</v>
      </c>
      <c r="D395" t="s">
        <v>622</v>
      </c>
      <c r="E395" s="127" t="s">
        <v>545</v>
      </c>
      <c r="F395" s="31">
        <v>9</v>
      </c>
      <c r="G395" s="99">
        <v>3</v>
      </c>
      <c r="H395" s="73">
        <v>1</v>
      </c>
      <c r="I395" s="34">
        <f>AVERAGE(T395,U395,X395,Z395,AA395,AB395,AC395,AE395,AF395,AG395)</f>
        <v>4.8</v>
      </c>
      <c r="J395" s="87"/>
      <c r="K395" s="217"/>
      <c r="L395" s="37"/>
      <c r="M395" s="37"/>
      <c r="N395" s="24"/>
      <c r="O395" s="24"/>
      <c r="P395" s="24"/>
      <c r="Q395" s="24"/>
      <c r="R395" s="24"/>
      <c r="S395" s="37" t="s">
        <v>611</v>
      </c>
      <c r="T395" s="24">
        <v>5</v>
      </c>
      <c r="U395" s="24">
        <v>4</v>
      </c>
      <c r="V395" s="24"/>
      <c r="W395" s="24"/>
      <c r="X395" s="24">
        <v>5</v>
      </c>
      <c r="Y395" s="37" t="s">
        <v>611</v>
      </c>
      <c r="Z395" s="24">
        <v>5</v>
      </c>
      <c r="AA395" s="25">
        <v>7</v>
      </c>
      <c r="AB395" s="24">
        <v>5</v>
      </c>
      <c r="AC395" s="24">
        <v>5</v>
      </c>
      <c r="AD395" s="24"/>
      <c r="AE395" s="24">
        <v>4</v>
      </c>
      <c r="AF395" s="24">
        <v>4</v>
      </c>
      <c r="AG395" s="24">
        <v>4</v>
      </c>
      <c r="AH395" s="24"/>
      <c r="AI395" s="27"/>
      <c r="AJ395" s="24"/>
      <c r="AK395" s="24"/>
      <c r="AL395" s="24"/>
      <c r="AM395" s="27"/>
      <c r="AN395" s="24"/>
      <c r="AO395" s="24"/>
      <c r="AP395" s="24"/>
      <c r="AQ395" s="24"/>
      <c r="AR395">
        <f t="shared" si="13"/>
        <v>12</v>
      </c>
    </row>
    <row r="396" spans="2:44" x14ac:dyDescent="0.25">
      <c r="B396" t="str">
        <f t="shared" si="12"/>
        <v>SRFC - Henrique</v>
      </c>
      <c r="C396" t="s">
        <v>881</v>
      </c>
      <c r="D396" t="s">
        <v>622</v>
      </c>
      <c r="E396" s="124" t="s">
        <v>208</v>
      </c>
      <c r="F396" s="31">
        <v>14</v>
      </c>
      <c r="G396" s="99">
        <v>4</v>
      </c>
      <c r="H396" s="73">
        <v>2</v>
      </c>
      <c r="I396" s="34">
        <f>AVERAGE(K396,L396,M396,J396,P396,R396,S396,V396,X396,Z396,AB396,AJ396,AK396,AM396)</f>
        <v>4.7857142857142856</v>
      </c>
      <c r="J396" s="87">
        <v>4</v>
      </c>
      <c r="K396" s="74">
        <v>5</v>
      </c>
      <c r="L396" s="193">
        <v>6</v>
      </c>
      <c r="M396" s="37">
        <v>4</v>
      </c>
      <c r="N396" s="24"/>
      <c r="O396" s="37" t="s">
        <v>611</v>
      </c>
      <c r="P396" s="37">
        <v>4</v>
      </c>
      <c r="Q396" s="37" t="s">
        <v>611</v>
      </c>
      <c r="R396" s="37">
        <v>5</v>
      </c>
      <c r="S396" s="24">
        <v>4</v>
      </c>
      <c r="T396" s="24"/>
      <c r="U396" s="76" t="s">
        <v>611</v>
      </c>
      <c r="V396" s="76">
        <v>6</v>
      </c>
      <c r="W396" s="24"/>
      <c r="X396" s="24">
        <v>4</v>
      </c>
      <c r="Y396" s="37"/>
      <c r="Z396" s="75">
        <v>7</v>
      </c>
      <c r="AA396" s="37" t="s">
        <v>611</v>
      </c>
      <c r="AB396" s="37">
        <v>5</v>
      </c>
      <c r="AC396" s="37"/>
      <c r="AD396" s="24"/>
      <c r="AE396" s="24"/>
      <c r="AF396" s="24"/>
      <c r="AG396" s="24"/>
      <c r="AH396" s="24"/>
      <c r="AI396" s="27"/>
      <c r="AJ396" s="24">
        <v>4</v>
      </c>
      <c r="AK396" s="24">
        <v>5</v>
      </c>
      <c r="AL396" s="24"/>
      <c r="AM396" s="27">
        <v>4</v>
      </c>
      <c r="AN396" s="24"/>
      <c r="AO396" s="24"/>
      <c r="AP396" s="24"/>
      <c r="AQ396" s="37"/>
      <c r="AR396">
        <f t="shared" si="13"/>
        <v>18</v>
      </c>
    </row>
    <row r="397" spans="2:44" x14ac:dyDescent="0.25">
      <c r="B397" t="str">
        <f t="shared" si="12"/>
        <v>SRFC - Janvier</v>
      </c>
      <c r="C397" t="s">
        <v>881</v>
      </c>
      <c r="D397" t="s">
        <v>622</v>
      </c>
      <c r="E397" s="127" t="s">
        <v>873</v>
      </c>
      <c r="F397" s="31"/>
      <c r="G397" s="99">
        <v>3</v>
      </c>
      <c r="H397" s="73"/>
      <c r="I397" s="34"/>
      <c r="J397" s="87"/>
      <c r="K397" s="74"/>
      <c r="L397" s="193"/>
      <c r="M397" s="37"/>
      <c r="N397" s="24"/>
      <c r="O397" s="37"/>
      <c r="P397" s="37"/>
      <c r="Q397" s="37"/>
      <c r="R397" s="37"/>
      <c r="S397" s="24"/>
      <c r="T397" s="24"/>
      <c r="U397" s="76"/>
      <c r="V397" s="76"/>
      <c r="W397" s="24"/>
      <c r="X397" s="24"/>
      <c r="Y397" s="37"/>
      <c r="Z397" s="24"/>
      <c r="AA397" s="37" t="s">
        <v>611</v>
      </c>
      <c r="AB397" s="37" t="s">
        <v>611</v>
      </c>
      <c r="AC397" s="37" t="s">
        <v>611</v>
      </c>
      <c r="AD397" s="24"/>
      <c r="AE397" s="24"/>
      <c r="AF397" s="24"/>
      <c r="AG397" s="24"/>
      <c r="AH397" s="24"/>
      <c r="AI397" s="27"/>
      <c r="AJ397" s="24"/>
      <c r="AK397" s="24"/>
      <c r="AL397" s="24"/>
      <c r="AM397" s="27"/>
      <c r="AN397" s="24"/>
      <c r="AO397" s="24"/>
      <c r="AP397" s="24"/>
      <c r="AQ397" s="37"/>
      <c r="AR397">
        <f t="shared" si="13"/>
        <v>3</v>
      </c>
    </row>
    <row r="398" spans="2:44" x14ac:dyDescent="0.25">
      <c r="B398" t="str">
        <f t="shared" si="12"/>
        <v>SRFC - Gourcuff</v>
      </c>
      <c r="C398" t="s">
        <v>881</v>
      </c>
      <c r="D398" t="s">
        <v>622</v>
      </c>
      <c r="E398" s="124" t="s">
        <v>1045</v>
      </c>
      <c r="F398" s="31">
        <v>4</v>
      </c>
      <c r="G398" s="99">
        <v>3</v>
      </c>
      <c r="H398" s="73">
        <v>2</v>
      </c>
      <c r="I398" s="34">
        <f>AVERAGE(AI398,AJ398,AL398,AM398,AN398)</f>
        <v>5.4</v>
      </c>
      <c r="J398" s="87"/>
      <c r="K398" s="74"/>
      <c r="L398" s="193"/>
      <c r="M398" s="37"/>
      <c r="N398" s="24"/>
      <c r="O398" s="37"/>
      <c r="P398" s="37"/>
      <c r="Q398" s="37"/>
      <c r="R398" s="37"/>
      <c r="S398" s="24"/>
      <c r="T398" s="24"/>
      <c r="U398" s="76"/>
      <c r="V398" s="76"/>
      <c r="W398" s="24"/>
      <c r="X398" s="24"/>
      <c r="Y398" s="37"/>
      <c r="Z398" s="24"/>
      <c r="AA398" s="37"/>
      <c r="AB398" s="37"/>
      <c r="AC398" s="37" t="s">
        <v>611</v>
      </c>
      <c r="AD398" s="24"/>
      <c r="AE398" s="24"/>
      <c r="AF398" s="24"/>
      <c r="AG398" s="24"/>
      <c r="AH398" s="24"/>
      <c r="AI398" s="26">
        <v>5</v>
      </c>
      <c r="AJ398" s="24">
        <v>5</v>
      </c>
      <c r="AK398" s="76" t="s">
        <v>611</v>
      </c>
      <c r="AL398" s="24">
        <v>5</v>
      </c>
      <c r="AM398" s="27">
        <v>4</v>
      </c>
      <c r="AN398" s="25">
        <v>8</v>
      </c>
      <c r="AO398" s="24"/>
      <c r="AP398" s="24"/>
      <c r="AQ398" s="37"/>
      <c r="AR398">
        <f t="shared" si="13"/>
        <v>7</v>
      </c>
    </row>
    <row r="399" spans="2:44" x14ac:dyDescent="0.25">
      <c r="B399" t="str">
        <f t="shared" si="12"/>
        <v>SRFC - Boga</v>
      </c>
      <c r="C399" t="s">
        <v>881</v>
      </c>
      <c r="D399" t="s">
        <v>622</v>
      </c>
      <c r="E399" s="127" t="s">
        <v>878</v>
      </c>
      <c r="F399" s="31">
        <v>5</v>
      </c>
      <c r="G399" s="99">
        <v>16</v>
      </c>
      <c r="H399" s="73">
        <v>2</v>
      </c>
      <c r="I399" s="34">
        <f>AVERAGE(X399,Y399,AC399,AD399,AG399,AM399)</f>
        <v>5.5</v>
      </c>
      <c r="J399" s="87"/>
      <c r="K399" s="37"/>
      <c r="L399" s="37"/>
      <c r="M399" s="77"/>
      <c r="N399" s="22"/>
      <c r="O399" s="37" t="s">
        <v>611</v>
      </c>
      <c r="P399" s="37" t="s">
        <v>611</v>
      </c>
      <c r="Q399" s="37" t="s">
        <v>611</v>
      </c>
      <c r="R399" s="24"/>
      <c r="S399" s="24"/>
      <c r="T399" s="37" t="s">
        <v>611</v>
      </c>
      <c r="U399" s="37" t="s">
        <v>611</v>
      </c>
      <c r="V399" s="37" t="s">
        <v>611</v>
      </c>
      <c r="W399" s="37" t="s">
        <v>611</v>
      </c>
      <c r="X399" s="25">
        <v>7</v>
      </c>
      <c r="Y399" s="24">
        <v>4</v>
      </c>
      <c r="Z399" s="37" t="s">
        <v>611</v>
      </c>
      <c r="AA399" s="37" t="s">
        <v>611</v>
      </c>
      <c r="AB399" s="24"/>
      <c r="AC399" s="25">
        <v>7</v>
      </c>
      <c r="AD399" s="24">
        <v>6</v>
      </c>
      <c r="AE399" s="37" t="s">
        <v>611</v>
      </c>
      <c r="AF399" s="37" t="s">
        <v>611</v>
      </c>
      <c r="AG399" s="24">
        <v>4</v>
      </c>
      <c r="AH399" s="37" t="s">
        <v>611</v>
      </c>
      <c r="AI399" s="27"/>
      <c r="AJ399" s="37" t="s">
        <v>611</v>
      </c>
      <c r="AK399" s="24"/>
      <c r="AL399" s="37" t="s">
        <v>611</v>
      </c>
      <c r="AM399" s="140">
        <v>5</v>
      </c>
      <c r="AN399" s="37" t="s">
        <v>611</v>
      </c>
      <c r="AO399" s="37"/>
      <c r="AP399" s="37"/>
      <c r="AQ399" s="24"/>
      <c r="AR399">
        <f t="shared" si="13"/>
        <v>21</v>
      </c>
    </row>
    <row r="400" spans="2:44" x14ac:dyDescent="0.25">
      <c r="B400" t="str">
        <f t="shared" si="12"/>
        <v>SRFC - Salles-Lamonge</v>
      </c>
      <c r="C400" t="s">
        <v>881</v>
      </c>
      <c r="D400" t="s">
        <v>622</v>
      </c>
      <c r="E400" s="127" t="s">
        <v>1063</v>
      </c>
      <c r="F400" s="31">
        <v>1</v>
      </c>
      <c r="G400" s="99">
        <v>1</v>
      </c>
      <c r="H400" s="73"/>
      <c r="I400" s="34">
        <f>AVERAGE(AI400)</f>
        <v>5</v>
      </c>
      <c r="J400" s="87"/>
      <c r="K400" s="37"/>
      <c r="L400" s="37"/>
      <c r="M400" s="77"/>
      <c r="N400" s="22"/>
      <c r="O400" s="37"/>
      <c r="P400" s="37"/>
      <c r="Q400" s="37"/>
      <c r="R400" s="24"/>
      <c r="S400" s="24"/>
      <c r="T400" s="37"/>
      <c r="U400" s="37"/>
      <c r="V400" s="37"/>
      <c r="W400" s="37"/>
      <c r="X400" s="37"/>
      <c r="Y400" s="37"/>
      <c r="Z400" s="24"/>
      <c r="AA400" s="24"/>
      <c r="AB400" s="37"/>
      <c r="AC400" s="37"/>
      <c r="AD400" s="37"/>
      <c r="AE400" s="37"/>
      <c r="AF400" s="37"/>
      <c r="AG400" s="24"/>
      <c r="AH400" s="37"/>
      <c r="AI400" s="27">
        <v>5</v>
      </c>
      <c r="AJ400" s="37" t="s">
        <v>611</v>
      </c>
      <c r="AK400" s="24"/>
      <c r="AL400" s="37"/>
      <c r="AM400" s="26"/>
      <c r="AN400" s="37"/>
      <c r="AO400" s="37"/>
      <c r="AP400" s="37"/>
      <c r="AQ400" s="24"/>
      <c r="AR400">
        <f t="shared" si="13"/>
        <v>2</v>
      </c>
    </row>
    <row r="401" spans="1:44" x14ac:dyDescent="0.25">
      <c r="B401" t="str">
        <f t="shared" si="12"/>
        <v>SRFC - Sylla</v>
      </c>
      <c r="C401" t="s">
        <v>881</v>
      </c>
      <c r="D401" s="158" t="s">
        <v>622</v>
      </c>
      <c r="E401" s="158" t="s">
        <v>503</v>
      </c>
      <c r="F401" s="218">
        <v>15</v>
      </c>
      <c r="G401" s="178">
        <v>2</v>
      </c>
      <c r="H401" s="103"/>
      <c r="I401" s="219">
        <f>AVERAGE(Y401,K401,L401,M401,J401,N401,O401,P401,Q401,S401,U401,W401,X401,AD401,AF401,AG401)</f>
        <v>4.9375</v>
      </c>
      <c r="J401" s="87">
        <v>5</v>
      </c>
      <c r="K401" s="37">
        <v>5</v>
      </c>
      <c r="L401" s="37">
        <v>6</v>
      </c>
      <c r="M401" s="37">
        <v>5</v>
      </c>
      <c r="N401" s="24">
        <v>5</v>
      </c>
      <c r="O401" s="24">
        <v>4</v>
      </c>
      <c r="P401" s="24">
        <v>5</v>
      </c>
      <c r="Q401" s="24">
        <v>5</v>
      </c>
      <c r="R401" s="24"/>
      <c r="S401" s="24">
        <v>5</v>
      </c>
      <c r="T401" s="24"/>
      <c r="U401" s="24">
        <v>6</v>
      </c>
      <c r="V401" s="24"/>
      <c r="W401" s="37">
        <v>4</v>
      </c>
      <c r="X401" s="24">
        <v>5</v>
      </c>
      <c r="Y401" s="24">
        <v>4</v>
      </c>
      <c r="Z401" s="37" t="s">
        <v>611</v>
      </c>
      <c r="AA401" s="24"/>
      <c r="AB401" s="24"/>
      <c r="AC401" s="24"/>
      <c r="AD401" s="24">
        <v>6</v>
      </c>
      <c r="AE401" s="24"/>
      <c r="AF401" s="24">
        <v>5</v>
      </c>
      <c r="AG401" s="24">
        <v>4</v>
      </c>
      <c r="AH401" s="24"/>
      <c r="AI401" s="27"/>
      <c r="AJ401" s="24"/>
      <c r="AK401" s="24"/>
      <c r="AL401" s="24"/>
      <c r="AM401" s="27"/>
      <c r="AN401" s="24"/>
      <c r="AO401" s="24"/>
      <c r="AP401" s="24"/>
      <c r="AQ401" s="24"/>
      <c r="AR401">
        <f t="shared" si="13"/>
        <v>17</v>
      </c>
    </row>
    <row r="402" spans="1:44" x14ac:dyDescent="0.25">
      <c r="B402" t="str">
        <f t="shared" si="12"/>
        <v>SRFC - Hosiner</v>
      </c>
      <c r="C402" t="s">
        <v>881</v>
      </c>
      <c r="D402" s="57" t="s">
        <v>633</v>
      </c>
      <c r="E402" s="57" t="s">
        <v>874</v>
      </c>
      <c r="F402" s="52"/>
      <c r="G402" s="63"/>
      <c r="H402" s="146"/>
      <c r="I402" s="215"/>
      <c r="J402" s="150"/>
      <c r="K402" s="61"/>
      <c r="L402" s="61"/>
      <c r="M402" s="61"/>
      <c r="N402" s="53"/>
      <c r="O402" s="53"/>
      <c r="P402" s="61"/>
      <c r="Q402" s="53"/>
      <c r="R402" s="53"/>
      <c r="S402" s="53"/>
      <c r="T402" s="61"/>
      <c r="U402" s="61"/>
      <c r="V402" s="61"/>
      <c r="W402" s="61"/>
      <c r="X402" s="53"/>
      <c r="Y402" s="53"/>
      <c r="Z402" s="53"/>
      <c r="AA402" s="53"/>
      <c r="AB402" s="53"/>
      <c r="AC402" s="53"/>
      <c r="AD402" s="53"/>
      <c r="AE402" s="61"/>
      <c r="AF402" s="53"/>
      <c r="AG402" s="53"/>
      <c r="AH402" s="53"/>
      <c r="AI402" s="63"/>
      <c r="AJ402" s="53"/>
      <c r="AK402" s="53"/>
      <c r="AL402" s="53"/>
      <c r="AM402" s="63"/>
      <c r="AN402" s="53"/>
      <c r="AO402" s="53"/>
      <c r="AP402" s="53"/>
      <c r="AQ402" s="53"/>
      <c r="AR402">
        <f t="shared" si="13"/>
        <v>0</v>
      </c>
    </row>
    <row r="403" spans="1:44" x14ac:dyDescent="0.25">
      <c r="B403" t="str">
        <f t="shared" si="12"/>
        <v>SRFC - Habibou</v>
      </c>
      <c r="C403" t="s">
        <v>881</v>
      </c>
      <c r="D403" s="64" t="s">
        <v>633</v>
      </c>
      <c r="E403" s="64" t="s">
        <v>875</v>
      </c>
      <c r="F403" s="52"/>
      <c r="G403" s="63">
        <v>1</v>
      </c>
      <c r="H403" s="146"/>
      <c r="I403" s="34"/>
      <c r="J403" s="150"/>
      <c r="K403" s="55"/>
      <c r="L403" s="55"/>
      <c r="M403" s="55"/>
      <c r="N403" s="55"/>
      <c r="O403" s="46"/>
      <c r="P403" s="46"/>
      <c r="Q403" s="46"/>
      <c r="R403" s="61" t="s">
        <v>611</v>
      </c>
      <c r="S403" s="46"/>
      <c r="T403" s="46"/>
      <c r="U403" s="46"/>
      <c r="V403" s="55"/>
      <c r="W403" s="46"/>
      <c r="X403" s="46"/>
      <c r="Y403" s="46"/>
      <c r="Z403" s="46"/>
      <c r="AA403" s="46"/>
      <c r="AB403" s="46"/>
      <c r="AC403" s="55"/>
      <c r="AD403" s="46"/>
      <c r="AE403" s="46"/>
      <c r="AF403" s="46"/>
      <c r="AG403" s="55"/>
      <c r="AH403" s="46"/>
      <c r="AI403" s="47"/>
      <c r="AJ403" s="55"/>
      <c r="AK403" s="46"/>
      <c r="AL403" s="46"/>
      <c r="AM403" s="47"/>
      <c r="AN403" s="46"/>
      <c r="AO403" s="46"/>
      <c r="AP403" s="46"/>
      <c r="AQ403" s="46"/>
      <c r="AR403">
        <f t="shared" si="13"/>
        <v>1</v>
      </c>
    </row>
    <row r="404" spans="1:44" x14ac:dyDescent="0.25">
      <c r="B404" t="str">
        <f t="shared" si="12"/>
        <v>SRFC - Ntep</v>
      </c>
      <c r="C404" t="s">
        <v>881</v>
      </c>
      <c r="D404" t="s">
        <v>633</v>
      </c>
      <c r="E404" t="s">
        <v>876</v>
      </c>
      <c r="F404" s="31">
        <v>11</v>
      </c>
      <c r="G404" s="99">
        <v>3</v>
      </c>
      <c r="H404" s="73">
        <v>2</v>
      </c>
      <c r="I404" s="34">
        <f>AVERAGE(N404,O404,Q404,R404,W404,AE404,AF404,AG404,AH404,AI404,AJ404,AK404)</f>
        <v>5.166666666666667</v>
      </c>
      <c r="J404" s="87"/>
      <c r="K404" s="77"/>
      <c r="L404" s="37"/>
      <c r="M404" s="37" t="s">
        <v>611</v>
      </c>
      <c r="N404" s="75">
        <v>7</v>
      </c>
      <c r="O404" s="22">
        <v>6</v>
      </c>
      <c r="P404" s="24"/>
      <c r="Q404" s="66">
        <v>7</v>
      </c>
      <c r="R404" s="23">
        <v>5</v>
      </c>
      <c r="S404" s="37"/>
      <c r="T404" s="24"/>
      <c r="U404" s="24"/>
      <c r="V404" s="24"/>
      <c r="W404" s="23">
        <v>6</v>
      </c>
      <c r="X404" s="24"/>
      <c r="Y404" s="22"/>
      <c r="Z404" s="24"/>
      <c r="AA404" s="24"/>
      <c r="AB404" s="24"/>
      <c r="AC404" s="22"/>
      <c r="AD404" s="37" t="s">
        <v>611</v>
      </c>
      <c r="AE404" s="24">
        <v>6</v>
      </c>
      <c r="AF404" s="24">
        <v>4</v>
      </c>
      <c r="AG404" s="37">
        <v>4</v>
      </c>
      <c r="AH404" s="24">
        <v>4</v>
      </c>
      <c r="AI404" s="143">
        <v>5</v>
      </c>
      <c r="AJ404" s="24">
        <v>4</v>
      </c>
      <c r="AK404" s="76">
        <v>4</v>
      </c>
      <c r="AL404" s="24"/>
      <c r="AM404" s="27"/>
      <c r="AN404" s="24"/>
      <c r="AO404" s="24"/>
      <c r="AP404" s="24"/>
      <c r="AQ404" s="37"/>
      <c r="AR404">
        <f t="shared" si="13"/>
        <v>14</v>
      </c>
    </row>
    <row r="405" spans="1:44" x14ac:dyDescent="0.25">
      <c r="B405" t="str">
        <f t="shared" si="12"/>
        <v>SRFC - G. Fernandes</v>
      </c>
      <c r="C405" t="s">
        <v>881</v>
      </c>
      <c r="D405" s="30" t="s">
        <v>622</v>
      </c>
      <c r="E405" t="s">
        <v>872</v>
      </c>
      <c r="F405" s="31">
        <v>26</v>
      </c>
      <c r="G405" s="99"/>
      <c r="H405" s="73">
        <v>1</v>
      </c>
      <c r="I405" s="34">
        <f>AVERAGE(Z405,K405,L405,M405,J405,O405,S405,T405,U405,V405,W405,X405,Y405,AB405,AC405,AE405,AF405,AG405,AH405,AI405,AJ405,AK405,AL405,AM405,AN405)</f>
        <v>5.4</v>
      </c>
      <c r="J405" s="87">
        <v>5</v>
      </c>
      <c r="K405" s="217">
        <v>6</v>
      </c>
      <c r="L405" s="37">
        <v>5</v>
      </c>
      <c r="M405" s="37">
        <v>5</v>
      </c>
      <c r="N405" s="24"/>
      <c r="O405" s="24">
        <v>5</v>
      </c>
      <c r="P405" s="24" t="s">
        <v>641</v>
      </c>
      <c r="Q405" s="24"/>
      <c r="R405" s="24"/>
      <c r="S405" s="24">
        <v>5</v>
      </c>
      <c r="T405" s="24">
        <v>6</v>
      </c>
      <c r="U405" s="24">
        <v>5</v>
      </c>
      <c r="V405" s="25">
        <v>7</v>
      </c>
      <c r="W405" s="24">
        <v>5</v>
      </c>
      <c r="X405" s="24">
        <v>4</v>
      </c>
      <c r="Y405" s="24">
        <v>5</v>
      </c>
      <c r="Z405" s="24">
        <v>5</v>
      </c>
      <c r="AA405" s="24"/>
      <c r="AB405" s="24">
        <v>6</v>
      </c>
      <c r="AC405" s="24">
        <v>6</v>
      </c>
      <c r="AD405" s="24"/>
      <c r="AE405" s="24">
        <v>6</v>
      </c>
      <c r="AF405" s="24">
        <v>4</v>
      </c>
      <c r="AG405" s="24">
        <v>6</v>
      </c>
      <c r="AH405" s="24">
        <v>5</v>
      </c>
      <c r="AI405" s="27">
        <v>5</v>
      </c>
      <c r="AJ405" s="24">
        <v>4</v>
      </c>
      <c r="AK405" s="24">
        <v>6</v>
      </c>
      <c r="AL405" s="24">
        <v>6</v>
      </c>
      <c r="AM405" s="27">
        <v>6</v>
      </c>
      <c r="AN405" s="66">
        <v>7</v>
      </c>
      <c r="AO405" s="24"/>
      <c r="AP405" s="24"/>
      <c r="AQ405" s="24"/>
      <c r="AR405">
        <f t="shared" si="13"/>
        <v>26</v>
      </c>
    </row>
    <row r="406" spans="1:44" x14ac:dyDescent="0.25">
      <c r="A406">
        <v>1</v>
      </c>
      <c r="B406" t="str">
        <f t="shared" si="12"/>
        <v>MHSC - Congré</v>
      </c>
      <c r="C406" t="s">
        <v>806</v>
      </c>
      <c r="D406" s="30" t="s">
        <v>608</v>
      </c>
      <c r="E406" s="30" t="s">
        <v>99</v>
      </c>
      <c r="F406" s="31">
        <v>30</v>
      </c>
      <c r="G406" s="99"/>
      <c r="H406" s="73">
        <v>1</v>
      </c>
      <c r="I406" s="34">
        <f>AVERAGE(AB406,Z406,Y406,W406,K406,L406,J406,N406,O406,P406,Q406,R406,S406,T406,U406,V406,X406,AA406,AC406,AD406,AE406,AF406,AG406,AH406,AI406,AJ406,AK406,AL406,AM406,AN406)</f>
        <v>5.2666666666666666</v>
      </c>
      <c r="J406" s="305">
        <v>5</v>
      </c>
      <c r="K406" s="37">
        <v>6</v>
      </c>
      <c r="L406" s="24">
        <v>5</v>
      </c>
      <c r="M406" s="37"/>
      <c r="N406" s="24">
        <v>5</v>
      </c>
      <c r="O406" s="24">
        <v>5</v>
      </c>
      <c r="P406" s="25">
        <v>7</v>
      </c>
      <c r="Q406" s="24">
        <v>5</v>
      </c>
      <c r="R406" s="37">
        <v>5</v>
      </c>
      <c r="S406" s="66">
        <v>7</v>
      </c>
      <c r="T406" s="24">
        <v>5</v>
      </c>
      <c r="U406" s="24">
        <v>5</v>
      </c>
      <c r="V406" s="24">
        <v>5</v>
      </c>
      <c r="W406" s="24">
        <v>5</v>
      </c>
      <c r="X406" s="24">
        <v>6</v>
      </c>
      <c r="Y406" s="24">
        <v>4</v>
      </c>
      <c r="Z406" s="24">
        <v>5</v>
      </c>
      <c r="AA406" s="24">
        <v>5</v>
      </c>
      <c r="AB406" s="24">
        <v>5</v>
      </c>
      <c r="AC406" s="24">
        <v>5</v>
      </c>
      <c r="AD406" s="24">
        <v>5</v>
      </c>
      <c r="AE406" s="24">
        <v>5</v>
      </c>
      <c r="AF406" s="66">
        <v>7</v>
      </c>
      <c r="AG406" s="24">
        <v>5</v>
      </c>
      <c r="AH406" s="24">
        <v>5</v>
      </c>
      <c r="AI406" s="27">
        <v>6</v>
      </c>
      <c r="AJ406" s="24">
        <v>5</v>
      </c>
      <c r="AK406" s="24">
        <v>6</v>
      </c>
      <c r="AL406" s="24">
        <v>5</v>
      </c>
      <c r="AM406" s="27">
        <v>4</v>
      </c>
      <c r="AN406" s="24">
        <v>5</v>
      </c>
      <c r="AO406" s="24"/>
      <c r="AP406" s="24"/>
      <c r="AQ406" s="24"/>
      <c r="AR406">
        <f t="shared" si="13"/>
        <v>30</v>
      </c>
    </row>
    <row r="407" spans="1:44" x14ac:dyDescent="0.25">
      <c r="B407" t="str">
        <f t="shared" si="12"/>
        <v>SRFC - Erasmus</v>
      </c>
      <c r="C407" t="s">
        <v>881</v>
      </c>
      <c r="D407" t="s">
        <v>633</v>
      </c>
      <c r="E407" s="127" t="s">
        <v>1088</v>
      </c>
      <c r="F407" s="31"/>
      <c r="G407" s="99">
        <v>1</v>
      </c>
      <c r="H407" s="73"/>
      <c r="I407" s="34"/>
      <c r="J407" s="87"/>
      <c r="K407" s="37"/>
      <c r="L407" s="37"/>
      <c r="M407" s="77"/>
      <c r="N407" s="22"/>
      <c r="O407" s="24"/>
      <c r="P407" s="22"/>
      <c r="Q407" s="37"/>
      <c r="R407" s="24"/>
      <c r="S407" s="24"/>
      <c r="T407" s="37"/>
      <c r="U407" s="37"/>
      <c r="V407" s="77"/>
      <c r="W407" s="22"/>
      <c r="X407" s="24"/>
      <c r="Y407" s="22"/>
      <c r="Z407" s="37"/>
      <c r="AA407" s="24"/>
      <c r="AB407" s="24"/>
      <c r="AC407" s="37"/>
      <c r="AD407" s="37"/>
      <c r="AE407" s="77"/>
      <c r="AF407" s="22"/>
      <c r="AG407" s="24"/>
      <c r="AH407" s="22"/>
      <c r="AI407" s="37"/>
      <c r="AJ407" s="24"/>
      <c r="AK407" s="24"/>
      <c r="AL407" s="37"/>
      <c r="AM407" s="26" t="s">
        <v>611</v>
      </c>
      <c r="AN407" s="37"/>
      <c r="AO407" s="37"/>
      <c r="AP407" s="37"/>
      <c r="AQ407" s="24"/>
      <c r="AR407">
        <f t="shared" si="13"/>
        <v>1</v>
      </c>
    </row>
    <row r="408" spans="1:44" x14ac:dyDescent="0.25">
      <c r="B408" t="str">
        <f t="shared" si="12"/>
        <v>SRFC - Dembélé</v>
      </c>
      <c r="C408" t="s">
        <v>881</v>
      </c>
      <c r="D408" t="s">
        <v>633</v>
      </c>
      <c r="E408" s="127" t="s">
        <v>877</v>
      </c>
      <c r="F408" s="31">
        <v>15</v>
      </c>
      <c r="G408" s="99">
        <v>4</v>
      </c>
      <c r="H408" s="73">
        <v>10</v>
      </c>
      <c r="I408" s="34">
        <f>AVERAGE(W408,Y408,AA408,AB408,AC408,AD408,AE408,AF408,AG408,AH408,AI408,AJ408,AK408,AL408,AM408,AN408)</f>
        <v>6.1875</v>
      </c>
      <c r="J408" s="87"/>
      <c r="K408" s="37"/>
      <c r="L408" s="37"/>
      <c r="M408" s="77"/>
      <c r="N408" s="22"/>
      <c r="O408" s="24"/>
      <c r="P408" s="22"/>
      <c r="Q408" s="37"/>
      <c r="R408" s="24"/>
      <c r="S408" s="24"/>
      <c r="T408" s="24"/>
      <c r="U408" s="37"/>
      <c r="V408" s="37" t="s">
        <v>611</v>
      </c>
      <c r="W408" s="25">
        <v>7</v>
      </c>
      <c r="X408" s="37" t="s">
        <v>611</v>
      </c>
      <c r="Y408" s="24">
        <v>4</v>
      </c>
      <c r="Z408" s="37" t="s">
        <v>611</v>
      </c>
      <c r="AA408" s="24">
        <v>6</v>
      </c>
      <c r="AB408" s="25">
        <v>8</v>
      </c>
      <c r="AC408" s="22">
        <v>5</v>
      </c>
      <c r="AD408" s="25">
        <v>8</v>
      </c>
      <c r="AE408" s="24">
        <v>6</v>
      </c>
      <c r="AF408" s="37">
        <v>4</v>
      </c>
      <c r="AG408" s="24">
        <v>4</v>
      </c>
      <c r="AH408" s="22">
        <v>6</v>
      </c>
      <c r="AI408" s="27">
        <v>5</v>
      </c>
      <c r="AJ408" s="24">
        <v>5</v>
      </c>
      <c r="AK408" s="25">
        <v>8</v>
      </c>
      <c r="AL408" s="75">
        <v>9</v>
      </c>
      <c r="AM408" s="200">
        <v>7</v>
      </c>
      <c r="AN408" s="75">
        <v>7</v>
      </c>
      <c r="AO408" s="37"/>
      <c r="AP408" s="37"/>
      <c r="AQ408" s="24"/>
      <c r="AR408">
        <f t="shared" si="13"/>
        <v>19</v>
      </c>
    </row>
    <row r="409" spans="1:44" x14ac:dyDescent="0.25">
      <c r="B409" t="str">
        <f t="shared" si="12"/>
        <v>SRFC - Saïd</v>
      </c>
      <c r="C409" t="s">
        <v>881</v>
      </c>
      <c r="D409" s="64" t="s">
        <v>633</v>
      </c>
      <c r="E409" s="64" t="s">
        <v>879</v>
      </c>
      <c r="F409" s="52"/>
      <c r="G409" s="63">
        <v>1</v>
      </c>
      <c r="H409" s="146"/>
      <c r="I409" s="34"/>
      <c r="J409" s="58"/>
      <c r="K409" s="55" t="s">
        <v>611</v>
      </c>
      <c r="L409" s="55"/>
      <c r="M409" s="55"/>
      <c r="N409" s="46"/>
      <c r="O409" s="46"/>
      <c r="P409" s="46"/>
      <c r="Q409" s="55"/>
      <c r="R409" s="46"/>
      <c r="S409" s="46"/>
      <c r="T409" s="55"/>
      <c r="U409" s="55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  <c r="AG409" s="46"/>
      <c r="AH409" s="46"/>
      <c r="AI409" s="47"/>
      <c r="AJ409" s="46"/>
      <c r="AK409" s="46"/>
      <c r="AL409" s="55"/>
      <c r="AM409" s="56"/>
      <c r="AN409" s="55"/>
      <c r="AO409" s="55"/>
      <c r="AP409" s="55"/>
      <c r="AQ409" s="46"/>
      <c r="AR409">
        <f t="shared" si="13"/>
        <v>1</v>
      </c>
    </row>
    <row r="410" spans="1:44" ht="15.75" thickBot="1" x14ac:dyDescent="0.3">
      <c r="B410" t="str">
        <f t="shared" si="12"/>
        <v>SRFC - Toivonen</v>
      </c>
      <c r="C410" t="s">
        <v>881</v>
      </c>
      <c r="D410" s="220" t="s">
        <v>633</v>
      </c>
      <c r="E410" s="220" t="s">
        <v>880</v>
      </c>
      <c r="F410" s="221"/>
      <c r="G410" s="222">
        <v>1</v>
      </c>
      <c r="H410" s="223"/>
      <c r="I410" s="121"/>
      <c r="J410" s="58" t="s">
        <v>611</v>
      </c>
      <c r="K410" s="59"/>
      <c r="L410" s="189"/>
      <c r="M410" s="59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59"/>
      <c r="Y410" s="46"/>
      <c r="Z410" s="46"/>
      <c r="AA410" s="46"/>
      <c r="AB410" s="46"/>
      <c r="AC410" s="46"/>
      <c r="AD410" s="46"/>
      <c r="AE410" s="46"/>
      <c r="AF410" s="55"/>
      <c r="AG410" s="59"/>
      <c r="AH410" s="81"/>
      <c r="AI410" s="47"/>
      <c r="AJ410" s="46"/>
      <c r="AK410" s="46"/>
      <c r="AL410" s="46"/>
      <c r="AM410" s="47"/>
      <c r="AN410" s="46"/>
      <c r="AO410" s="59"/>
      <c r="AP410" s="46"/>
      <c r="AQ410" s="46"/>
      <c r="AR410">
        <f t="shared" si="13"/>
        <v>1</v>
      </c>
    </row>
    <row r="411" spans="1:44" x14ac:dyDescent="0.25">
      <c r="B411" t="str">
        <f t="shared" si="12"/>
        <v>SR - Agassa</v>
      </c>
      <c r="C411" t="s">
        <v>901</v>
      </c>
      <c r="D411" s="16" t="s">
        <v>605</v>
      </c>
      <c r="E411" s="17" t="s">
        <v>882</v>
      </c>
      <c r="F411" s="18">
        <v>10</v>
      </c>
      <c r="G411" s="95"/>
      <c r="H411" s="160"/>
      <c r="I411" s="20">
        <f>AVERAGE(K411,L411,J411,N411,V411,W411,X411,Y411,Z411)</f>
        <v>4.8888888888888893</v>
      </c>
      <c r="J411" s="48">
        <v>5</v>
      </c>
      <c r="K411" s="224">
        <v>7</v>
      </c>
      <c r="L411" s="37">
        <v>6</v>
      </c>
      <c r="M411" s="24"/>
      <c r="N411" s="24">
        <v>4</v>
      </c>
      <c r="O411" s="24" t="s">
        <v>641</v>
      </c>
      <c r="P411" s="24"/>
      <c r="Q411" s="24"/>
      <c r="R411" s="22"/>
      <c r="S411" s="24"/>
      <c r="T411" s="24"/>
      <c r="U411" s="24"/>
      <c r="V411" s="24">
        <v>4</v>
      </c>
      <c r="W411" s="24">
        <v>4</v>
      </c>
      <c r="X411" s="24">
        <v>5</v>
      </c>
      <c r="Y411" s="24">
        <v>4</v>
      </c>
      <c r="Z411" s="24">
        <v>5</v>
      </c>
      <c r="AA411" s="24"/>
      <c r="AB411" s="24"/>
      <c r="AC411" s="24"/>
      <c r="AD411" s="24"/>
      <c r="AE411" s="24"/>
      <c r="AF411" s="24"/>
      <c r="AG411" s="24"/>
      <c r="AH411" s="24"/>
      <c r="AI411" s="22"/>
      <c r="AJ411" s="27"/>
      <c r="AK411" s="24"/>
      <c r="AL411" s="37"/>
      <c r="AM411" s="24"/>
      <c r="AN411" s="24"/>
      <c r="AO411" s="24"/>
      <c r="AP411" s="24"/>
      <c r="AQ411" s="24"/>
      <c r="AR411">
        <f t="shared" si="13"/>
        <v>10</v>
      </c>
    </row>
    <row r="412" spans="1:44" x14ac:dyDescent="0.25">
      <c r="B412" t="str">
        <f t="shared" si="12"/>
        <v>SR - Carrasso</v>
      </c>
      <c r="C412" t="s">
        <v>901</v>
      </c>
      <c r="D412" s="29" t="s">
        <v>605</v>
      </c>
      <c r="E412" s="60" t="s">
        <v>740</v>
      </c>
      <c r="F412" s="31">
        <v>5</v>
      </c>
      <c r="G412" s="99"/>
      <c r="H412" s="73"/>
      <c r="I412" s="34">
        <f>AVERAGE(AJ412,AK412,AL412,AM412,AN412)</f>
        <v>4.8</v>
      </c>
      <c r="J412" s="48"/>
      <c r="K412" s="36"/>
      <c r="L412" s="37"/>
      <c r="M412" s="24"/>
      <c r="N412" s="24"/>
      <c r="O412" s="24"/>
      <c r="P412" s="24"/>
      <c r="Q412" s="37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7">
        <v>4</v>
      </c>
      <c r="AK412" s="24">
        <v>5</v>
      </c>
      <c r="AL412" s="37">
        <v>5</v>
      </c>
      <c r="AM412" s="24">
        <v>5</v>
      </c>
      <c r="AN412" s="24">
        <v>5</v>
      </c>
      <c r="AO412" s="24"/>
      <c r="AP412" s="24"/>
      <c r="AQ412" s="24"/>
      <c r="AR412">
        <f t="shared" si="13"/>
        <v>5</v>
      </c>
    </row>
    <row r="413" spans="1:44" x14ac:dyDescent="0.25">
      <c r="B413" t="str">
        <f t="shared" si="12"/>
        <v>SR - Placide</v>
      </c>
      <c r="C413" t="s">
        <v>901</v>
      </c>
      <c r="D413" s="67" t="s">
        <v>605</v>
      </c>
      <c r="E413" s="68" t="s">
        <v>572</v>
      </c>
      <c r="F413" s="69">
        <v>16</v>
      </c>
      <c r="G413" s="115">
        <v>2</v>
      </c>
      <c r="H413" s="123"/>
      <c r="I413" s="72">
        <f>AVERAGE(M413,O413,P413,Q413,R413,S413,T413,U413,AA413,AB413,AC413,AD413,AE413,AF413,AG413,AH413,AI413)</f>
        <v>5.0588235294117645</v>
      </c>
      <c r="J413" s="48"/>
      <c r="K413" s="37"/>
      <c r="L413" s="37" t="s">
        <v>611</v>
      </c>
      <c r="M413" s="74">
        <v>6</v>
      </c>
      <c r="N413" s="144"/>
      <c r="O413" s="23">
        <v>5</v>
      </c>
      <c r="P413" s="22">
        <v>5</v>
      </c>
      <c r="Q413" s="22">
        <v>6</v>
      </c>
      <c r="R413" s="24">
        <v>6</v>
      </c>
      <c r="S413" s="23">
        <v>5</v>
      </c>
      <c r="T413" s="23">
        <v>5</v>
      </c>
      <c r="U413" s="24">
        <v>5</v>
      </c>
      <c r="V413" s="22"/>
      <c r="W413" s="22"/>
      <c r="X413" s="22"/>
      <c r="Y413" s="24"/>
      <c r="Z413" s="24"/>
      <c r="AA413" s="24">
        <v>5</v>
      </c>
      <c r="AB413" s="24">
        <v>4</v>
      </c>
      <c r="AC413" s="82">
        <v>2</v>
      </c>
      <c r="AD413" s="24">
        <v>5</v>
      </c>
      <c r="AE413" s="23">
        <v>5</v>
      </c>
      <c r="AF413" s="24">
        <v>5</v>
      </c>
      <c r="AG413" s="24">
        <v>6</v>
      </c>
      <c r="AH413" s="25">
        <v>7</v>
      </c>
      <c r="AI413" s="24">
        <v>4</v>
      </c>
      <c r="AJ413" s="27"/>
      <c r="AK413" s="24"/>
      <c r="AL413" s="37"/>
      <c r="AM413" s="24"/>
      <c r="AN413" s="24"/>
      <c r="AO413" s="24"/>
      <c r="AP413" s="24"/>
      <c r="AQ413" s="24"/>
      <c r="AR413">
        <f t="shared" si="13"/>
        <v>18</v>
      </c>
    </row>
    <row r="414" spans="1:44" x14ac:dyDescent="0.25">
      <c r="B414" t="str">
        <f t="shared" si="12"/>
        <v>SR - Fofana</v>
      </c>
      <c r="C414" t="s">
        <v>901</v>
      </c>
      <c r="D414" s="29" t="s">
        <v>608</v>
      </c>
      <c r="E414" s="30" t="s">
        <v>782</v>
      </c>
      <c r="F414" s="31">
        <v>10</v>
      </c>
      <c r="G414" s="99">
        <v>1</v>
      </c>
      <c r="H414" s="73"/>
      <c r="I414" s="34">
        <f>AVERAGE(P414,R414,Y414,Z414,AA414,AB414,AC414,AD414,AF414,AG414)</f>
        <v>4.5</v>
      </c>
      <c r="J414" s="48"/>
      <c r="K414" s="79"/>
      <c r="L414" s="37"/>
      <c r="M414" s="37"/>
      <c r="N414" s="24"/>
      <c r="O414" s="24"/>
      <c r="P414" s="24">
        <v>5</v>
      </c>
      <c r="Q414" s="24"/>
      <c r="R414" s="24">
        <v>5</v>
      </c>
      <c r="S414" s="24" t="s">
        <v>641</v>
      </c>
      <c r="T414" s="24"/>
      <c r="U414" s="24"/>
      <c r="V414" s="24"/>
      <c r="W414" s="24"/>
      <c r="X414" s="24"/>
      <c r="Y414" s="37">
        <v>4</v>
      </c>
      <c r="Z414" s="24">
        <v>5</v>
      </c>
      <c r="AA414" s="24">
        <v>5</v>
      </c>
      <c r="AB414" s="24">
        <v>4</v>
      </c>
      <c r="AC414" s="24">
        <v>4</v>
      </c>
      <c r="AD414" s="24">
        <v>4</v>
      </c>
      <c r="AE414" s="24"/>
      <c r="AF414" s="24">
        <v>4</v>
      </c>
      <c r="AG414" s="24">
        <v>5</v>
      </c>
      <c r="AH414" s="24"/>
      <c r="AI414" s="24"/>
      <c r="AJ414" s="27"/>
      <c r="AK414" s="24"/>
      <c r="AL414" s="37"/>
      <c r="AM414" s="24"/>
      <c r="AN414" s="24"/>
      <c r="AO414" s="24"/>
      <c r="AP414" s="24"/>
      <c r="AQ414" s="24"/>
      <c r="AR414">
        <f t="shared" si="13"/>
        <v>11</v>
      </c>
    </row>
    <row r="415" spans="1:44" x14ac:dyDescent="0.25">
      <c r="B415" t="str">
        <f t="shared" si="12"/>
        <v>SR - Conte</v>
      </c>
      <c r="C415" t="s">
        <v>901</v>
      </c>
      <c r="D415" s="29" t="s">
        <v>608</v>
      </c>
      <c r="E415" s="30" t="s">
        <v>883</v>
      </c>
      <c r="F415" s="31">
        <v>6</v>
      </c>
      <c r="G415" s="99"/>
      <c r="H415" s="73"/>
      <c r="I415" s="34">
        <f>AVERAGE(M415,AJ415,AK415,AL415,AM415,AN415)</f>
        <v>4.833333333333333</v>
      </c>
      <c r="J415" s="48"/>
      <c r="K415" s="37"/>
      <c r="L415" s="79"/>
      <c r="M415" s="37">
        <v>5</v>
      </c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4">
        <v>3</v>
      </c>
      <c r="AK415" s="24">
        <v>6</v>
      </c>
      <c r="AL415" s="37">
        <v>5</v>
      </c>
      <c r="AM415" s="24">
        <v>5</v>
      </c>
      <c r="AN415" s="24">
        <v>5</v>
      </c>
      <c r="AO415" s="24"/>
      <c r="AP415" s="24"/>
      <c r="AQ415" s="24"/>
      <c r="AR415">
        <f t="shared" si="13"/>
        <v>6</v>
      </c>
    </row>
    <row r="416" spans="1:44" x14ac:dyDescent="0.25">
      <c r="B416" t="str">
        <f t="shared" si="12"/>
        <v>SR - Glombard</v>
      </c>
      <c r="C416" t="s">
        <v>901</v>
      </c>
      <c r="D416" s="50" t="s">
        <v>608</v>
      </c>
      <c r="E416" s="57" t="s">
        <v>884</v>
      </c>
      <c r="F416" s="52"/>
      <c r="G416" s="63"/>
      <c r="H416" s="146"/>
      <c r="I416" s="34"/>
      <c r="J416" s="58"/>
      <c r="K416" s="55"/>
      <c r="L416" s="55"/>
      <c r="M416" s="55"/>
      <c r="N416" s="46"/>
      <c r="O416" s="55"/>
      <c r="P416" s="46"/>
      <c r="Q416" s="55"/>
      <c r="R416" s="55"/>
      <c r="S416" s="46"/>
      <c r="T416" s="46"/>
      <c r="U416" s="46"/>
      <c r="V416" s="46"/>
      <c r="W416" s="55"/>
      <c r="X416" s="46"/>
      <c r="Y416" s="46"/>
      <c r="Z416" s="55"/>
      <c r="AA416" s="46"/>
      <c r="AB416" s="46"/>
      <c r="AC416" s="55"/>
      <c r="AD416" s="46"/>
      <c r="AE416" s="46"/>
      <c r="AF416" s="46"/>
      <c r="AG416" s="46"/>
      <c r="AH416" s="46"/>
      <c r="AI416" s="55"/>
      <c r="AJ416" s="47"/>
      <c r="AK416" s="46"/>
      <c r="AL416" s="55"/>
      <c r="AM416" s="46"/>
      <c r="AN416" s="46"/>
      <c r="AO416" s="46"/>
      <c r="AP416" s="46"/>
      <c r="AQ416" s="46"/>
      <c r="AR416">
        <f t="shared" si="13"/>
        <v>0</v>
      </c>
    </row>
    <row r="417" spans="1:44" x14ac:dyDescent="0.25">
      <c r="B417" t="str">
        <f t="shared" si="12"/>
        <v>MHSC - Boudebouz</v>
      </c>
      <c r="C417" t="s">
        <v>806</v>
      </c>
      <c r="D417" s="29" t="s">
        <v>622</v>
      </c>
      <c r="E417" s="155" t="s">
        <v>522</v>
      </c>
      <c r="F417" s="31">
        <v>30</v>
      </c>
      <c r="G417" s="99">
        <v>1</v>
      </c>
      <c r="H417" s="73">
        <v>1</v>
      </c>
      <c r="I417" s="34">
        <f>AVERAGE(AB417,Z417,Y417,L417,M417,J417,N417,O417,P417,Q417,R417,S417,T417,U417,V417,W417,X417,AA417,AC417,AD417,AE417,AG417,AF417,AH417,AI417,AJ417,AK417,AL417,AM417,AN417)</f>
        <v>5.3666666666666663</v>
      </c>
      <c r="J417" s="101">
        <v>5</v>
      </c>
      <c r="K417" s="37" t="s">
        <v>611</v>
      </c>
      <c r="L417" s="37">
        <v>5</v>
      </c>
      <c r="M417" s="37">
        <v>5</v>
      </c>
      <c r="N417" s="66">
        <v>7</v>
      </c>
      <c r="O417" s="24">
        <v>5</v>
      </c>
      <c r="P417" s="24">
        <v>6</v>
      </c>
      <c r="Q417" s="24">
        <v>5</v>
      </c>
      <c r="R417" s="24">
        <v>4</v>
      </c>
      <c r="S417" s="24">
        <v>5</v>
      </c>
      <c r="T417" s="25">
        <v>7</v>
      </c>
      <c r="U417" s="24">
        <v>5</v>
      </c>
      <c r="V417" s="24">
        <v>6</v>
      </c>
      <c r="W417" s="66">
        <v>7</v>
      </c>
      <c r="X417" s="24">
        <v>6</v>
      </c>
      <c r="Y417" s="24">
        <v>6</v>
      </c>
      <c r="Z417" s="24">
        <v>5</v>
      </c>
      <c r="AA417" s="66">
        <v>7</v>
      </c>
      <c r="AB417" s="24">
        <v>4</v>
      </c>
      <c r="AC417" s="82">
        <v>3</v>
      </c>
      <c r="AD417" s="24">
        <v>4</v>
      </c>
      <c r="AE417" s="24">
        <v>6</v>
      </c>
      <c r="AF417" s="66">
        <v>7</v>
      </c>
      <c r="AG417" s="24">
        <v>4</v>
      </c>
      <c r="AH417" s="24">
        <v>6</v>
      </c>
      <c r="AI417" s="24">
        <v>6</v>
      </c>
      <c r="AJ417" s="27">
        <v>6</v>
      </c>
      <c r="AK417" s="66">
        <v>7</v>
      </c>
      <c r="AL417" s="24">
        <v>5</v>
      </c>
      <c r="AM417" s="37">
        <v>4</v>
      </c>
      <c r="AN417" s="82">
        <v>3</v>
      </c>
      <c r="AO417" s="24"/>
      <c r="AP417" s="24"/>
      <c r="AQ417" s="24"/>
      <c r="AR417">
        <f t="shared" si="13"/>
        <v>31</v>
      </c>
    </row>
    <row r="418" spans="1:44" x14ac:dyDescent="0.25">
      <c r="A418">
        <v>1</v>
      </c>
      <c r="B418" t="str">
        <f t="shared" si="12"/>
        <v>MHSC - Hilton</v>
      </c>
      <c r="C418" t="s">
        <v>806</v>
      </c>
      <c r="D418" s="29" t="s">
        <v>608</v>
      </c>
      <c r="E418" s="60" t="s">
        <v>197</v>
      </c>
      <c r="F418" s="31">
        <v>30</v>
      </c>
      <c r="G418" s="99"/>
      <c r="H418" s="73">
        <v>1</v>
      </c>
      <c r="I418" s="34">
        <f>AVERAGE(AB418,Z418,Y418,W418,K418,L418,M418,N418,O418,P418,Q418,R418,S418,T418,U418,V418,X418,AA418,AC418,AD418,AE418,AF418,AG418,AH418,AI418,AJ418,AK418,AL418,AM418,AN418)</f>
        <v>5.2666666666666666</v>
      </c>
      <c r="J418" s="112"/>
      <c r="K418" s="37">
        <v>5</v>
      </c>
      <c r="L418" s="37">
        <v>6</v>
      </c>
      <c r="M418" s="37">
        <v>5</v>
      </c>
      <c r="N418" s="24">
        <v>6</v>
      </c>
      <c r="O418" s="24">
        <v>5</v>
      </c>
      <c r="P418" s="24">
        <v>5</v>
      </c>
      <c r="Q418" s="24">
        <v>5</v>
      </c>
      <c r="R418" s="23">
        <v>5</v>
      </c>
      <c r="S418" s="24">
        <v>6</v>
      </c>
      <c r="T418" s="24">
        <v>6</v>
      </c>
      <c r="U418" s="24">
        <v>6</v>
      </c>
      <c r="V418" s="25">
        <v>7</v>
      </c>
      <c r="W418" s="24">
        <v>5</v>
      </c>
      <c r="X418" s="23">
        <v>4</v>
      </c>
      <c r="Y418" s="24">
        <v>4</v>
      </c>
      <c r="Z418" s="24">
        <v>5</v>
      </c>
      <c r="AA418" s="24">
        <v>5</v>
      </c>
      <c r="AB418" s="24">
        <v>5</v>
      </c>
      <c r="AC418" s="24">
        <v>6</v>
      </c>
      <c r="AD418" s="24">
        <v>5</v>
      </c>
      <c r="AE418" s="24">
        <v>4</v>
      </c>
      <c r="AF418" s="66">
        <v>7</v>
      </c>
      <c r="AG418" s="24">
        <v>6</v>
      </c>
      <c r="AH418" s="24">
        <v>5</v>
      </c>
      <c r="AI418" s="24">
        <v>6</v>
      </c>
      <c r="AJ418" s="27">
        <v>5</v>
      </c>
      <c r="AK418" s="24">
        <v>6</v>
      </c>
      <c r="AL418" s="37">
        <v>5</v>
      </c>
      <c r="AM418" s="24">
        <v>4</v>
      </c>
      <c r="AN418" s="24">
        <v>4</v>
      </c>
      <c r="AO418" s="24"/>
      <c r="AP418" s="22"/>
      <c r="AQ418" s="24"/>
      <c r="AR418">
        <f t="shared" si="13"/>
        <v>30</v>
      </c>
    </row>
    <row r="419" spans="1:44" x14ac:dyDescent="0.25">
      <c r="B419" t="str">
        <f t="shared" si="12"/>
        <v>SR - Tacalfred</v>
      </c>
      <c r="C419" t="s">
        <v>901</v>
      </c>
      <c r="D419" s="29" t="s">
        <v>608</v>
      </c>
      <c r="E419" s="30" t="s">
        <v>886</v>
      </c>
      <c r="F419" s="31">
        <v>13</v>
      </c>
      <c r="G419" s="99">
        <v>1</v>
      </c>
      <c r="H419" s="114"/>
      <c r="I419" s="34">
        <f>AVERAGE(Q419,R419,S419,T419,U419,Z419,AB419,AE419,AF419,AG419,AH419,AI419,AJ419)</f>
        <v>4.5384615384615383</v>
      </c>
      <c r="J419" s="48"/>
      <c r="K419" s="37"/>
      <c r="L419" s="37"/>
      <c r="M419" s="37"/>
      <c r="N419" s="37"/>
      <c r="O419" s="24"/>
      <c r="P419" s="37" t="s">
        <v>611</v>
      </c>
      <c r="Q419" s="37">
        <v>5</v>
      </c>
      <c r="R419" s="24">
        <v>5</v>
      </c>
      <c r="S419" s="24">
        <v>5</v>
      </c>
      <c r="T419" s="24">
        <v>4</v>
      </c>
      <c r="U419" s="82">
        <v>3</v>
      </c>
      <c r="V419" s="24"/>
      <c r="W419" s="24"/>
      <c r="X419" s="24"/>
      <c r="Y419" s="24"/>
      <c r="Z419" s="24">
        <v>5</v>
      </c>
      <c r="AA419" s="37"/>
      <c r="AB419" s="24">
        <v>5</v>
      </c>
      <c r="AC419" s="24"/>
      <c r="AD419" s="24"/>
      <c r="AE419" s="24">
        <v>5</v>
      </c>
      <c r="AF419" s="24">
        <v>4</v>
      </c>
      <c r="AG419" s="24">
        <v>5</v>
      </c>
      <c r="AH419" s="24">
        <v>5</v>
      </c>
      <c r="AI419" s="24">
        <v>5</v>
      </c>
      <c r="AJ419" s="244">
        <v>3</v>
      </c>
      <c r="AK419" s="24"/>
      <c r="AL419" s="37"/>
      <c r="AM419" s="24"/>
      <c r="AN419" s="24"/>
      <c r="AO419" s="24"/>
      <c r="AP419" s="24"/>
      <c r="AQ419" s="24"/>
      <c r="AR419">
        <f t="shared" si="13"/>
        <v>14</v>
      </c>
    </row>
    <row r="420" spans="1:44" x14ac:dyDescent="0.25">
      <c r="A420">
        <v>1</v>
      </c>
      <c r="B420" t="str">
        <f t="shared" si="12"/>
        <v>Losc - Soumaoro</v>
      </c>
      <c r="C420" t="s">
        <v>739</v>
      </c>
      <c r="D420" s="29" t="s">
        <v>608</v>
      </c>
      <c r="E420" s="30" t="s">
        <v>718</v>
      </c>
      <c r="F420" s="31">
        <v>23</v>
      </c>
      <c r="G420" s="99">
        <v>1</v>
      </c>
      <c r="H420" s="73">
        <v>1</v>
      </c>
      <c r="I420" s="34">
        <f>AVERAGE(K420,N420,O420,S420,T420,U420,V420,X420,Y420,Z420,AA420,AB420,AC420,AD420,AE420,AF420,AG420,AH420,AI420,AJ420,AK420,AL420,AM420,AN420)</f>
        <v>5.25</v>
      </c>
      <c r="J420" s="48"/>
      <c r="K420" s="24">
        <v>5</v>
      </c>
      <c r="L420" s="24"/>
      <c r="M420" s="24"/>
      <c r="N420" s="24">
        <v>5</v>
      </c>
      <c r="O420" s="24">
        <v>5</v>
      </c>
      <c r="P420" s="24"/>
      <c r="Q420" s="24"/>
      <c r="R420" s="24"/>
      <c r="S420" s="24">
        <v>5</v>
      </c>
      <c r="T420" s="24">
        <v>5</v>
      </c>
      <c r="U420" s="24">
        <v>5</v>
      </c>
      <c r="V420" s="24">
        <v>4</v>
      </c>
      <c r="W420" s="24"/>
      <c r="X420" s="24">
        <v>5</v>
      </c>
      <c r="Y420" s="24">
        <v>6</v>
      </c>
      <c r="Z420" s="24">
        <v>5</v>
      </c>
      <c r="AA420" s="24">
        <v>5</v>
      </c>
      <c r="AB420" s="24">
        <v>5</v>
      </c>
      <c r="AC420" s="24">
        <v>5</v>
      </c>
      <c r="AD420" s="24">
        <v>6</v>
      </c>
      <c r="AE420" s="24">
        <v>5</v>
      </c>
      <c r="AF420" s="24">
        <v>5</v>
      </c>
      <c r="AG420" s="25">
        <v>8</v>
      </c>
      <c r="AH420" s="24">
        <v>5</v>
      </c>
      <c r="AI420" s="24">
        <v>6</v>
      </c>
      <c r="AJ420" s="27">
        <v>6</v>
      </c>
      <c r="AK420" s="24">
        <v>4</v>
      </c>
      <c r="AL420" s="24">
        <v>5</v>
      </c>
      <c r="AM420" s="24">
        <v>5</v>
      </c>
      <c r="AN420" s="24">
        <v>6</v>
      </c>
      <c r="AO420" s="24"/>
      <c r="AP420" s="24"/>
      <c r="AQ420" s="24"/>
      <c r="AR420">
        <f t="shared" si="13"/>
        <v>24</v>
      </c>
    </row>
    <row r="421" spans="1:44" x14ac:dyDescent="0.25">
      <c r="B421" t="str">
        <f t="shared" si="12"/>
        <v>SR - El Kaoutari</v>
      </c>
      <c r="C421" t="s">
        <v>901</v>
      </c>
      <c r="D421" s="29" t="s">
        <v>608</v>
      </c>
      <c r="E421" s="60" t="s">
        <v>1065</v>
      </c>
      <c r="F421" s="31">
        <v>7</v>
      </c>
      <c r="G421" s="99">
        <v>1</v>
      </c>
      <c r="H421" s="114"/>
      <c r="I421" s="34">
        <f>AVERAGE(AH421,AI421,AJ421,AK421,AL421,AM421,AN421)</f>
        <v>4.5714285714285712</v>
      </c>
      <c r="J421" s="48"/>
      <c r="K421" s="37"/>
      <c r="L421" s="37"/>
      <c r="M421" s="37"/>
      <c r="N421" s="37"/>
      <c r="O421" s="24"/>
      <c r="P421" s="24"/>
      <c r="Q421" s="37"/>
      <c r="R421" s="24"/>
      <c r="S421" s="24"/>
      <c r="T421" s="24"/>
      <c r="U421" s="24"/>
      <c r="V421" s="24"/>
      <c r="W421" s="24"/>
      <c r="X421" s="24"/>
      <c r="Y421" s="24"/>
      <c r="Z421" s="24"/>
      <c r="AA421" s="37"/>
      <c r="AB421" s="24"/>
      <c r="AC421" s="24"/>
      <c r="AD421" s="24"/>
      <c r="AE421" s="24"/>
      <c r="AF421" s="24"/>
      <c r="AG421" s="37" t="s">
        <v>611</v>
      </c>
      <c r="AH421" s="24">
        <v>6</v>
      </c>
      <c r="AI421" s="24">
        <v>5</v>
      </c>
      <c r="AJ421" s="244">
        <v>3</v>
      </c>
      <c r="AK421" s="24">
        <v>5</v>
      </c>
      <c r="AL421" s="37">
        <v>4</v>
      </c>
      <c r="AM421" s="24">
        <v>5</v>
      </c>
      <c r="AN421" s="24">
        <v>4</v>
      </c>
      <c r="AO421" s="24"/>
      <c r="AP421" s="24"/>
      <c r="AQ421" s="24"/>
      <c r="AR421">
        <f t="shared" si="13"/>
        <v>8</v>
      </c>
    </row>
    <row r="422" spans="1:44" x14ac:dyDescent="0.25">
      <c r="B422" t="str">
        <f t="shared" si="12"/>
        <v>SR - Turan</v>
      </c>
      <c r="C422" t="s">
        <v>901</v>
      </c>
      <c r="D422" s="29" t="s">
        <v>608</v>
      </c>
      <c r="E422" s="60" t="s">
        <v>893</v>
      </c>
      <c r="F422" s="31">
        <v>5</v>
      </c>
      <c r="G422" s="99">
        <v>2</v>
      </c>
      <c r="H422" s="73">
        <v>1</v>
      </c>
      <c r="I422" s="34">
        <f>AVERAGE(M422,N422,P422,AA422,AC422)</f>
        <v>4.8</v>
      </c>
      <c r="J422" s="48"/>
      <c r="K422" s="37"/>
      <c r="L422" s="79"/>
      <c r="M422" s="77">
        <v>6</v>
      </c>
      <c r="N422" s="24">
        <v>4</v>
      </c>
      <c r="O422" s="24"/>
      <c r="P422" s="24">
        <v>5</v>
      </c>
      <c r="Q422" s="24"/>
      <c r="R422" s="24"/>
      <c r="S422" s="24"/>
      <c r="T422" s="24"/>
      <c r="U422" s="24"/>
      <c r="V422" s="37"/>
      <c r="W422" s="24"/>
      <c r="X422" s="24"/>
      <c r="Y422" s="37"/>
      <c r="Z422" s="24"/>
      <c r="AA422" s="24">
        <v>4</v>
      </c>
      <c r="AB422" s="76" t="s">
        <v>611</v>
      </c>
      <c r="AC422" s="24">
        <v>5</v>
      </c>
      <c r="AD422" s="37"/>
      <c r="AE422" s="24"/>
      <c r="AF422" s="24"/>
      <c r="AG422" s="24"/>
      <c r="AH422" s="24"/>
      <c r="AI422" s="37" t="s">
        <v>611</v>
      </c>
      <c r="AJ422" s="27"/>
      <c r="AK422" s="22"/>
      <c r="AL422" s="37"/>
      <c r="AM422" s="24"/>
      <c r="AN422" s="24"/>
      <c r="AO422" s="24"/>
      <c r="AP422" s="24"/>
      <c r="AQ422" s="24"/>
      <c r="AR422">
        <f t="shared" si="13"/>
        <v>7</v>
      </c>
    </row>
    <row r="423" spans="1:44" x14ac:dyDescent="0.25">
      <c r="B423" t="str">
        <f t="shared" ref="B423:B486" si="14">C423 &amp; " - " &amp;E423</f>
        <v>SR - Weber</v>
      </c>
      <c r="C423" t="s">
        <v>901</v>
      </c>
      <c r="D423" s="67" t="s">
        <v>608</v>
      </c>
      <c r="E423" s="68" t="s">
        <v>558</v>
      </c>
      <c r="F423" s="69">
        <v>15</v>
      </c>
      <c r="G423" s="115"/>
      <c r="H423" s="123">
        <v>1</v>
      </c>
      <c r="I423" s="72">
        <f>AVERAGE(W423,K423,L423,M423,J423,N423,O423,Q423,T423,U423,V423,X423,AD423,AE423)</f>
        <v>5</v>
      </c>
      <c r="J423" s="48">
        <v>5</v>
      </c>
      <c r="K423" s="37">
        <v>5</v>
      </c>
      <c r="L423" s="37">
        <v>5</v>
      </c>
      <c r="M423" s="37">
        <v>5</v>
      </c>
      <c r="N423" s="24">
        <v>5</v>
      </c>
      <c r="O423" s="24">
        <v>4</v>
      </c>
      <c r="P423" s="24"/>
      <c r="Q423" s="24">
        <v>5</v>
      </c>
      <c r="R423" s="24"/>
      <c r="S423" s="24"/>
      <c r="T423" s="24">
        <v>5</v>
      </c>
      <c r="U423" s="24">
        <v>5</v>
      </c>
      <c r="V423" s="24">
        <v>5</v>
      </c>
      <c r="W423" s="22">
        <v>6</v>
      </c>
      <c r="X423" s="24">
        <v>5</v>
      </c>
      <c r="Y423" s="24" t="s">
        <v>641</v>
      </c>
      <c r="Z423" s="24"/>
      <c r="AA423" s="37"/>
      <c r="AB423" s="24"/>
      <c r="AC423" s="37"/>
      <c r="AD423" s="37">
        <v>5</v>
      </c>
      <c r="AE423" s="24">
        <v>5</v>
      </c>
      <c r="AF423" s="24"/>
      <c r="AG423" s="24"/>
      <c r="AH423" s="37"/>
      <c r="AI423" s="24"/>
      <c r="AJ423" s="27"/>
      <c r="AK423" s="24"/>
      <c r="AL423" s="37"/>
      <c r="AM423" s="37"/>
      <c r="AN423" s="24"/>
      <c r="AO423" s="24"/>
      <c r="AP423" s="24"/>
      <c r="AQ423" s="24"/>
      <c r="AR423">
        <f t="shared" ref="AR423:AR486" si="15">F423 +G423</f>
        <v>15</v>
      </c>
    </row>
    <row r="424" spans="1:44" x14ac:dyDescent="0.25">
      <c r="B424" t="str">
        <f t="shared" si="14"/>
        <v>OGCN - N. Mendy</v>
      </c>
      <c r="C424" t="s">
        <v>696</v>
      </c>
      <c r="D424" s="29" t="s">
        <v>622</v>
      </c>
      <c r="E424" s="30" t="s">
        <v>685</v>
      </c>
      <c r="F424" s="31">
        <v>31</v>
      </c>
      <c r="G424" s="99"/>
      <c r="H424" s="73">
        <v>1</v>
      </c>
      <c r="I424" s="34">
        <f>AVERAGE(AB424,AA424,Z424,Y424,X424,K424,L424,M424,J424,N424,O424,P424,Q424,S424,T424,U424,R424,V424,W424,AC424,AD424,AE424,AF424,AG424,AH424,AI424,AJ424,AK424,AL424,AM424,AN424)</f>
        <v>5.32258064516129</v>
      </c>
      <c r="J424" s="24">
        <v>5</v>
      </c>
      <c r="K424" s="24">
        <v>5</v>
      </c>
      <c r="L424" s="66">
        <v>7</v>
      </c>
      <c r="M424" s="24">
        <v>6</v>
      </c>
      <c r="N424" s="24">
        <v>5</v>
      </c>
      <c r="O424" s="75">
        <v>7</v>
      </c>
      <c r="P424" s="24">
        <v>5</v>
      </c>
      <c r="Q424" s="24">
        <v>4</v>
      </c>
      <c r="R424" s="24">
        <v>5</v>
      </c>
      <c r="S424" s="24">
        <v>5</v>
      </c>
      <c r="T424" s="24">
        <v>5</v>
      </c>
      <c r="U424" s="24">
        <v>5</v>
      </c>
      <c r="V424" s="24">
        <v>5</v>
      </c>
      <c r="W424" s="24">
        <v>6</v>
      </c>
      <c r="X424" s="24">
        <v>5</v>
      </c>
      <c r="Y424" s="24">
        <v>5</v>
      </c>
      <c r="Z424" s="24">
        <v>4</v>
      </c>
      <c r="AA424" s="24">
        <v>6</v>
      </c>
      <c r="AB424" s="24">
        <v>5</v>
      </c>
      <c r="AC424" s="24">
        <v>5</v>
      </c>
      <c r="AD424" s="24">
        <v>5</v>
      </c>
      <c r="AE424" s="24">
        <v>6</v>
      </c>
      <c r="AF424" s="82">
        <v>3</v>
      </c>
      <c r="AG424" s="24">
        <v>6</v>
      </c>
      <c r="AH424" s="24">
        <v>6</v>
      </c>
      <c r="AI424" s="24">
        <v>6</v>
      </c>
      <c r="AJ424" s="27">
        <v>6</v>
      </c>
      <c r="AK424" s="37">
        <v>4</v>
      </c>
      <c r="AL424" s="24">
        <v>6</v>
      </c>
      <c r="AM424" s="24">
        <v>5</v>
      </c>
      <c r="AN424" s="66">
        <v>7</v>
      </c>
      <c r="AO424" s="24"/>
      <c r="AP424" s="24"/>
      <c r="AQ424" s="24"/>
      <c r="AR424">
        <f t="shared" si="15"/>
        <v>31</v>
      </c>
    </row>
    <row r="425" spans="1:44" x14ac:dyDescent="0.25">
      <c r="B425" t="str">
        <f t="shared" si="14"/>
        <v>SR - Fortes</v>
      </c>
      <c r="C425" t="s">
        <v>901</v>
      </c>
      <c r="D425" s="29" t="s">
        <v>622</v>
      </c>
      <c r="E425" s="30" t="s">
        <v>888</v>
      </c>
      <c r="F425" s="31">
        <v>4</v>
      </c>
      <c r="G425" s="99">
        <v>12</v>
      </c>
      <c r="H425" s="73"/>
      <c r="I425" s="34">
        <f>AVERAGE(P425,S425,Y425,Z425)</f>
        <v>4.25</v>
      </c>
      <c r="J425" s="48"/>
      <c r="K425" s="37"/>
      <c r="L425" s="37"/>
      <c r="M425" s="37"/>
      <c r="N425" s="24"/>
      <c r="O425" s="24"/>
      <c r="P425" s="24">
        <v>4</v>
      </c>
      <c r="Q425" s="37" t="s">
        <v>611</v>
      </c>
      <c r="R425" s="24"/>
      <c r="S425" s="24">
        <v>5</v>
      </c>
      <c r="T425" s="37" t="s">
        <v>611</v>
      </c>
      <c r="U425" s="76" t="s">
        <v>611</v>
      </c>
      <c r="V425" s="24"/>
      <c r="W425" s="37" t="s">
        <v>611</v>
      </c>
      <c r="X425" s="37" t="s">
        <v>611</v>
      </c>
      <c r="Y425" s="24">
        <v>4</v>
      </c>
      <c r="Z425" s="24">
        <v>4</v>
      </c>
      <c r="AA425" s="37" t="s">
        <v>611</v>
      </c>
      <c r="AB425" s="76" t="s">
        <v>611</v>
      </c>
      <c r="AC425" s="37" t="s">
        <v>611</v>
      </c>
      <c r="AD425" s="37" t="s">
        <v>611</v>
      </c>
      <c r="AE425" s="37" t="s">
        <v>611</v>
      </c>
      <c r="AF425" s="24"/>
      <c r="AG425" s="37"/>
      <c r="AH425" s="24"/>
      <c r="AI425" s="24"/>
      <c r="AJ425" s="26" t="s">
        <v>611</v>
      </c>
      <c r="AK425" s="37"/>
      <c r="AL425" s="37" t="s">
        <v>611</v>
      </c>
      <c r="AM425" s="37"/>
      <c r="AN425" s="24"/>
      <c r="AO425" s="37"/>
      <c r="AP425" s="24"/>
      <c r="AQ425" s="24"/>
      <c r="AR425">
        <f t="shared" si="15"/>
        <v>16</v>
      </c>
    </row>
    <row r="426" spans="1:44" x14ac:dyDescent="0.25">
      <c r="B426" t="str">
        <f t="shared" si="14"/>
        <v>SR - Oniangue</v>
      </c>
      <c r="C426" t="s">
        <v>901</v>
      </c>
      <c r="D426" s="29" t="s">
        <v>622</v>
      </c>
      <c r="E426" s="30" t="s">
        <v>526</v>
      </c>
      <c r="F426" s="31">
        <v>19</v>
      </c>
      <c r="G426" s="99">
        <v>2</v>
      </c>
      <c r="H426" s="114" t="s">
        <v>1064</v>
      </c>
      <c r="I426" s="34">
        <f>AVERAGE(Z426,Y426,K426,L426,J426,N426,O426,Q426,R426,S426,T426,U426,X426,AC426,AD426,AE426,AF426,AI426,AJ426)</f>
        <v>4.5789473684210522</v>
      </c>
      <c r="J426" s="148">
        <v>4</v>
      </c>
      <c r="K426" s="37">
        <v>5</v>
      </c>
      <c r="L426" s="37">
        <v>4</v>
      </c>
      <c r="M426" s="79"/>
      <c r="N426" s="27">
        <v>4</v>
      </c>
      <c r="O426" s="24">
        <v>4</v>
      </c>
      <c r="P426" s="24"/>
      <c r="Q426" s="24">
        <v>5</v>
      </c>
      <c r="R426" s="24">
        <v>4</v>
      </c>
      <c r="S426" s="24">
        <v>5</v>
      </c>
      <c r="T426" s="24">
        <v>6</v>
      </c>
      <c r="U426" s="24">
        <v>4</v>
      </c>
      <c r="V426" s="24"/>
      <c r="W426" s="24"/>
      <c r="X426" s="37">
        <v>6</v>
      </c>
      <c r="Y426" s="24">
        <v>4</v>
      </c>
      <c r="Z426" s="23">
        <v>5</v>
      </c>
      <c r="AA426" s="24"/>
      <c r="AB426" s="24"/>
      <c r="AC426" s="24">
        <v>4</v>
      </c>
      <c r="AD426" s="24">
        <v>5</v>
      </c>
      <c r="AE426" s="24">
        <v>5</v>
      </c>
      <c r="AF426" s="24">
        <v>4</v>
      </c>
      <c r="AG426" s="37" t="s">
        <v>611</v>
      </c>
      <c r="AH426" s="77" t="s">
        <v>611</v>
      </c>
      <c r="AI426" s="24">
        <v>4</v>
      </c>
      <c r="AJ426" s="28">
        <v>5</v>
      </c>
      <c r="AK426" s="24"/>
      <c r="AL426" s="77"/>
      <c r="AM426" s="24"/>
      <c r="AN426" s="24"/>
      <c r="AO426" s="24"/>
      <c r="AP426" s="24"/>
      <c r="AQ426" s="24"/>
      <c r="AR426">
        <f t="shared" si="15"/>
        <v>21</v>
      </c>
    </row>
    <row r="427" spans="1:44" x14ac:dyDescent="0.25">
      <c r="B427" t="str">
        <f t="shared" si="14"/>
        <v>SR - Mfulu</v>
      </c>
      <c r="C427" t="s">
        <v>901</v>
      </c>
      <c r="D427" s="29" t="s">
        <v>622</v>
      </c>
      <c r="E427" s="60" t="s">
        <v>889</v>
      </c>
      <c r="F427" s="31">
        <v>2</v>
      </c>
      <c r="G427" s="99">
        <v>7</v>
      </c>
      <c r="H427" s="73"/>
      <c r="I427" s="34">
        <f>AVERAGE(S427,W427)</f>
        <v>4</v>
      </c>
      <c r="J427" s="48"/>
      <c r="K427" s="76" t="s">
        <v>611</v>
      </c>
      <c r="L427" s="79" t="s">
        <v>611</v>
      </c>
      <c r="M427" s="79" t="s">
        <v>611</v>
      </c>
      <c r="N427" s="24"/>
      <c r="O427" s="79"/>
      <c r="P427" s="36"/>
      <c r="Q427" s="37" t="s">
        <v>611</v>
      </c>
      <c r="R427" s="24"/>
      <c r="S427" s="37">
        <v>4</v>
      </c>
      <c r="T427" s="77"/>
      <c r="U427" s="79"/>
      <c r="V427" s="36"/>
      <c r="W427" s="37">
        <v>4</v>
      </c>
      <c r="X427" s="24"/>
      <c r="Y427" s="37" t="s">
        <v>611</v>
      </c>
      <c r="Z427" s="24"/>
      <c r="AA427" s="24"/>
      <c r="AB427" s="24"/>
      <c r="AC427" s="24"/>
      <c r="AD427" s="37"/>
      <c r="AE427" s="37"/>
      <c r="AF427" s="37" t="s">
        <v>611</v>
      </c>
      <c r="AG427" s="24"/>
      <c r="AH427" s="24"/>
      <c r="AI427" s="24"/>
      <c r="AJ427" s="27"/>
      <c r="AK427" s="24"/>
      <c r="AL427" s="37"/>
      <c r="AM427" s="37" t="s">
        <v>611</v>
      </c>
      <c r="AN427" s="24"/>
      <c r="AO427" s="24"/>
      <c r="AP427" s="24"/>
      <c r="AQ427" s="24"/>
      <c r="AR427">
        <f t="shared" si="15"/>
        <v>9</v>
      </c>
    </row>
    <row r="428" spans="1:44" x14ac:dyDescent="0.25">
      <c r="B428" t="str">
        <f t="shared" si="14"/>
        <v>SR - Bourillon</v>
      </c>
      <c r="C428" t="s">
        <v>901</v>
      </c>
      <c r="D428" s="50" t="s">
        <v>622</v>
      </c>
      <c r="E428" s="57" t="s">
        <v>890</v>
      </c>
      <c r="F428" s="52"/>
      <c r="G428" s="63"/>
      <c r="H428" s="146"/>
      <c r="I428" s="34"/>
      <c r="J428" s="45"/>
      <c r="K428" s="55"/>
      <c r="L428" s="192"/>
      <c r="M428" s="55"/>
      <c r="N428" s="46"/>
      <c r="O428" s="46"/>
      <c r="P428" s="46"/>
      <c r="Q428" s="46"/>
      <c r="R428" s="46"/>
      <c r="S428" s="46"/>
      <c r="T428" s="46"/>
      <c r="U428" s="46"/>
      <c r="V428" s="55"/>
      <c r="W428" s="46"/>
      <c r="X428" s="46"/>
      <c r="Y428" s="55"/>
      <c r="Z428" s="46"/>
      <c r="AA428" s="46"/>
      <c r="AB428" s="46"/>
      <c r="AC428" s="46"/>
      <c r="AD428" s="55"/>
      <c r="AE428" s="46"/>
      <c r="AF428" s="46"/>
      <c r="AG428" s="46"/>
      <c r="AH428" s="46"/>
      <c r="AI428" s="55"/>
      <c r="AJ428" s="47"/>
      <c r="AK428" s="59"/>
      <c r="AL428" s="55"/>
      <c r="AM428" s="46"/>
      <c r="AN428" s="46"/>
      <c r="AO428" s="46"/>
      <c r="AP428" s="46"/>
      <c r="AQ428" s="46"/>
      <c r="AR428">
        <f t="shared" si="15"/>
        <v>0</v>
      </c>
    </row>
    <row r="429" spans="1:44" x14ac:dyDescent="0.25">
      <c r="B429" t="str">
        <f t="shared" si="14"/>
        <v>SR - Bulot</v>
      </c>
      <c r="C429" t="s">
        <v>901</v>
      </c>
      <c r="D429" s="29" t="s">
        <v>622</v>
      </c>
      <c r="E429" s="30" t="s">
        <v>891</v>
      </c>
      <c r="F429" s="31">
        <v>11</v>
      </c>
      <c r="G429" s="99">
        <v>4</v>
      </c>
      <c r="H429" s="73">
        <v>1</v>
      </c>
      <c r="I429" s="34">
        <f>AVERAGE(AA429,K429,L429,J429,O429,Q429,R429,S429,T429,U429,V429,Z429)</f>
        <v>4.583333333333333</v>
      </c>
      <c r="J429" s="48">
        <v>4</v>
      </c>
      <c r="K429" s="37">
        <v>5</v>
      </c>
      <c r="L429" s="74">
        <v>4</v>
      </c>
      <c r="M429" s="37" t="s">
        <v>611</v>
      </c>
      <c r="N429" s="77" t="s">
        <v>611</v>
      </c>
      <c r="O429" s="24">
        <v>5</v>
      </c>
      <c r="P429" s="37" t="s">
        <v>611</v>
      </c>
      <c r="Q429" s="66">
        <v>7</v>
      </c>
      <c r="R429" s="24">
        <v>4</v>
      </c>
      <c r="S429" s="24">
        <v>5</v>
      </c>
      <c r="T429" s="24">
        <v>5</v>
      </c>
      <c r="U429" s="24">
        <v>4</v>
      </c>
      <c r="V429" s="37">
        <v>4</v>
      </c>
      <c r="W429" s="24"/>
      <c r="X429" s="24"/>
      <c r="Y429" s="37"/>
      <c r="Z429" s="37">
        <v>4</v>
      </c>
      <c r="AA429" s="24">
        <v>4</v>
      </c>
      <c r="AB429" s="24"/>
      <c r="AC429" s="24"/>
      <c r="AD429" s="37"/>
      <c r="AE429" s="24"/>
      <c r="AF429" s="24"/>
      <c r="AG429" s="24"/>
      <c r="AH429" s="24"/>
      <c r="AI429" s="37"/>
      <c r="AJ429" s="27"/>
      <c r="AK429" s="22"/>
      <c r="AL429" s="37"/>
      <c r="AM429" s="24"/>
      <c r="AN429" s="24"/>
      <c r="AO429" s="24"/>
      <c r="AP429" s="24"/>
      <c r="AQ429" s="24"/>
      <c r="AR429">
        <f t="shared" si="15"/>
        <v>15</v>
      </c>
    </row>
    <row r="430" spans="1:44" x14ac:dyDescent="0.25">
      <c r="B430" t="str">
        <f t="shared" si="14"/>
        <v>SR - Kankava</v>
      </c>
      <c r="C430" t="s">
        <v>901</v>
      </c>
      <c r="D430" s="29" t="s">
        <v>622</v>
      </c>
      <c r="E430" s="182" t="s">
        <v>892</v>
      </c>
      <c r="F430" s="31">
        <v>22</v>
      </c>
      <c r="G430" s="99"/>
      <c r="H430" s="73"/>
      <c r="I430" s="34">
        <f>AVERAGE(L430,O430,P430,Q430,R430,V430,W430,X430,Z430,AA430,AB430,AC430,AD430,AE430,AF430,AG430,AH430,AJ430,AK430,AL430,AM430,AN430)</f>
        <v>5.0454545454545459</v>
      </c>
      <c r="J430" s="48"/>
      <c r="K430" s="37"/>
      <c r="L430" s="74">
        <v>4</v>
      </c>
      <c r="M430" s="37"/>
      <c r="N430" s="24"/>
      <c r="O430" s="24">
        <v>4</v>
      </c>
      <c r="P430" s="24">
        <v>4</v>
      </c>
      <c r="Q430" s="24">
        <v>6</v>
      </c>
      <c r="R430" s="24">
        <v>4</v>
      </c>
      <c r="S430" s="24"/>
      <c r="T430" s="24"/>
      <c r="U430" s="24"/>
      <c r="V430" s="37">
        <v>5</v>
      </c>
      <c r="W430" s="24">
        <v>5</v>
      </c>
      <c r="X430" s="24">
        <v>5</v>
      </c>
      <c r="Y430" s="37"/>
      <c r="Z430" s="24">
        <v>5</v>
      </c>
      <c r="AA430" s="24">
        <v>5</v>
      </c>
      <c r="AB430" s="24">
        <v>5</v>
      </c>
      <c r="AC430" s="24">
        <v>5</v>
      </c>
      <c r="AD430" s="37">
        <v>6</v>
      </c>
      <c r="AE430" s="66">
        <v>7</v>
      </c>
      <c r="AF430" s="24">
        <v>4</v>
      </c>
      <c r="AG430" s="24">
        <v>6</v>
      </c>
      <c r="AH430" s="66">
        <v>7</v>
      </c>
      <c r="AI430" s="37"/>
      <c r="AJ430" s="244">
        <v>3</v>
      </c>
      <c r="AK430" s="23">
        <v>5</v>
      </c>
      <c r="AL430" s="37">
        <v>5</v>
      </c>
      <c r="AM430" s="24">
        <v>5</v>
      </c>
      <c r="AN430" s="24">
        <v>6</v>
      </c>
      <c r="AO430" s="24"/>
      <c r="AP430" s="24"/>
      <c r="AQ430" s="24"/>
      <c r="AR430">
        <f t="shared" si="15"/>
        <v>22</v>
      </c>
    </row>
    <row r="431" spans="1:44" x14ac:dyDescent="0.25">
      <c r="B431" t="str">
        <f t="shared" si="14"/>
        <v>SR - Rodriguez</v>
      </c>
      <c r="C431" t="s">
        <v>901</v>
      </c>
      <c r="D431" s="29" t="s">
        <v>622</v>
      </c>
      <c r="E431" s="182" t="s">
        <v>894</v>
      </c>
      <c r="F431" s="31"/>
      <c r="G431" s="99">
        <v>1</v>
      </c>
      <c r="H431" s="73"/>
      <c r="I431" s="34"/>
      <c r="J431" s="48"/>
      <c r="K431" s="37"/>
      <c r="L431" s="79"/>
      <c r="M431" s="77"/>
      <c r="N431" s="24"/>
      <c r="O431" s="24"/>
      <c r="P431" s="24"/>
      <c r="Q431" s="24"/>
      <c r="R431" s="24"/>
      <c r="S431" s="24"/>
      <c r="T431" s="24"/>
      <c r="U431" s="24"/>
      <c r="V431" s="37"/>
      <c r="W431" s="37" t="s">
        <v>611</v>
      </c>
      <c r="X431" s="24"/>
      <c r="Y431" s="37"/>
      <c r="Z431" s="24"/>
      <c r="AA431" s="24"/>
      <c r="AB431" s="24"/>
      <c r="AC431" s="24"/>
      <c r="AD431" s="37"/>
      <c r="AE431" s="24"/>
      <c r="AF431" s="24"/>
      <c r="AG431" s="24"/>
      <c r="AH431" s="24"/>
      <c r="AI431" s="37"/>
      <c r="AJ431" s="27"/>
      <c r="AK431" s="22"/>
      <c r="AL431" s="37"/>
      <c r="AM431" s="24"/>
      <c r="AN431" s="24"/>
      <c r="AO431" s="24"/>
      <c r="AP431" s="24"/>
      <c r="AQ431" s="24"/>
      <c r="AR431">
        <f t="shared" si="15"/>
        <v>1</v>
      </c>
    </row>
    <row r="432" spans="1:44" x14ac:dyDescent="0.25">
      <c r="B432" t="str">
        <f t="shared" si="14"/>
        <v>SR - Kamara</v>
      </c>
      <c r="C432" t="s">
        <v>901</v>
      </c>
      <c r="D432" s="29" t="s">
        <v>622</v>
      </c>
      <c r="E432" s="182" t="s">
        <v>895</v>
      </c>
      <c r="F432" s="31"/>
      <c r="G432" s="99">
        <v>2</v>
      </c>
      <c r="H432" s="73"/>
      <c r="I432" s="34"/>
      <c r="J432" s="48"/>
      <c r="K432" s="37"/>
      <c r="L432" s="79"/>
      <c r="M432" s="77"/>
      <c r="N432" s="24"/>
      <c r="O432" s="24"/>
      <c r="P432" s="24"/>
      <c r="Q432" s="24"/>
      <c r="R432" s="24"/>
      <c r="S432" s="24"/>
      <c r="T432" s="24"/>
      <c r="U432" s="24"/>
      <c r="V432" s="37"/>
      <c r="W432" s="37"/>
      <c r="X432" s="24"/>
      <c r="Y432" s="37"/>
      <c r="Z432" s="24"/>
      <c r="AA432" s="24"/>
      <c r="AB432" s="37" t="s">
        <v>611</v>
      </c>
      <c r="AC432" s="24"/>
      <c r="AD432" s="37" t="s">
        <v>611</v>
      </c>
      <c r="AE432" s="24"/>
      <c r="AF432" s="24"/>
      <c r="AG432" s="24"/>
      <c r="AH432" s="24"/>
      <c r="AI432" s="37"/>
      <c r="AJ432" s="27"/>
      <c r="AK432" s="22"/>
      <c r="AL432" s="37"/>
      <c r="AM432" s="24"/>
      <c r="AN432" s="24"/>
      <c r="AO432" s="24"/>
      <c r="AP432" s="24"/>
      <c r="AQ432" s="24"/>
      <c r="AR432">
        <f t="shared" si="15"/>
        <v>2</v>
      </c>
    </row>
    <row r="433" spans="2:44" x14ac:dyDescent="0.25">
      <c r="B433" t="str">
        <f t="shared" si="14"/>
        <v>SR - L. Bangoura</v>
      </c>
      <c r="C433" t="s">
        <v>901</v>
      </c>
      <c r="D433" s="29" t="s">
        <v>622</v>
      </c>
      <c r="E433" s="182" t="s">
        <v>1066</v>
      </c>
      <c r="F433" s="31">
        <v>1</v>
      </c>
      <c r="G433" s="99">
        <v>6</v>
      </c>
      <c r="H433" s="73">
        <v>1</v>
      </c>
      <c r="I433" s="34">
        <f>AVERAGE(AG433,AI433)</f>
        <v>5</v>
      </c>
      <c r="J433" s="87"/>
      <c r="K433" s="76"/>
      <c r="L433" s="79"/>
      <c r="M433" s="24"/>
      <c r="N433" s="24"/>
      <c r="O433" s="23"/>
      <c r="P433" s="24"/>
      <c r="Q433" s="24"/>
      <c r="R433" s="37"/>
      <c r="S433" s="37"/>
      <c r="T433" s="76"/>
      <c r="U433" s="76"/>
      <c r="V433" s="77"/>
      <c r="W433" s="24"/>
      <c r="X433" s="77"/>
      <c r="Y433" s="22"/>
      <c r="Z433" s="37"/>
      <c r="AA433" s="37"/>
      <c r="AB433" s="24"/>
      <c r="AC433" s="24"/>
      <c r="AD433" s="24"/>
      <c r="AE433" s="24"/>
      <c r="AF433" s="37"/>
      <c r="AG433" s="76">
        <v>5</v>
      </c>
      <c r="AH433" s="37" t="s">
        <v>611</v>
      </c>
      <c r="AI433" s="24">
        <v>5</v>
      </c>
      <c r="AJ433" s="26" t="s">
        <v>611</v>
      </c>
      <c r="AK433" s="77" t="s">
        <v>611</v>
      </c>
      <c r="AL433" s="37"/>
      <c r="AM433" s="37" t="s">
        <v>611</v>
      </c>
      <c r="AN433" s="37" t="s">
        <v>611</v>
      </c>
      <c r="AO433" s="37"/>
      <c r="AP433" s="24"/>
      <c r="AQ433" s="24"/>
      <c r="AR433">
        <f t="shared" si="15"/>
        <v>7</v>
      </c>
    </row>
    <row r="434" spans="2:44" x14ac:dyDescent="0.25">
      <c r="B434" t="str">
        <f t="shared" si="14"/>
        <v>SR - Diego</v>
      </c>
      <c r="C434" t="s">
        <v>901</v>
      </c>
      <c r="D434" s="29" t="s">
        <v>622</v>
      </c>
      <c r="E434" s="60" t="s">
        <v>96</v>
      </c>
      <c r="F434" s="31">
        <v>12</v>
      </c>
      <c r="G434" s="99">
        <v>7</v>
      </c>
      <c r="H434" s="73">
        <v>2</v>
      </c>
      <c r="I434" s="34">
        <f>AVERAGE(P434,T434,V434,W434,X434,AA434,AB434,AC434,AE434,AI434,AF434,AK434,AL434,AM434)</f>
        <v>5.0714285714285712</v>
      </c>
      <c r="J434" s="48"/>
      <c r="K434" s="24"/>
      <c r="L434" s="37"/>
      <c r="M434" s="37"/>
      <c r="N434" s="36"/>
      <c r="O434" s="37" t="s">
        <v>611</v>
      </c>
      <c r="P434" s="24">
        <v>4</v>
      </c>
      <c r="Q434" s="24"/>
      <c r="R434" s="37" t="s">
        <v>611</v>
      </c>
      <c r="S434" s="76" t="s">
        <v>611</v>
      </c>
      <c r="T434" s="24">
        <v>5</v>
      </c>
      <c r="U434" s="76" t="s">
        <v>611</v>
      </c>
      <c r="V434" s="37">
        <v>5</v>
      </c>
      <c r="W434" s="24">
        <v>5</v>
      </c>
      <c r="X434" s="24">
        <v>6</v>
      </c>
      <c r="Y434" s="37"/>
      <c r="Z434" s="24"/>
      <c r="AA434" s="25">
        <v>7</v>
      </c>
      <c r="AB434" s="24">
        <v>5</v>
      </c>
      <c r="AC434" s="23">
        <v>4</v>
      </c>
      <c r="AD434" s="24"/>
      <c r="AE434" s="24">
        <v>4</v>
      </c>
      <c r="AF434" s="24">
        <v>4</v>
      </c>
      <c r="AG434" s="24"/>
      <c r="AH434" s="37" t="s">
        <v>611</v>
      </c>
      <c r="AI434" s="37">
        <v>4</v>
      </c>
      <c r="AJ434" s="26"/>
      <c r="AK434" s="24">
        <v>6</v>
      </c>
      <c r="AL434" s="37">
        <v>5</v>
      </c>
      <c r="AM434" s="25">
        <v>7</v>
      </c>
      <c r="AN434" s="24"/>
      <c r="AO434" s="24"/>
      <c r="AP434" s="24"/>
      <c r="AQ434" s="24"/>
      <c r="AR434">
        <f t="shared" si="15"/>
        <v>19</v>
      </c>
    </row>
    <row r="435" spans="2:44" x14ac:dyDescent="0.25">
      <c r="B435" t="str">
        <f t="shared" si="14"/>
        <v>SR - Ndom</v>
      </c>
      <c r="C435" t="s">
        <v>901</v>
      </c>
      <c r="D435" s="29" t="s">
        <v>622</v>
      </c>
      <c r="E435" s="65" t="s">
        <v>1089</v>
      </c>
      <c r="F435" s="31">
        <v>1</v>
      </c>
      <c r="G435" s="99">
        <v>3</v>
      </c>
      <c r="H435" s="73"/>
      <c r="I435" s="34">
        <f>AVERAGE(AM435)</f>
        <v>5</v>
      </c>
      <c r="J435" s="48"/>
      <c r="K435" s="24"/>
      <c r="L435" s="37"/>
      <c r="M435" s="37"/>
      <c r="N435" s="36"/>
      <c r="O435" s="37"/>
      <c r="P435" s="24"/>
      <c r="Q435" s="24"/>
      <c r="R435" s="37"/>
      <c r="S435" s="76"/>
      <c r="T435" s="24"/>
      <c r="U435" s="76"/>
      <c r="V435" s="37"/>
      <c r="W435" s="24"/>
      <c r="X435" s="24"/>
      <c r="Y435" s="37"/>
      <c r="Z435" s="24"/>
      <c r="AA435" s="24"/>
      <c r="AB435" s="24"/>
      <c r="AC435" s="23"/>
      <c r="AD435" s="24"/>
      <c r="AE435" s="24"/>
      <c r="AF435" s="24"/>
      <c r="AG435" s="24"/>
      <c r="AH435" s="37"/>
      <c r="AI435" s="37"/>
      <c r="AJ435" s="26" t="s">
        <v>611</v>
      </c>
      <c r="AK435" s="76" t="s">
        <v>611</v>
      </c>
      <c r="AL435" s="37"/>
      <c r="AM435" s="23">
        <v>5</v>
      </c>
      <c r="AN435" s="37" t="s">
        <v>611</v>
      </c>
      <c r="AO435" s="24"/>
      <c r="AP435" s="24"/>
      <c r="AQ435" s="24"/>
      <c r="AR435">
        <f t="shared" si="15"/>
        <v>4</v>
      </c>
    </row>
    <row r="436" spans="2:44" x14ac:dyDescent="0.25">
      <c r="B436" t="str">
        <f t="shared" si="14"/>
        <v>SR - Peuget</v>
      </c>
      <c r="C436" t="s">
        <v>901</v>
      </c>
      <c r="D436" s="67" t="s">
        <v>622</v>
      </c>
      <c r="E436" s="85" t="s">
        <v>896</v>
      </c>
      <c r="F436" s="69">
        <v>8</v>
      </c>
      <c r="G436" s="115">
        <v>4</v>
      </c>
      <c r="H436" s="68"/>
      <c r="I436" s="72">
        <f>AVERAGE(K436,M436,J436,N436,P436,S436,U436,Y436,AA436)</f>
        <v>4.666666666666667</v>
      </c>
      <c r="J436" s="48">
        <v>4</v>
      </c>
      <c r="K436" s="37">
        <v>5</v>
      </c>
      <c r="L436" s="37"/>
      <c r="M436" s="37">
        <v>5</v>
      </c>
      <c r="N436" s="24">
        <v>4</v>
      </c>
      <c r="O436" s="24"/>
      <c r="P436" s="24">
        <v>5</v>
      </c>
      <c r="Q436" s="24"/>
      <c r="R436" s="24"/>
      <c r="S436" s="24">
        <v>5</v>
      </c>
      <c r="T436" s="24"/>
      <c r="U436" s="24">
        <v>5</v>
      </c>
      <c r="V436" s="24"/>
      <c r="W436" s="24"/>
      <c r="X436" s="37" t="s">
        <v>611</v>
      </c>
      <c r="Y436" s="24">
        <v>5</v>
      </c>
      <c r="Z436" s="37" t="s">
        <v>611</v>
      </c>
      <c r="AA436" s="24">
        <v>4</v>
      </c>
      <c r="AB436" s="24"/>
      <c r="AC436" s="24"/>
      <c r="AD436" s="37" t="s">
        <v>611</v>
      </c>
      <c r="AE436" s="24"/>
      <c r="AF436" s="24"/>
      <c r="AG436" s="24"/>
      <c r="AH436" s="24"/>
      <c r="AI436" s="24"/>
      <c r="AJ436" s="26"/>
      <c r="AK436" s="37"/>
      <c r="AL436" s="37"/>
      <c r="AM436" s="24"/>
      <c r="AN436" s="37"/>
      <c r="AO436" s="24"/>
      <c r="AP436" s="24"/>
      <c r="AQ436" s="22"/>
      <c r="AR436">
        <f t="shared" si="15"/>
        <v>12</v>
      </c>
    </row>
    <row r="437" spans="2:44" x14ac:dyDescent="0.25">
      <c r="B437" t="str">
        <f t="shared" si="14"/>
        <v>SR - Charbonnier</v>
      </c>
      <c r="C437" t="s">
        <v>901</v>
      </c>
      <c r="D437" s="29" t="s">
        <v>633</v>
      </c>
      <c r="E437" s="30" t="s">
        <v>897</v>
      </c>
      <c r="F437" s="31">
        <v>12</v>
      </c>
      <c r="G437" s="99">
        <v>4</v>
      </c>
      <c r="H437" s="73">
        <v>4</v>
      </c>
      <c r="I437" s="34">
        <f>AVERAGE(M437,P437,V437,AD437,AE437,AG437,AH437,AI437,AK437,AL437,AM437,AN437)</f>
        <v>5</v>
      </c>
      <c r="J437" s="87" t="s">
        <v>611</v>
      </c>
      <c r="K437" s="37"/>
      <c r="L437" s="79"/>
      <c r="M437" s="75">
        <v>7</v>
      </c>
      <c r="N437" s="79" t="s">
        <v>611</v>
      </c>
      <c r="O437" s="24"/>
      <c r="P437" s="24">
        <v>5</v>
      </c>
      <c r="Q437" s="24"/>
      <c r="R437" s="24"/>
      <c r="S437" s="24"/>
      <c r="T437" s="37" t="s">
        <v>611</v>
      </c>
      <c r="U437" s="24"/>
      <c r="V437" s="24">
        <v>5</v>
      </c>
      <c r="W437" s="24"/>
      <c r="X437" s="24"/>
      <c r="Y437" s="24"/>
      <c r="Z437" s="22"/>
      <c r="AA437" s="24"/>
      <c r="AB437" s="22"/>
      <c r="AC437" s="24"/>
      <c r="AD437" s="23">
        <v>5</v>
      </c>
      <c r="AE437" s="82">
        <v>3</v>
      </c>
      <c r="AF437" s="37" t="s">
        <v>611</v>
      </c>
      <c r="AG437" s="25">
        <v>7</v>
      </c>
      <c r="AH437" s="24">
        <v>5</v>
      </c>
      <c r="AI437" s="82">
        <v>3</v>
      </c>
      <c r="AJ437" s="28"/>
      <c r="AK437" s="22">
        <v>6</v>
      </c>
      <c r="AL437" s="37">
        <v>4</v>
      </c>
      <c r="AM437" s="22">
        <v>6</v>
      </c>
      <c r="AN437" s="24">
        <v>4</v>
      </c>
      <c r="AO437" s="24"/>
      <c r="AP437" s="37"/>
      <c r="AQ437" s="77"/>
      <c r="AR437">
        <f t="shared" si="15"/>
        <v>16</v>
      </c>
    </row>
    <row r="438" spans="2:44" x14ac:dyDescent="0.25">
      <c r="B438" t="str">
        <f t="shared" si="14"/>
        <v>SR - N'Gog</v>
      </c>
      <c r="C438" t="s">
        <v>901</v>
      </c>
      <c r="D438" s="147" t="s">
        <v>633</v>
      </c>
      <c r="E438" s="155" t="s">
        <v>898</v>
      </c>
      <c r="F438" s="149">
        <v>11</v>
      </c>
      <c r="G438" s="143">
        <v>4</v>
      </c>
      <c r="H438" s="49">
        <v>3</v>
      </c>
      <c r="I438" s="34">
        <f>AVERAGE(K438,L438,J438,Q438,R438,W438,X438,Y438,Z438,AA438,AB438)</f>
        <v>4.4545454545454541</v>
      </c>
      <c r="J438" s="87">
        <v>4</v>
      </c>
      <c r="K438" s="37">
        <v>4</v>
      </c>
      <c r="L438" s="37">
        <v>4</v>
      </c>
      <c r="M438" s="77"/>
      <c r="N438" s="22"/>
      <c r="O438" s="24"/>
      <c r="P438" s="24"/>
      <c r="Q438" s="22">
        <v>5</v>
      </c>
      <c r="R438" s="24">
        <v>4</v>
      </c>
      <c r="S438" s="24"/>
      <c r="T438" s="24"/>
      <c r="U438" s="24"/>
      <c r="V438" s="37" t="s">
        <v>611</v>
      </c>
      <c r="W438" s="24">
        <v>4</v>
      </c>
      <c r="X438" s="23">
        <v>5</v>
      </c>
      <c r="Y438" s="75">
        <v>7</v>
      </c>
      <c r="Z438" s="24">
        <v>4</v>
      </c>
      <c r="AA438" s="24">
        <v>4</v>
      </c>
      <c r="AB438" s="24">
        <v>4</v>
      </c>
      <c r="AC438" s="37" t="s">
        <v>611</v>
      </c>
      <c r="AD438" s="24"/>
      <c r="AE438" s="37" t="s">
        <v>611</v>
      </c>
      <c r="AF438" s="24"/>
      <c r="AG438" s="37"/>
      <c r="AH438" s="77"/>
      <c r="AI438" s="37"/>
      <c r="AJ438" s="27"/>
      <c r="AK438" s="76" t="s">
        <v>611</v>
      </c>
      <c r="AL438" s="37"/>
      <c r="AM438" s="24"/>
      <c r="AN438" s="37"/>
      <c r="AO438" s="24"/>
      <c r="AP438" s="22"/>
      <c r="AQ438" s="37"/>
      <c r="AR438">
        <f t="shared" si="15"/>
        <v>15</v>
      </c>
    </row>
    <row r="439" spans="2:44" x14ac:dyDescent="0.25">
      <c r="B439" t="str">
        <f t="shared" si="14"/>
        <v>TFC - Akpa-Akpro</v>
      </c>
      <c r="C439" t="s">
        <v>836</v>
      </c>
      <c r="D439" s="29" t="s">
        <v>608</v>
      </c>
      <c r="E439" t="s">
        <v>810</v>
      </c>
      <c r="F439" s="31">
        <v>29</v>
      </c>
      <c r="G439" s="99"/>
      <c r="H439" s="73">
        <v>1</v>
      </c>
      <c r="I439" s="34">
        <f>AVERAGE(AB439,Y439,X439,W439,K439,L439,M439,J439,N439,O439,P439,Q439,R439,T439,U439,V439,Z439,AA439,AC439,AD439,AE439,AF439,AG439,AH439,AI439,AJ439,AK439,AL439,AM439)</f>
        <v>5</v>
      </c>
      <c r="J439" s="87">
        <v>5</v>
      </c>
      <c r="K439" s="77">
        <v>5</v>
      </c>
      <c r="L439" s="21">
        <v>6</v>
      </c>
      <c r="M439" s="37">
        <v>5</v>
      </c>
      <c r="N439" s="37">
        <v>5</v>
      </c>
      <c r="O439" s="37">
        <v>5</v>
      </c>
      <c r="P439" s="24">
        <v>5</v>
      </c>
      <c r="Q439" s="24">
        <v>5</v>
      </c>
      <c r="R439" s="24">
        <v>4</v>
      </c>
      <c r="S439" s="24"/>
      <c r="T439" s="24">
        <v>4</v>
      </c>
      <c r="U439" s="37">
        <v>4</v>
      </c>
      <c r="V439" s="24">
        <v>4</v>
      </c>
      <c r="W439" s="24">
        <v>4</v>
      </c>
      <c r="X439" s="24">
        <v>5</v>
      </c>
      <c r="Y439" s="25">
        <v>8</v>
      </c>
      <c r="Z439" s="37">
        <v>6</v>
      </c>
      <c r="AA439" s="24">
        <v>6</v>
      </c>
      <c r="AB439" s="37">
        <v>5</v>
      </c>
      <c r="AC439" s="66">
        <v>7</v>
      </c>
      <c r="AD439" s="24">
        <v>5</v>
      </c>
      <c r="AE439" s="82">
        <v>3</v>
      </c>
      <c r="AF439" s="24">
        <v>5</v>
      </c>
      <c r="AG439" s="24">
        <v>4</v>
      </c>
      <c r="AH439" s="24">
        <v>5</v>
      </c>
      <c r="AI439" s="24">
        <v>5</v>
      </c>
      <c r="AJ439" s="143">
        <v>4</v>
      </c>
      <c r="AK439" s="24">
        <v>6</v>
      </c>
      <c r="AL439" s="24">
        <v>5</v>
      </c>
      <c r="AM439" s="24">
        <v>5</v>
      </c>
      <c r="AN439" s="24"/>
      <c r="AO439" s="24"/>
      <c r="AP439" s="24"/>
      <c r="AQ439" s="24"/>
      <c r="AR439">
        <f t="shared" si="15"/>
        <v>29</v>
      </c>
    </row>
    <row r="440" spans="2:44" x14ac:dyDescent="0.25">
      <c r="B440" t="str">
        <f t="shared" si="14"/>
        <v>FCN - Thomasson</v>
      </c>
      <c r="C440" t="s">
        <v>923</v>
      </c>
      <c r="D440" s="29" t="s">
        <v>622</v>
      </c>
      <c r="E440" s="155" t="s">
        <v>913</v>
      </c>
      <c r="F440" s="31">
        <v>24</v>
      </c>
      <c r="G440" s="99">
        <v>3</v>
      </c>
      <c r="H440" s="73">
        <v>1</v>
      </c>
      <c r="I440" s="34">
        <f>AVERAGE(AB440,K440,L440,M440,N440,J440,P440,S440,T440,U440,R440,V440,Z440,AA440,AC440,AD440,AE440,AF440,AG440,AH440,AI440,AL440,AJ440,AM440,AN440)</f>
        <v>5.32</v>
      </c>
      <c r="J440" s="87">
        <v>6</v>
      </c>
      <c r="K440" s="24">
        <v>6</v>
      </c>
      <c r="L440" s="37">
        <v>4</v>
      </c>
      <c r="M440" s="24">
        <v>4</v>
      </c>
      <c r="N440" s="37">
        <v>5</v>
      </c>
      <c r="O440" s="37" t="s">
        <v>611</v>
      </c>
      <c r="P440" s="37">
        <v>5</v>
      </c>
      <c r="Q440" s="37" t="s">
        <v>611</v>
      </c>
      <c r="R440" s="37">
        <v>6</v>
      </c>
      <c r="S440" s="23">
        <v>6</v>
      </c>
      <c r="T440" s="75">
        <v>7</v>
      </c>
      <c r="U440" s="66">
        <v>7</v>
      </c>
      <c r="V440" s="24">
        <v>5</v>
      </c>
      <c r="W440" s="24"/>
      <c r="X440" s="24"/>
      <c r="Y440" s="24"/>
      <c r="Z440" s="24">
        <v>5</v>
      </c>
      <c r="AA440" s="24">
        <v>5</v>
      </c>
      <c r="AB440" s="24">
        <v>5</v>
      </c>
      <c r="AC440" s="24">
        <v>5</v>
      </c>
      <c r="AD440" s="24">
        <v>4</v>
      </c>
      <c r="AE440" s="24">
        <v>5</v>
      </c>
      <c r="AF440" s="37">
        <v>5</v>
      </c>
      <c r="AG440" s="24">
        <v>5</v>
      </c>
      <c r="AH440" s="37">
        <v>5</v>
      </c>
      <c r="AI440" s="84">
        <v>7</v>
      </c>
      <c r="AJ440" s="27">
        <v>5</v>
      </c>
      <c r="AK440" s="37"/>
      <c r="AL440" s="24">
        <v>6</v>
      </c>
      <c r="AM440" s="76">
        <v>5</v>
      </c>
      <c r="AN440" s="24">
        <v>5</v>
      </c>
      <c r="AO440" s="24"/>
      <c r="AP440" s="24"/>
      <c r="AQ440" s="24"/>
      <c r="AR440">
        <f t="shared" si="15"/>
        <v>27</v>
      </c>
    </row>
    <row r="441" spans="2:44" x14ac:dyDescent="0.25">
      <c r="B441" t="str">
        <f t="shared" si="14"/>
        <v>SR - Kyei</v>
      </c>
      <c r="C441" t="s">
        <v>901</v>
      </c>
      <c r="D441" s="29" t="s">
        <v>633</v>
      </c>
      <c r="E441" s="60" t="s">
        <v>899</v>
      </c>
      <c r="F441" s="31">
        <v>5</v>
      </c>
      <c r="G441" s="99">
        <v>6</v>
      </c>
      <c r="H441" s="73">
        <v>2</v>
      </c>
      <c r="I441" s="34">
        <f>AVERAGE(M441,N441,O441,S441,T441)</f>
        <v>4.8</v>
      </c>
      <c r="J441" s="87" t="s">
        <v>611</v>
      </c>
      <c r="K441" s="76" t="s">
        <v>611</v>
      </c>
      <c r="L441" s="79" t="s">
        <v>611</v>
      </c>
      <c r="M441" s="128">
        <v>7</v>
      </c>
      <c r="N441" s="24">
        <v>5</v>
      </c>
      <c r="O441" s="23">
        <v>4</v>
      </c>
      <c r="P441" s="24"/>
      <c r="Q441" s="24"/>
      <c r="R441" s="37" t="s">
        <v>611</v>
      </c>
      <c r="S441" s="37">
        <v>4</v>
      </c>
      <c r="T441" s="76">
        <v>4</v>
      </c>
      <c r="U441" s="76" t="s">
        <v>611</v>
      </c>
      <c r="V441" s="77" t="s">
        <v>611</v>
      </c>
      <c r="W441" s="24"/>
      <c r="X441" s="77"/>
      <c r="Y441" s="22"/>
      <c r="Z441" s="37"/>
      <c r="AA441" s="24"/>
      <c r="AB441" s="24"/>
      <c r="AC441" s="24"/>
      <c r="AD441" s="24"/>
      <c r="AE441" s="24"/>
      <c r="AF441" s="37"/>
      <c r="AG441" s="22"/>
      <c r="AH441" s="37"/>
      <c r="AI441" s="24"/>
      <c r="AJ441" s="27"/>
      <c r="AK441" s="24"/>
      <c r="AL441" s="37"/>
      <c r="AM441" s="24"/>
      <c r="AN441" s="23"/>
      <c r="AO441" s="37"/>
      <c r="AP441" s="24"/>
      <c r="AQ441" s="24"/>
      <c r="AR441">
        <f t="shared" si="15"/>
        <v>11</v>
      </c>
    </row>
    <row r="442" spans="2:44" x14ac:dyDescent="0.25">
      <c r="B442" t="str">
        <f t="shared" si="14"/>
        <v>SR - Maanane</v>
      </c>
      <c r="C442" t="s">
        <v>901</v>
      </c>
      <c r="D442" s="29" t="s">
        <v>633</v>
      </c>
      <c r="E442" s="182" t="s">
        <v>900</v>
      </c>
      <c r="F442" s="31"/>
      <c r="G442" s="99">
        <v>1</v>
      </c>
      <c r="H442" s="73"/>
      <c r="I442" s="34"/>
      <c r="J442" s="87"/>
      <c r="K442" s="76"/>
      <c r="L442" s="79"/>
      <c r="M442" s="24"/>
      <c r="N442" s="24"/>
      <c r="O442" s="23"/>
      <c r="P442" s="24"/>
      <c r="Q442" s="24"/>
      <c r="R442" s="37"/>
      <c r="S442" s="37"/>
      <c r="T442" s="76"/>
      <c r="U442" s="76"/>
      <c r="V442" s="77"/>
      <c r="W442" s="24"/>
      <c r="X442" s="77"/>
      <c r="Y442" s="22"/>
      <c r="Z442" s="37"/>
      <c r="AA442" s="37" t="s">
        <v>611</v>
      </c>
      <c r="AB442" s="24"/>
      <c r="AC442" s="24"/>
      <c r="AD442" s="24"/>
      <c r="AE442" s="24"/>
      <c r="AF442" s="37"/>
      <c r="AG442" s="22"/>
      <c r="AH442" s="37"/>
      <c r="AI442" s="24"/>
      <c r="AJ442" s="27"/>
      <c r="AK442" s="24"/>
      <c r="AL442" s="37"/>
      <c r="AM442" s="24"/>
      <c r="AN442" s="23"/>
      <c r="AO442" s="37"/>
      <c r="AP442" s="24"/>
      <c r="AQ442" s="24"/>
      <c r="AR442">
        <f t="shared" si="15"/>
        <v>1</v>
      </c>
    </row>
    <row r="443" spans="2:44" ht="15.75" thickBot="1" x14ac:dyDescent="0.3">
      <c r="B443" t="str">
        <f t="shared" si="14"/>
        <v>SR - Bifouma</v>
      </c>
      <c r="C443" t="s">
        <v>901</v>
      </c>
      <c r="D443" s="88" t="s">
        <v>633</v>
      </c>
      <c r="E443" s="210" t="s">
        <v>1067</v>
      </c>
      <c r="F443" s="90">
        <v>7</v>
      </c>
      <c r="G443" s="120">
        <v>2</v>
      </c>
      <c r="H443" s="89">
        <v>2</v>
      </c>
      <c r="I443" s="121">
        <f>AVERAGE(AG443,AH443,AI443,AJ443,AK443,AL443,AM443,AN443)</f>
        <v>4.5</v>
      </c>
      <c r="J443" s="87"/>
      <c r="K443" s="76"/>
      <c r="L443" s="79"/>
      <c r="M443" s="24"/>
      <c r="N443" s="24"/>
      <c r="O443" s="23"/>
      <c r="P443" s="24"/>
      <c r="Q443" s="24"/>
      <c r="R443" s="37"/>
      <c r="S443" s="37"/>
      <c r="T443" s="76"/>
      <c r="U443" s="76"/>
      <c r="V443" s="77"/>
      <c r="W443" s="24"/>
      <c r="X443" s="77"/>
      <c r="Y443" s="22"/>
      <c r="Z443" s="37"/>
      <c r="AA443" s="37"/>
      <c r="AB443" s="24"/>
      <c r="AC443" s="24"/>
      <c r="AD443" s="24"/>
      <c r="AE443" s="24"/>
      <c r="AF443" s="37" t="s">
        <v>611</v>
      </c>
      <c r="AG443" s="23">
        <v>4</v>
      </c>
      <c r="AH443" s="77">
        <v>6</v>
      </c>
      <c r="AI443" s="37">
        <v>4</v>
      </c>
      <c r="AJ443" s="244">
        <v>3</v>
      </c>
      <c r="AK443" s="25">
        <v>8</v>
      </c>
      <c r="AL443" s="172">
        <v>3</v>
      </c>
      <c r="AM443" s="24">
        <v>4</v>
      </c>
      <c r="AN443" s="23">
        <v>4</v>
      </c>
      <c r="AO443" s="37"/>
      <c r="AP443" s="24"/>
      <c r="AQ443" s="24"/>
      <c r="AR443">
        <f t="shared" si="15"/>
        <v>9</v>
      </c>
    </row>
    <row r="444" spans="2:44" x14ac:dyDescent="0.25">
      <c r="B444" t="str">
        <f t="shared" si="14"/>
        <v>FCN - Dupé</v>
      </c>
      <c r="C444" t="s">
        <v>923</v>
      </c>
      <c r="D444" s="16" t="s">
        <v>605</v>
      </c>
      <c r="E444" s="17" t="s">
        <v>902</v>
      </c>
      <c r="F444" s="18">
        <v>3</v>
      </c>
      <c r="G444" s="95"/>
      <c r="H444" s="160"/>
      <c r="I444" s="20">
        <f>AVERAGE(N444,Y444,Z444)</f>
        <v>6.333333333333333</v>
      </c>
      <c r="J444" s="181"/>
      <c r="K444" s="36"/>
      <c r="L444" s="37"/>
      <c r="M444" s="22"/>
      <c r="N444" s="24">
        <v>6</v>
      </c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5">
        <v>7</v>
      </c>
      <c r="Z444" s="24">
        <v>6</v>
      </c>
      <c r="AA444" s="24"/>
      <c r="AB444" s="24"/>
      <c r="AC444" s="24"/>
      <c r="AD444" s="24"/>
      <c r="AE444" s="24"/>
      <c r="AF444" s="37"/>
      <c r="AG444" s="27"/>
      <c r="AH444" s="26"/>
      <c r="AI444" s="87"/>
      <c r="AJ444" s="24"/>
      <c r="AK444" s="37"/>
      <c r="AL444" s="24"/>
      <c r="AM444" s="24"/>
      <c r="AN444" s="24"/>
      <c r="AO444" s="24"/>
      <c r="AP444" s="24"/>
      <c r="AQ444" s="24"/>
      <c r="AR444">
        <f t="shared" si="15"/>
        <v>3</v>
      </c>
    </row>
    <row r="445" spans="2:44" x14ac:dyDescent="0.25">
      <c r="B445" t="str">
        <f t="shared" si="14"/>
        <v>FCL - Mesloub</v>
      </c>
      <c r="C445" t="s">
        <v>784</v>
      </c>
      <c r="D445" s="67" t="s">
        <v>622</v>
      </c>
      <c r="E445" s="164" t="s">
        <v>774</v>
      </c>
      <c r="F445" s="69">
        <v>19</v>
      </c>
      <c r="G445" s="115">
        <v>6</v>
      </c>
      <c r="H445" s="68">
        <v>1</v>
      </c>
      <c r="I445" s="72">
        <f>AVERAGE(K445,L445,M445,J445,N445,S445,U445,X445,Z445,AB445,AC445,AD445,AE445,AG445,AH445,AI445,AJ445,AK445,AM445,AN445)</f>
        <v>5.25</v>
      </c>
      <c r="J445" s="87">
        <v>6</v>
      </c>
      <c r="K445" s="37">
        <v>5</v>
      </c>
      <c r="L445" s="37">
        <v>5</v>
      </c>
      <c r="M445" s="37">
        <v>5</v>
      </c>
      <c r="N445" s="24">
        <v>5</v>
      </c>
      <c r="O445" s="24"/>
      <c r="P445" s="24"/>
      <c r="Q445" s="37"/>
      <c r="R445" s="37" t="s">
        <v>611</v>
      </c>
      <c r="S445" s="37">
        <v>5</v>
      </c>
      <c r="T445" s="37"/>
      <c r="U445" s="24">
        <v>5</v>
      </c>
      <c r="V445" s="37" t="s">
        <v>611</v>
      </c>
      <c r="W445" s="24"/>
      <c r="X445" s="24">
        <v>5</v>
      </c>
      <c r="Y445" s="37"/>
      <c r="Z445" s="25">
        <v>7</v>
      </c>
      <c r="AA445" s="37" t="s">
        <v>611</v>
      </c>
      <c r="AB445" s="66">
        <v>7</v>
      </c>
      <c r="AC445" s="24">
        <v>4</v>
      </c>
      <c r="AD445" s="24">
        <v>4</v>
      </c>
      <c r="AE445" s="24">
        <v>5</v>
      </c>
      <c r="AF445" s="37" t="s">
        <v>611</v>
      </c>
      <c r="AG445" s="27">
        <v>6</v>
      </c>
      <c r="AH445" s="27">
        <v>5</v>
      </c>
      <c r="AI445" s="38">
        <v>5</v>
      </c>
      <c r="AJ445" s="24">
        <v>5</v>
      </c>
      <c r="AK445" s="24">
        <v>6</v>
      </c>
      <c r="AL445" s="37" t="s">
        <v>611</v>
      </c>
      <c r="AM445" s="66">
        <v>7</v>
      </c>
      <c r="AN445" s="82">
        <v>3</v>
      </c>
      <c r="AO445" s="24"/>
      <c r="AP445" s="24"/>
      <c r="AQ445" s="24"/>
      <c r="AR445">
        <f t="shared" si="15"/>
        <v>25</v>
      </c>
    </row>
    <row r="446" spans="2:44" x14ac:dyDescent="0.25">
      <c r="B446" t="str">
        <f t="shared" si="14"/>
        <v>FCN - Djidji</v>
      </c>
      <c r="C446" t="s">
        <v>923</v>
      </c>
      <c r="D446" s="29" t="s">
        <v>608</v>
      </c>
      <c r="E446" s="30" t="s">
        <v>903</v>
      </c>
      <c r="F446" s="31">
        <v>15</v>
      </c>
      <c r="G446" s="99">
        <v>2</v>
      </c>
      <c r="H446" s="114"/>
      <c r="I446" s="34">
        <f>AVERAGE(K446,L446,M446,J446,N446,O446,S446,W446,Y446,AA446,AB446,AC446,AD446,AE446,AM446)</f>
        <v>5.2666666666666666</v>
      </c>
      <c r="J446" s="87">
        <v>5</v>
      </c>
      <c r="K446" s="66">
        <v>7</v>
      </c>
      <c r="L446" s="37">
        <v>6</v>
      </c>
      <c r="M446" s="24">
        <v>5</v>
      </c>
      <c r="N446" s="24">
        <v>5</v>
      </c>
      <c r="O446" s="24">
        <v>5</v>
      </c>
      <c r="P446" s="37" t="s">
        <v>611</v>
      </c>
      <c r="Q446" s="24"/>
      <c r="R446" s="24"/>
      <c r="S446" s="24">
        <v>5</v>
      </c>
      <c r="T446" s="24"/>
      <c r="U446" s="24"/>
      <c r="V446" s="24"/>
      <c r="W446" s="24">
        <v>5</v>
      </c>
      <c r="X446" s="24"/>
      <c r="Y446" s="24">
        <v>6</v>
      </c>
      <c r="Z446" s="24"/>
      <c r="AA446" s="24">
        <v>5</v>
      </c>
      <c r="AB446" s="24">
        <v>5</v>
      </c>
      <c r="AC446" s="24">
        <v>5</v>
      </c>
      <c r="AD446" s="24">
        <v>5</v>
      </c>
      <c r="AE446" s="24">
        <v>5</v>
      </c>
      <c r="AF446" s="37"/>
      <c r="AG446" s="27"/>
      <c r="AH446" s="26"/>
      <c r="AI446" s="87"/>
      <c r="AJ446" s="37" t="s">
        <v>611</v>
      </c>
      <c r="AK446" s="37"/>
      <c r="AL446" s="24"/>
      <c r="AM446" s="37">
        <v>5</v>
      </c>
      <c r="AN446" s="24"/>
      <c r="AO446" s="24"/>
      <c r="AP446" s="24"/>
      <c r="AQ446" s="24"/>
      <c r="AR446">
        <f t="shared" si="15"/>
        <v>17</v>
      </c>
    </row>
    <row r="447" spans="2:44" x14ac:dyDescent="0.25">
      <c r="B447" t="str">
        <f t="shared" si="14"/>
        <v>FCN - N'Dongala</v>
      </c>
      <c r="C447" t="s">
        <v>923</v>
      </c>
      <c r="D447" s="29" t="s">
        <v>608</v>
      </c>
      <c r="E447" s="30" t="s">
        <v>904</v>
      </c>
      <c r="F447" s="31"/>
      <c r="G447" s="99"/>
      <c r="H447" s="73"/>
      <c r="I447" s="34"/>
      <c r="J447" s="87"/>
      <c r="K447" s="24"/>
      <c r="L447" s="79"/>
      <c r="M447" s="24"/>
      <c r="N447" s="36"/>
      <c r="O447" s="24"/>
      <c r="P447" s="24"/>
      <c r="Q447" s="24"/>
      <c r="R447" s="37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37"/>
      <c r="AG447" s="27"/>
      <c r="AH447" s="26"/>
      <c r="AI447" s="87"/>
      <c r="AJ447" s="24"/>
      <c r="AK447" s="37"/>
      <c r="AL447" s="24"/>
      <c r="AM447" s="24"/>
      <c r="AN447" s="24"/>
      <c r="AO447" s="24"/>
      <c r="AP447" s="24"/>
      <c r="AQ447" s="24"/>
      <c r="AR447">
        <f t="shared" si="15"/>
        <v>0</v>
      </c>
    </row>
    <row r="448" spans="2:44" x14ac:dyDescent="0.25">
      <c r="B448" t="str">
        <f t="shared" si="14"/>
        <v>FCN - Dubois</v>
      </c>
      <c r="C448" t="s">
        <v>923</v>
      </c>
      <c r="D448" s="29" t="s">
        <v>608</v>
      </c>
      <c r="E448" s="60" t="s">
        <v>905</v>
      </c>
      <c r="F448" s="31">
        <v>16</v>
      </c>
      <c r="G448" s="99">
        <v>2</v>
      </c>
      <c r="H448" s="73"/>
      <c r="I448" s="34">
        <f>AVERAGE(AB448,K448,L448,M448,J448,N448,O448,Q448,P448,W448,Y448,Z448,AA448,AE448,AJ448,AN448)</f>
        <v>4.8125</v>
      </c>
      <c r="J448" s="177">
        <v>5</v>
      </c>
      <c r="K448" s="21">
        <v>5</v>
      </c>
      <c r="L448" s="198">
        <v>7</v>
      </c>
      <c r="M448" s="21">
        <v>4</v>
      </c>
      <c r="N448" s="24">
        <v>4</v>
      </c>
      <c r="O448" s="24">
        <v>5</v>
      </c>
      <c r="P448" s="24">
        <v>6</v>
      </c>
      <c r="Q448" s="82">
        <v>3</v>
      </c>
      <c r="R448" s="24"/>
      <c r="S448" s="24"/>
      <c r="T448" s="24"/>
      <c r="U448" s="24"/>
      <c r="V448" s="24"/>
      <c r="W448" s="24">
        <v>5</v>
      </c>
      <c r="X448" s="24"/>
      <c r="Y448" s="24">
        <v>6</v>
      </c>
      <c r="Z448" s="24">
        <v>5</v>
      </c>
      <c r="AA448" s="24">
        <v>5</v>
      </c>
      <c r="AB448" s="24">
        <v>5</v>
      </c>
      <c r="AC448" s="24"/>
      <c r="AD448" s="24"/>
      <c r="AE448" s="24">
        <v>4</v>
      </c>
      <c r="AF448" s="24"/>
      <c r="AG448" s="37" t="s">
        <v>611</v>
      </c>
      <c r="AH448" s="37" t="s">
        <v>611</v>
      </c>
      <c r="AI448" s="24"/>
      <c r="AJ448" s="24">
        <v>4</v>
      </c>
      <c r="AK448" s="24"/>
      <c r="AL448" s="24"/>
      <c r="AM448" s="24"/>
      <c r="AN448" s="24">
        <v>4</v>
      </c>
      <c r="AO448" s="24"/>
      <c r="AP448" s="24"/>
      <c r="AQ448" s="24"/>
      <c r="AR448">
        <f t="shared" si="15"/>
        <v>18</v>
      </c>
    </row>
    <row r="449" spans="1:44" x14ac:dyDescent="0.25">
      <c r="B449" t="str">
        <f t="shared" si="14"/>
        <v>FCN - Moimbé</v>
      </c>
      <c r="C449" t="s">
        <v>923</v>
      </c>
      <c r="D449" s="29" t="s">
        <v>608</v>
      </c>
      <c r="E449" s="65" t="s">
        <v>906</v>
      </c>
      <c r="F449" s="31">
        <v>14</v>
      </c>
      <c r="G449" s="99"/>
      <c r="H449" s="73"/>
      <c r="I449" s="34">
        <f>AVERAGE(Q449,P449,S449,T449,U449,R449,V449,W449,X449,AF449,AH449,AK449,AL449,AM449)</f>
        <v>5.1428571428571432</v>
      </c>
      <c r="J449" s="176"/>
      <c r="K449" s="36"/>
      <c r="L449" s="79"/>
      <c r="M449" s="36"/>
      <c r="N449" s="24"/>
      <c r="O449" s="24"/>
      <c r="P449" s="24">
        <v>5</v>
      </c>
      <c r="Q449" s="24">
        <v>5</v>
      </c>
      <c r="R449" s="24">
        <v>5</v>
      </c>
      <c r="S449" s="24">
        <v>6</v>
      </c>
      <c r="T449" s="66">
        <v>7</v>
      </c>
      <c r="U449" s="24">
        <v>5</v>
      </c>
      <c r="V449" s="24">
        <v>5</v>
      </c>
      <c r="W449" s="24">
        <v>5</v>
      </c>
      <c r="X449" s="24">
        <v>5</v>
      </c>
      <c r="Y449" s="24"/>
      <c r="Z449" s="24"/>
      <c r="AA449" s="24"/>
      <c r="AB449" s="24"/>
      <c r="AC449" s="24"/>
      <c r="AD449" s="24"/>
      <c r="AE449" s="24"/>
      <c r="AF449" s="24">
        <v>5</v>
      </c>
      <c r="AG449" s="24"/>
      <c r="AH449" s="24">
        <v>6</v>
      </c>
      <c r="AI449" s="27"/>
      <c r="AJ449" s="24"/>
      <c r="AK449" s="24">
        <v>5</v>
      </c>
      <c r="AL449" s="82">
        <v>3</v>
      </c>
      <c r="AM449" s="24">
        <v>5</v>
      </c>
      <c r="AN449" s="24"/>
      <c r="AO449" s="24"/>
      <c r="AP449" s="24"/>
      <c r="AQ449" s="24"/>
      <c r="AR449">
        <f t="shared" si="15"/>
        <v>14</v>
      </c>
    </row>
    <row r="450" spans="1:44" x14ac:dyDescent="0.25">
      <c r="B450" t="str">
        <f t="shared" si="14"/>
        <v>FCN - Kwateng</v>
      </c>
      <c r="C450" t="s">
        <v>923</v>
      </c>
      <c r="D450" s="29" t="s">
        <v>608</v>
      </c>
      <c r="E450" s="65" t="s">
        <v>907</v>
      </c>
      <c r="F450" s="31"/>
      <c r="G450" s="99">
        <v>1</v>
      </c>
      <c r="H450" s="73"/>
      <c r="I450" s="34"/>
      <c r="J450" s="176"/>
      <c r="K450" s="79" t="s">
        <v>611</v>
      </c>
      <c r="L450" s="79"/>
      <c r="M450" s="36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7"/>
      <c r="AJ450" s="24"/>
      <c r="AK450" s="24"/>
      <c r="AL450" s="24"/>
      <c r="AM450" s="24"/>
      <c r="AN450" s="24"/>
      <c r="AO450" s="24"/>
      <c r="AP450" s="24"/>
      <c r="AQ450" s="24"/>
      <c r="AR450">
        <f t="shared" si="15"/>
        <v>1</v>
      </c>
    </row>
    <row r="451" spans="1:44" x14ac:dyDescent="0.25">
      <c r="B451" t="str">
        <f t="shared" si="14"/>
        <v>FCN - Lenjani</v>
      </c>
      <c r="C451" t="s">
        <v>923</v>
      </c>
      <c r="D451" s="29" t="s">
        <v>608</v>
      </c>
      <c r="E451" s="155" t="s">
        <v>863</v>
      </c>
      <c r="F451" s="31">
        <v>13</v>
      </c>
      <c r="G451" s="99">
        <v>1</v>
      </c>
      <c r="H451" s="73">
        <v>1</v>
      </c>
      <c r="I451" s="34">
        <f>AVERAGE(L451,M451,O451,Q451,X451,Y451,Z451,AB451,AC451,AD451,AE451,AG451,AI451)</f>
        <v>5.0769230769230766</v>
      </c>
      <c r="J451" s="176"/>
      <c r="K451" s="36"/>
      <c r="L451" s="128">
        <v>7</v>
      </c>
      <c r="M451" s="225">
        <v>3</v>
      </c>
      <c r="N451" s="24"/>
      <c r="O451" s="24">
        <v>5</v>
      </c>
      <c r="P451" s="24"/>
      <c r="Q451" s="24">
        <v>4</v>
      </c>
      <c r="R451" s="24"/>
      <c r="S451" s="24"/>
      <c r="T451" s="37" t="s">
        <v>611</v>
      </c>
      <c r="U451" s="24"/>
      <c r="V451" s="24"/>
      <c r="W451" s="24"/>
      <c r="X451" s="24">
        <v>6</v>
      </c>
      <c r="Y451" s="24">
        <v>5</v>
      </c>
      <c r="Z451" s="24">
        <v>4</v>
      </c>
      <c r="AA451" s="24"/>
      <c r="AB451" s="24">
        <v>5</v>
      </c>
      <c r="AC451" s="24">
        <v>6</v>
      </c>
      <c r="AD451" s="24">
        <v>4</v>
      </c>
      <c r="AE451" s="24">
        <v>6</v>
      </c>
      <c r="AF451" s="24"/>
      <c r="AG451" s="24">
        <v>6</v>
      </c>
      <c r="AH451" s="24"/>
      <c r="AI451" s="27">
        <v>5</v>
      </c>
      <c r="AJ451" s="24"/>
      <c r="AK451" s="24"/>
      <c r="AL451" s="24"/>
      <c r="AM451" s="24"/>
      <c r="AN451" s="24"/>
      <c r="AO451" s="24"/>
      <c r="AP451" s="24"/>
      <c r="AQ451" s="24"/>
      <c r="AR451">
        <f t="shared" si="15"/>
        <v>14</v>
      </c>
    </row>
    <row r="452" spans="1:44" x14ac:dyDescent="0.25">
      <c r="B452" t="str">
        <f t="shared" si="14"/>
        <v>FCN - Cana</v>
      </c>
      <c r="C452" t="s">
        <v>923</v>
      </c>
      <c r="D452" s="29" t="s">
        <v>608</v>
      </c>
      <c r="E452" s="155" t="s">
        <v>275</v>
      </c>
      <c r="F452" s="31">
        <v>18</v>
      </c>
      <c r="G452" s="99">
        <v>1</v>
      </c>
      <c r="H452" s="114" t="s">
        <v>647</v>
      </c>
      <c r="I452" s="34">
        <f>AVERAGE(N452,O452,Q452,P452,T452,U452,R452,V452,W452,X452,Z452,AF452,AH452,AI452,AK452,AL452,AJ452,AN452)</f>
        <v>4.666666666666667</v>
      </c>
      <c r="J452" s="176"/>
      <c r="K452" s="36"/>
      <c r="L452" s="24"/>
      <c r="M452" s="24"/>
      <c r="N452" s="24">
        <v>5</v>
      </c>
      <c r="O452" s="24">
        <v>4</v>
      </c>
      <c r="P452" s="82">
        <v>3</v>
      </c>
      <c r="Q452" s="24">
        <v>5</v>
      </c>
      <c r="R452" s="24">
        <v>5</v>
      </c>
      <c r="S452" s="24"/>
      <c r="T452" s="24">
        <v>5</v>
      </c>
      <c r="U452" s="24">
        <v>5</v>
      </c>
      <c r="V452" s="24">
        <v>4</v>
      </c>
      <c r="W452" s="24">
        <v>4</v>
      </c>
      <c r="X452" s="24">
        <v>5</v>
      </c>
      <c r="Y452" s="24"/>
      <c r="Z452" s="24">
        <v>5</v>
      </c>
      <c r="AA452" s="24"/>
      <c r="AB452" s="24"/>
      <c r="AC452" s="24"/>
      <c r="AD452" s="24"/>
      <c r="AE452" s="37" t="s">
        <v>611</v>
      </c>
      <c r="AF452" s="24">
        <v>6</v>
      </c>
      <c r="AG452" s="24"/>
      <c r="AH452" s="24">
        <v>6</v>
      </c>
      <c r="AI452" s="27">
        <v>6</v>
      </c>
      <c r="AJ452" s="24">
        <v>5</v>
      </c>
      <c r="AK452" s="24">
        <v>5</v>
      </c>
      <c r="AL452" s="82">
        <v>2</v>
      </c>
      <c r="AM452" s="24"/>
      <c r="AN452" s="24">
        <v>4</v>
      </c>
      <c r="AO452" s="24"/>
      <c r="AP452" s="24"/>
      <c r="AQ452" s="24"/>
      <c r="AR452">
        <f t="shared" si="15"/>
        <v>19</v>
      </c>
    </row>
    <row r="453" spans="1:44" x14ac:dyDescent="0.25">
      <c r="B453" t="str">
        <f t="shared" si="14"/>
        <v>FCN - Sabaly</v>
      </c>
      <c r="C453" t="s">
        <v>923</v>
      </c>
      <c r="D453" s="29" t="s">
        <v>608</v>
      </c>
      <c r="E453" s="155" t="s">
        <v>468</v>
      </c>
      <c r="F453" s="31">
        <v>22</v>
      </c>
      <c r="G453" s="99"/>
      <c r="H453" s="73">
        <v>2</v>
      </c>
      <c r="I453" s="34">
        <f>AVERAGE(N453,S453,T453,U453,R453,V453,W453,X453,Y453,Z453,AA453,AC453,AD453,AF453,AG453,AH453,AI453,AK453,AL453,AJ453,AM453,AN453)</f>
        <v>5.3636363636363633</v>
      </c>
      <c r="J453" s="176"/>
      <c r="K453" s="36"/>
      <c r="L453" s="24"/>
      <c r="M453" s="24"/>
      <c r="N453" s="24">
        <v>5</v>
      </c>
      <c r="O453" s="24"/>
      <c r="P453" s="24"/>
      <c r="Q453" s="24"/>
      <c r="R453" s="24">
        <v>6</v>
      </c>
      <c r="S453" s="25">
        <v>7</v>
      </c>
      <c r="T453" s="24">
        <v>6</v>
      </c>
      <c r="U453" s="24">
        <v>5</v>
      </c>
      <c r="V453" s="24">
        <v>5</v>
      </c>
      <c r="W453" s="24">
        <v>5</v>
      </c>
      <c r="X453" s="24">
        <v>5</v>
      </c>
      <c r="Y453" s="24">
        <v>6</v>
      </c>
      <c r="Z453" s="24">
        <v>5</v>
      </c>
      <c r="AA453" s="24">
        <v>5</v>
      </c>
      <c r="AB453" s="24"/>
      <c r="AC453" s="66">
        <v>7</v>
      </c>
      <c r="AD453" s="22">
        <v>6</v>
      </c>
      <c r="AE453" s="24"/>
      <c r="AF453" s="24">
        <v>6</v>
      </c>
      <c r="AG453" s="24">
        <v>6</v>
      </c>
      <c r="AH453" s="24">
        <v>4</v>
      </c>
      <c r="AI453" s="27">
        <v>5</v>
      </c>
      <c r="AJ453" s="24">
        <v>6</v>
      </c>
      <c r="AK453" s="24">
        <v>5</v>
      </c>
      <c r="AL453" s="82">
        <v>3</v>
      </c>
      <c r="AM453" s="24">
        <v>6</v>
      </c>
      <c r="AN453" s="24">
        <v>4</v>
      </c>
      <c r="AO453" s="24"/>
      <c r="AP453" s="24"/>
      <c r="AQ453" s="24"/>
      <c r="AR453">
        <f t="shared" si="15"/>
        <v>22</v>
      </c>
    </row>
    <row r="454" spans="1:44" x14ac:dyDescent="0.25">
      <c r="A454">
        <v>1</v>
      </c>
      <c r="B454" t="str">
        <f t="shared" si="14"/>
        <v>ASM - Carvalho</v>
      </c>
      <c r="C454" t="s">
        <v>942</v>
      </c>
      <c r="D454" s="67" t="s">
        <v>608</v>
      </c>
      <c r="E454" s="68" t="s">
        <v>97</v>
      </c>
      <c r="F454" s="69">
        <v>26</v>
      </c>
      <c r="G454" s="115"/>
      <c r="H454" s="68">
        <v>1</v>
      </c>
      <c r="I454" s="34">
        <f>AVERAGE(AB454,AA454,K454,M454,J454,N454,O454,P454,Q454,T454,U454,V454,W454,Y454,Z454,AC454,AE454,AF454,AG454,AH454,AI454,AJ454,AK454,AL454,AM454,AN454)</f>
        <v>5.1923076923076925</v>
      </c>
      <c r="J454" s="48">
        <v>5</v>
      </c>
      <c r="K454" s="24">
        <v>5</v>
      </c>
      <c r="L454" s="37"/>
      <c r="M454" s="24">
        <v>5</v>
      </c>
      <c r="N454" s="24">
        <v>6</v>
      </c>
      <c r="O454" s="24">
        <v>5</v>
      </c>
      <c r="P454" s="24">
        <v>5</v>
      </c>
      <c r="Q454" s="37">
        <v>5</v>
      </c>
      <c r="R454" s="24"/>
      <c r="S454" s="37"/>
      <c r="T454" s="37">
        <v>6</v>
      </c>
      <c r="U454" s="24">
        <v>5</v>
      </c>
      <c r="V454" s="37">
        <v>4</v>
      </c>
      <c r="W454" s="24">
        <v>5</v>
      </c>
      <c r="X454" s="37"/>
      <c r="Y454" s="37">
        <v>5</v>
      </c>
      <c r="Z454" s="24">
        <v>5</v>
      </c>
      <c r="AA454" s="37">
        <v>5</v>
      </c>
      <c r="AB454" s="24">
        <v>5</v>
      </c>
      <c r="AC454" s="22">
        <v>6</v>
      </c>
      <c r="AD454" s="24"/>
      <c r="AE454" s="24">
        <v>5</v>
      </c>
      <c r="AF454" s="37">
        <v>4</v>
      </c>
      <c r="AG454" s="165">
        <v>7</v>
      </c>
      <c r="AH454" s="37">
        <v>6</v>
      </c>
      <c r="AI454" s="27">
        <v>5</v>
      </c>
      <c r="AJ454" s="24">
        <v>5</v>
      </c>
      <c r="AK454" s="37">
        <v>5</v>
      </c>
      <c r="AL454" s="24">
        <v>5</v>
      </c>
      <c r="AM454" s="37">
        <v>5</v>
      </c>
      <c r="AN454" s="37">
        <v>6</v>
      </c>
      <c r="AO454" s="24"/>
      <c r="AP454" s="37"/>
      <c r="AQ454" s="24"/>
      <c r="AR454">
        <f t="shared" si="15"/>
        <v>26</v>
      </c>
    </row>
    <row r="455" spans="1:44" x14ac:dyDescent="0.25">
      <c r="B455" t="str">
        <f t="shared" si="14"/>
        <v>FCN - Bedoya</v>
      </c>
      <c r="C455" t="s">
        <v>923</v>
      </c>
      <c r="D455" s="29" t="s">
        <v>622</v>
      </c>
      <c r="E455" s="30" t="s">
        <v>908</v>
      </c>
      <c r="F455" s="31">
        <v>18</v>
      </c>
      <c r="G455" s="99">
        <v>5</v>
      </c>
      <c r="H455" s="73">
        <v>2</v>
      </c>
      <c r="I455" s="126">
        <f>AVERAGE(M455,O455,Q455,P455,X455,Z455,AA455,AB455,AD455,AE455,AF455,AG455,AH455,AI455,AK455,AL455,AM455,AN455)</f>
        <v>4.833333333333333</v>
      </c>
      <c r="J455" s="87" t="s">
        <v>611</v>
      </c>
      <c r="K455" s="37"/>
      <c r="L455" s="26" t="s">
        <v>611</v>
      </c>
      <c r="M455" s="24">
        <v>4</v>
      </c>
      <c r="N455" s="37" t="s">
        <v>611</v>
      </c>
      <c r="O455" s="24">
        <v>4</v>
      </c>
      <c r="P455" s="24">
        <v>4</v>
      </c>
      <c r="Q455" s="24">
        <v>4</v>
      </c>
      <c r="R455" s="24"/>
      <c r="S455" s="24"/>
      <c r="T455" s="24"/>
      <c r="U455" s="37"/>
      <c r="V455" s="37"/>
      <c r="W455" s="37" t="s">
        <v>611</v>
      </c>
      <c r="X455" s="24">
        <v>4</v>
      </c>
      <c r="Y455" s="37"/>
      <c r="Z455" s="23">
        <v>6</v>
      </c>
      <c r="AA455" s="24">
        <v>5</v>
      </c>
      <c r="AB455" s="24">
        <v>5</v>
      </c>
      <c r="AC455" s="37" t="s">
        <v>611</v>
      </c>
      <c r="AD455" s="24">
        <v>4</v>
      </c>
      <c r="AE455" s="22">
        <v>5</v>
      </c>
      <c r="AF455" s="37">
        <v>5</v>
      </c>
      <c r="AG455" s="254">
        <v>7</v>
      </c>
      <c r="AH455" s="37">
        <v>5</v>
      </c>
      <c r="AI455" s="26">
        <v>6</v>
      </c>
      <c r="AJ455" s="24"/>
      <c r="AK455" s="37">
        <v>6</v>
      </c>
      <c r="AL455" s="82">
        <v>3</v>
      </c>
      <c r="AM455" s="37">
        <v>6</v>
      </c>
      <c r="AN455" s="23">
        <v>4</v>
      </c>
      <c r="AO455" s="24"/>
      <c r="AP455" s="24"/>
      <c r="AQ455" s="22"/>
      <c r="AR455">
        <f t="shared" si="15"/>
        <v>23</v>
      </c>
    </row>
    <row r="456" spans="1:44" x14ac:dyDescent="0.25">
      <c r="B456" t="str">
        <f t="shared" si="14"/>
        <v>FCN - Deaux</v>
      </c>
      <c r="C456" t="s">
        <v>923</v>
      </c>
      <c r="D456" s="50" t="s">
        <v>622</v>
      </c>
      <c r="E456" s="57" t="s">
        <v>601</v>
      </c>
      <c r="F456" s="52">
        <v>13</v>
      </c>
      <c r="G456" s="63">
        <v>3</v>
      </c>
      <c r="H456" s="146"/>
      <c r="I456" s="80">
        <f>AVERAGE(AB456,K456,L456,M456,N456,J456,P456,S456,U456,X456,Y456,Z456,AA456)</f>
        <v>5</v>
      </c>
      <c r="J456" s="150">
        <v>5</v>
      </c>
      <c r="K456" s="53">
        <v>5</v>
      </c>
      <c r="L456" s="61">
        <v>6</v>
      </c>
      <c r="M456" s="61">
        <v>5</v>
      </c>
      <c r="N456" s="53">
        <v>4</v>
      </c>
      <c r="O456" s="61" t="s">
        <v>611</v>
      </c>
      <c r="P456" s="61">
        <v>5</v>
      </c>
      <c r="Q456" s="53"/>
      <c r="R456" s="61" t="s">
        <v>611</v>
      </c>
      <c r="S456" s="53">
        <v>5</v>
      </c>
      <c r="T456" s="61" t="s">
        <v>611</v>
      </c>
      <c r="U456" s="53">
        <v>5</v>
      </c>
      <c r="V456" s="61"/>
      <c r="W456" s="53"/>
      <c r="X456" s="61">
        <v>6</v>
      </c>
      <c r="Y456" s="53">
        <v>5</v>
      </c>
      <c r="Z456" s="61">
        <v>5</v>
      </c>
      <c r="AA456" s="53">
        <v>4</v>
      </c>
      <c r="AB456" s="53">
        <v>5</v>
      </c>
      <c r="AC456" s="53"/>
      <c r="AD456" s="53"/>
      <c r="AE456" s="53"/>
      <c r="AF456" s="61"/>
      <c r="AG456" s="63"/>
      <c r="AH456" s="61"/>
      <c r="AI456" s="62"/>
      <c r="AJ456" s="53"/>
      <c r="AK456" s="61"/>
      <c r="AL456" s="53"/>
      <c r="AM456" s="53"/>
      <c r="AN456" s="53"/>
      <c r="AO456" s="61"/>
      <c r="AP456" s="53"/>
      <c r="AQ456" s="53"/>
      <c r="AR456">
        <f t="shared" si="15"/>
        <v>16</v>
      </c>
    </row>
    <row r="457" spans="1:44" x14ac:dyDescent="0.25">
      <c r="B457" t="str">
        <f t="shared" si="14"/>
        <v>FCN - B. Touré</v>
      </c>
      <c r="C457" t="s">
        <v>923</v>
      </c>
      <c r="D457" s="147" t="s">
        <v>622</v>
      </c>
      <c r="E457" s="155" t="s">
        <v>909</v>
      </c>
      <c r="F457" s="149">
        <v>17</v>
      </c>
      <c r="G457" s="143">
        <v>2</v>
      </c>
      <c r="H457" s="49"/>
      <c r="I457" s="34">
        <f>AVERAGE(K457,L457,M457,J457,O457,Q457,P457,S457,T457,U457,R457,V457,W457,AC457,AD457,AE457,AG457)</f>
        <v>5.1764705882352944</v>
      </c>
      <c r="J457" s="179">
        <v>6</v>
      </c>
      <c r="K457" s="23">
        <v>5</v>
      </c>
      <c r="L457" s="76">
        <v>6</v>
      </c>
      <c r="M457" s="23">
        <v>5</v>
      </c>
      <c r="N457" s="23"/>
      <c r="O457" s="76">
        <v>5</v>
      </c>
      <c r="P457" s="23">
        <v>5</v>
      </c>
      <c r="Q457" s="23">
        <v>4</v>
      </c>
      <c r="R457" s="23">
        <v>5</v>
      </c>
      <c r="S457" s="23">
        <v>5</v>
      </c>
      <c r="T457" s="23">
        <v>5</v>
      </c>
      <c r="U457" s="23">
        <v>5</v>
      </c>
      <c r="V457" s="23">
        <v>5</v>
      </c>
      <c r="W457" s="23">
        <v>4</v>
      </c>
      <c r="X457" s="109"/>
      <c r="Y457" s="109"/>
      <c r="Z457" s="109"/>
      <c r="AA457" s="109"/>
      <c r="AB457" s="109"/>
      <c r="AC457" s="23">
        <v>5</v>
      </c>
      <c r="AD457" s="23">
        <v>5</v>
      </c>
      <c r="AE457" s="83">
        <v>7</v>
      </c>
      <c r="AF457" s="108"/>
      <c r="AG457" s="143">
        <v>6</v>
      </c>
      <c r="AH457" s="180"/>
      <c r="AI457" s="187"/>
      <c r="AJ457" s="109"/>
      <c r="AK457" s="108"/>
      <c r="AL457" s="109"/>
      <c r="AM457" s="76" t="s">
        <v>611</v>
      </c>
      <c r="AN457" s="76" t="s">
        <v>611</v>
      </c>
      <c r="AO457" s="109"/>
      <c r="AP457" s="109"/>
      <c r="AQ457" s="109"/>
      <c r="AR457">
        <f t="shared" si="15"/>
        <v>19</v>
      </c>
    </row>
    <row r="458" spans="1:44" x14ac:dyDescent="0.25">
      <c r="B458" t="str">
        <f t="shared" si="14"/>
        <v>FCN - A. Touré</v>
      </c>
      <c r="C458" t="s">
        <v>923</v>
      </c>
      <c r="D458" s="29" t="s">
        <v>622</v>
      </c>
      <c r="E458" s="30" t="s">
        <v>910</v>
      </c>
      <c r="F458" s="31">
        <v>2</v>
      </c>
      <c r="G458" s="99">
        <v>2</v>
      </c>
      <c r="H458" s="73"/>
      <c r="I458" s="100">
        <f>AVERAGE(W458,Y458)</f>
        <v>5.5</v>
      </c>
      <c r="J458" s="87"/>
      <c r="K458" s="24"/>
      <c r="L458" s="37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>
        <v>6</v>
      </c>
      <c r="X458" s="24"/>
      <c r="Y458" s="24">
        <v>5</v>
      </c>
      <c r="Z458" s="37" t="s">
        <v>611</v>
      </c>
      <c r="AA458" s="37" t="s">
        <v>611</v>
      </c>
      <c r="AB458" s="24"/>
      <c r="AC458" s="24"/>
      <c r="AD458" s="24"/>
      <c r="AE458" s="24"/>
      <c r="AF458" s="37"/>
      <c r="AG458" s="27"/>
      <c r="AH458" s="26"/>
      <c r="AI458" s="87"/>
      <c r="AJ458" s="24"/>
      <c r="AK458" s="37"/>
      <c r="AL458" s="24"/>
      <c r="AM458" s="24"/>
      <c r="AN458" s="24"/>
      <c r="AO458" s="24"/>
      <c r="AP458" s="24"/>
      <c r="AQ458" s="24"/>
      <c r="AR458">
        <f t="shared" si="15"/>
        <v>4</v>
      </c>
    </row>
    <row r="459" spans="1:44" x14ac:dyDescent="0.25">
      <c r="B459" t="str">
        <f t="shared" si="14"/>
        <v>FCN - Rongier</v>
      </c>
      <c r="C459" t="s">
        <v>923</v>
      </c>
      <c r="D459" s="29" t="s">
        <v>622</v>
      </c>
      <c r="E459" s="60" t="s">
        <v>911</v>
      </c>
      <c r="F459" s="31">
        <v>9</v>
      </c>
      <c r="G459" s="99">
        <v>1</v>
      </c>
      <c r="H459" s="73">
        <v>1</v>
      </c>
      <c r="I459" s="34">
        <f>AVERAGE(K459,L459,M459,N459,J459,O459,Q459,S459,T459)</f>
        <v>5.5555555555555554</v>
      </c>
      <c r="J459" s="87">
        <v>6</v>
      </c>
      <c r="K459" s="24">
        <v>5</v>
      </c>
      <c r="L459" s="37">
        <v>6</v>
      </c>
      <c r="M459" s="24">
        <v>4</v>
      </c>
      <c r="N459" s="24">
        <v>5</v>
      </c>
      <c r="O459" s="24">
        <v>6</v>
      </c>
      <c r="P459" s="37" t="s">
        <v>611</v>
      </c>
      <c r="Q459" s="24">
        <v>6</v>
      </c>
      <c r="R459" s="24"/>
      <c r="S459" s="75">
        <v>7</v>
      </c>
      <c r="T459" s="24">
        <v>5</v>
      </c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37"/>
      <c r="AG459" s="27"/>
      <c r="AH459" s="26"/>
      <c r="AI459" s="87"/>
      <c r="AJ459" s="24"/>
      <c r="AK459" s="37"/>
      <c r="AL459" s="24"/>
      <c r="AM459" s="24"/>
      <c r="AN459" s="24"/>
      <c r="AO459" s="24"/>
      <c r="AP459" s="24"/>
      <c r="AQ459" s="37"/>
      <c r="AR459">
        <f t="shared" si="15"/>
        <v>10</v>
      </c>
    </row>
    <row r="460" spans="1:44" x14ac:dyDescent="0.25">
      <c r="B460" t="str">
        <f t="shared" si="14"/>
        <v>FCN - Gomis</v>
      </c>
      <c r="C460" t="s">
        <v>923</v>
      </c>
      <c r="D460" s="29" t="s">
        <v>622</v>
      </c>
      <c r="E460" s="30" t="s">
        <v>912</v>
      </c>
      <c r="F460" s="31">
        <v>9</v>
      </c>
      <c r="G460" s="99">
        <v>3</v>
      </c>
      <c r="H460" s="73"/>
      <c r="I460" s="34">
        <f>AVERAGE(M460,AF460,AG460,AH460,AI460,AK460,AL460,AJ460,AM460,AN460)</f>
        <v>5.2</v>
      </c>
      <c r="J460" s="87"/>
      <c r="K460" s="24"/>
      <c r="L460" s="37" t="s">
        <v>611</v>
      </c>
      <c r="M460" s="24">
        <v>4</v>
      </c>
      <c r="N460" s="24"/>
      <c r="O460" s="24"/>
      <c r="P460" s="24"/>
      <c r="Q460" s="24"/>
      <c r="R460" s="24"/>
      <c r="S460" s="24"/>
      <c r="T460" s="24"/>
      <c r="U460" s="37" t="s">
        <v>611</v>
      </c>
      <c r="V460" s="24"/>
      <c r="W460" s="24"/>
      <c r="X460" s="24"/>
      <c r="Y460" s="24"/>
      <c r="Z460" s="24"/>
      <c r="AA460" s="37"/>
      <c r="AB460" s="37"/>
      <c r="AC460" s="24"/>
      <c r="AD460" s="24"/>
      <c r="AE460" s="24"/>
      <c r="AF460" s="37">
        <v>6</v>
      </c>
      <c r="AG460" s="26">
        <v>6</v>
      </c>
      <c r="AH460" s="26">
        <v>5</v>
      </c>
      <c r="AI460" s="87">
        <v>5</v>
      </c>
      <c r="AJ460" s="37">
        <v>6</v>
      </c>
      <c r="AK460" s="37">
        <v>5</v>
      </c>
      <c r="AL460" s="24">
        <v>4</v>
      </c>
      <c r="AM460" s="24">
        <v>6</v>
      </c>
      <c r="AN460" s="24">
        <v>5</v>
      </c>
      <c r="AO460" s="24"/>
      <c r="AP460" s="24"/>
      <c r="AQ460" s="24"/>
      <c r="AR460">
        <f t="shared" si="15"/>
        <v>12</v>
      </c>
    </row>
    <row r="461" spans="1:44" x14ac:dyDescent="0.25">
      <c r="B461" t="str">
        <f t="shared" si="14"/>
        <v>SCB - Fofana</v>
      </c>
      <c r="C461" t="s">
        <v>855</v>
      </c>
      <c r="D461" s="29" t="s">
        <v>622</v>
      </c>
      <c r="E461" s="65" t="s">
        <v>782</v>
      </c>
      <c r="F461" s="31">
        <v>22</v>
      </c>
      <c r="G461" s="99">
        <v>4</v>
      </c>
      <c r="H461" s="114">
        <v>1</v>
      </c>
      <c r="I461" s="34">
        <f>AVERAGE(Y461,W461,K461,L461,M461,J461,N461,O461,P461,Q461,R461,S461,T461,U461,V461,AA461,AB461,AC461,AD461,AH461,AJ461,AM461,AN461)</f>
        <v>5.0869565217391308</v>
      </c>
      <c r="J461" s="87">
        <v>5</v>
      </c>
      <c r="K461" s="37">
        <v>5</v>
      </c>
      <c r="L461" s="37">
        <v>6</v>
      </c>
      <c r="M461" s="37">
        <v>5</v>
      </c>
      <c r="N461" s="24">
        <v>4</v>
      </c>
      <c r="O461" s="24">
        <v>5</v>
      </c>
      <c r="P461" s="24">
        <v>6</v>
      </c>
      <c r="Q461" s="24">
        <v>5</v>
      </c>
      <c r="R461" s="24">
        <v>5</v>
      </c>
      <c r="S461" s="37">
        <v>6</v>
      </c>
      <c r="T461" s="37">
        <v>5</v>
      </c>
      <c r="U461" s="24">
        <v>5</v>
      </c>
      <c r="V461" s="24">
        <v>6</v>
      </c>
      <c r="W461" s="37">
        <v>4</v>
      </c>
      <c r="X461" s="37" t="s">
        <v>611</v>
      </c>
      <c r="Y461" s="24">
        <v>6</v>
      </c>
      <c r="Z461" s="37" t="s">
        <v>611</v>
      </c>
      <c r="AA461" s="77">
        <v>6</v>
      </c>
      <c r="AB461" s="24">
        <v>5</v>
      </c>
      <c r="AC461" s="24">
        <v>5</v>
      </c>
      <c r="AD461" s="172">
        <v>3</v>
      </c>
      <c r="AE461" s="24"/>
      <c r="AF461" s="37"/>
      <c r="AG461" s="27"/>
      <c r="AH461" s="26">
        <v>5</v>
      </c>
      <c r="AI461" s="38"/>
      <c r="AJ461" s="24">
        <v>6</v>
      </c>
      <c r="AK461" s="37" t="s">
        <v>611</v>
      </c>
      <c r="AL461" s="24"/>
      <c r="AM461" s="37">
        <v>4</v>
      </c>
      <c r="AN461" s="24">
        <v>5</v>
      </c>
      <c r="AO461" s="24"/>
      <c r="AP461" s="24"/>
      <c r="AQ461" s="24"/>
      <c r="AR461">
        <f t="shared" si="15"/>
        <v>26</v>
      </c>
    </row>
    <row r="462" spans="1:44" x14ac:dyDescent="0.25">
      <c r="B462" t="str">
        <f t="shared" si="14"/>
        <v>FCN - Alégué</v>
      </c>
      <c r="C462" t="s">
        <v>923</v>
      </c>
      <c r="D462" s="29" t="s">
        <v>622</v>
      </c>
      <c r="E462" s="65" t="s">
        <v>914</v>
      </c>
      <c r="F462" s="31">
        <v>1</v>
      </c>
      <c r="G462" s="99">
        <v>2</v>
      </c>
      <c r="H462" s="73">
        <v>1</v>
      </c>
      <c r="I462" s="34">
        <f>AVERAGE(R462)</f>
        <v>5</v>
      </c>
      <c r="J462" s="87"/>
      <c r="K462" s="24"/>
      <c r="L462" s="37"/>
      <c r="M462" s="24"/>
      <c r="N462" s="37"/>
      <c r="O462" s="37"/>
      <c r="P462" s="37"/>
      <c r="Q462" s="37"/>
      <c r="R462" s="77">
        <v>5</v>
      </c>
      <c r="S462" s="23"/>
      <c r="T462" s="37"/>
      <c r="U462" s="23"/>
      <c r="V462" s="37" t="s">
        <v>611</v>
      </c>
      <c r="W462" s="37" t="s">
        <v>611</v>
      </c>
      <c r="X462" s="24"/>
      <c r="Y462" s="24"/>
      <c r="Z462" s="24"/>
      <c r="AA462" s="24"/>
      <c r="AB462" s="24"/>
      <c r="AC462" s="24"/>
      <c r="AD462" s="24"/>
      <c r="AE462" s="24"/>
      <c r="AF462" s="37"/>
      <c r="AG462" s="27"/>
      <c r="AH462" s="26"/>
      <c r="AI462" s="87"/>
      <c r="AJ462" s="24"/>
      <c r="AK462" s="37"/>
      <c r="AL462" s="24"/>
      <c r="AM462" s="24"/>
      <c r="AN462" s="24"/>
      <c r="AO462" s="24"/>
      <c r="AP462" s="24"/>
      <c r="AQ462" s="24"/>
      <c r="AR462">
        <f t="shared" si="15"/>
        <v>3</v>
      </c>
    </row>
    <row r="463" spans="1:44" x14ac:dyDescent="0.25">
      <c r="B463" t="str">
        <f t="shared" si="14"/>
        <v>FCN - Gillet</v>
      </c>
      <c r="C463" t="s">
        <v>923</v>
      </c>
      <c r="D463" s="29" t="s">
        <v>622</v>
      </c>
      <c r="E463" s="155" t="s">
        <v>1046</v>
      </c>
      <c r="F463" s="31">
        <v>12</v>
      </c>
      <c r="G463" s="99"/>
      <c r="H463" s="73">
        <v>1</v>
      </c>
      <c r="I463" s="34">
        <f>AVERAGE(AC463,AD463,AE463,AF463,AG463,AH463,AI463,AK463,AL463,AJ463,AM463,AN463)</f>
        <v>5.5</v>
      </c>
      <c r="J463" s="87"/>
      <c r="K463" s="24"/>
      <c r="L463" s="37"/>
      <c r="M463" s="24"/>
      <c r="N463" s="37"/>
      <c r="O463" s="37"/>
      <c r="P463" s="37"/>
      <c r="Q463" s="37"/>
      <c r="R463" s="77"/>
      <c r="S463" s="23"/>
      <c r="T463" s="37"/>
      <c r="U463" s="23"/>
      <c r="V463" s="37"/>
      <c r="W463" s="37"/>
      <c r="X463" s="24"/>
      <c r="Y463" s="24"/>
      <c r="Z463" s="24"/>
      <c r="AA463" s="24"/>
      <c r="AB463" s="24"/>
      <c r="AC463" s="24">
        <v>5</v>
      </c>
      <c r="AD463" s="24">
        <v>4</v>
      </c>
      <c r="AE463" s="24">
        <v>5</v>
      </c>
      <c r="AF463" s="75">
        <v>7</v>
      </c>
      <c r="AG463" s="27">
        <v>6</v>
      </c>
      <c r="AH463" s="26">
        <v>5</v>
      </c>
      <c r="AI463" s="87">
        <v>6</v>
      </c>
      <c r="AJ463" s="24">
        <v>6</v>
      </c>
      <c r="AK463" s="37">
        <v>6</v>
      </c>
      <c r="AL463" s="24">
        <v>4</v>
      </c>
      <c r="AM463" s="24">
        <v>6</v>
      </c>
      <c r="AN463" s="24">
        <v>6</v>
      </c>
      <c r="AO463" s="24"/>
      <c r="AP463" s="24"/>
      <c r="AQ463" s="24"/>
      <c r="AR463">
        <f t="shared" si="15"/>
        <v>12</v>
      </c>
    </row>
    <row r="464" spans="1:44" x14ac:dyDescent="0.25">
      <c r="B464" t="str">
        <f t="shared" si="14"/>
        <v>ASSE - Pajot</v>
      </c>
      <c r="C464" t="s">
        <v>714</v>
      </c>
      <c r="D464" s="29" t="s">
        <v>622</v>
      </c>
      <c r="E464" s="155" t="s">
        <v>711</v>
      </c>
      <c r="F464" s="31">
        <v>18</v>
      </c>
      <c r="G464" s="99">
        <v>7</v>
      </c>
      <c r="H464" s="73">
        <v>1</v>
      </c>
      <c r="I464" s="34">
        <f>AVERAGE(N464,O464,P464,Q464,S464,U464,V464,W464,Y464,Z464,AA464,AC464,AD464,AE464,AH464,AI464,AJ464,AK464,AM464)</f>
        <v>5.0526315789473681</v>
      </c>
      <c r="J464" s="38"/>
      <c r="K464" s="79" t="s">
        <v>611</v>
      </c>
      <c r="L464" s="37"/>
      <c r="M464" s="24"/>
      <c r="N464" s="24">
        <v>5</v>
      </c>
      <c r="O464" s="23">
        <v>6</v>
      </c>
      <c r="P464" s="24">
        <v>5</v>
      </c>
      <c r="Q464" s="24">
        <v>4</v>
      </c>
      <c r="R464" s="37" t="s">
        <v>611</v>
      </c>
      <c r="S464" s="23">
        <v>5</v>
      </c>
      <c r="T464" s="37"/>
      <c r="U464" s="24">
        <v>4</v>
      </c>
      <c r="V464" s="24">
        <v>5</v>
      </c>
      <c r="W464" s="24">
        <v>6</v>
      </c>
      <c r="X464" s="24"/>
      <c r="Y464" s="37">
        <v>4</v>
      </c>
      <c r="Z464" s="24">
        <v>5</v>
      </c>
      <c r="AA464" s="24">
        <v>5</v>
      </c>
      <c r="AB464" s="24"/>
      <c r="AC464" s="24">
        <v>5</v>
      </c>
      <c r="AD464" s="24">
        <v>4</v>
      </c>
      <c r="AE464" s="24">
        <v>6</v>
      </c>
      <c r="AF464" s="24"/>
      <c r="AG464" s="26" t="s">
        <v>611</v>
      </c>
      <c r="AH464" s="254">
        <v>7</v>
      </c>
      <c r="AI464" s="38">
        <v>5</v>
      </c>
      <c r="AJ464" s="24">
        <v>5</v>
      </c>
      <c r="AK464" s="24">
        <v>5</v>
      </c>
      <c r="AL464" s="37" t="s">
        <v>611</v>
      </c>
      <c r="AM464" s="24">
        <v>5</v>
      </c>
      <c r="AN464" s="37" t="s">
        <v>611</v>
      </c>
      <c r="AO464" s="24"/>
      <c r="AP464" s="24"/>
      <c r="AQ464" s="24"/>
      <c r="AR464">
        <f t="shared" si="15"/>
        <v>25</v>
      </c>
    </row>
    <row r="465" spans="1:44" x14ac:dyDescent="0.25">
      <c r="B465" t="str">
        <f t="shared" si="14"/>
        <v>FCN - Iloki</v>
      </c>
      <c r="C465" t="s">
        <v>923</v>
      </c>
      <c r="D465" s="29" t="s">
        <v>622</v>
      </c>
      <c r="E465" s="155" t="s">
        <v>918</v>
      </c>
      <c r="F465" s="31">
        <v>9</v>
      </c>
      <c r="G465" s="99">
        <v>8</v>
      </c>
      <c r="H465" s="73">
        <v>1</v>
      </c>
      <c r="I465" s="34">
        <f>AVERAGE(Q465,P465,S465,R465,V465,W465,X465,Y465,AJ465)</f>
        <v>4.8888888888888893</v>
      </c>
      <c r="J465" s="87"/>
      <c r="K465" s="24"/>
      <c r="L465" s="37"/>
      <c r="M465" s="24"/>
      <c r="N465" s="37"/>
      <c r="O465" s="37" t="s">
        <v>611</v>
      </c>
      <c r="P465" s="75">
        <v>7</v>
      </c>
      <c r="Q465" s="24">
        <v>5</v>
      </c>
      <c r="R465" s="37">
        <v>4</v>
      </c>
      <c r="S465" s="23">
        <v>5</v>
      </c>
      <c r="T465" s="37" t="s">
        <v>611</v>
      </c>
      <c r="U465" s="37" t="s">
        <v>611</v>
      </c>
      <c r="V465" s="24">
        <v>5</v>
      </c>
      <c r="W465" s="24">
        <v>4</v>
      </c>
      <c r="X465" s="24">
        <v>5</v>
      </c>
      <c r="Y465" s="24">
        <v>4</v>
      </c>
      <c r="Z465" s="37" t="s">
        <v>611</v>
      </c>
      <c r="AA465" s="37" t="s">
        <v>611</v>
      </c>
      <c r="AB465" s="24"/>
      <c r="AC465" s="37" t="s">
        <v>611</v>
      </c>
      <c r="AD465" s="37" t="s">
        <v>611</v>
      </c>
      <c r="AE465" s="24"/>
      <c r="AF465" s="37"/>
      <c r="AG465" s="26" t="s">
        <v>611</v>
      </c>
      <c r="AH465" s="26"/>
      <c r="AI465" s="87"/>
      <c r="AJ465" s="24">
        <v>5</v>
      </c>
      <c r="AK465" s="37"/>
      <c r="AL465" s="24"/>
      <c r="AM465" s="24"/>
      <c r="AN465" s="24"/>
      <c r="AO465" s="24"/>
      <c r="AP465" s="24"/>
      <c r="AQ465" s="24"/>
      <c r="AR465">
        <f t="shared" si="15"/>
        <v>17</v>
      </c>
    </row>
    <row r="466" spans="1:44" x14ac:dyDescent="0.25">
      <c r="B466" t="str">
        <f t="shared" si="14"/>
        <v>FCN - M'Laab</v>
      </c>
      <c r="C466" t="s">
        <v>923</v>
      </c>
      <c r="D466" s="29" t="s">
        <v>622</v>
      </c>
      <c r="E466" s="65" t="s">
        <v>920</v>
      </c>
      <c r="F466" s="31"/>
      <c r="G466" s="99">
        <v>1</v>
      </c>
      <c r="H466" s="73"/>
      <c r="I466" s="34"/>
      <c r="J466" s="87"/>
      <c r="K466" s="24"/>
      <c r="L466" s="37"/>
      <c r="M466" s="24"/>
      <c r="N466" s="37"/>
      <c r="O466" s="24"/>
      <c r="P466" s="37"/>
      <c r="Q466" s="24"/>
      <c r="R466" s="37"/>
      <c r="S466" s="76"/>
      <c r="T466" s="37"/>
      <c r="U466" s="37"/>
      <c r="V466" s="24"/>
      <c r="W466" s="24"/>
      <c r="X466" s="37" t="s">
        <v>611</v>
      </c>
      <c r="Y466" s="37"/>
      <c r="Z466" s="24"/>
      <c r="AA466" s="24"/>
      <c r="AB466" s="24"/>
      <c r="AC466" s="24"/>
      <c r="AD466" s="24"/>
      <c r="AE466" s="24"/>
      <c r="AF466" s="37"/>
      <c r="AG466" s="27"/>
      <c r="AH466" s="26"/>
      <c r="AI466" s="87"/>
      <c r="AJ466" s="24"/>
      <c r="AK466" s="37"/>
      <c r="AL466" s="24"/>
      <c r="AM466" s="24"/>
      <c r="AN466" s="24"/>
      <c r="AO466" s="24"/>
      <c r="AP466" s="24"/>
      <c r="AQ466" s="24"/>
      <c r="AR466">
        <f t="shared" si="15"/>
        <v>1</v>
      </c>
    </row>
    <row r="467" spans="1:44" x14ac:dyDescent="0.25">
      <c r="B467" t="str">
        <f t="shared" si="14"/>
        <v>FCN - Adryan</v>
      </c>
      <c r="C467" t="s">
        <v>923</v>
      </c>
      <c r="D467" s="67" t="s">
        <v>622</v>
      </c>
      <c r="E467" s="122" t="s">
        <v>915</v>
      </c>
      <c r="F467" s="69">
        <v>16</v>
      </c>
      <c r="G467" s="115">
        <v>4</v>
      </c>
      <c r="H467" s="68">
        <v>3</v>
      </c>
      <c r="I467" s="72">
        <f>AVERAGE(K467,L467,N467,J467,Y467,AA467,AC467,AD467,AE467,AF467,AG467,AH467,AI467,AK467,AL467,AM467)</f>
        <v>5.1875</v>
      </c>
      <c r="J467" s="87">
        <v>5</v>
      </c>
      <c r="K467" s="24">
        <v>5</v>
      </c>
      <c r="L467" s="37">
        <v>5</v>
      </c>
      <c r="M467" s="24"/>
      <c r="N467" s="24">
        <v>4</v>
      </c>
      <c r="O467" s="24"/>
      <c r="P467" s="24"/>
      <c r="Q467" s="24"/>
      <c r="R467" s="24"/>
      <c r="S467" s="76" t="s">
        <v>611</v>
      </c>
      <c r="T467" s="24"/>
      <c r="U467" s="24"/>
      <c r="V467" s="37" t="s">
        <v>611</v>
      </c>
      <c r="W467" s="24"/>
      <c r="X467" s="37" t="s">
        <v>611</v>
      </c>
      <c r="Y467" s="24">
        <v>4</v>
      </c>
      <c r="Z467" s="24"/>
      <c r="AA467" s="37">
        <v>5</v>
      </c>
      <c r="AB467" s="37" t="s">
        <v>611</v>
      </c>
      <c r="AC467" s="24">
        <v>6</v>
      </c>
      <c r="AD467" s="24">
        <v>5</v>
      </c>
      <c r="AE467" s="24">
        <v>5</v>
      </c>
      <c r="AF467" s="84">
        <v>7</v>
      </c>
      <c r="AG467" s="130">
        <v>7</v>
      </c>
      <c r="AH467" s="26">
        <v>6</v>
      </c>
      <c r="AI467" s="181">
        <v>5</v>
      </c>
      <c r="AJ467" s="37"/>
      <c r="AK467" s="37">
        <v>4</v>
      </c>
      <c r="AL467" s="22">
        <v>5</v>
      </c>
      <c r="AM467" s="24">
        <v>5</v>
      </c>
      <c r="AN467" s="24"/>
      <c r="AO467" s="24"/>
      <c r="AP467" s="24"/>
      <c r="AQ467" s="24"/>
      <c r="AR467">
        <f t="shared" si="15"/>
        <v>20</v>
      </c>
    </row>
    <row r="468" spans="1:44" x14ac:dyDescent="0.25">
      <c r="B468" t="str">
        <f t="shared" si="14"/>
        <v>FCN - Aristeguieta</v>
      </c>
      <c r="C468" t="s">
        <v>923</v>
      </c>
      <c r="D468" s="50" t="s">
        <v>633</v>
      </c>
      <c r="E468" s="57" t="s">
        <v>916</v>
      </c>
      <c r="F468" s="52"/>
      <c r="G468" s="63"/>
      <c r="H468" s="146"/>
      <c r="I468" s="34"/>
      <c r="J468" s="226"/>
      <c r="K468" s="139"/>
      <c r="L468" s="138"/>
      <c r="M468" s="139"/>
      <c r="N468" s="139"/>
      <c r="O468" s="139"/>
      <c r="P468" s="139"/>
      <c r="Q468" s="138"/>
      <c r="R468" s="139"/>
      <c r="S468" s="138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8"/>
      <c r="AG468" s="134"/>
      <c r="AH468" s="137"/>
      <c r="AI468" s="136"/>
      <c r="AJ468" s="139"/>
      <c r="AK468" s="138"/>
      <c r="AL468" s="139"/>
      <c r="AM468" s="139"/>
      <c r="AN468" s="139"/>
      <c r="AO468" s="139"/>
      <c r="AP468" s="139"/>
      <c r="AQ468" s="139"/>
      <c r="AR468">
        <f t="shared" si="15"/>
        <v>0</v>
      </c>
    </row>
    <row r="469" spans="1:44" x14ac:dyDescent="0.25">
      <c r="B469" t="str">
        <f t="shared" si="14"/>
        <v>SR - Devaux</v>
      </c>
      <c r="C469" t="s">
        <v>901</v>
      </c>
      <c r="D469" s="29" t="s">
        <v>622</v>
      </c>
      <c r="E469" s="30" t="s">
        <v>887</v>
      </c>
      <c r="F469" s="31">
        <v>27</v>
      </c>
      <c r="G469" s="99"/>
      <c r="H469" s="73">
        <v>1</v>
      </c>
      <c r="I469" s="34">
        <f>AVERAGE(Z469,AA469,Y469,X469,W469,K469,L469,M469,J469,N469,O469,Q469,R469,S469,T469,U469,V469,AB469,AC469,AF469,AG469,AH469,AI469,AJ469,AK469,AL469,AN469)</f>
        <v>5.0370370370370372</v>
      </c>
      <c r="J469" s="38">
        <v>6</v>
      </c>
      <c r="K469" s="37">
        <v>6</v>
      </c>
      <c r="L469" s="37">
        <v>5</v>
      </c>
      <c r="M469" s="37">
        <v>5</v>
      </c>
      <c r="N469" s="24">
        <v>5</v>
      </c>
      <c r="O469" s="37">
        <v>5</v>
      </c>
      <c r="P469" s="24"/>
      <c r="Q469" s="24">
        <v>4</v>
      </c>
      <c r="R469" s="24">
        <v>5</v>
      </c>
      <c r="S469" s="24">
        <v>5</v>
      </c>
      <c r="T469" s="24">
        <v>4</v>
      </c>
      <c r="U469" s="24">
        <v>5</v>
      </c>
      <c r="V469" s="24">
        <v>5</v>
      </c>
      <c r="W469" s="24">
        <v>4</v>
      </c>
      <c r="X469" s="24">
        <v>5</v>
      </c>
      <c r="Y469" s="24">
        <v>5</v>
      </c>
      <c r="Z469" s="24">
        <v>5</v>
      </c>
      <c r="AA469" s="24">
        <v>4</v>
      </c>
      <c r="AB469" s="24">
        <v>5</v>
      </c>
      <c r="AC469" s="22">
        <v>5</v>
      </c>
      <c r="AD469" s="24"/>
      <c r="AE469" s="24"/>
      <c r="AF469" s="24">
        <v>4</v>
      </c>
      <c r="AG469" s="165">
        <v>7</v>
      </c>
      <c r="AH469" s="27">
        <v>6</v>
      </c>
      <c r="AI469" s="38">
        <v>5</v>
      </c>
      <c r="AJ469" s="24">
        <v>5</v>
      </c>
      <c r="AK469" s="24">
        <v>6</v>
      </c>
      <c r="AL469" s="37">
        <v>5</v>
      </c>
      <c r="AM469" s="24"/>
      <c r="AN469" s="24">
        <v>5</v>
      </c>
      <c r="AO469" s="24"/>
      <c r="AP469" s="24"/>
      <c r="AQ469" s="24"/>
      <c r="AR469">
        <f t="shared" si="15"/>
        <v>27</v>
      </c>
    </row>
    <row r="470" spans="1:44" x14ac:dyDescent="0.25">
      <c r="B470" t="str">
        <f t="shared" si="14"/>
        <v>FCN - Audel</v>
      </c>
      <c r="C470" t="s">
        <v>923</v>
      </c>
      <c r="D470" s="29" t="s">
        <v>622</v>
      </c>
      <c r="E470" s="155" t="s">
        <v>917</v>
      </c>
      <c r="F470" s="31">
        <v>10</v>
      </c>
      <c r="G470" s="99">
        <v>15</v>
      </c>
      <c r="H470" s="73">
        <v>1</v>
      </c>
      <c r="I470" s="34">
        <f>AVERAGE(L470,M470,O470,T470,U470,V470,AA470,AB470,AC470,AD470)</f>
        <v>4.8</v>
      </c>
      <c r="J470" s="87" t="s">
        <v>611</v>
      </c>
      <c r="K470" s="37" t="s">
        <v>611</v>
      </c>
      <c r="L470" s="37">
        <v>6</v>
      </c>
      <c r="M470" s="24">
        <v>5</v>
      </c>
      <c r="N470" s="37" t="s">
        <v>611</v>
      </c>
      <c r="O470" s="82">
        <v>3</v>
      </c>
      <c r="P470" s="37" t="s">
        <v>611</v>
      </c>
      <c r="Q470" s="37" t="s">
        <v>611</v>
      </c>
      <c r="R470" s="37" t="s">
        <v>611</v>
      </c>
      <c r="S470" s="76" t="s">
        <v>611</v>
      </c>
      <c r="T470" s="24">
        <v>4</v>
      </c>
      <c r="U470" s="24">
        <v>4</v>
      </c>
      <c r="V470" s="24">
        <v>5</v>
      </c>
      <c r="W470" s="37"/>
      <c r="X470" s="37"/>
      <c r="Y470" s="37" t="s">
        <v>611</v>
      </c>
      <c r="Z470" s="24"/>
      <c r="AA470" s="24">
        <v>5</v>
      </c>
      <c r="AB470" s="76">
        <v>5</v>
      </c>
      <c r="AC470" s="25">
        <v>7</v>
      </c>
      <c r="AD470" s="37">
        <v>4</v>
      </c>
      <c r="AE470" s="24"/>
      <c r="AF470" s="37" t="s">
        <v>611</v>
      </c>
      <c r="AG470" s="27"/>
      <c r="AH470" s="26" t="s">
        <v>611</v>
      </c>
      <c r="AI470" s="87" t="s">
        <v>611</v>
      </c>
      <c r="AJ470" s="37" t="s">
        <v>611</v>
      </c>
      <c r="AK470" s="37" t="s">
        <v>611</v>
      </c>
      <c r="AL470" s="37" t="s">
        <v>611</v>
      </c>
      <c r="AM470" s="24"/>
      <c r="AN470" s="37" t="s">
        <v>611</v>
      </c>
      <c r="AO470" s="37"/>
      <c r="AP470" s="24"/>
      <c r="AQ470" s="24"/>
      <c r="AR470">
        <f t="shared" si="15"/>
        <v>25</v>
      </c>
    </row>
    <row r="471" spans="1:44" x14ac:dyDescent="0.25">
      <c r="A471">
        <v>1</v>
      </c>
      <c r="B471" t="str">
        <f t="shared" si="14"/>
        <v>ASM - Raggi</v>
      </c>
      <c r="C471" t="s">
        <v>942</v>
      </c>
      <c r="D471" s="29" t="s">
        <v>608</v>
      </c>
      <c r="E471" s="60" t="s">
        <v>927</v>
      </c>
      <c r="F471" s="31">
        <v>22</v>
      </c>
      <c r="G471" s="99">
        <v>2</v>
      </c>
      <c r="H471" s="73">
        <v>1</v>
      </c>
      <c r="I471" s="34">
        <f>AVERAGE(K471,M471,J471,N471,O471,P471,Q471,R471,T471,U471,V471,W471,X471,AD471,AE471,AF471,AG471,AH471,AI471,AJ471,AK471,AN471)</f>
        <v>5.1363636363636367</v>
      </c>
      <c r="J471" s="48">
        <v>4</v>
      </c>
      <c r="K471" s="21">
        <v>6</v>
      </c>
      <c r="L471" s="37"/>
      <c r="M471" s="24">
        <v>4</v>
      </c>
      <c r="N471" s="24">
        <v>5</v>
      </c>
      <c r="O471" s="24">
        <v>5</v>
      </c>
      <c r="P471" s="24">
        <v>4</v>
      </c>
      <c r="Q471" s="77">
        <v>6</v>
      </c>
      <c r="R471" s="24">
        <v>4</v>
      </c>
      <c r="S471" s="37"/>
      <c r="T471" s="37">
        <v>6</v>
      </c>
      <c r="U471" s="24">
        <v>5</v>
      </c>
      <c r="V471" s="37">
        <v>5</v>
      </c>
      <c r="W471" s="24">
        <v>6</v>
      </c>
      <c r="X471" s="37">
        <v>4</v>
      </c>
      <c r="Y471" s="37"/>
      <c r="Z471" s="24"/>
      <c r="AA471" s="37"/>
      <c r="AB471" s="37" t="s">
        <v>611</v>
      </c>
      <c r="AC471" s="24"/>
      <c r="AD471" s="24">
        <v>6</v>
      </c>
      <c r="AE471" s="24">
        <v>5</v>
      </c>
      <c r="AF471" s="172">
        <v>3</v>
      </c>
      <c r="AG471" s="27">
        <v>6</v>
      </c>
      <c r="AH471" s="26">
        <v>6</v>
      </c>
      <c r="AI471" s="38">
        <v>5</v>
      </c>
      <c r="AJ471" s="66">
        <v>7</v>
      </c>
      <c r="AK471" s="37">
        <v>5</v>
      </c>
      <c r="AL471" s="76" t="s">
        <v>611</v>
      </c>
      <c r="AM471" s="37"/>
      <c r="AN471" s="37">
        <v>6</v>
      </c>
      <c r="AO471" s="24"/>
      <c r="AP471" s="37"/>
      <c r="AQ471" s="24"/>
      <c r="AR471">
        <f t="shared" si="15"/>
        <v>24</v>
      </c>
    </row>
    <row r="472" spans="1:44" x14ac:dyDescent="0.25">
      <c r="B472" t="str">
        <f t="shared" si="14"/>
        <v>FCN - Henry</v>
      </c>
      <c r="C472" t="s">
        <v>923</v>
      </c>
      <c r="D472" s="29" t="s">
        <v>633</v>
      </c>
      <c r="E472" s="65" t="s">
        <v>921</v>
      </c>
      <c r="F472" s="31"/>
      <c r="G472" s="99">
        <v>2</v>
      </c>
      <c r="H472" s="73"/>
      <c r="I472" s="34"/>
      <c r="J472" s="87"/>
      <c r="K472" s="24"/>
      <c r="L472" s="37"/>
      <c r="M472" s="24"/>
      <c r="N472" s="37"/>
      <c r="O472" s="24"/>
      <c r="P472" s="37"/>
      <c r="Q472" s="24"/>
      <c r="R472" s="37"/>
      <c r="S472" s="76"/>
      <c r="T472" s="37"/>
      <c r="U472" s="37"/>
      <c r="V472" s="24"/>
      <c r="W472" s="24"/>
      <c r="X472" s="37"/>
      <c r="Y472" s="37"/>
      <c r="Z472" s="24"/>
      <c r="AA472" s="37" t="s">
        <v>611</v>
      </c>
      <c r="AB472" s="37" t="s">
        <v>611</v>
      </c>
      <c r="AC472" s="24"/>
      <c r="AD472" s="24"/>
      <c r="AE472" s="24"/>
      <c r="AF472" s="37"/>
      <c r="AG472" s="27"/>
      <c r="AH472" s="26"/>
      <c r="AI472" s="87"/>
      <c r="AJ472" s="24"/>
      <c r="AK472" s="37"/>
      <c r="AL472" s="24"/>
      <c r="AM472" s="24"/>
      <c r="AN472" s="24"/>
      <c r="AO472" s="24"/>
      <c r="AP472" s="24"/>
      <c r="AQ472" s="24"/>
      <c r="AR472">
        <f t="shared" si="15"/>
        <v>2</v>
      </c>
    </row>
    <row r="473" spans="1:44" ht="15.75" thickBot="1" x14ac:dyDescent="0.3">
      <c r="B473" t="str">
        <f t="shared" si="14"/>
        <v>FCN - Niane</v>
      </c>
      <c r="C473" t="s">
        <v>923</v>
      </c>
      <c r="D473" s="88" t="s">
        <v>633</v>
      </c>
      <c r="E473" s="167" t="s">
        <v>922</v>
      </c>
      <c r="F473" s="90"/>
      <c r="G473" s="120"/>
      <c r="H473" s="89"/>
      <c r="I473" s="121"/>
      <c r="J473" s="87"/>
      <c r="K473" s="24"/>
      <c r="L473" s="37"/>
      <c r="M473" s="24"/>
      <c r="N473" s="37"/>
      <c r="O473" s="24"/>
      <c r="P473" s="37"/>
      <c r="Q473" s="24"/>
      <c r="R473" s="37"/>
      <c r="S473" s="22"/>
      <c r="T473" s="37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37"/>
      <c r="AG473" s="26"/>
      <c r="AH473" s="26"/>
      <c r="AI473" s="87"/>
      <c r="AJ473" s="37"/>
      <c r="AK473" s="37"/>
      <c r="AL473" s="24"/>
      <c r="AM473" s="24"/>
      <c r="AN473" s="37"/>
      <c r="AO473" s="24"/>
      <c r="AP473" s="24"/>
      <c r="AQ473" s="24"/>
      <c r="AR473">
        <f t="shared" si="15"/>
        <v>0</v>
      </c>
    </row>
    <row r="474" spans="1:44" x14ac:dyDescent="0.25">
      <c r="B474" t="str">
        <f t="shared" si="14"/>
        <v>ASM - Nardi</v>
      </c>
      <c r="C474" t="s">
        <v>942</v>
      </c>
      <c r="D474" s="16" t="s">
        <v>605</v>
      </c>
      <c r="E474" s="227" t="s">
        <v>924</v>
      </c>
      <c r="F474" s="18">
        <v>2</v>
      </c>
      <c r="G474" s="95"/>
      <c r="H474" s="160"/>
      <c r="I474" s="161">
        <f>AVERAGE(AA474,AB474)</f>
        <v>5.5</v>
      </c>
      <c r="J474" s="48"/>
      <c r="K474" s="24"/>
      <c r="L474" s="37"/>
      <c r="M474" s="24"/>
      <c r="N474" s="24"/>
      <c r="O474" s="24"/>
      <c r="P474" s="24"/>
      <c r="Q474" s="37"/>
      <c r="R474" s="24"/>
      <c r="S474" s="37"/>
      <c r="T474" s="37"/>
      <c r="U474" s="24"/>
      <c r="V474" s="37"/>
      <c r="W474" s="24"/>
      <c r="X474" s="37"/>
      <c r="Y474" s="37"/>
      <c r="Z474" s="24"/>
      <c r="AA474" s="77">
        <v>5</v>
      </c>
      <c r="AB474" s="22">
        <v>6</v>
      </c>
      <c r="AC474" s="24"/>
      <c r="AD474" s="27"/>
      <c r="AE474" s="24"/>
      <c r="AF474" s="37"/>
      <c r="AG474" s="24"/>
      <c r="AH474" s="37"/>
      <c r="AI474" s="24"/>
      <c r="AJ474" s="24"/>
      <c r="AK474" s="37"/>
      <c r="AL474" s="24"/>
      <c r="AM474" s="37"/>
      <c r="AN474" s="37"/>
      <c r="AO474" s="24"/>
      <c r="AP474" s="37"/>
      <c r="AQ474" s="24"/>
      <c r="AR474">
        <f t="shared" si="15"/>
        <v>2</v>
      </c>
    </row>
    <row r="475" spans="1:44" x14ac:dyDescent="0.25">
      <c r="A475">
        <v>1</v>
      </c>
      <c r="B475" t="str">
        <f t="shared" si="14"/>
        <v>SRFC - Armand</v>
      </c>
      <c r="C475" t="s">
        <v>881</v>
      </c>
      <c r="D475" s="67" t="s">
        <v>608</v>
      </c>
      <c r="E475" s="85" t="s">
        <v>207</v>
      </c>
      <c r="F475" s="69">
        <v>27</v>
      </c>
      <c r="G475" s="115">
        <v>1</v>
      </c>
      <c r="H475" s="123">
        <v>1</v>
      </c>
      <c r="I475" s="219">
        <f>AVERAGE(Z475,X475,K475,L475,M475,J475,N475,O475,Q475,R475,S475,U475,V475,W475,AA475,AB475,AC475,AD475,AE475,AF475,AH475,AI475,AJ475,AK475,AL475,AM475,AN475)</f>
        <v>5.0740740740740744</v>
      </c>
      <c r="J475" s="87">
        <v>5</v>
      </c>
      <c r="K475" s="27">
        <v>5</v>
      </c>
      <c r="L475" s="21">
        <v>5</v>
      </c>
      <c r="M475" s="22">
        <v>6</v>
      </c>
      <c r="N475" s="24">
        <v>6</v>
      </c>
      <c r="O475" s="24">
        <v>5</v>
      </c>
      <c r="P475" s="24"/>
      <c r="Q475" s="24">
        <v>6</v>
      </c>
      <c r="R475" s="24">
        <v>4</v>
      </c>
      <c r="S475" s="24">
        <v>5</v>
      </c>
      <c r="T475" s="24"/>
      <c r="U475" s="24">
        <v>5</v>
      </c>
      <c r="V475" s="24">
        <v>6</v>
      </c>
      <c r="W475" s="24">
        <v>4</v>
      </c>
      <c r="X475" s="24">
        <v>5</v>
      </c>
      <c r="Y475" s="37" t="s">
        <v>611</v>
      </c>
      <c r="Z475" s="24">
        <v>4</v>
      </c>
      <c r="AA475" s="24">
        <v>5</v>
      </c>
      <c r="AB475" s="24">
        <v>5</v>
      </c>
      <c r="AC475" s="24">
        <v>5</v>
      </c>
      <c r="AD475" s="27">
        <v>5</v>
      </c>
      <c r="AE475" s="24">
        <v>6</v>
      </c>
      <c r="AF475" s="82">
        <v>3</v>
      </c>
      <c r="AG475" s="24"/>
      <c r="AH475" s="24">
        <v>5</v>
      </c>
      <c r="AI475" s="24">
        <v>6</v>
      </c>
      <c r="AJ475" s="24">
        <v>5</v>
      </c>
      <c r="AK475" s="24">
        <v>6</v>
      </c>
      <c r="AL475" s="24">
        <v>5</v>
      </c>
      <c r="AM475" s="24">
        <v>5</v>
      </c>
      <c r="AN475" s="23">
        <v>5</v>
      </c>
      <c r="AO475" s="24"/>
      <c r="AP475" s="24"/>
      <c r="AQ475" s="24"/>
      <c r="AR475">
        <f t="shared" si="15"/>
        <v>28</v>
      </c>
    </row>
    <row r="476" spans="1:44" x14ac:dyDescent="0.25">
      <c r="B476" t="str">
        <f t="shared" si="14"/>
        <v>SMC - Bessat</v>
      </c>
      <c r="C476" t="s">
        <v>978</v>
      </c>
      <c r="D476" s="29" t="s">
        <v>622</v>
      </c>
      <c r="E476" s="155" t="s">
        <v>498</v>
      </c>
      <c r="F476" s="31">
        <v>27</v>
      </c>
      <c r="G476" s="99">
        <v>3</v>
      </c>
      <c r="H476" s="73">
        <v>1</v>
      </c>
      <c r="I476" s="34">
        <f>AVERAGE(AB476,Y476,X476,W476,K476,L476,M476,J476,N476,O476,P476,Q476,R476,S476,T476,U476,V476,AA476,AC476,AE476,AF476,AG476,AH476,AI476,AJ476,AK476,AL476,AM476)</f>
        <v>4.6071428571428568</v>
      </c>
      <c r="J476" s="179">
        <v>4</v>
      </c>
      <c r="K476" s="27">
        <v>5</v>
      </c>
      <c r="L476" s="37">
        <v>4</v>
      </c>
      <c r="M476" s="24">
        <v>5</v>
      </c>
      <c r="N476" s="77">
        <v>6</v>
      </c>
      <c r="O476" s="37">
        <v>4</v>
      </c>
      <c r="P476" s="24">
        <v>4</v>
      </c>
      <c r="Q476" s="84">
        <v>7</v>
      </c>
      <c r="R476" s="24">
        <v>6</v>
      </c>
      <c r="S476" s="23">
        <v>4</v>
      </c>
      <c r="T476" s="24">
        <v>4</v>
      </c>
      <c r="U476" s="24">
        <v>4</v>
      </c>
      <c r="V476" s="24">
        <v>5</v>
      </c>
      <c r="W476" s="37">
        <v>5</v>
      </c>
      <c r="X476" s="24">
        <v>5</v>
      </c>
      <c r="Y476" s="82">
        <v>3</v>
      </c>
      <c r="Z476" s="37" t="s">
        <v>611</v>
      </c>
      <c r="AA476" s="24">
        <v>4</v>
      </c>
      <c r="AB476" s="82">
        <v>3</v>
      </c>
      <c r="AC476" s="24">
        <v>4</v>
      </c>
      <c r="AD476" s="26" t="s">
        <v>611</v>
      </c>
      <c r="AE476" s="24">
        <v>5</v>
      </c>
      <c r="AF476" s="24">
        <v>5</v>
      </c>
      <c r="AG476" s="24">
        <v>4</v>
      </c>
      <c r="AH476" s="37">
        <v>5</v>
      </c>
      <c r="AI476" s="82">
        <v>3</v>
      </c>
      <c r="AJ476" s="24">
        <v>6</v>
      </c>
      <c r="AK476" s="24">
        <v>5</v>
      </c>
      <c r="AL476" s="24">
        <v>5</v>
      </c>
      <c r="AM476" s="37">
        <v>5</v>
      </c>
      <c r="AN476" s="24"/>
      <c r="AO476" s="24"/>
      <c r="AP476" s="37"/>
      <c r="AQ476" s="24"/>
      <c r="AR476">
        <f t="shared" si="15"/>
        <v>30</v>
      </c>
    </row>
    <row r="477" spans="1:44" x14ac:dyDescent="0.25">
      <c r="B477" t="str">
        <f t="shared" si="14"/>
        <v>ESTAC - Nivet</v>
      </c>
      <c r="C477" t="s">
        <v>1002</v>
      </c>
      <c r="D477" s="29" t="s">
        <v>622</v>
      </c>
      <c r="E477" s="155" t="s">
        <v>992</v>
      </c>
      <c r="F477" s="31">
        <v>21</v>
      </c>
      <c r="G477" s="99">
        <v>7</v>
      </c>
      <c r="H477" s="73">
        <v>1</v>
      </c>
      <c r="I477" s="34">
        <f>AVERAGE(M477,N477,J477,Q477,R477,S477,T477,U477,V477,W477,X477,Z477,AC477,AF477,AH477,AI477,AJ477,AL477,AM477,AN477)</f>
        <v>4.8499999999999996</v>
      </c>
      <c r="J477" s="87">
        <v>5</v>
      </c>
      <c r="K477" s="27"/>
      <c r="L477" s="37" t="s">
        <v>611</v>
      </c>
      <c r="M477" s="37">
        <v>5</v>
      </c>
      <c r="N477" s="37">
        <v>4</v>
      </c>
      <c r="O477" s="37" t="s">
        <v>611</v>
      </c>
      <c r="P477" s="37" t="s">
        <v>611</v>
      </c>
      <c r="Q477" s="37">
        <v>5</v>
      </c>
      <c r="R477" s="37">
        <v>5</v>
      </c>
      <c r="S477" s="37">
        <v>5</v>
      </c>
      <c r="T477" s="24">
        <v>4</v>
      </c>
      <c r="U477" s="24">
        <v>4</v>
      </c>
      <c r="V477" s="25">
        <v>7</v>
      </c>
      <c r="W477" s="37">
        <v>5</v>
      </c>
      <c r="X477" s="37">
        <v>4</v>
      </c>
      <c r="Y477" s="37" t="s">
        <v>611</v>
      </c>
      <c r="Z477" s="37">
        <v>5</v>
      </c>
      <c r="AA477" s="24" t="s">
        <v>641</v>
      </c>
      <c r="AB477" s="24"/>
      <c r="AC477" s="24">
        <v>4</v>
      </c>
      <c r="AD477" s="26" t="s">
        <v>611</v>
      </c>
      <c r="AE477" s="37" t="s">
        <v>611</v>
      </c>
      <c r="AF477" s="37">
        <v>4</v>
      </c>
      <c r="AG477" s="76" t="s">
        <v>611</v>
      </c>
      <c r="AH477" s="24">
        <v>5</v>
      </c>
      <c r="AI477" s="84">
        <v>7</v>
      </c>
      <c r="AJ477" s="24">
        <v>6</v>
      </c>
      <c r="AK477" s="37"/>
      <c r="AL477" s="24">
        <v>5</v>
      </c>
      <c r="AM477" s="172">
        <v>2</v>
      </c>
      <c r="AN477" s="76">
        <v>6</v>
      </c>
      <c r="AO477" s="37"/>
      <c r="AP477" s="37"/>
      <c r="AQ477" s="24"/>
      <c r="AR477">
        <f t="shared" si="15"/>
        <v>28</v>
      </c>
    </row>
    <row r="478" spans="1:44" x14ac:dyDescent="0.25">
      <c r="B478" t="str">
        <f t="shared" si="14"/>
        <v>ASM - Kurzawa</v>
      </c>
      <c r="C478" t="s">
        <v>942</v>
      </c>
      <c r="D478" s="50" t="s">
        <v>608</v>
      </c>
      <c r="E478" s="57" t="s">
        <v>134</v>
      </c>
      <c r="F478" s="52">
        <v>3</v>
      </c>
      <c r="G478" s="63"/>
      <c r="H478" s="146">
        <v>1</v>
      </c>
      <c r="I478" s="80">
        <f>AVERAGE(K478,J478,L478)</f>
        <v>5.666666666666667</v>
      </c>
      <c r="J478" s="64">
        <v>6</v>
      </c>
      <c r="K478" s="228">
        <v>6</v>
      </c>
      <c r="L478" s="61">
        <v>5</v>
      </c>
      <c r="M478" s="53"/>
      <c r="N478" s="53"/>
      <c r="O478" s="46"/>
      <c r="P478" s="46"/>
      <c r="Q478" s="55"/>
      <c r="R478" s="46"/>
      <c r="S478" s="46"/>
      <c r="T478" s="55"/>
      <c r="U478" s="46"/>
      <c r="V478" s="55"/>
      <c r="W478" s="46"/>
      <c r="X478" s="55"/>
      <c r="Y478" s="55"/>
      <c r="Z478" s="46"/>
      <c r="AA478" s="55"/>
      <c r="AB478" s="55"/>
      <c r="AC478" s="46"/>
      <c r="AD478" s="47"/>
      <c r="AE478" s="55"/>
      <c r="AF478" s="55"/>
      <c r="AG478" s="46"/>
      <c r="AH478" s="55"/>
      <c r="AI478" s="46"/>
      <c r="AJ478" s="46"/>
      <c r="AK478" s="55"/>
      <c r="AL478" s="55"/>
      <c r="AM478" s="55"/>
      <c r="AN478" s="55"/>
      <c r="AO478" s="46"/>
      <c r="AP478" s="55"/>
      <c r="AQ478" s="46"/>
      <c r="AR478">
        <f t="shared" si="15"/>
        <v>3</v>
      </c>
    </row>
    <row r="479" spans="1:44" x14ac:dyDescent="0.25">
      <c r="B479" t="str">
        <f t="shared" si="14"/>
        <v>ASM - Echiejile</v>
      </c>
      <c r="C479" t="s">
        <v>942</v>
      </c>
      <c r="D479" s="29" t="s">
        <v>608</v>
      </c>
      <c r="E479" s="38" t="s">
        <v>926</v>
      </c>
      <c r="F479" s="31">
        <v>16</v>
      </c>
      <c r="G479" s="99">
        <v>2</v>
      </c>
      <c r="H479" s="73"/>
      <c r="I479" s="34">
        <f>AVERAGE(M479,N479,S479,T479,U479,V479,X479,Z479,AA479,AB479,AI479,AJ479,AK479,AL479,AM479,AN479)</f>
        <v>5.125</v>
      </c>
      <c r="J479" s="48"/>
      <c r="K479" s="229"/>
      <c r="L479" s="37"/>
      <c r="M479" s="24">
        <v>5</v>
      </c>
      <c r="N479" s="24">
        <v>5</v>
      </c>
      <c r="O479" s="24"/>
      <c r="P479" s="24"/>
      <c r="Q479" s="37"/>
      <c r="R479" s="24"/>
      <c r="S479" s="37">
        <v>5</v>
      </c>
      <c r="T479" s="37">
        <v>6</v>
      </c>
      <c r="U479" s="23">
        <v>6</v>
      </c>
      <c r="V479" s="37">
        <v>5</v>
      </c>
      <c r="W479" s="37" t="s">
        <v>611</v>
      </c>
      <c r="X479" s="37">
        <v>5</v>
      </c>
      <c r="Y479" s="37" t="s">
        <v>611</v>
      </c>
      <c r="Z479" s="24">
        <v>4</v>
      </c>
      <c r="AA479" s="37">
        <v>6</v>
      </c>
      <c r="AB479" s="24">
        <v>5</v>
      </c>
      <c r="AC479" s="24"/>
      <c r="AD479" s="26"/>
      <c r="AE479" s="24"/>
      <c r="AF479" s="37"/>
      <c r="AG479" s="24"/>
      <c r="AH479" s="37"/>
      <c r="AI479" s="24">
        <v>4</v>
      </c>
      <c r="AJ479" s="24">
        <v>5</v>
      </c>
      <c r="AK479" s="37">
        <v>5</v>
      </c>
      <c r="AL479" s="24">
        <v>5</v>
      </c>
      <c r="AM479" s="37">
        <v>5</v>
      </c>
      <c r="AN479" s="37">
        <v>6</v>
      </c>
      <c r="AO479" s="24"/>
      <c r="AP479" s="37"/>
      <c r="AQ479" s="24"/>
      <c r="AR479">
        <f t="shared" si="15"/>
        <v>18</v>
      </c>
    </row>
    <row r="480" spans="1:44" x14ac:dyDescent="0.25">
      <c r="B480" t="str">
        <f t="shared" si="14"/>
        <v>ASM - Wallace</v>
      </c>
      <c r="C480" t="s">
        <v>942</v>
      </c>
      <c r="D480" s="29" t="s">
        <v>608</v>
      </c>
      <c r="E480" s="155" t="s">
        <v>438</v>
      </c>
      <c r="F480" s="31">
        <v>20</v>
      </c>
      <c r="G480" s="99">
        <v>1</v>
      </c>
      <c r="H480" s="73">
        <v>1</v>
      </c>
      <c r="I480" s="34">
        <f>AVERAGE(L480,Q480,R480,S480,X480,Y480,Z480,AA480,AB480,AC480,AD480,AE480,AF480,AG480,AH480,AI480,AJ480,AK480,AL480,AM480)</f>
        <v>4.9000000000000004</v>
      </c>
      <c r="J480" s="48"/>
      <c r="K480" s="157" t="s">
        <v>611</v>
      </c>
      <c r="L480" s="37">
        <v>5</v>
      </c>
      <c r="M480" s="24"/>
      <c r="N480" s="24"/>
      <c r="O480" s="24"/>
      <c r="P480" s="24"/>
      <c r="Q480" s="37">
        <v>4</v>
      </c>
      <c r="R480" s="22">
        <v>6</v>
      </c>
      <c r="S480" s="172">
        <v>3</v>
      </c>
      <c r="T480" s="37"/>
      <c r="U480" s="24"/>
      <c r="V480" s="37"/>
      <c r="W480" s="24"/>
      <c r="X480" s="37">
        <v>4</v>
      </c>
      <c r="Y480" s="37">
        <v>5</v>
      </c>
      <c r="Z480" s="24">
        <v>5</v>
      </c>
      <c r="AA480" s="37">
        <v>6</v>
      </c>
      <c r="AB480" s="24">
        <v>6</v>
      </c>
      <c r="AC480" s="24">
        <v>4</v>
      </c>
      <c r="AD480" s="27">
        <v>6</v>
      </c>
      <c r="AE480" s="24">
        <v>6</v>
      </c>
      <c r="AF480" s="172">
        <v>3</v>
      </c>
      <c r="AG480" s="24">
        <v>5</v>
      </c>
      <c r="AH480" s="37">
        <v>6</v>
      </c>
      <c r="AI480" s="24">
        <v>5</v>
      </c>
      <c r="AJ480" s="24">
        <v>5</v>
      </c>
      <c r="AK480" s="37">
        <v>5</v>
      </c>
      <c r="AL480" s="24">
        <v>4</v>
      </c>
      <c r="AM480" s="37">
        <v>5</v>
      </c>
      <c r="AN480" s="37"/>
      <c r="AO480" s="37"/>
      <c r="AP480" s="37"/>
      <c r="AQ480" s="24"/>
      <c r="AR480">
        <f t="shared" si="15"/>
        <v>21</v>
      </c>
    </row>
    <row r="481" spans="2:44" x14ac:dyDescent="0.25">
      <c r="B481" t="str">
        <f t="shared" si="14"/>
        <v>GFCA - Mangane</v>
      </c>
      <c r="C481" t="s">
        <v>1015</v>
      </c>
      <c r="D481" s="29" t="s">
        <v>608</v>
      </c>
      <c r="E481" s="155" t="s">
        <v>499</v>
      </c>
      <c r="F481" s="31">
        <v>23</v>
      </c>
      <c r="G481" s="99">
        <v>2</v>
      </c>
      <c r="H481" s="73">
        <v>1</v>
      </c>
      <c r="I481" s="34">
        <f>AVERAGE(AC481,AA481,M481,N481,O481,P481,Q481,R481,S481,V481,W481,Y481,Z481,AB481,AD481,AE481,AG481,AH481,AI481,AL481,AK481,AM481,AN481)</f>
        <v>4.8260869565217392</v>
      </c>
      <c r="J481" s="179"/>
      <c r="K481" s="27"/>
      <c r="L481" s="37"/>
      <c r="M481" s="24">
        <v>5</v>
      </c>
      <c r="N481" s="37">
        <v>5</v>
      </c>
      <c r="O481" s="77">
        <v>6</v>
      </c>
      <c r="P481" s="24">
        <v>5</v>
      </c>
      <c r="Q481" s="37">
        <v>4</v>
      </c>
      <c r="R481" s="24">
        <v>5</v>
      </c>
      <c r="S481" s="23">
        <v>4</v>
      </c>
      <c r="T481" s="37" t="s">
        <v>611</v>
      </c>
      <c r="U481" s="37" t="s">
        <v>611</v>
      </c>
      <c r="V481" s="24">
        <v>6</v>
      </c>
      <c r="W481" s="37">
        <v>5</v>
      </c>
      <c r="X481" s="24"/>
      <c r="Y481" s="23">
        <v>6</v>
      </c>
      <c r="Z481" s="37">
        <v>5</v>
      </c>
      <c r="AA481" s="24">
        <v>5</v>
      </c>
      <c r="AB481" s="24">
        <v>5</v>
      </c>
      <c r="AC481" s="24">
        <v>5</v>
      </c>
      <c r="AD481" s="140">
        <v>5</v>
      </c>
      <c r="AE481" s="24">
        <v>4</v>
      </c>
      <c r="AF481" s="24"/>
      <c r="AG481" s="82">
        <v>3</v>
      </c>
      <c r="AH481" s="24">
        <v>5</v>
      </c>
      <c r="AI481" s="24">
        <v>4</v>
      </c>
      <c r="AJ481" s="24"/>
      <c r="AK481" s="32">
        <v>5</v>
      </c>
      <c r="AL481" s="37">
        <v>6</v>
      </c>
      <c r="AM481" s="37">
        <v>5</v>
      </c>
      <c r="AN481" s="82">
        <v>3</v>
      </c>
      <c r="AO481" s="37"/>
      <c r="AP481" s="37"/>
      <c r="AQ481" s="24"/>
      <c r="AR481">
        <f t="shared" si="15"/>
        <v>25</v>
      </c>
    </row>
    <row r="482" spans="2:44" x14ac:dyDescent="0.25">
      <c r="B482" t="str">
        <f t="shared" si="14"/>
        <v>ASM - Coentrao</v>
      </c>
      <c r="C482" t="s">
        <v>942</v>
      </c>
      <c r="D482" s="29" t="s">
        <v>608</v>
      </c>
      <c r="E482" s="65" t="s">
        <v>928</v>
      </c>
      <c r="F482" s="31">
        <v>13</v>
      </c>
      <c r="G482" s="99">
        <v>1</v>
      </c>
      <c r="H482" s="73">
        <v>3</v>
      </c>
      <c r="I482" s="34">
        <f>AVERAGE(O482,P482,R482,W482,X482,Y482,AC482,AD482,AE482,AF482,AG482)</f>
        <v>5.6363636363636367</v>
      </c>
      <c r="J482" s="48"/>
      <c r="K482" s="230"/>
      <c r="L482" s="37"/>
      <c r="M482" s="24"/>
      <c r="N482" s="37" t="s">
        <v>611</v>
      </c>
      <c r="O482" s="24">
        <v>4</v>
      </c>
      <c r="P482" s="25">
        <v>7</v>
      </c>
      <c r="Q482" s="37"/>
      <c r="R482" s="24">
        <v>5</v>
      </c>
      <c r="S482" s="37"/>
      <c r="T482" s="37"/>
      <c r="U482" s="24"/>
      <c r="V482" s="37"/>
      <c r="W482" s="24">
        <v>6</v>
      </c>
      <c r="X482" s="75">
        <v>7</v>
      </c>
      <c r="Y482" s="37">
        <v>5</v>
      </c>
      <c r="Z482" s="24" t="s">
        <v>641</v>
      </c>
      <c r="AA482" s="37"/>
      <c r="AB482" s="24"/>
      <c r="AC482" s="24">
        <v>4</v>
      </c>
      <c r="AD482" s="24">
        <v>6</v>
      </c>
      <c r="AE482" s="25">
        <v>8</v>
      </c>
      <c r="AF482" s="172">
        <v>3</v>
      </c>
      <c r="AG482" s="66">
        <v>7</v>
      </c>
      <c r="AH482" s="37" t="s">
        <v>641</v>
      </c>
      <c r="AI482" s="24"/>
      <c r="AJ482" s="24"/>
      <c r="AK482" s="37"/>
      <c r="AL482" s="24"/>
      <c r="AM482" s="37"/>
      <c r="AN482" s="37"/>
      <c r="AO482" s="24"/>
      <c r="AP482" s="37"/>
      <c r="AQ482" s="24"/>
      <c r="AR482">
        <f t="shared" si="15"/>
        <v>14</v>
      </c>
    </row>
    <row r="483" spans="2:44" x14ac:dyDescent="0.25">
      <c r="B483" t="str">
        <f t="shared" si="14"/>
        <v>ASM - Jemerson</v>
      </c>
      <c r="C483" t="s">
        <v>942</v>
      </c>
      <c r="D483" s="29" t="s">
        <v>1090</v>
      </c>
      <c r="E483" s="65" t="s">
        <v>1091</v>
      </c>
      <c r="F483" s="31">
        <v>1</v>
      </c>
      <c r="G483" s="99"/>
      <c r="H483" s="73"/>
      <c r="I483" s="34">
        <f>AVERAGE(AN483)</f>
        <v>5</v>
      </c>
      <c r="J483" s="48"/>
      <c r="K483" s="230"/>
      <c r="L483" s="37"/>
      <c r="M483" s="24"/>
      <c r="N483" s="37"/>
      <c r="O483" s="24"/>
      <c r="P483" s="230"/>
      <c r="Q483" s="37"/>
      <c r="R483" s="24"/>
      <c r="S483" s="37"/>
      <c r="T483" s="24"/>
      <c r="U483" s="24"/>
      <c r="V483" s="37"/>
      <c r="W483" s="24"/>
      <c r="X483" s="230"/>
      <c r="Y483" s="37"/>
      <c r="Z483" s="24"/>
      <c r="AA483" s="37"/>
      <c r="AB483" s="24"/>
      <c r="AC483" s="230"/>
      <c r="AD483" s="37"/>
      <c r="AE483" s="24"/>
      <c r="AF483" s="37"/>
      <c r="AG483" s="24"/>
      <c r="AH483" s="24"/>
      <c r="AI483" s="37"/>
      <c r="AJ483" s="24"/>
      <c r="AK483" s="37"/>
      <c r="AL483" s="24"/>
      <c r="AM483" s="37"/>
      <c r="AN483" s="37">
        <v>5</v>
      </c>
      <c r="AO483" s="24"/>
      <c r="AP483" s="37"/>
      <c r="AQ483" s="24"/>
      <c r="AR483">
        <f t="shared" si="15"/>
        <v>1</v>
      </c>
    </row>
    <row r="484" spans="2:44" x14ac:dyDescent="0.25">
      <c r="B484" t="str">
        <f t="shared" si="14"/>
        <v>ASM - Touré</v>
      </c>
      <c r="C484" t="s">
        <v>942</v>
      </c>
      <c r="D484" s="29" t="s">
        <v>608</v>
      </c>
      <c r="E484" s="155" t="s">
        <v>48</v>
      </c>
      <c r="F484" s="31">
        <v>9</v>
      </c>
      <c r="G484" s="99">
        <v>1</v>
      </c>
      <c r="H484" s="73">
        <v>3</v>
      </c>
      <c r="I484" s="34">
        <f>AVERAGE(L484,N484,O484,P484,W484,X484,Y484,Z484)</f>
        <v>5.625</v>
      </c>
      <c r="J484" s="48"/>
      <c r="K484" s="229"/>
      <c r="L484" s="37">
        <v>5</v>
      </c>
      <c r="M484" s="24"/>
      <c r="N484" s="24">
        <v>6</v>
      </c>
      <c r="O484" s="22">
        <v>6</v>
      </c>
      <c r="P484" s="24">
        <v>4</v>
      </c>
      <c r="Q484" s="37" t="s">
        <v>641</v>
      </c>
      <c r="R484" s="24"/>
      <c r="S484" s="24"/>
      <c r="T484" s="37"/>
      <c r="U484" s="24"/>
      <c r="V484" s="37" t="s">
        <v>611</v>
      </c>
      <c r="W484" s="24">
        <v>6</v>
      </c>
      <c r="X484" s="75">
        <v>7</v>
      </c>
      <c r="Y484" s="37">
        <v>6</v>
      </c>
      <c r="Z484" s="24">
        <v>5</v>
      </c>
      <c r="AA484" s="37"/>
      <c r="AB484" s="24"/>
      <c r="AC484" s="24"/>
      <c r="AD484" s="37"/>
      <c r="AE484" s="24"/>
      <c r="AF484" s="37"/>
      <c r="AG484" s="24"/>
      <c r="AH484" s="37"/>
      <c r="AI484" s="24"/>
      <c r="AJ484" s="24"/>
      <c r="AK484" s="77"/>
      <c r="AL484" s="24"/>
      <c r="AM484" s="37"/>
      <c r="AN484" s="37"/>
      <c r="AO484" s="24"/>
      <c r="AP484" s="37"/>
      <c r="AQ484" s="24"/>
      <c r="AR484">
        <f t="shared" si="15"/>
        <v>10</v>
      </c>
    </row>
    <row r="485" spans="2:44" x14ac:dyDescent="0.25">
      <c r="B485" t="str">
        <f t="shared" si="14"/>
        <v>ASM - Diallo</v>
      </c>
      <c r="C485" t="s">
        <v>942</v>
      </c>
      <c r="D485" s="50" t="s">
        <v>608</v>
      </c>
      <c r="E485" s="57" t="s">
        <v>847</v>
      </c>
      <c r="F485" s="52"/>
      <c r="G485" s="63"/>
      <c r="H485" s="146"/>
      <c r="I485" s="34"/>
      <c r="J485" s="45"/>
      <c r="K485" s="231"/>
      <c r="L485" s="55"/>
      <c r="M485" s="46"/>
      <c r="N485" s="46"/>
      <c r="O485" s="46"/>
      <c r="P485" s="46"/>
      <c r="Q485" s="55"/>
      <c r="R485" s="46"/>
      <c r="S485" s="46"/>
      <c r="T485" s="55"/>
      <c r="U485" s="46"/>
      <c r="V485" s="55"/>
      <c r="W485" s="46"/>
      <c r="X485" s="55"/>
      <c r="Y485" s="55"/>
      <c r="Z485" s="46"/>
      <c r="AA485" s="55"/>
      <c r="AB485" s="55"/>
      <c r="AC485" s="46"/>
      <c r="AD485" s="47"/>
      <c r="AE485" s="55"/>
      <c r="AF485" s="55"/>
      <c r="AG485" s="46"/>
      <c r="AH485" s="55"/>
      <c r="AI485" s="46"/>
      <c r="AJ485" s="46"/>
      <c r="AK485" s="55"/>
      <c r="AL485" s="55"/>
      <c r="AM485" s="55"/>
      <c r="AN485" s="55"/>
      <c r="AO485" s="46"/>
      <c r="AP485" s="55"/>
      <c r="AQ485" s="46"/>
      <c r="AR485">
        <f t="shared" si="15"/>
        <v>0</v>
      </c>
    </row>
    <row r="486" spans="2:44" x14ac:dyDescent="0.25">
      <c r="B486" t="str">
        <f t="shared" si="14"/>
        <v>ASM - Borja Lopez</v>
      </c>
      <c r="C486" t="s">
        <v>942</v>
      </c>
      <c r="D486" s="39" t="s">
        <v>608</v>
      </c>
      <c r="E486" s="232" t="s">
        <v>929</v>
      </c>
      <c r="F486" s="39"/>
      <c r="G486" s="233"/>
      <c r="H486" s="40"/>
      <c r="I486" s="72"/>
      <c r="J486" s="150"/>
      <c r="K486" s="6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63"/>
      <c r="AF486" s="53"/>
      <c r="AG486" s="63"/>
      <c r="AH486" s="53"/>
      <c r="AI486" s="63"/>
      <c r="AJ486" s="63"/>
      <c r="AK486" s="53"/>
      <c r="AL486" s="53"/>
      <c r="AM486" s="53"/>
      <c r="AN486" s="53"/>
      <c r="AO486" s="63"/>
      <c r="AP486" s="53"/>
      <c r="AQ486" s="53"/>
      <c r="AR486">
        <f t="shared" si="15"/>
        <v>0</v>
      </c>
    </row>
    <row r="487" spans="2:44" x14ac:dyDescent="0.25">
      <c r="B487" t="str">
        <f t="shared" ref="B487:B544" si="16">C487 &amp; " - " &amp;E487</f>
        <v>SCO - I. Traoré</v>
      </c>
      <c r="C487" t="s">
        <v>1034</v>
      </c>
      <c r="D487" s="29" t="s">
        <v>608</v>
      </c>
      <c r="E487" s="155" t="s">
        <v>1020</v>
      </c>
      <c r="F487" s="31">
        <v>29</v>
      </c>
      <c r="G487" s="99"/>
      <c r="H487" s="73">
        <v>1</v>
      </c>
      <c r="I487" s="34">
        <f>AVERAGE(AA487,W487,K487,L487,J487,N487,O487,P487,Q487,R487,S487,T487,U487,V487,X487,Y487,Z487,AB487,AC487,AD487,AE487,AF487,AH487,AI487,AJ487,AK487,AL487,AM487,AN487)</f>
        <v>4.7241379310344831</v>
      </c>
      <c r="J487" s="179">
        <v>5</v>
      </c>
      <c r="K487" s="27">
        <v>5</v>
      </c>
      <c r="L487" s="37">
        <v>4</v>
      </c>
      <c r="M487" s="24"/>
      <c r="N487" s="172">
        <v>3</v>
      </c>
      <c r="O487" s="37">
        <v>6</v>
      </c>
      <c r="P487" s="24">
        <v>5</v>
      </c>
      <c r="Q487" s="37">
        <v>5</v>
      </c>
      <c r="R487" s="24">
        <v>5</v>
      </c>
      <c r="S487" s="23">
        <v>4</v>
      </c>
      <c r="T487" s="24">
        <v>5</v>
      </c>
      <c r="U487" s="24">
        <v>4</v>
      </c>
      <c r="V487" s="24">
        <v>4</v>
      </c>
      <c r="W487" s="37">
        <v>5</v>
      </c>
      <c r="X487" s="25">
        <v>7</v>
      </c>
      <c r="Y487" s="23">
        <v>5</v>
      </c>
      <c r="Z487" s="37">
        <v>5</v>
      </c>
      <c r="AA487" s="24">
        <v>5</v>
      </c>
      <c r="AB487" s="24">
        <v>5</v>
      </c>
      <c r="AC487" s="24">
        <v>6</v>
      </c>
      <c r="AD487" s="140">
        <v>5</v>
      </c>
      <c r="AE487" s="82">
        <v>3</v>
      </c>
      <c r="AF487" s="24">
        <v>6</v>
      </c>
      <c r="AG487" s="24"/>
      <c r="AH487" s="82">
        <v>3</v>
      </c>
      <c r="AI487" s="24">
        <v>5</v>
      </c>
      <c r="AJ487" s="24">
        <v>4</v>
      </c>
      <c r="AK487" s="37">
        <v>4</v>
      </c>
      <c r="AL487" s="24">
        <v>5</v>
      </c>
      <c r="AM487" s="172">
        <v>3</v>
      </c>
      <c r="AN487" s="24">
        <v>6</v>
      </c>
      <c r="AO487" s="37"/>
      <c r="AP487" s="37"/>
      <c r="AQ487" s="24"/>
      <c r="AR487">
        <f t="shared" ref="AR487:AR544" si="17">F487 +G487</f>
        <v>29</v>
      </c>
    </row>
    <row r="488" spans="2:44" x14ac:dyDescent="0.25">
      <c r="B488" t="str">
        <f t="shared" si="16"/>
        <v>ASM - Bakayoko</v>
      </c>
      <c r="C488" t="s">
        <v>942</v>
      </c>
      <c r="D488" s="29" t="s">
        <v>622</v>
      </c>
      <c r="E488" s="38" t="s">
        <v>930</v>
      </c>
      <c r="F488" s="31">
        <v>9</v>
      </c>
      <c r="G488" s="99">
        <v>4</v>
      </c>
      <c r="H488" s="73">
        <v>1</v>
      </c>
      <c r="I488" s="34">
        <f>AVERAGE(L488,Q488,X488,Z488,AD488,AE488,AF488,AH488,AJ488,AN488)</f>
        <v>5.6</v>
      </c>
      <c r="J488" s="87"/>
      <c r="K488" s="27"/>
      <c r="L488" s="37">
        <v>5</v>
      </c>
      <c r="M488" s="24"/>
      <c r="N488" s="24"/>
      <c r="O488" s="24"/>
      <c r="P488" s="24"/>
      <c r="Q488" s="37">
        <v>5</v>
      </c>
      <c r="R488" s="24"/>
      <c r="S488" s="37"/>
      <c r="T488" s="37"/>
      <c r="U488" s="24"/>
      <c r="V488" s="37"/>
      <c r="W488" s="24"/>
      <c r="X488" s="37">
        <v>6</v>
      </c>
      <c r="Y488" s="37"/>
      <c r="Z488" s="24">
        <v>5</v>
      </c>
      <c r="AA488" s="37"/>
      <c r="AB488" s="24"/>
      <c r="AC488" s="24"/>
      <c r="AD488" s="27">
        <v>5</v>
      </c>
      <c r="AE488" s="24">
        <v>6</v>
      </c>
      <c r="AF488" s="37">
        <v>4</v>
      </c>
      <c r="AG488" s="37" t="s">
        <v>611</v>
      </c>
      <c r="AH488" s="75">
        <v>7</v>
      </c>
      <c r="AI488" s="37" t="s">
        <v>611</v>
      </c>
      <c r="AJ488" s="24">
        <v>6</v>
      </c>
      <c r="AK488" s="37"/>
      <c r="AL488" s="24"/>
      <c r="AM488" s="37" t="s">
        <v>611</v>
      </c>
      <c r="AN488" s="84">
        <v>7</v>
      </c>
      <c r="AO488" s="24"/>
      <c r="AP488" s="37"/>
      <c r="AQ488" s="24"/>
      <c r="AR488">
        <f t="shared" si="17"/>
        <v>13</v>
      </c>
    </row>
    <row r="489" spans="2:44" x14ac:dyDescent="0.25">
      <c r="B489" t="str">
        <f t="shared" si="16"/>
        <v>ASM - Dirar</v>
      </c>
      <c r="C489" t="s">
        <v>942</v>
      </c>
      <c r="D489" s="29" t="s">
        <v>622</v>
      </c>
      <c r="E489" s="30" t="s">
        <v>540</v>
      </c>
      <c r="F489" s="31">
        <v>14</v>
      </c>
      <c r="G489" s="99"/>
      <c r="H489" s="73">
        <v>1</v>
      </c>
      <c r="I489" s="34">
        <f>AVERAGE(K489,L489,P489,Q489,R489,T489,Z489,AA489,AB489,AC489,AG489,AH489)</f>
        <v>5.666666666666667</v>
      </c>
      <c r="J489" s="87" t="s">
        <v>645</v>
      </c>
      <c r="K489" s="27">
        <v>6</v>
      </c>
      <c r="L489" s="37">
        <v>5</v>
      </c>
      <c r="M489" s="37"/>
      <c r="N489" s="24"/>
      <c r="O489" s="22"/>
      <c r="P489" s="84">
        <v>7</v>
      </c>
      <c r="Q489" s="75">
        <v>7</v>
      </c>
      <c r="R489" s="24">
        <v>6</v>
      </c>
      <c r="S489" s="37"/>
      <c r="T489" s="37">
        <v>6</v>
      </c>
      <c r="U489" s="24"/>
      <c r="V489" s="37"/>
      <c r="W489" s="24"/>
      <c r="X489" s="37"/>
      <c r="Y489" s="37"/>
      <c r="Z489" s="84">
        <v>7</v>
      </c>
      <c r="AA489" s="37">
        <v>5</v>
      </c>
      <c r="AB489" s="24">
        <v>5</v>
      </c>
      <c r="AC489" s="24">
        <v>4</v>
      </c>
      <c r="AD489" s="26" t="s">
        <v>641</v>
      </c>
      <c r="AE489" s="24"/>
      <c r="AF489" s="37"/>
      <c r="AG489" s="66">
        <v>7</v>
      </c>
      <c r="AH489" s="172">
        <v>3</v>
      </c>
      <c r="AI489" s="24"/>
      <c r="AJ489" s="37"/>
      <c r="AK489" s="37"/>
      <c r="AL489" s="24"/>
      <c r="AM489" s="77"/>
      <c r="AN489" s="37"/>
      <c r="AO489" s="24"/>
      <c r="AP489" s="37"/>
      <c r="AQ489" s="37"/>
      <c r="AR489">
        <f t="shared" si="17"/>
        <v>14</v>
      </c>
    </row>
    <row r="490" spans="2:44" x14ac:dyDescent="0.25">
      <c r="B490" t="str">
        <f t="shared" si="16"/>
        <v>ASM - Moutinho</v>
      </c>
      <c r="C490" t="s">
        <v>942</v>
      </c>
      <c r="D490" s="29" t="s">
        <v>622</v>
      </c>
      <c r="E490" s="30" t="s">
        <v>126</v>
      </c>
      <c r="F490" s="31">
        <v>22</v>
      </c>
      <c r="G490" s="99"/>
      <c r="H490" s="73">
        <v>1</v>
      </c>
      <c r="I490" s="34">
        <f>AVERAGE(K490,J490,O490,S490,T490,U490,V490,W490,X490,Y490,AA490,AB490,AC490,AD490,AE490,AF490,AG490,AH490,AI490,AK490,AL490,AM490)</f>
        <v>5.3636363636363633</v>
      </c>
      <c r="J490" s="48">
        <v>6</v>
      </c>
      <c r="K490" s="230">
        <v>5</v>
      </c>
      <c r="L490" s="37"/>
      <c r="M490" s="24"/>
      <c r="N490" s="24"/>
      <c r="O490" s="24">
        <v>5</v>
      </c>
      <c r="P490" s="24"/>
      <c r="Q490" s="37"/>
      <c r="R490" s="24"/>
      <c r="S490" s="76">
        <v>5</v>
      </c>
      <c r="T490" s="37">
        <v>5</v>
      </c>
      <c r="U490" s="84">
        <v>7</v>
      </c>
      <c r="V490" s="37">
        <v>4</v>
      </c>
      <c r="W490" s="76">
        <v>5</v>
      </c>
      <c r="X490" s="37">
        <v>5</v>
      </c>
      <c r="Y490" s="37">
        <v>4</v>
      </c>
      <c r="Z490" s="24"/>
      <c r="AA490" s="37">
        <v>6</v>
      </c>
      <c r="AB490" s="24">
        <v>5</v>
      </c>
      <c r="AC490" s="24">
        <v>5</v>
      </c>
      <c r="AD490" s="254">
        <v>8</v>
      </c>
      <c r="AE490" s="24">
        <v>6</v>
      </c>
      <c r="AF490" s="37">
        <v>4</v>
      </c>
      <c r="AG490" s="24">
        <v>6</v>
      </c>
      <c r="AH490" s="84">
        <v>7</v>
      </c>
      <c r="AI490" s="24">
        <v>5</v>
      </c>
      <c r="AJ490" s="24"/>
      <c r="AK490" s="37">
        <v>5</v>
      </c>
      <c r="AL490" s="24">
        <v>5</v>
      </c>
      <c r="AM490" s="37">
        <v>5</v>
      </c>
      <c r="AN490" s="37"/>
      <c r="AO490" s="24"/>
      <c r="AP490" s="37"/>
      <c r="AQ490" s="24"/>
      <c r="AR490">
        <f t="shared" si="17"/>
        <v>22</v>
      </c>
    </row>
    <row r="491" spans="2:44" x14ac:dyDescent="0.25">
      <c r="B491" t="str">
        <f t="shared" si="16"/>
        <v>ASM - Pasalic</v>
      </c>
      <c r="C491" t="s">
        <v>942</v>
      </c>
      <c r="D491" s="147" t="s">
        <v>622</v>
      </c>
      <c r="E491" s="65" t="s">
        <v>592</v>
      </c>
      <c r="F491" s="149">
        <v>12</v>
      </c>
      <c r="G491" s="143">
        <v>4</v>
      </c>
      <c r="H491" s="49">
        <v>3</v>
      </c>
      <c r="I491" s="34">
        <f>AVERAGE(N491,P491,S491,T491,U491,V491,W491,Y491,AG491,AH491,AI491)</f>
        <v>5.1818181818181817</v>
      </c>
      <c r="J491" s="87" t="s">
        <v>645</v>
      </c>
      <c r="K491" s="229"/>
      <c r="L491" s="37"/>
      <c r="M491" s="37" t="s">
        <v>611</v>
      </c>
      <c r="N491" s="23">
        <v>5</v>
      </c>
      <c r="O491" s="37"/>
      <c r="P491" s="37">
        <v>4</v>
      </c>
      <c r="Q491" s="37" t="s">
        <v>611</v>
      </c>
      <c r="R491" s="37" t="s">
        <v>611</v>
      </c>
      <c r="S491" s="77">
        <v>6</v>
      </c>
      <c r="T491" s="37">
        <v>5</v>
      </c>
      <c r="U491" s="25">
        <v>7</v>
      </c>
      <c r="V491" s="37">
        <v>4</v>
      </c>
      <c r="W491" s="22">
        <v>6</v>
      </c>
      <c r="X491" s="37"/>
      <c r="Y491" s="37">
        <v>5</v>
      </c>
      <c r="Z491" s="37"/>
      <c r="AA491" s="37"/>
      <c r="AB491" s="24"/>
      <c r="AC491" s="24"/>
      <c r="AD491" s="140" t="s">
        <v>611</v>
      </c>
      <c r="AE491" s="37"/>
      <c r="AF491" s="37" t="s">
        <v>611</v>
      </c>
      <c r="AG491" s="24">
        <v>5</v>
      </c>
      <c r="AH491" s="37">
        <v>5</v>
      </c>
      <c r="AI491" s="24">
        <v>5</v>
      </c>
      <c r="AJ491" s="24"/>
      <c r="AK491" s="37"/>
      <c r="AL491" s="24"/>
      <c r="AM491" s="37"/>
      <c r="AN491" s="37"/>
      <c r="AO491" s="24"/>
      <c r="AP491" s="37"/>
      <c r="AQ491" s="24"/>
      <c r="AR491">
        <f t="shared" si="17"/>
        <v>16</v>
      </c>
    </row>
    <row r="492" spans="2:44" x14ac:dyDescent="0.25">
      <c r="B492" t="str">
        <f t="shared" si="16"/>
        <v>ASM - Traoré</v>
      </c>
      <c r="C492" t="s">
        <v>942</v>
      </c>
      <c r="D492" s="147" t="s">
        <v>622</v>
      </c>
      <c r="E492" s="155" t="s">
        <v>756</v>
      </c>
      <c r="F492" s="149">
        <v>4</v>
      </c>
      <c r="G492" s="143">
        <v>3</v>
      </c>
      <c r="H492" s="49"/>
      <c r="I492" s="34">
        <f>AVERAGE(L492,M492,N492,Q492,R492)</f>
        <v>5</v>
      </c>
      <c r="J492" s="48"/>
      <c r="K492" s="229"/>
      <c r="L492" s="37">
        <v>5</v>
      </c>
      <c r="M492" s="37">
        <v>5</v>
      </c>
      <c r="N492" s="23">
        <v>5</v>
      </c>
      <c r="O492" s="37"/>
      <c r="P492" s="37" t="s">
        <v>611</v>
      </c>
      <c r="Q492" s="37">
        <v>5</v>
      </c>
      <c r="R492" s="24">
        <v>5</v>
      </c>
      <c r="S492" s="37"/>
      <c r="T492" s="37"/>
      <c r="U492" s="24"/>
      <c r="V492" s="37"/>
      <c r="W492" s="24"/>
      <c r="X492" s="37"/>
      <c r="Y492" s="37"/>
      <c r="Z492" s="37"/>
      <c r="AA492" s="37"/>
      <c r="AB492" s="24"/>
      <c r="AC492" s="24"/>
      <c r="AD492" s="27"/>
      <c r="AE492" s="37"/>
      <c r="AF492" s="37"/>
      <c r="AG492" s="24"/>
      <c r="AH492" s="37"/>
      <c r="AI492" s="24"/>
      <c r="AJ492" s="24"/>
      <c r="AK492" s="37"/>
      <c r="AL492" s="24"/>
      <c r="AM492" s="37"/>
      <c r="AN492" s="37"/>
      <c r="AO492" s="24"/>
      <c r="AP492" s="37"/>
      <c r="AQ492" s="24"/>
      <c r="AR492">
        <f t="shared" si="17"/>
        <v>7</v>
      </c>
    </row>
    <row r="493" spans="2:44" x14ac:dyDescent="0.25">
      <c r="B493" t="str">
        <f t="shared" si="16"/>
        <v>ASM - Lemar</v>
      </c>
      <c r="C493" t="s">
        <v>942</v>
      </c>
      <c r="D493" s="147" t="s">
        <v>622</v>
      </c>
      <c r="E493" s="155" t="s">
        <v>177</v>
      </c>
      <c r="F493" s="149">
        <v>17</v>
      </c>
      <c r="G493" s="143">
        <v>3</v>
      </c>
      <c r="H493" s="49">
        <v>5</v>
      </c>
      <c r="I493" s="34">
        <f>AVERAGE(M493,O493,Q493,P493,R493,S493,AA493,AB493,AC493,AD493,AE493,AI493,AJ493,AK493,AL493,AM493,AN493)</f>
        <v>6</v>
      </c>
      <c r="J493" s="48"/>
      <c r="K493" s="229"/>
      <c r="L493" s="77" t="s">
        <v>611</v>
      </c>
      <c r="M493" s="37">
        <v>4</v>
      </c>
      <c r="N493" s="76" t="s">
        <v>611</v>
      </c>
      <c r="O493" s="75">
        <v>8</v>
      </c>
      <c r="P493" s="75">
        <v>7</v>
      </c>
      <c r="Q493" s="37">
        <v>6</v>
      </c>
      <c r="R493" s="24">
        <v>6</v>
      </c>
      <c r="S493" s="37">
        <v>6</v>
      </c>
      <c r="T493" s="37"/>
      <c r="U493" s="24"/>
      <c r="V493" s="37"/>
      <c r="W493" s="24"/>
      <c r="X493" s="37"/>
      <c r="Y493" s="37"/>
      <c r="Z493" s="37" t="s">
        <v>611</v>
      </c>
      <c r="AA493" s="37">
        <v>5</v>
      </c>
      <c r="AB493" s="66">
        <v>7</v>
      </c>
      <c r="AC493" s="24">
        <v>6</v>
      </c>
      <c r="AD493" s="254">
        <v>7</v>
      </c>
      <c r="AE493" s="37">
        <v>6</v>
      </c>
      <c r="AF493" s="37"/>
      <c r="AG493" s="24"/>
      <c r="AH493" s="37"/>
      <c r="AI493" s="24">
        <v>6</v>
      </c>
      <c r="AJ493" s="24">
        <v>6</v>
      </c>
      <c r="AK493" s="37">
        <v>4</v>
      </c>
      <c r="AL493" s="22">
        <v>6</v>
      </c>
      <c r="AM493" s="37">
        <v>5</v>
      </c>
      <c r="AN493" s="84">
        <v>7</v>
      </c>
      <c r="AO493" s="24"/>
      <c r="AP493" s="37"/>
      <c r="AQ493" s="24"/>
      <c r="AR493">
        <f t="shared" si="17"/>
        <v>20</v>
      </c>
    </row>
    <row r="494" spans="2:44" x14ac:dyDescent="0.25">
      <c r="B494" t="str">
        <f t="shared" si="16"/>
        <v>ASM - Lopes</v>
      </c>
      <c r="C494" t="s">
        <v>942</v>
      </c>
      <c r="D494" s="50" t="s">
        <v>622</v>
      </c>
      <c r="E494" s="57" t="s">
        <v>124</v>
      </c>
      <c r="F494" s="52">
        <v>2</v>
      </c>
      <c r="G494" s="63"/>
      <c r="H494" s="146"/>
      <c r="I494" s="80">
        <f>AVERAGE(U494)</f>
        <v>5</v>
      </c>
      <c r="J494" s="150"/>
      <c r="K494" s="284"/>
      <c r="L494" s="61"/>
      <c r="M494" s="61"/>
      <c r="N494" s="61"/>
      <c r="O494" s="61" t="s">
        <v>645</v>
      </c>
      <c r="P494" s="61"/>
      <c r="Q494" s="61"/>
      <c r="R494" s="61"/>
      <c r="S494" s="61"/>
      <c r="T494" s="61"/>
      <c r="U494" s="61">
        <v>5</v>
      </c>
      <c r="V494" s="61"/>
      <c r="W494" s="61"/>
      <c r="X494" s="61"/>
      <c r="Y494" s="61"/>
      <c r="Z494" s="61"/>
      <c r="AA494" s="61"/>
      <c r="AB494" s="61"/>
      <c r="AC494" s="61"/>
      <c r="AD494" s="62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>
        <f t="shared" si="17"/>
        <v>2</v>
      </c>
    </row>
    <row r="495" spans="2:44" x14ac:dyDescent="0.25">
      <c r="B495" t="str">
        <f t="shared" si="16"/>
        <v>ASM - Boschilia</v>
      </c>
      <c r="C495" t="s">
        <v>942</v>
      </c>
      <c r="D495" s="50" t="s">
        <v>622</v>
      </c>
      <c r="E495" s="57" t="s">
        <v>931</v>
      </c>
      <c r="F495" s="52">
        <v>1</v>
      </c>
      <c r="G495" s="63">
        <v>3</v>
      </c>
      <c r="H495" s="146"/>
      <c r="I495" s="80">
        <f>AVERAGE(Z495)</f>
        <v>4</v>
      </c>
      <c r="J495" s="150"/>
      <c r="K495" s="284"/>
      <c r="L495" s="61"/>
      <c r="M495" s="61"/>
      <c r="N495" s="61"/>
      <c r="O495" s="61" t="s">
        <v>611</v>
      </c>
      <c r="P495" s="61"/>
      <c r="Q495" s="61"/>
      <c r="R495" s="61" t="s">
        <v>611</v>
      </c>
      <c r="S495" s="61"/>
      <c r="T495" s="61"/>
      <c r="U495" s="61" t="s">
        <v>611</v>
      </c>
      <c r="V495" s="61" t="s">
        <v>611</v>
      </c>
      <c r="W495" s="61"/>
      <c r="X495" s="61"/>
      <c r="Y495" s="61"/>
      <c r="Z495" s="61">
        <v>4</v>
      </c>
      <c r="AA495" s="61"/>
      <c r="AB495" s="61"/>
      <c r="AC495" s="61"/>
      <c r="AD495" s="62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>
        <f t="shared" si="17"/>
        <v>4</v>
      </c>
    </row>
    <row r="496" spans="2:44" x14ac:dyDescent="0.25">
      <c r="B496" t="str">
        <f t="shared" si="16"/>
        <v>ASM - Bahlouli</v>
      </c>
      <c r="C496" t="s">
        <v>942</v>
      </c>
      <c r="D496" s="29" t="s">
        <v>622</v>
      </c>
      <c r="E496" s="60" t="s">
        <v>935</v>
      </c>
      <c r="F496" s="31">
        <v>1</v>
      </c>
      <c r="G496" s="99">
        <v>4</v>
      </c>
      <c r="H496" s="73"/>
      <c r="I496" s="34">
        <f>AVERAGE(L496)</f>
        <v>5</v>
      </c>
      <c r="J496" s="48"/>
      <c r="K496" s="36"/>
      <c r="L496" s="37">
        <v>5</v>
      </c>
      <c r="M496" s="24"/>
      <c r="N496" s="37" t="s">
        <v>611</v>
      </c>
      <c r="O496" s="37"/>
      <c r="P496" s="77"/>
      <c r="Q496" s="37"/>
      <c r="R496" s="37"/>
      <c r="S496" s="37"/>
      <c r="T496" s="37"/>
      <c r="U496" s="24"/>
      <c r="V496" s="37"/>
      <c r="W496" s="24"/>
      <c r="X496" s="37"/>
      <c r="Y496" s="37"/>
      <c r="Z496" s="37"/>
      <c r="AA496" s="37"/>
      <c r="AB496" s="37"/>
      <c r="AC496" s="37" t="s">
        <v>611</v>
      </c>
      <c r="AD496" s="26"/>
      <c r="AE496" s="24"/>
      <c r="AF496" s="37"/>
      <c r="AG496" s="24"/>
      <c r="AH496" s="37"/>
      <c r="AI496" s="24"/>
      <c r="AJ496" s="37" t="s">
        <v>611</v>
      </c>
      <c r="AK496" s="37" t="s">
        <v>611</v>
      </c>
      <c r="AL496" s="22"/>
      <c r="AM496" s="37"/>
      <c r="AN496" s="37"/>
      <c r="AO496" s="24"/>
      <c r="AP496" s="24"/>
      <c r="AQ496" s="76"/>
      <c r="AR496">
        <f t="shared" si="17"/>
        <v>5</v>
      </c>
    </row>
    <row r="497" spans="1:44" x14ac:dyDescent="0.25">
      <c r="B497" t="str">
        <f t="shared" si="16"/>
        <v>ASM - Toulalan</v>
      </c>
      <c r="C497" t="s">
        <v>942</v>
      </c>
      <c r="D497" s="67" t="s">
        <v>622</v>
      </c>
      <c r="E497" s="85" t="s">
        <v>932</v>
      </c>
      <c r="F497" s="69">
        <v>19</v>
      </c>
      <c r="G497" s="115"/>
      <c r="H497" s="68"/>
      <c r="I497" s="72">
        <f>AVERAGE(AB497,K497,L497,M497,J497,R497,S497,T497,U497,V497,W497,AA497,AC497,AD497,AJ497,AK497,AL497,AM497,AN497)</f>
        <v>5.6315789473684212</v>
      </c>
      <c r="J497" s="48">
        <v>6</v>
      </c>
      <c r="K497" s="230">
        <v>5</v>
      </c>
      <c r="L497" s="37">
        <v>5</v>
      </c>
      <c r="M497" s="24">
        <v>5</v>
      </c>
      <c r="N497" s="24"/>
      <c r="O497" s="24"/>
      <c r="P497" s="24"/>
      <c r="Q497" s="37"/>
      <c r="R497" s="24">
        <v>6</v>
      </c>
      <c r="S497" s="37">
        <v>5</v>
      </c>
      <c r="T497" s="37">
        <v>6</v>
      </c>
      <c r="U497" s="24">
        <v>6</v>
      </c>
      <c r="V497" s="37">
        <v>6</v>
      </c>
      <c r="W497" s="24">
        <v>5</v>
      </c>
      <c r="X497" s="37"/>
      <c r="Y497" s="37"/>
      <c r="Z497" s="24"/>
      <c r="AA497" s="37">
        <v>5</v>
      </c>
      <c r="AB497" s="24">
        <v>6</v>
      </c>
      <c r="AC497" s="24">
        <v>5</v>
      </c>
      <c r="AD497" s="27">
        <v>6</v>
      </c>
      <c r="AE497" s="24"/>
      <c r="AF497" s="37"/>
      <c r="AG497" s="24"/>
      <c r="AH497" s="37"/>
      <c r="AI497" s="24"/>
      <c r="AJ497" s="24">
        <v>5</v>
      </c>
      <c r="AK497" s="84">
        <v>7</v>
      </c>
      <c r="AL497" s="24">
        <v>6</v>
      </c>
      <c r="AM497" s="37">
        <v>6</v>
      </c>
      <c r="AN497" s="37">
        <v>6</v>
      </c>
      <c r="AO497" s="24"/>
      <c r="AP497" s="37"/>
      <c r="AQ497" s="24"/>
      <c r="AR497">
        <f t="shared" si="17"/>
        <v>19</v>
      </c>
    </row>
    <row r="498" spans="1:44" x14ac:dyDescent="0.25">
      <c r="B498" t="str">
        <f t="shared" si="16"/>
        <v>ASM - Falcao</v>
      </c>
      <c r="C498" t="s">
        <v>942</v>
      </c>
      <c r="D498" s="50" t="s">
        <v>633</v>
      </c>
      <c r="E498" s="57" t="s">
        <v>933</v>
      </c>
      <c r="F498" s="235"/>
      <c r="G498" s="236"/>
      <c r="H498" s="237"/>
      <c r="I498" s="100"/>
      <c r="J498" s="236"/>
      <c r="K498" s="236"/>
      <c r="L498" s="236"/>
      <c r="M498" s="236"/>
      <c r="N498" s="236"/>
      <c r="O498" s="236"/>
      <c r="P498" s="236"/>
      <c r="Q498" s="236"/>
      <c r="R498" s="236"/>
      <c r="S498" s="236"/>
      <c r="T498" s="236"/>
      <c r="U498" s="236"/>
      <c r="V498" s="236"/>
      <c r="W498" s="236"/>
      <c r="X498" s="236"/>
      <c r="Y498" s="236"/>
      <c r="Z498" s="236"/>
      <c r="AA498" s="236"/>
      <c r="AB498" s="236"/>
      <c r="AC498" s="238"/>
      <c r="AD498" s="239"/>
      <c r="AE498" s="239"/>
      <c r="AF498" s="240"/>
      <c r="AG498" s="236"/>
      <c r="AH498" s="236"/>
      <c r="AI498" s="239"/>
      <c r="AJ498" s="236"/>
      <c r="AK498" s="236"/>
      <c r="AL498" s="236"/>
      <c r="AM498" s="236"/>
      <c r="AN498" s="236"/>
      <c r="AO498" s="239"/>
      <c r="AP498" s="236"/>
      <c r="AQ498" s="236"/>
      <c r="AR498">
        <f t="shared" si="17"/>
        <v>0</v>
      </c>
    </row>
    <row r="499" spans="1:44" x14ac:dyDescent="0.25">
      <c r="B499" t="str">
        <f t="shared" si="16"/>
        <v>ASM - L. Traoré</v>
      </c>
      <c r="C499" t="s">
        <v>942</v>
      </c>
      <c r="D499" s="29" t="s">
        <v>633</v>
      </c>
      <c r="E499" s="155" t="s">
        <v>934</v>
      </c>
      <c r="F499" s="31">
        <v>7</v>
      </c>
      <c r="G499" s="99">
        <v>8</v>
      </c>
      <c r="H499" s="73">
        <v>2</v>
      </c>
      <c r="I499" s="34">
        <f>AVERAGE(S499,U499,Z499,AA499,AB499,AL499)</f>
        <v>4.5</v>
      </c>
      <c r="J499" s="48"/>
      <c r="K499" s="27"/>
      <c r="L499" s="37" t="s">
        <v>611</v>
      </c>
      <c r="M499" s="24"/>
      <c r="N499" s="24"/>
      <c r="O499" s="24"/>
      <c r="P499" s="24"/>
      <c r="Q499" s="37" t="s">
        <v>611</v>
      </c>
      <c r="R499" s="24"/>
      <c r="S499" s="37">
        <v>5</v>
      </c>
      <c r="T499" s="37" t="s">
        <v>611</v>
      </c>
      <c r="U499" s="37">
        <v>4</v>
      </c>
      <c r="V499" s="77"/>
      <c r="W499" s="37" t="s">
        <v>611</v>
      </c>
      <c r="X499" s="37" t="s">
        <v>611</v>
      </c>
      <c r="Y499" s="37"/>
      <c r="Z499" s="25">
        <v>7</v>
      </c>
      <c r="AA499" s="37">
        <v>4</v>
      </c>
      <c r="AB499" s="172">
        <v>3</v>
      </c>
      <c r="AC499" s="24"/>
      <c r="AD499" s="27"/>
      <c r="AE499" s="24" t="s">
        <v>641</v>
      </c>
      <c r="AF499" s="37"/>
      <c r="AG499" s="24"/>
      <c r="AH499" s="37"/>
      <c r="AI499" s="24"/>
      <c r="AJ499" s="37" t="s">
        <v>611</v>
      </c>
      <c r="AK499" s="37"/>
      <c r="AL499" s="24">
        <v>4</v>
      </c>
      <c r="AM499" s="37" t="s">
        <v>611</v>
      </c>
      <c r="AN499" s="37" t="s">
        <v>611</v>
      </c>
      <c r="AO499" s="24"/>
      <c r="AP499" s="37"/>
      <c r="AQ499" s="24"/>
      <c r="AR499">
        <f t="shared" si="17"/>
        <v>15</v>
      </c>
    </row>
    <row r="500" spans="1:44" x14ac:dyDescent="0.25">
      <c r="B500" t="str">
        <f t="shared" si="16"/>
        <v>ASM - Germain</v>
      </c>
      <c r="C500" t="s">
        <v>942</v>
      </c>
      <c r="D500" s="50" t="s">
        <v>633</v>
      </c>
      <c r="E500" s="57" t="s">
        <v>195</v>
      </c>
      <c r="F500" s="52"/>
      <c r="G500" s="63"/>
      <c r="H500" s="146"/>
      <c r="I500" s="34"/>
      <c r="J500" s="45"/>
      <c r="K500" s="189"/>
      <c r="L500" s="55"/>
      <c r="M500" s="46"/>
      <c r="N500" s="55"/>
      <c r="O500" s="55"/>
      <c r="P500" s="81"/>
      <c r="Q500" s="55"/>
      <c r="R500" s="55"/>
      <c r="S500" s="55"/>
      <c r="T500" s="81"/>
      <c r="U500" s="46"/>
      <c r="V500" s="55"/>
      <c r="W500" s="46"/>
      <c r="X500" s="55"/>
      <c r="Y500" s="55"/>
      <c r="Z500" s="55"/>
      <c r="AA500" s="55"/>
      <c r="AB500" s="55"/>
      <c r="AC500" s="55"/>
      <c r="AD500" s="56"/>
      <c r="AE500" s="46"/>
      <c r="AF500" s="55"/>
      <c r="AG500" s="46"/>
      <c r="AH500" s="55"/>
      <c r="AI500" s="46"/>
      <c r="AJ500" s="46"/>
      <c r="AK500" s="55"/>
      <c r="AL500" s="55"/>
      <c r="AM500" s="55"/>
      <c r="AN500" s="55"/>
      <c r="AO500" s="46"/>
      <c r="AP500" s="46"/>
      <c r="AQ500" s="46"/>
      <c r="AR500">
        <f t="shared" si="17"/>
        <v>0</v>
      </c>
    </row>
    <row r="501" spans="1:44" x14ac:dyDescent="0.25">
      <c r="B501" t="str">
        <f t="shared" si="16"/>
        <v>ASM - Matheus</v>
      </c>
      <c r="C501" t="s">
        <v>942</v>
      </c>
      <c r="D501" s="29" t="s">
        <v>633</v>
      </c>
      <c r="E501" s="60" t="s">
        <v>816</v>
      </c>
      <c r="F501" s="31"/>
      <c r="G501" s="99"/>
      <c r="H501" s="73"/>
      <c r="I501" s="34"/>
      <c r="J501" s="48"/>
      <c r="K501" s="36"/>
      <c r="L501" s="37"/>
      <c r="M501" s="24"/>
      <c r="N501" s="37"/>
      <c r="O501" s="37"/>
      <c r="P501" s="77"/>
      <c r="Q501" s="37"/>
      <c r="R501" s="37"/>
      <c r="S501" s="37"/>
      <c r="T501" s="37"/>
      <c r="U501" s="24"/>
      <c r="V501" s="37"/>
      <c r="W501" s="24"/>
      <c r="X501" s="37"/>
      <c r="Y501" s="37"/>
      <c r="Z501" s="37"/>
      <c r="AA501" s="37"/>
      <c r="AB501" s="37"/>
      <c r="AC501" s="37"/>
      <c r="AD501" s="26"/>
      <c r="AE501" s="24"/>
      <c r="AF501" s="37"/>
      <c r="AG501" s="24"/>
      <c r="AH501" s="37"/>
      <c r="AI501" s="24"/>
      <c r="AJ501" s="37"/>
      <c r="AK501" s="37"/>
      <c r="AL501" s="22"/>
      <c r="AM501" s="37"/>
      <c r="AN501" s="37"/>
      <c r="AO501" s="24"/>
      <c r="AP501" s="24"/>
      <c r="AQ501" s="76"/>
      <c r="AR501">
        <f t="shared" si="17"/>
        <v>0</v>
      </c>
    </row>
    <row r="502" spans="1:44" x14ac:dyDescent="0.25">
      <c r="B502" t="str">
        <f t="shared" si="16"/>
        <v>ASM - Cavaleiro</v>
      </c>
      <c r="C502" t="s">
        <v>942</v>
      </c>
      <c r="D502" s="29" t="s">
        <v>633</v>
      </c>
      <c r="E502" s="182" t="s">
        <v>936</v>
      </c>
      <c r="F502" s="31">
        <v>5</v>
      </c>
      <c r="G502" s="99">
        <v>4</v>
      </c>
      <c r="H502" s="73"/>
      <c r="I502" s="34">
        <f>AVERAGE(K502,J502,N502,P502,S502)</f>
        <v>4.4000000000000004</v>
      </c>
      <c r="J502" s="48">
        <v>5</v>
      </c>
      <c r="K502" s="21">
        <v>4</v>
      </c>
      <c r="L502" s="37"/>
      <c r="M502" s="37" t="s">
        <v>611</v>
      </c>
      <c r="N502" s="37">
        <v>4</v>
      </c>
      <c r="O502" s="37" t="s">
        <v>611</v>
      </c>
      <c r="P502" s="76">
        <v>4</v>
      </c>
      <c r="Q502" s="37"/>
      <c r="R502" s="37"/>
      <c r="S502" s="37">
        <v>5</v>
      </c>
      <c r="T502" s="37" t="s">
        <v>611</v>
      </c>
      <c r="U502" s="24"/>
      <c r="V502" s="37"/>
      <c r="W502" s="24"/>
      <c r="X502" s="37"/>
      <c r="Y502" s="37"/>
      <c r="Z502" s="37"/>
      <c r="AA502" s="37"/>
      <c r="AB502" s="37"/>
      <c r="AC502" s="37" t="s">
        <v>611</v>
      </c>
      <c r="AD502" s="26"/>
      <c r="AE502" s="24"/>
      <c r="AF502" s="37"/>
      <c r="AG502" s="24"/>
      <c r="AH502" s="37"/>
      <c r="AI502" s="24"/>
      <c r="AJ502" s="37"/>
      <c r="AK502" s="37"/>
      <c r="AL502" s="22"/>
      <c r="AM502" s="37"/>
      <c r="AN502" s="37"/>
      <c r="AO502" s="24"/>
      <c r="AP502" s="24"/>
      <c r="AQ502" s="76"/>
      <c r="AR502">
        <f t="shared" si="17"/>
        <v>9</v>
      </c>
    </row>
    <row r="503" spans="1:44" x14ac:dyDescent="0.25">
      <c r="B503" t="str">
        <f t="shared" si="16"/>
        <v>ASM - Subasic</v>
      </c>
      <c r="C503" t="s">
        <v>942</v>
      </c>
      <c r="D503" s="29" t="s">
        <v>605</v>
      </c>
      <c r="E503" s="30" t="s">
        <v>925</v>
      </c>
      <c r="F503" s="31">
        <v>29</v>
      </c>
      <c r="G503" s="99"/>
      <c r="H503" s="73"/>
      <c r="I503" s="34">
        <f>AVERAGE(K503,L503,M503,J503,N503,O503,P503,Q503,R503,S503,T503,U503,V503,W503,X503,Y503,Z503,AC503,AD503,AE503,AF503,AG503,AH503,AI503,AJ503,AK503,AL503,AM503,AN503)</f>
        <v>5.6206896551724137</v>
      </c>
      <c r="J503" s="48">
        <v>5</v>
      </c>
      <c r="K503" s="144">
        <v>6</v>
      </c>
      <c r="L503" s="76">
        <v>5</v>
      </c>
      <c r="M503" s="24">
        <v>6</v>
      </c>
      <c r="N503" s="25">
        <v>7</v>
      </c>
      <c r="O503" s="23">
        <v>5</v>
      </c>
      <c r="P503" s="23">
        <v>5</v>
      </c>
      <c r="Q503" s="37">
        <v>5</v>
      </c>
      <c r="R503" s="24">
        <v>5</v>
      </c>
      <c r="S503" s="76">
        <v>6</v>
      </c>
      <c r="T503" s="75">
        <v>7</v>
      </c>
      <c r="U503" s="22">
        <v>6</v>
      </c>
      <c r="V503" s="172">
        <v>3</v>
      </c>
      <c r="W503" s="22">
        <v>6</v>
      </c>
      <c r="X503" s="37">
        <v>4</v>
      </c>
      <c r="Y503" s="76">
        <v>5</v>
      </c>
      <c r="Z503" s="23">
        <v>5</v>
      </c>
      <c r="AA503" s="77"/>
      <c r="AB503" s="22"/>
      <c r="AC503" s="23">
        <v>4</v>
      </c>
      <c r="AD503" s="28">
        <v>6</v>
      </c>
      <c r="AE503" s="25">
        <v>8</v>
      </c>
      <c r="AF503" s="76">
        <v>5</v>
      </c>
      <c r="AG503" s="22">
        <v>6</v>
      </c>
      <c r="AH503" s="77">
        <v>6</v>
      </c>
      <c r="AI503" s="23">
        <v>6</v>
      </c>
      <c r="AJ503" s="23">
        <v>6</v>
      </c>
      <c r="AK503" s="75">
        <v>7</v>
      </c>
      <c r="AL503" s="23">
        <v>6</v>
      </c>
      <c r="AM503" s="37">
        <v>5</v>
      </c>
      <c r="AN503" s="75">
        <v>7</v>
      </c>
      <c r="AO503" s="22"/>
      <c r="AP503" s="37"/>
      <c r="AQ503" s="24"/>
      <c r="AR503">
        <f t="shared" si="17"/>
        <v>29</v>
      </c>
    </row>
    <row r="504" spans="1:44" x14ac:dyDescent="0.25">
      <c r="B504" t="str">
        <f t="shared" si="16"/>
        <v>ASM - Helder Costa</v>
      </c>
      <c r="C504" t="s">
        <v>942</v>
      </c>
      <c r="D504" s="29" t="s">
        <v>633</v>
      </c>
      <c r="E504" s="182" t="s">
        <v>939</v>
      </c>
      <c r="F504" s="31">
        <v>11</v>
      </c>
      <c r="G504" s="99">
        <v>9</v>
      </c>
      <c r="H504" s="114">
        <v>2</v>
      </c>
      <c r="I504" s="34">
        <f>AVERAGE(V504,W504,X504,AA504,AB504,AC504,AF504,AI504,AJ504,AL504,AM504)</f>
        <v>4.9090909090909092</v>
      </c>
      <c r="J504" s="87"/>
      <c r="K504" s="21"/>
      <c r="L504" s="37"/>
      <c r="M504" s="37"/>
      <c r="N504" s="37"/>
      <c r="O504" s="37"/>
      <c r="P504" s="37"/>
      <c r="Q504" s="37"/>
      <c r="R504" s="37"/>
      <c r="S504" s="37"/>
      <c r="T504" s="37"/>
      <c r="U504" s="37" t="s">
        <v>611</v>
      </c>
      <c r="V504" s="77">
        <v>6</v>
      </c>
      <c r="W504" s="24">
        <v>5</v>
      </c>
      <c r="X504" s="37">
        <v>5</v>
      </c>
      <c r="Y504" s="37" t="s">
        <v>611</v>
      </c>
      <c r="Z504" s="37" t="s">
        <v>611</v>
      </c>
      <c r="AA504" s="37">
        <v>5</v>
      </c>
      <c r="AB504" s="37">
        <v>4</v>
      </c>
      <c r="AC504" s="37">
        <v>5</v>
      </c>
      <c r="AD504" s="140" t="s">
        <v>611</v>
      </c>
      <c r="AE504" s="77" t="s">
        <v>611</v>
      </c>
      <c r="AF504" s="172">
        <v>3</v>
      </c>
      <c r="AG504" s="37" t="s">
        <v>611</v>
      </c>
      <c r="AH504" s="37" t="s">
        <v>611</v>
      </c>
      <c r="AI504" s="24">
        <v>4</v>
      </c>
      <c r="AJ504" s="84">
        <v>7</v>
      </c>
      <c r="AK504" s="37" t="s">
        <v>611</v>
      </c>
      <c r="AL504" s="23">
        <v>6</v>
      </c>
      <c r="AM504" s="37">
        <v>4</v>
      </c>
      <c r="AN504" s="37" t="s">
        <v>611</v>
      </c>
      <c r="AO504" s="24"/>
      <c r="AP504" s="24"/>
      <c r="AQ504" s="76"/>
      <c r="AR504">
        <f t="shared" si="17"/>
        <v>20</v>
      </c>
    </row>
    <row r="505" spans="1:44" x14ac:dyDescent="0.25">
      <c r="B505" t="str">
        <f t="shared" si="16"/>
        <v>ASM - Love</v>
      </c>
      <c r="C505" t="s">
        <v>942</v>
      </c>
      <c r="D505" s="29" t="s">
        <v>633</v>
      </c>
      <c r="E505" s="182" t="s">
        <v>1068</v>
      </c>
      <c r="F505" s="31">
        <v>6</v>
      </c>
      <c r="G505" s="99">
        <v>2</v>
      </c>
      <c r="H505" s="114">
        <v>4</v>
      </c>
      <c r="I505" s="34">
        <f>AVERAGE(AG505,AH505,AI505,AJ505,AM505,AN505)</f>
        <v>5.166666666666667</v>
      </c>
      <c r="J505" s="87"/>
      <c r="K505" s="21"/>
      <c r="L505" s="37"/>
      <c r="M505" s="37"/>
      <c r="N505" s="37"/>
      <c r="O505" s="37"/>
      <c r="P505" s="37"/>
      <c r="Q505" s="37"/>
      <c r="R505" s="37"/>
      <c r="S505" s="37"/>
      <c r="T505" s="37"/>
      <c r="U505" s="37"/>
      <c r="V505" s="77"/>
      <c r="W505" s="24"/>
      <c r="X505" s="37"/>
      <c r="Y505" s="37"/>
      <c r="Z505" s="37"/>
      <c r="AA505" s="37"/>
      <c r="AB505" s="37"/>
      <c r="AC505" s="37"/>
      <c r="AD505" s="140"/>
      <c r="AE505" s="77"/>
      <c r="AF505" s="76" t="s">
        <v>611</v>
      </c>
      <c r="AG505" s="82">
        <v>3</v>
      </c>
      <c r="AH505" s="172">
        <v>3</v>
      </c>
      <c r="AI505" s="22">
        <v>5</v>
      </c>
      <c r="AJ505" s="37">
        <v>5</v>
      </c>
      <c r="AK505" s="37" t="s">
        <v>611</v>
      </c>
      <c r="AL505" s="22"/>
      <c r="AM505" s="75">
        <v>8</v>
      </c>
      <c r="AN505" s="75">
        <v>7</v>
      </c>
      <c r="AO505" s="24"/>
      <c r="AP505" s="24"/>
      <c r="AQ505" s="76"/>
      <c r="AR505">
        <f t="shared" si="17"/>
        <v>8</v>
      </c>
    </row>
    <row r="506" spans="1:44" x14ac:dyDescent="0.25">
      <c r="B506" t="str">
        <f t="shared" si="16"/>
        <v>ASM - Chaibi</v>
      </c>
      <c r="C506" t="s">
        <v>942</v>
      </c>
      <c r="D506" s="29" t="s">
        <v>633</v>
      </c>
      <c r="E506" s="182" t="s">
        <v>1069</v>
      </c>
      <c r="F506" s="31"/>
      <c r="G506" s="99">
        <v>1</v>
      </c>
      <c r="H506" s="114"/>
      <c r="I506" s="34"/>
      <c r="J506" s="87"/>
      <c r="K506" s="21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77"/>
      <c r="W506" s="24"/>
      <c r="X506" s="37"/>
      <c r="Y506" s="37"/>
      <c r="Z506" s="37"/>
      <c r="AA506" s="37"/>
      <c r="AB506" s="37"/>
      <c r="AC506" s="37"/>
      <c r="AD506" s="140"/>
      <c r="AE506" s="77"/>
      <c r="AF506" s="76" t="s">
        <v>611</v>
      </c>
      <c r="AG506" s="24"/>
      <c r="AH506" s="37"/>
      <c r="AI506" s="24"/>
      <c r="AJ506" s="37"/>
      <c r="AK506" s="37"/>
      <c r="AL506" s="22"/>
      <c r="AM506" s="37"/>
      <c r="AN506" s="37"/>
      <c r="AO506" s="24"/>
      <c r="AP506" s="24"/>
      <c r="AQ506" s="76"/>
      <c r="AR506">
        <f t="shared" si="17"/>
        <v>1</v>
      </c>
    </row>
    <row r="507" spans="1:44" x14ac:dyDescent="0.25">
      <c r="B507" t="str">
        <f t="shared" si="16"/>
        <v>ASM - Mbappe-Lottin</v>
      </c>
      <c r="C507" t="s">
        <v>942</v>
      </c>
      <c r="D507" s="29" t="s">
        <v>633</v>
      </c>
      <c r="E507" s="182" t="s">
        <v>940</v>
      </c>
      <c r="F507" s="31">
        <v>2</v>
      </c>
      <c r="G507" s="99">
        <v>7</v>
      </c>
      <c r="H507" s="114">
        <v>1</v>
      </c>
      <c r="I507" s="34">
        <f>AVERAGE(AK507,AN507)</f>
        <v>4.5</v>
      </c>
      <c r="J507" s="87"/>
      <c r="K507" s="21"/>
      <c r="L507" s="37"/>
      <c r="M507" s="37"/>
      <c r="N507" s="37"/>
      <c r="O507" s="37"/>
      <c r="P507" s="37"/>
      <c r="Q507" s="37"/>
      <c r="R507" s="37"/>
      <c r="S507" s="37"/>
      <c r="T507" s="37"/>
      <c r="U507" s="37"/>
      <c r="V507" s="77"/>
      <c r="W507" s="24"/>
      <c r="X507" s="37"/>
      <c r="Y507" s="37" t="s">
        <v>611</v>
      </c>
      <c r="Z507" s="37"/>
      <c r="AA507" s="37" t="s">
        <v>611</v>
      </c>
      <c r="AB507" s="37"/>
      <c r="AC507" s="37"/>
      <c r="AD507" s="26"/>
      <c r="AE507" s="37" t="s">
        <v>611</v>
      </c>
      <c r="AF507" s="37"/>
      <c r="AG507" s="24"/>
      <c r="AH507" s="37"/>
      <c r="AI507" s="37" t="s">
        <v>611</v>
      </c>
      <c r="AJ507" s="77" t="s">
        <v>611</v>
      </c>
      <c r="AK507" s="37">
        <v>4</v>
      </c>
      <c r="AL507" s="76" t="s">
        <v>611</v>
      </c>
      <c r="AM507" s="37" t="s">
        <v>611</v>
      </c>
      <c r="AN507" s="37">
        <v>5</v>
      </c>
      <c r="AO507" s="24"/>
      <c r="AP507" s="24"/>
      <c r="AQ507" s="76"/>
      <c r="AR507">
        <f t="shared" si="17"/>
        <v>9</v>
      </c>
    </row>
    <row r="508" spans="1:44" ht="15.75" thickBot="1" x14ac:dyDescent="0.3">
      <c r="B508" t="str">
        <f t="shared" si="16"/>
        <v>ASM - El Shaarawy</v>
      </c>
      <c r="C508" t="s">
        <v>942</v>
      </c>
      <c r="D508" s="266" t="s">
        <v>633</v>
      </c>
      <c r="E508" s="273" t="s">
        <v>941</v>
      </c>
      <c r="F508" s="221">
        <v>8</v>
      </c>
      <c r="G508" s="222">
        <v>7</v>
      </c>
      <c r="H508" s="261"/>
      <c r="I508" s="267">
        <f>AVERAGE(L508,M508,J508,O508,Q508,R508,U508,Y508)</f>
        <v>4.5</v>
      </c>
      <c r="J508" s="64">
        <v>5</v>
      </c>
      <c r="K508" s="279" t="s">
        <v>611</v>
      </c>
      <c r="L508" s="61">
        <v>5</v>
      </c>
      <c r="M508" s="53">
        <v>5</v>
      </c>
      <c r="N508" s="61"/>
      <c r="O508" s="61">
        <v>5</v>
      </c>
      <c r="P508" s="61" t="s">
        <v>611</v>
      </c>
      <c r="Q508" s="61">
        <v>4</v>
      </c>
      <c r="R508" s="61">
        <v>4</v>
      </c>
      <c r="S508" s="61" t="s">
        <v>611</v>
      </c>
      <c r="T508" s="61"/>
      <c r="U508" s="53">
        <v>4</v>
      </c>
      <c r="V508" s="61" t="s">
        <v>611</v>
      </c>
      <c r="W508" s="61" t="s">
        <v>611</v>
      </c>
      <c r="X508" s="61" t="s">
        <v>611</v>
      </c>
      <c r="Y508" s="61">
        <v>4</v>
      </c>
      <c r="Z508" s="61"/>
      <c r="AA508" s="61"/>
      <c r="AB508" s="61" t="s">
        <v>611</v>
      </c>
      <c r="AC508" s="61"/>
      <c r="AD508" s="62"/>
      <c r="AE508" s="53"/>
      <c r="AF508" s="61"/>
      <c r="AG508" s="53"/>
      <c r="AH508" s="61"/>
      <c r="AI508" s="53"/>
      <c r="AJ508" s="61"/>
      <c r="AK508" s="61"/>
      <c r="AL508" s="59"/>
      <c r="AM508" s="61"/>
      <c r="AN508" s="61"/>
      <c r="AO508" s="53"/>
      <c r="AP508" s="53"/>
      <c r="AQ508" s="61"/>
      <c r="AR508">
        <f t="shared" si="17"/>
        <v>15</v>
      </c>
    </row>
    <row r="509" spans="1:44" x14ac:dyDescent="0.25">
      <c r="B509" t="str">
        <f t="shared" si="16"/>
        <v>EAG - Guivarch</v>
      </c>
      <c r="C509" t="s">
        <v>967</v>
      </c>
      <c r="D509" s="16" t="s">
        <v>605</v>
      </c>
      <c r="E509" s="227" t="s">
        <v>597</v>
      </c>
      <c r="F509" s="18"/>
      <c r="G509" s="95"/>
      <c r="H509" s="160"/>
      <c r="I509" s="242"/>
      <c r="J509" s="179"/>
      <c r="K509" s="24"/>
      <c r="L509" s="37"/>
      <c r="M509" s="24"/>
      <c r="N509" s="37"/>
      <c r="O509" s="37"/>
      <c r="P509" s="27"/>
      <c r="Q509" s="37"/>
      <c r="R509" s="24"/>
      <c r="S509" s="23"/>
      <c r="T509" s="24"/>
      <c r="U509" s="24"/>
      <c r="V509" s="24"/>
      <c r="W509" s="37"/>
      <c r="X509" s="24"/>
      <c r="Y509" s="24"/>
      <c r="Z509" s="37"/>
      <c r="AA509" s="24"/>
      <c r="AB509" s="24"/>
      <c r="AC509" s="24"/>
      <c r="AD509" s="37"/>
      <c r="AE509" s="24"/>
      <c r="AF509" s="24"/>
      <c r="AG509" s="24"/>
      <c r="AH509" s="27"/>
      <c r="AI509" s="24"/>
      <c r="AJ509" s="24"/>
      <c r="AK509" s="27"/>
      <c r="AL509" s="24"/>
      <c r="AM509" s="26"/>
      <c r="AN509" s="27"/>
      <c r="AO509" s="27"/>
      <c r="AP509" s="37"/>
      <c r="AQ509" s="27"/>
      <c r="AR509">
        <f t="shared" si="17"/>
        <v>0</v>
      </c>
    </row>
    <row r="510" spans="1:44" x14ac:dyDescent="0.25">
      <c r="A510">
        <v>1</v>
      </c>
      <c r="B510" t="str">
        <f t="shared" si="16"/>
        <v>OL - Morel</v>
      </c>
      <c r="C510" t="s">
        <v>672</v>
      </c>
      <c r="D510" s="29" t="s">
        <v>608</v>
      </c>
      <c r="E510" s="30" t="s">
        <v>136</v>
      </c>
      <c r="F510" s="31">
        <v>24</v>
      </c>
      <c r="G510" s="99">
        <v>2</v>
      </c>
      <c r="H510" s="73"/>
      <c r="I510" s="211">
        <f>AVERAGE(AA510,Y510,K510,M510,O510,P510,Q510,R510,T510,U510,V510,W510,X510,Z510,AC510,AD510,AE510,AF510,AG510,AH510,AJ510,AK510,AL510,AM510,AN510)</f>
        <v>5.16</v>
      </c>
      <c r="J510" s="101" t="s">
        <v>611</v>
      </c>
      <c r="K510" s="37">
        <v>5</v>
      </c>
      <c r="L510" s="24"/>
      <c r="M510" s="37">
        <v>5</v>
      </c>
      <c r="N510" s="24"/>
      <c r="O510" s="24">
        <v>5</v>
      </c>
      <c r="P510" s="27">
        <v>6</v>
      </c>
      <c r="Q510" s="24">
        <v>5</v>
      </c>
      <c r="R510" s="24">
        <v>6</v>
      </c>
      <c r="S510" s="24"/>
      <c r="T510" s="24">
        <v>6</v>
      </c>
      <c r="U510" s="24">
        <v>5</v>
      </c>
      <c r="V510" s="66">
        <v>7</v>
      </c>
      <c r="W510" s="24">
        <v>5</v>
      </c>
      <c r="X510" s="82">
        <v>3</v>
      </c>
      <c r="Y510" s="24">
        <v>6</v>
      </c>
      <c r="Z510" s="24">
        <v>4</v>
      </c>
      <c r="AA510" s="24">
        <v>5</v>
      </c>
      <c r="AB510" s="24"/>
      <c r="AC510" s="24">
        <v>5</v>
      </c>
      <c r="AD510" s="24">
        <v>6</v>
      </c>
      <c r="AE510" s="24">
        <v>4</v>
      </c>
      <c r="AF510" s="82">
        <v>3</v>
      </c>
      <c r="AG510" s="24">
        <v>6</v>
      </c>
      <c r="AH510" s="27">
        <v>6</v>
      </c>
      <c r="AI510" s="24"/>
      <c r="AJ510" s="24">
        <v>6</v>
      </c>
      <c r="AK510" s="27">
        <v>6</v>
      </c>
      <c r="AL510" s="24">
        <v>5</v>
      </c>
      <c r="AM510" s="27">
        <v>4</v>
      </c>
      <c r="AN510" s="27">
        <v>5</v>
      </c>
      <c r="AO510" s="27"/>
      <c r="AP510" s="24"/>
      <c r="AQ510" s="27"/>
      <c r="AR510">
        <f t="shared" si="17"/>
        <v>26</v>
      </c>
    </row>
    <row r="511" spans="1:44" x14ac:dyDescent="0.25">
      <c r="B511" t="str">
        <f t="shared" si="16"/>
        <v>EAG - Samassa</v>
      </c>
      <c r="C511" t="s">
        <v>967</v>
      </c>
      <c r="D511" s="67" t="s">
        <v>605</v>
      </c>
      <c r="E511" s="85" t="s">
        <v>559</v>
      </c>
      <c r="F511" s="69">
        <v>1</v>
      </c>
      <c r="G511" s="115"/>
      <c r="H511" s="68"/>
      <c r="I511" s="243">
        <f>AVERAGE(K511)</f>
        <v>5</v>
      </c>
      <c r="J511" s="179"/>
      <c r="K511" s="23">
        <v>5</v>
      </c>
      <c r="L511" s="37"/>
      <c r="M511" s="24"/>
      <c r="N511" s="37"/>
      <c r="O511" s="37"/>
      <c r="P511" s="27"/>
      <c r="Q511" s="37"/>
      <c r="R511" s="24"/>
      <c r="S511" s="23"/>
      <c r="T511" s="24"/>
      <c r="U511" s="24"/>
      <c r="V511" s="24"/>
      <c r="W511" s="37"/>
      <c r="X511" s="24"/>
      <c r="Y511" s="24"/>
      <c r="Z511" s="37"/>
      <c r="AA511" s="24"/>
      <c r="AB511" s="24"/>
      <c r="AC511" s="24"/>
      <c r="AD511" s="37"/>
      <c r="AE511" s="24"/>
      <c r="AF511" s="24"/>
      <c r="AG511" s="24"/>
      <c r="AH511" s="27"/>
      <c r="AI511" s="24"/>
      <c r="AJ511" s="24"/>
      <c r="AK511" s="27"/>
      <c r="AL511" s="24"/>
      <c r="AM511" s="26"/>
      <c r="AN511" s="27"/>
      <c r="AO511" s="27"/>
      <c r="AP511" s="37"/>
      <c r="AQ511" s="27"/>
      <c r="AR511">
        <f t="shared" si="17"/>
        <v>1</v>
      </c>
    </row>
    <row r="512" spans="1:44" x14ac:dyDescent="0.25">
      <c r="B512" t="str">
        <f t="shared" si="16"/>
        <v>EAG - Lemaître</v>
      </c>
      <c r="C512" t="s">
        <v>967</v>
      </c>
      <c r="D512" s="29" t="s">
        <v>608</v>
      </c>
      <c r="E512" s="30" t="s">
        <v>594</v>
      </c>
      <c r="F512" s="31">
        <v>5</v>
      </c>
      <c r="G512" s="99">
        <v>1</v>
      </c>
      <c r="H512" s="114" t="s">
        <v>647</v>
      </c>
      <c r="I512" s="211">
        <f>AVERAGE(M512,N512,Y512,AA512,AD512,AL512)</f>
        <v>4.166666666666667</v>
      </c>
      <c r="J512" s="179"/>
      <c r="K512" s="24"/>
      <c r="L512" s="79"/>
      <c r="M512" s="24">
        <v>5</v>
      </c>
      <c r="N512" s="37">
        <v>5</v>
      </c>
      <c r="O512" s="37"/>
      <c r="P512" s="27"/>
      <c r="Q512" s="37"/>
      <c r="R512" s="24"/>
      <c r="S512" s="37"/>
      <c r="T512" s="24"/>
      <c r="U512" s="24"/>
      <c r="V512" s="24"/>
      <c r="W512" s="37"/>
      <c r="X512" s="24"/>
      <c r="Y512" s="24">
        <v>5</v>
      </c>
      <c r="Z512" s="37"/>
      <c r="AA512" s="24">
        <v>4</v>
      </c>
      <c r="AB512" s="24"/>
      <c r="AC512" s="24"/>
      <c r="AD512" s="172">
        <v>3</v>
      </c>
      <c r="AE512" s="24"/>
      <c r="AF512" s="24"/>
      <c r="AG512" s="24"/>
      <c r="AH512" s="27"/>
      <c r="AI512" s="24"/>
      <c r="AJ512" s="24"/>
      <c r="AK512" s="27"/>
      <c r="AL512" s="172">
        <v>3</v>
      </c>
      <c r="AM512" s="26"/>
      <c r="AN512" s="27"/>
      <c r="AO512" s="27"/>
      <c r="AP512" s="37"/>
      <c r="AQ512" s="27"/>
      <c r="AR512">
        <f t="shared" si="17"/>
        <v>6</v>
      </c>
    </row>
    <row r="513" spans="1:44" x14ac:dyDescent="0.25">
      <c r="B513" t="str">
        <f t="shared" si="16"/>
        <v>OM - Manquillo</v>
      </c>
      <c r="C513" t="s">
        <v>671</v>
      </c>
      <c r="D513" s="29" t="s">
        <v>608</v>
      </c>
      <c r="E513" s="65" t="s">
        <v>619</v>
      </c>
      <c r="F513" s="31">
        <v>25</v>
      </c>
      <c r="G513" s="99"/>
      <c r="H513" s="73"/>
      <c r="I513" s="211">
        <f>AVERAGE(AB513,L513,M513,N513,O513,Q513,R513,S513,T513,U513,V513,W513,Z513,AC513,AD513,AE513,AF513,AG513,AH513,AI513,AJ513,AL513,AK513,AM513,AN513)</f>
        <v>5</v>
      </c>
      <c r="J513" s="38"/>
      <c r="K513" s="37"/>
      <c r="L513" s="37">
        <v>5</v>
      </c>
      <c r="M513" s="37">
        <v>5</v>
      </c>
      <c r="N513" s="24">
        <v>5</v>
      </c>
      <c r="O513" s="24">
        <v>5</v>
      </c>
      <c r="P513" s="27"/>
      <c r="Q513" s="24">
        <v>5</v>
      </c>
      <c r="R513" s="24">
        <v>5</v>
      </c>
      <c r="S513" s="24">
        <v>5</v>
      </c>
      <c r="T513" s="24">
        <v>5</v>
      </c>
      <c r="U513" s="37">
        <v>5</v>
      </c>
      <c r="V513" s="24">
        <v>5</v>
      </c>
      <c r="W513" s="24">
        <v>6</v>
      </c>
      <c r="X513" s="24"/>
      <c r="Y513" s="24"/>
      <c r="Z513" s="24">
        <v>4</v>
      </c>
      <c r="AA513" s="24"/>
      <c r="AB513" s="24">
        <v>5</v>
      </c>
      <c r="AC513" s="37">
        <v>6</v>
      </c>
      <c r="AD513" s="24">
        <v>5</v>
      </c>
      <c r="AE513" s="24">
        <v>5</v>
      </c>
      <c r="AF513" s="24">
        <v>5</v>
      </c>
      <c r="AG513" s="37">
        <v>6</v>
      </c>
      <c r="AH513" s="26">
        <v>4</v>
      </c>
      <c r="AI513" s="24">
        <v>5</v>
      </c>
      <c r="AJ513" s="24">
        <v>5</v>
      </c>
      <c r="AK513" s="27">
        <v>5</v>
      </c>
      <c r="AL513" s="24">
        <v>5</v>
      </c>
      <c r="AM513" s="27">
        <v>5</v>
      </c>
      <c r="AN513" s="27">
        <v>4</v>
      </c>
      <c r="AO513" s="27"/>
      <c r="AP513" s="24"/>
      <c r="AQ513" s="27"/>
      <c r="AR513">
        <f t="shared" si="17"/>
        <v>25</v>
      </c>
    </row>
    <row r="514" spans="1:44" x14ac:dyDescent="0.25">
      <c r="B514" t="str">
        <f t="shared" si="16"/>
        <v>EAG - Lévêque</v>
      </c>
      <c r="C514" t="s">
        <v>967</v>
      </c>
      <c r="D514" s="29" t="s">
        <v>608</v>
      </c>
      <c r="E514" s="30" t="s">
        <v>945</v>
      </c>
      <c r="F514" s="31">
        <v>12</v>
      </c>
      <c r="G514" s="99">
        <v>1</v>
      </c>
      <c r="H514" s="114">
        <v>1</v>
      </c>
      <c r="I514" s="211">
        <f>AVERAGE(K514,L514,J514,S514,T514,U514,V514,W514,X514,AE514,AF514,AG514)</f>
        <v>5.333333333333333</v>
      </c>
      <c r="J514" s="87">
        <v>5</v>
      </c>
      <c r="K514" s="24">
        <v>5</v>
      </c>
      <c r="L514" s="37">
        <v>5</v>
      </c>
      <c r="M514" s="24"/>
      <c r="N514" s="37"/>
      <c r="O514" s="37"/>
      <c r="P514" s="27"/>
      <c r="Q514" s="37"/>
      <c r="R514" s="24"/>
      <c r="S514" s="23">
        <v>5</v>
      </c>
      <c r="T514" s="24">
        <v>5</v>
      </c>
      <c r="U514" s="24">
        <v>5</v>
      </c>
      <c r="V514" s="22">
        <v>6</v>
      </c>
      <c r="W514" s="37">
        <v>6</v>
      </c>
      <c r="X514" s="24">
        <v>4</v>
      </c>
      <c r="Y514" s="37" t="s">
        <v>611</v>
      </c>
      <c r="Z514" s="37"/>
      <c r="AA514" s="24"/>
      <c r="AB514" s="24"/>
      <c r="AC514" s="24"/>
      <c r="AD514" s="37"/>
      <c r="AE514" s="24">
        <v>6</v>
      </c>
      <c r="AF514" s="24">
        <v>5</v>
      </c>
      <c r="AG514" s="83">
        <v>7</v>
      </c>
      <c r="AH514" s="27"/>
      <c r="AI514" s="24"/>
      <c r="AJ514" s="24"/>
      <c r="AK514" s="27"/>
      <c r="AL514" s="24"/>
      <c r="AM514" s="26"/>
      <c r="AN514" s="27"/>
      <c r="AO514" s="27"/>
      <c r="AP514" s="37"/>
      <c r="AQ514" s="27"/>
      <c r="AR514">
        <f t="shared" si="17"/>
        <v>13</v>
      </c>
    </row>
    <row r="515" spans="1:44" x14ac:dyDescent="0.25">
      <c r="B515" t="str">
        <f t="shared" si="16"/>
        <v>EAG - Angoua</v>
      </c>
      <c r="C515" t="s">
        <v>967</v>
      </c>
      <c r="D515" s="29" t="s">
        <v>608</v>
      </c>
      <c r="E515" s="30" t="s">
        <v>946</v>
      </c>
      <c r="F515" s="31">
        <v>13</v>
      </c>
      <c r="G515" s="99">
        <v>3</v>
      </c>
      <c r="H515" s="73"/>
      <c r="I515" s="211">
        <f>AVERAGE(K515,O515,P515,Q515,R515,S515,T515,U515,Z515,AJ515,AK515,AL515)</f>
        <v>4.583333333333333</v>
      </c>
      <c r="J515" s="87"/>
      <c r="K515" s="24">
        <v>4</v>
      </c>
      <c r="L515" s="37"/>
      <c r="M515" s="24"/>
      <c r="N515" s="37" t="s">
        <v>611</v>
      </c>
      <c r="O515" s="37">
        <v>5</v>
      </c>
      <c r="P515" s="244">
        <v>3</v>
      </c>
      <c r="Q515" s="37">
        <v>5</v>
      </c>
      <c r="R515" s="66">
        <v>7</v>
      </c>
      <c r="S515" s="23">
        <v>5</v>
      </c>
      <c r="T515" s="24">
        <v>5</v>
      </c>
      <c r="U515" s="24">
        <v>5</v>
      </c>
      <c r="V515" s="24"/>
      <c r="W515" s="37"/>
      <c r="X515" s="24"/>
      <c r="Y515" s="24"/>
      <c r="Z515" s="37">
        <v>4</v>
      </c>
      <c r="AA515" s="24"/>
      <c r="AB515" s="24"/>
      <c r="AC515" s="24"/>
      <c r="AD515" s="37"/>
      <c r="AE515" s="37"/>
      <c r="AF515" s="24"/>
      <c r="AG515" s="24"/>
      <c r="AH515" s="27"/>
      <c r="AI515" s="37" t="s">
        <v>611</v>
      </c>
      <c r="AJ515" s="24">
        <v>4</v>
      </c>
      <c r="AK515" s="27">
        <v>5</v>
      </c>
      <c r="AL515" s="82">
        <v>3</v>
      </c>
      <c r="AM515" s="26"/>
      <c r="AN515" s="26" t="s">
        <v>611</v>
      </c>
      <c r="AO515" s="27"/>
      <c r="AP515" s="37"/>
      <c r="AQ515" s="26"/>
      <c r="AR515">
        <f t="shared" si="17"/>
        <v>16</v>
      </c>
    </row>
    <row r="516" spans="1:44" x14ac:dyDescent="0.25">
      <c r="B516" t="str">
        <f t="shared" si="16"/>
        <v>EAG - Baca</v>
      </c>
      <c r="C516" t="s">
        <v>967</v>
      </c>
      <c r="D516" s="29" t="s">
        <v>608</v>
      </c>
      <c r="E516" s="30" t="s">
        <v>947</v>
      </c>
      <c r="F516" s="31">
        <v>2</v>
      </c>
      <c r="G516" s="99"/>
      <c r="H516" s="114" t="s">
        <v>647</v>
      </c>
      <c r="I516" s="211">
        <f>AVERAGE(L516,AJ516)</f>
        <v>3.5</v>
      </c>
      <c r="J516" s="179"/>
      <c r="K516" s="24"/>
      <c r="L516" s="74">
        <v>4</v>
      </c>
      <c r="M516" s="37"/>
      <c r="N516" s="37"/>
      <c r="O516" s="37"/>
      <c r="P516" s="27"/>
      <c r="Q516" s="37"/>
      <c r="R516" s="24"/>
      <c r="S516" s="23"/>
      <c r="T516" s="24"/>
      <c r="U516" s="24"/>
      <c r="V516" s="24"/>
      <c r="W516" s="37"/>
      <c r="X516" s="24"/>
      <c r="Y516" s="24"/>
      <c r="Z516" s="37"/>
      <c r="AA516" s="24"/>
      <c r="AB516" s="24"/>
      <c r="AC516" s="24"/>
      <c r="AD516" s="37"/>
      <c r="AE516" s="24"/>
      <c r="AF516" s="24"/>
      <c r="AG516" s="24"/>
      <c r="AH516" s="27"/>
      <c r="AI516" s="24"/>
      <c r="AJ516" s="82">
        <v>3</v>
      </c>
      <c r="AK516" s="27"/>
      <c r="AL516" s="24"/>
      <c r="AM516" s="26"/>
      <c r="AN516" s="27"/>
      <c r="AO516" s="27"/>
      <c r="AP516" s="37"/>
      <c r="AQ516" s="26"/>
      <c r="AR516">
        <f t="shared" si="17"/>
        <v>2</v>
      </c>
    </row>
    <row r="517" spans="1:44" x14ac:dyDescent="0.25">
      <c r="B517" t="str">
        <f t="shared" si="16"/>
        <v>EAG - Sankoh</v>
      </c>
      <c r="C517" t="s">
        <v>967</v>
      </c>
      <c r="D517" s="132" t="s">
        <v>608</v>
      </c>
      <c r="E517" s="132" t="s">
        <v>948</v>
      </c>
      <c r="F517" s="133"/>
      <c r="G517" s="134"/>
      <c r="H517" s="135"/>
      <c r="I517" s="211"/>
      <c r="J517" s="136"/>
      <c r="K517" s="134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4"/>
      <c r="AF517" s="139"/>
      <c r="AG517" s="134"/>
      <c r="AH517" s="139"/>
      <c r="AI517" s="134"/>
      <c r="AJ517" s="134"/>
      <c r="AK517" s="139"/>
      <c r="AL517" s="139"/>
      <c r="AM517" s="139"/>
      <c r="AN517" s="139"/>
      <c r="AO517" s="134"/>
      <c r="AP517" s="139"/>
      <c r="AQ517" s="139"/>
      <c r="AR517">
        <f t="shared" si="17"/>
        <v>0</v>
      </c>
    </row>
    <row r="518" spans="1:44" x14ac:dyDescent="0.25">
      <c r="B518" t="str">
        <f t="shared" si="16"/>
        <v>SCB - Leca</v>
      </c>
      <c r="C518" t="s">
        <v>855</v>
      </c>
      <c r="D518" s="29" t="s">
        <v>605</v>
      </c>
      <c r="E518" s="30" t="s">
        <v>476</v>
      </c>
      <c r="F518" s="31">
        <v>27</v>
      </c>
      <c r="G518" s="99"/>
      <c r="H518" s="73"/>
      <c r="I518" s="211">
        <f>AVERAGE(K518,J518,O518,P518,Q518,R518,S518,T518,U518,V518,W518,X518,Y518,Z518,AA518,AB518,AC518,AD518,AE518,AF518,AG518,AH518,AK518,AL518,AJ518,AM518,AN518)</f>
        <v>5.5555555555555554</v>
      </c>
      <c r="J518" s="87">
        <v>5</v>
      </c>
      <c r="K518" s="24">
        <v>6</v>
      </c>
      <c r="L518" s="24"/>
      <c r="M518" s="24"/>
      <c r="N518" s="24"/>
      <c r="O518" s="24">
        <v>5</v>
      </c>
      <c r="P518" s="27">
        <v>6</v>
      </c>
      <c r="Q518" s="25">
        <v>7</v>
      </c>
      <c r="R518" s="66">
        <v>7</v>
      </c>
      <c r="S518" s="24">
        <v>5</v>
      </c>
      <c r="T518" s="24">
        <v>5</v>
      </c>
      <c r="U518" s="25">
        <v>7</v>
      </c>
      <c r="V518" s="24">
        <v>5</v>
      </c>
      <c r="W518" s="24">
        <v>4</v>
      </c>
      <c r="X518" s="22">
        <v>6</v>
      </c>
      <c r="Y518" s="22">
        <v>6</v>
      </c>
      <c r="Z518" s="24">
        <v>4</v>
      </c>
      <c r="AA518" s="24">
        <v>6</v>
      </c>
      <c r="AB518" s="22">
        <v>6</v>
      </c>
      <c r="AC518" s="24">
        <v>4</v>
      </c>
      <c r="AD518" s="22">
        <v>6</v>
      </c>
      <c r="AE518" s="23">
        <v>6</v>
      </c>
      <c r="AF518" s="22">
        <v>6</v>
      </c>
      <c r="AG518" s="24">
        <v>5</v>
      </c>
      <c r="AH518" s="28">
        <v>4</v>
      </c>
      <c r="AI518" s="24"/>
      <c r="AJ518" s="22">
        <v>6</v>
      </c>
      <c r="AK518" s="254">
        <v>7</v>
      </c>
      <c r="AL518" s="22">
        <v>6</v>
      </c>
      <c r="AM518" s="27">
        <v>5</v>
      </c>
      <c r="AN518" s="27">
        <v>5</v>
      </c>
      <c r="AO518" s="27"/>
      <c r="AP518" s="24"/>
      <c r="AQ518" s="27"/>
      <c r="AR518">
        <f t="shared" si="17"/>
        <v>27</v>
      </c>
    </row>
    <row r="519" spans="1:44" x14ac:dyDescent="0.25">
      <c r="B519" t="str">
        <f t="shared" si="16"/>
        <v>EAG - Héry</v>
      </c>
      <c r="C519" t="s">
        <v>967</v>
      </c>
      <c r="D519" s="29" t="s">
        <v>608</v>
      </c>
      <c r="E519" s="65" t="s">
        <v>950</v>
      </c>
      <c r="F519" s="31">
        <v>4</v>
      </c>
      <c r="G519" s="99"/>
      <c r="H519" s="114"/>
      <c r="I519" s="211">
        <f>AVERAGE(R519,V519,AJ519)</f>
        <v>4.666666666666667</v>
      </c>
      <c r="J519" s="87"/>
      <c r="K519" s="36"/>
      <c r="L519" s="74"/>
      <c r="M519" s="24"/>
      <c r="N519" s="37"/>
      <c r="O519" s="37"/>
      <c r="P519" s="27"/>
      <c r="Q519" s="37"/>
      <c r="R519" s="24">
        <v>5</v>
      </c>
      <c r="S519" s="23"/>
      <c r="T519" s="24"/>
      <c r="U519" s="24"/>
      <c r="V519" s="24">
        <v>5</v>
      </c>
      <c r="W519" s="37"/>
      <c r="X519" s="24"/>
      <c r="Y519" s="24"/>
      <c r="Z519" s="37"/>
      <c r="AA519" s="24"/>
      <c r="AB519" s="24"/>
      <c r="AC519" s="24"/>
      <c r="AD519" s="37"/>
      <c r="AE519" s="24"/>
      <c r="AF519" s="24"/>
      <c r="AG519" s="24"/>
      <c r="AH519" s="27"/>
      <c r="AI519" s="24"/>
      <c r="AJ519" s="24">
        <v>4</v>
      </c>
      <c r="AK519" s="27"/>
      <c r="AL519" s="24"/>
      <c r="AM519" s="26"/>
      <c r="AN519" s="27"/>
      <c r="AO519" s="27"/>
      <c r="AP519" s="37"/>
      <c r="AQ519" s="26"/>
      <c r="AR519">
        <f t="shared" si="17"/>
        <v>4</v>
      </c>
    </row>
    <row r="520" spans="1:44" x14ac:dyDescent="0.25">
      <c r="B520" t="str">
        <f t="shared" si="16"/>
        <v>EAG - Martins-Pereira</v>
      </c>
      <c r="C520" t="s">
        <v>967</v>
      </c>
      <c r="D520" s="29" t="s">
        <v>608</v>
      </c>
      <c r="E520" s="155" t="s">
        <v>951</v>
      </c>
      <c r="F520" s="31">
        <v>9</v>
      </c>
      <c r="G520" s="99"/>
      <c r="H520" s="114"/>
      <c r="I520" s="211">
        <f>AVERAGE(AB520,AC520,AD520,AE520,AK520,AL520,AM520,AN520)</f>
        <v>5</v>
      </c>
      <c r="J520" s="87"/>
      <c r="K520" s="36"/>
      <c r="L520" s="74"/>
      <c r="M520" s="24"/>
      <c r="N520" s="37"/>
      <c r="O520" s="37"/>
      <c r="P520" s="27"/>
      <c r="Q520" s="37"/>
      <c r="R520" s="24"/>
      <c r="S520" s="23"/>
      <c r="T520" s="24"/>
      <c r="U520" s="24"/>
      <c r="V520" s="24"/>
      <c r="W520" s="37"/>
      <c r="X520" s="24"/>
      <c r="Y520" s="24"/>
      <c r="Z520" s="37"/>
      <c r="AA520" s="24"/>
      <c r="AB520" s="24">
        <v>5</v>
      </c>
      <c r="AC520" s="24">
        <v>5</v>
      </c>
      <c r="AD520" s="37">
        <v>4</v>
      </c>
      <c r="AE520" s="24">
        <v>6</v>
      </c>
      <c r="AF520" s="24"/>
      <c r="AG520" s="24" t="s">
        <v>641</v>
      </c>
      <c r="AH520" s="27"/>
      <c r="AI520" s="24"/>
      <c r="AJ520" s="24"/>
      <c r="AK520" s="27">
        <v>4</v>
      </c>
      <c r="AL520" s="82">
        <v>3</v>
      </c>
      <c r="AM520" s="200">
        <v>7</v>
      </c>
      <c r="AN520" s="27">
        <v>6</v>
      </c>
      <c r="AO520" s="27"/>
      <c r="AP520" s="37"/>
      <c r="AQ520" s="26"/>
      <c r="AR520">
        <f t="shared" si="17"/>
        <v>9</v>
      </c>
    </row>
    <row r="521" spans="1:44" x14ac:dyDescent="0.25">
      <c r="B521" t="str">
        <f t="shared" si="16"/>
        <v>EAG - Kerbrat</v>
      </c>
      <c r="C521" t="s">
        <v>967</v>
      </c>
      <c r="D521" s="245" t="s">
        <v>608</v>
      </c>
      <c r="E521" s="85" t="s">
        <v>952</v>
      </c>
      <c r="F521" s="69">
        <v>23</v>
      </c>
      <c r="G521" s="115"/>
      <c r="H521" s="123" t="s">
        <v>647</v>
      </c>
      <c r="I521" s="72">
        <f>AVERAGE(AB521,K521,L521,M521,J521,N521,O521,W521,X521,Y521,Z521,AA521,AC521,AD521,AE521,AF521,AG521,AH521,AI521,AK521,AL521,AM521,AN521)</f>
        <v>5</v>
      </c>
      <c r="J521" s="179">
        <v>5</v>
      </c>
      <c r="K521" s="24">
        <v>5</v>
      </c>
      <c r="L521" s="37">
        <v>5</v>
      </c>
      <c r="M521" s="24">
        <v>6</v>
      </c>
      <c r="N521" s="37">
        <v>5</v>
      </c>
      <c r="O521" s="37">
        <v>5</v>
      </c>
      <c r="P521" s="27"/>
      <c r="Q521" s="37"/>
      <c r="R521" s="24"/>
      <c r="S521" s="23"/>
      <c r="T521" s="24"/>
      <c r="U521" s="24"/>
      <c r="V521" s="24"/>
      <c r="W521" s="37">
        <v>5</v>
      </c>
      <c r="X521" s="24">
        <v>5</v>
      </c>
      <c r="Y521" s="24">
        <v>5</v>
      </c>
      <c r="Z521" s="37">
        <v>4</v>
      </c>
      <c r="AA521" s="24">
        <v>5</v>
      </c>
      <c r="AB521" s="37">
        <v>5</v>
      </c>
      <c r="AC521" s="37">
        <v>5</v>
      </c>
      <c r="AD521" s="37">
        <v>4</v>
      </c>
      <c r="AE521" s="24">
        <v>5</v>
      </c>
      <c r="AF521" s="24">
        <v>6</v>
      </c>
      <c r="AG521" s="24">
        <v>6</v>
      </c>
      <c r="AH521" s="27">
        <v>6</v>
      </c>
      <c r="AI521" s="82">
        <v>3</v>
      </c>
      <c r="AJ521" s="24"/>
      <c r="AK521" s="27">
        <v>4</v>
      </c>
      <c r="AL521" s="24">
        <v>4</v>
      </c>
      <c r="AM521" s="26">
        <v>6</v>
      </c>
      <c r="AN521" s="27">
        <v>6</v>
      </c>
      <c r="AO521" s="27"/>
      <c r="AP521" s="37"/>
      <c r="AQ521" s="26"/>
      <c r="AR521">
        <f t="shared" si="17"/>
        <v>23</v>
      </c>
    </row>
    <row r="522" spans="1:44" x14ac:dyDescent="0.25">
      <c r="A522">
        <v>1</v>
      </c>
      <c r="B522" t="str">
        <f t="shared" si="16"/>
        <v>Losc - Civelli</v>
      </c>
      <c r="C522" t="s">
        <v>739</v>
      </c>
      <c r="D522" s="29" t="s">
        <v>608</v>
      </c>
      <c r="E522" s="124" t="s">
        <v>277</v>
      </c>
      <c r="F522" s="31">
        <v>28</v>
      </c>
      <c r="G522" s="99"/>
      <c r="H522" s="73"/>
      <c r="I522" s="211">
        <f>AVERAGE(K522,L522,M522,J522,N522,O522,Q522,P522,R522,S522,T522,U522,W522,X522,Z522,AA522,AB522,AC522,AD522,AE522,AF522,AG522,AH522,AI522,AJ522,AK522,AM522,AN522)</f>
        <v>5.0714285714285712</v>
      </c>
      <c r="J522" s="48">
        <v>5</v>
      </c>
      <c r="K522" s="24">
        <v>6</v>
      </c>
      <c r="L522" s="24">
        <v>5</v>
      </c>
      <c r="M522" s="24">
        <v>5</v>
      </c>
      <c r="N522" s="24">
        <v>6</v>
      </c>
      <c r="O522" s="24">
        <v>5</v>
      </c>
      <c r="P522" s="27">
        <v>5</v>
      </c>
      <c r="Q522" s="37">
        <v>4</v>
      </c>
      <c r="R522" s="24">
        <v>5</v>
      </c>
      <c r="S522" s="24">
        <v>5</v>
      </c>
      <c r="T522" s="24">
        <v>4</v>
      </c>
      <c r="U522" s="24">
        <v>5</v>
      </c>
      <c r="V522" s="24"/>
      <c r="W522" s="37">
        <v>5</v>
      </c>
      <c r="X522" s="82">
        <v>3</v>
      </c>
      <c r="Y522" s="24"/>
      <c r="Z522" s="24">
        <v>5</v>
      </c>
      <c r="AA522" s="24">
        <v>6</v>
      </c>
      <c r="AB522" s="24">
        <v>5</v>
      </c>
      <c r="AC522" s="24">
        <v>4</v>
      </c>
      <c r="AD522" s="24">
        <v>5</v>
      </c>
      <c r="AE522" s="24">
        <v>4</v>
      </c>
      <c r="AF522" s="24">
        <v>5</v>
      </c>
      <c r="AG522" s="66">
        <v>7</v>
      </c>
      <c r="AH522" s="27">
        <v>6</v>
      </c>
      <c r="AI522" s="24">
        <v>5</v>
      </c>
      <c r="AJ522" s="24">
        <v>6</v>
      </c>
      <c r="AK522" s="27">
        <v>5</v>
      </c>
      <c r="AL522" s="24"/>
      <c r="AM522" s="27">
        <v>6</v>
      </c>
      <c r="AN522" s="27">
        <v>5</v>
      </c>
      <c r="AO522" s="27"/>
      <c r="AP522" s="37"/>
      <c r="AQ522" s="26"/>
      <c r="AR522">
        <f t="shared" si="17"/>
        <v>28</v>
      </c>
    </row>
    <row r="523" spans="1:44" x14ac:dyDescent="0.25">
      <c r="B523" t="str">
        <f t="shared" si="16"/>
        <v>EAG - Cardy</v>
      </c>
      <c r="C523" t="s">
        <v>967</v>
      </c>
      <c r="D523" s="29" t="s">
        <v>622</v>
      </c>
      <c r="E523" s="30" t="s">
        <v>954</v>
      </c>
      <c r="F523" s="31">
        <v>3</v>
      </c>
      <c r="G523" s="99">
        <v>7</v>
      </c>
      <c r="H523" s="73"/>
      <c r="I523" s="211">
        <f>AVERAGE(S523,Z523,AA523)</f>
        <v>4.666666666666667</v>
      </c>
      <c r="J523" s="179"/>
      <c r="K523" s="24"/>
      <c r="L523" s="37"/>
      <c r="M523" s="24"/>
      <c r="N523" s="37"/>
      <c r="O523" s="37"/>
      <c r="P523" s="27"/>
      <c r="Q523" s="37"/>
      <c r="R523" s="24"/>
      <c r="S523" s="23">
        <v>5</v>
      </c>
      <c r="T523" s="24"/>
      <c r="U523" s="24"/>
      <c r="V523" s="37" t="s">
        <v>611</v>
      </c>
      <c r="W523" s="37" t="s">
        <v>611</v>
      </c>
      <c r="X523" s="24"/>
      <c r="Y523" s="24"/>
      <c r="Z523" s="37">
        <v>4</v>
      </c>
      <c r="AA523" s="24">
        <v>5</v>
      </c>
      <c r="AB523" s="24"/>
      <c r="AC523" s="24"/>
      <c r="AD523" s="37"/>
      <c r="AE523" s="24"/>
      <c r="AF523" s="37" t="s">
        <v>611</v>
      </c>
      <c r="AG523" s="37" t="s">
        <v>611</v>
      </c>
      <c r="AH523" s="26" t="s">
        <v>611</v>
      </c>
      <c r="AI523" s="24"/>
      <c r="AJ523" s="37" t="s">
        <v>611</v>
      </c>
      <c r="AK523" s="27"/>
      <c r="AL523" s="24"/>
      <c r="AM523" s="26" t="s">
        <v>611</v>
      </c>
      <c r="AN523" s="27"/>
      <c r="AO523" s="27"/>
      <c r="AP523" s="37"/>
      <c r="AQ523" s="26"/>
      <c r="AR523">
        <f t="shared" si="17"/>
        <v>10</v>
      </c>
    </row>
    <row r="524" spans="1:44" x14ac:dyDescent="0.25">
      <c r="B524" t="str">
        <f t="shared" si="16"/>
        <v>EAG - Giresse</v>
      </c>
      <c r="C524" t="s">
        <v>967</v>
      </c>
      <c r="D524" s="29" t="s">
        <v>622</v>
      </c>
      <c r="E524" s="30" t="s">
        <v>955</v>
      </c>
      <c r="F524" s="31">
        <v>14</v>
      </c>
      <c r="G524" s="99">
        <v>5</v>
      </c>
      <c r="H524" s="73">
        <v>4</v>
      </c>
      <c r="I524" s="211">
        <f>AVERAGE(L524,J524,Z524,AA524,AC524,AE524,AF524,AG524,AH524,AI524,AJ524,AK524,AL524,AM524,AN524)</f>
        <v>5.2666666666666666</v>
      </c>
      <c r="J524" s="179">
        <v>5</v>
      </c>
      <c r="K524" s="37" t="s">
        <v>611</v>
      </c>
      <c r="L524" s="37">
        <v>4</v>
      </c>
      <c r="M524" s="24"/>
      <c r="N524" s="37"/>
      <c r="O524" s="37"/>
      <c r="P524" s="27"/>
      <c r="Q524" s="37"/>
      <c r="R524" s="37" t="s">
        <v>611</v>
      </c>
      <c r="S524" s="37"/>
      <c r="T524" s="37"/>
      <c r="U524" s="24"/>
      <c r="V524" s="24"/>
      <c r="W524" s="37" t="s">
        <v>611</v>
      </c>
      <c r="X524" s="24"/>
      <c r="Y524" s="22"/>
      <c r="Z524" s="37">
        <v>4</v>
      </c>
      <c r="AA524" s="24">
        <v>5</v>
      </c>
      <c r="AB524" s="22"/>
      <c r="AC524" s="24">
        <v>5</v>
      </c>
      <c r="AD524" s="37" t="s">
        <v>611</v>
      </c>
      <c r="AE524" s="75">
        <v>7</v>
      </c>
      <c r="AF524" s="24">
        <v>5</v>
      </c>
      <c r="AG524" s="25">
        <v>8</v>
      </c>
      <c r="AH524" s="27">
        <v>5</v>
      </c>
      <c r="AI524" s="22">
        <v>5</v>
      </c>
      <c r="AJ524" s="24">
        <v>5</v>
      </c>
      <c r="AK524" s="254">
        <v>7</v>
      </c>
      <c r="AL524" s="24">
        <v>4</v>
      </c>
      <c r="AM524" s="26">
        <v>5</v>
      </c>
      <c r="AN524" s="27">
        <v>5</v>
      </c>
      <c r="AO524" s="27"/>
      <c r="AP524" s="37"/>
      <c r="AQ524" s="26"/>
      <c r="AR524">
        <f t="shared" si="17"/>
        <v>19</v>
      </c>
    </row>
    <row r="525" spans="1:44" x14ac:dyDescent="0.25">
      <c r="B525" t="str">
        <f t="shared" si="16"/>
        <v>EAG - Mathis</v>
      </c>
      <c r="C525" t="s">
        <v>967</v>
      </c>
      <c r="D525" s="98" t="s">
        <v>622</v>
      </c>
      <c r="E525" s="30" t="s">
        <v>956</v>
      </c>
      <c r="F525" s="246">
        <v>17</v>
      </c>
      <c r="G525" s="247">
        <v>1</v>
      </c>
      <c r="H525" s="78"/>
      <c r="I525" s="211">
        <f>AVERAGE(N525,O525,P525,Q525,R525,T525,U525,V525,AB525,AC525,AD525,AE525,AF525,AG525,AL525)</f>
        <v>4.8666666666666663</v>
      </c>
      <c r="J525" s="179" t="s">
        <v>641</v>
      </c>
      <c r="K525" s="24"/>
      <c r="L525" s="37"/>
      <c r="M525" s="37" t="s">
        <v>611</v>
      </c>
      <c r="N525" s="37">
        <v>5</v>
      </c>
      <c r="O525" s="37">
        <v>5</v>
      </c>
      <c r="P525" s="27">
        <v>5</v>
      </c>
      <c r="Q525" s="172">
        <v>3</v>
      </c>
      <c r="R525" s="24">
        <v>5</v>
      </c>
      <c r="S525" s="23"/>
      <c r="T525" s="24">
        <v>5</v>
      </c>
      <c r="U525" s="24">
        <v>5</v>
      </c>
      <c r="V525" s="24">
        <v>5</v>
      </c>
      <c r="W525" s="37"/>
      <c r="X525" s="24"/>
      <c r="Y525" s="24"/>
      <c r="Z525" s="37"/>
      <c r="AA525" s="24"/>
      <c r="AB525" s="24">
        <v>5</v>
      </c>
      <c r="AC525" s="24">
        <v>5</v>
      </c>
      <c r="AD525" s="37">
        <v>5</v>
      </c>
      <c r="AE525" s="24">
        <v>5</v>
      </c>
      <c r="AF525" s="37">
        <v>5</v>
      </c>
      <c r="AG525" s="37">
        <v>6</v>
      </c>
      <c r="AH525" s="27" t="s">
        <v>623</v>
      </c>
      <c r="AI525" s="24"/>
      <c r="AJ525" s="37"/>
      <c r="AK525" s="27"/>
      <c r="AL525" s="24">
        <v>4</v>
      </c>
      <c r="AM525" s="26"/>
      <c r="AN525" s="27"/>
      <c r="AO525" s="27"/>
      <c r="AP525" s="37"/>
      <c r="AQ525" s="27"/>
      <c r="AR525">
        <f t="shared" si="17"/>
        <v>18</v>
      </c>
    </row>
    <row r="526" spans="1:44" x14ac:dyDescent="0.25">
      <c r="B526" t="str">
        <f t="shared" si="16"/>
        <v>EAG - Dos Santos</v>
      </c>
      <c r="C526" t="s">
        <v>967</v>
      </c>
      <c r="D526" s="147" t="s">
        <v>622</v>
      </c>
      <c r="E526" s="38" t="s">
        <v>957</v>
      </c>
      <c r="F526" s="246">
        <v>6</v>
      </c>
      <c r="G526" s="247">
        <v>2</v>
      </c>
      <c r="H526" s="78"/>
      <c r="I526" s="211">
        <f>AVERAGE(P526,Q526,Z526,AB526,AH526,AI526)</f>
        <v>4</v>
      </c>
      <c r="J526" s="179"/>
      <c r="K526" s="24"/>
      <c r="L526" s="37"/>
      <c r="M526" s="37" t="s">
        <v>611</v>
      </c>
      <c r="N526" s="37"/>
      <c r="O526" s="37"/>
      <c r="P526" s="27">
        <v>4</v>
      </c>
      <c r="Q526" s="37">
        <v>4</v>
      </c>
      <c r="R526" s="24"/>
      <c r="S526" s="37" t="s">
        <v>611</v>
      </c>
      <c r="T526" s="24"/>
      <c r="U526" s="37" t="s">
        <v>611</v>
      </c>
      <c r="V526" s="24"/>
      <c r="W526" s="37"/>
      <c r="X526" s="24"/>
      <c r="Y526" s="24"/>
      <c r="Z526" s="37">
        <v>4</v>
      </c>
      <c r="AA526" s="37"/>
      <c r="AB526" s="37">
        <v>5</v>
      </c>
      <c r="AC526" s="37"/>
      <c r="AD526" s="37"/>
      <c r="AE526" s="37"/>
      <c r="AF526" s="24"/>
      <c r="AG526" s="24"/>
      <c r="AH526" s="27">
        <v>5</v>
      </c>
      <c r="AI526" s="82">
        <v>2</v>
      </c>
      <c r="AJ526" s="24"/>
      <c r="AK526" s="27"/>
      <c r="AL526" s="24"/>
      <c r="AM526" s="26"/>
      <c r="AN526" s="27"/>
      <c r="AO526" s="27"/>
      <c r="AP526" s="37"/>
      <c r="AQ526" s="27"/>
      <c r="AR526">
        <f t="shared" si="17"/>
        <v>8</v>
      </c>
    </row>
    <row r="527" spans="1:44" x14ac:dyDescent="0.25">
      <c r="B527" t="str">
        <f t="shared" si="16"/>
        <v>OL - Lopes</v>
      </c>
      <c r="C527" t="s">
        <v>672</v>
      </c>
      <c r="D527" s="29" t="s">
        <v>605</v>
      </c>
      <c r="E527" s="30" t="s">
        <v>124</v>
      </c>
      <c r="F527" s="31">
        <v>30</v>
      </c>
      <c r="G527" s="99"/>
      <c r="H527" s="114"/>
      <c r="I527" s="211">
        <f>AVERAGE(AA527,K527,L527,M527,J527,N527,O527,P527,Q527,R527,S527,T527,U527,V527,W527,X527,Z527,AB527,AC527,AD527,AE527,AF527,AG527,AH527,AI527,AJ527,AK527,AL527,AM527,AN527)</f>
        <v>5.5</v>
      </c>
      <c r="J527" s="97">
        <v>6</v>
      </c>
      <c r="K527" s="77">
        <v>6</v>
      </c>
      <c r="L527" s="24">
        <v>5</v>
      </c>
      <c r="M527" s="75">
        <v>7</v>
      </c>
      <c r="N527" s="22">
        <v>6</v>
      </c>
      <c r="O527" s="24">
        <v>5</v>
      </c>
      <c r="P527" s="28">
        <v>6</v>
      </c>
      <c r="Q527" s="24">
        <v>4</v>
      </c>
      <c r="R527" s="22">
        <v>6</v>
      </c>
      <c r="S527" s="24">
        <v>4</v>
      </c>
      <c r="T527" s="25">
        <v>7</v>
      </c>
      <c r="U527" s="22">
        <v>6</v>
      </c>
      <c r="V527" s="22">
        <v>5</v>
      </c>
      <c r="W527" s="23">
        <v>5</v>
      </c>
      <c r="X527" s="24">
        <v>5</v>
      </c>
      <c r="Y527" s="24"/>
      <c r="Z527" s="24">
        <v>5</v>
      </c>
      <c r="AA527" s="23">
        <v>4</v>
      </c>
      <c r="AB527" s="23">
        <v>6</v>
      </c>
      <c r="AC527" s="23">
        <v>5</v>
      </c>
      <c r="AD527" s="23">
        <v>5</v>
      </c>
      <c r="AE527" s="23">
        <v>5</v>
      </c>
      <c r="AF527" s="23">
        <v>5</v>
      </c>
      <c r="AG527" s="22">
        <v>6</v>
      </c>
      <c r="AH527" s="28">
        <v>6</v>
      </c>
      <c r="AI527" s="83">
        <v>7</v>
      </c>
      <c r="AJ527" s="24">
        <v>5</v>
      </c>
      <c r="AK527" s="27">
        <v>6</v>
      </c>
      <c r="AL527" s="23">
        <v>6</v>
      </c>
      <c r="AM527" s="27">
        <v>5</v>
      </c>
      <c r="AN527" s="28">
        <v>6</v>
      </c>
      <c r="AO527" s="28"/>
      <c r="AP527" s="24"/>
      <c r="AQ527" s="27"/>
      <c r="AR527">
        <f t="shared" si="17"/>
        <v>30</v>
      </c>
    </row>
    <row r="528" spans="1:44" x14ac:dyDescent="0.25">
      <c r="B528" t="str">
        <f t="shared" si="16"/>
        <v>EAG - Benezet</v>
      </c>
      <c r="C528" t="s">
        <v>967</v>
      </c>
      <c r="D528" s="147" t="s">
        <v>622</v>
      </c>
      <c r="E528" s="155" t="s">
        <v>178</v>
      </c>
      <c r="F528" s="246">
        <v>14</v>
      </c>
      <c r="G528" s="247">
        <v>5</v>
      </c>
      <c r="H528" s="78">
        <v>4</v>
      </c>
      <c r="I528" s="211">
        <f>AVERAGE(K528,M528,J528,N528,O528,Q528,T528,U528,V528,Y528,Z528,AD528,AE528,AJ528)</f>
        <v>5.7857142857142856</v>
      </c>
      <c r="J528" s="179">
        <v>5</v>
      </c>
      <c r="K528" s="66">
        <v>7</v>
      </c>
      <c r="L528" s="37"/>
      <c r="M528" s="75">
        <v>7</v>
      </c>
      <c r="N528" s="37">
        <v>5</v>
      </c>
      <c r="O528" s="37">
        <v>6</v>
      </c>
      <c r="P528" s="26" t="s">
        <v>611</v>
      </c>
      <c r="Q528" s="75">
        <v>10</v>
      </c>
      <c r="R528" s="24"/>
      <c r="S528" s="37" t="s">
        <v>611</v>
      </c>
      <c r="T528" s="24">
        <v>5</v>
      </c>
      <c r="U528" s="24">
        <v>4</v>
      </c>
      <c r="V528" s="24">
        <v>5</v>
      </c>
      <c r="W528" s="37"/>
      <c r="X528" s="37" t="s">
        <v>611</v>
      </c>
      <c r="Y528" s="37">
        <v>5</v>
      </c>
      <c r="Z528" s="37">
        <v>4</v>
      </c>
      <c r="AA528" s="37" t="s">
        <v>623</v>
      </c>
      <c r="AB528" s="37" t="s">
        <v>611</v>
      </c>
      <c r="AC528" s="37"/>
      <c r="AD528" s="75">
        <v>7</v>
      </c>
      <c r="AE528" s="37">
        <v>5</v>
      </c>
      <c r="AF528" s="24"/>
      <c r="AG528" s="24"/>
      <c r="AH528" s="26"/>
      <c r="AI528" s="24"/>
      <c r="AJ528" s="24">
        <v>6</v>
      </c>
      <c r="AK528" s="27"/>
      <c r="AL528" s="24"/>
      <c r="AM528" s="26"/>
      <c r="AN528" s="27"/>
      <c r="AO528" s="27"/>
      <c r="AP528" s="37"/>
      <c r="AQ528" s="27"/>
      <c r="AR528">
        <f t="shared" si="17"/>
        <v>19</v>
      </c>
    </row>
    <row r="529" spans="2:44" x14ac:dyDescent="0.25">
      <c r="B529" t="str">
        <f t="shared" si="16"/>
        <v>EAG - Coco</v>
      </c>
      <c r="C529" t="s">
        <v>967</v>
      </c>
      <c r="D529" s="29" t="s">
        <v>622</v>
      </c>
      <c r="E529" s="60" t="s">
        <v>958</v>
      </c>
      <c r="F529" s="31">
        <v>15</v>
      </c>
      <c r="G529" s="27">
        <v>8</v>
      </c>
      <c r="H529" s="73">
        <v>1</v>
      </c>
      <c r="I529" s="211">
        <f>AVERAGE(AB529,M529,N529,O529,P529,Q529,R529,S529,V529,W529,X529,Y529,AC529,AI529,AN529)</f>
        <v>4.4000000000000004</v>
      </c>
      <c r="J529" s="87"/>
      <c r="K529" s="24"/>
      <c r="L529" s="37"/>
      <c r="M529" s="37">
        <v>5</v>
      </c>
      <c r="N529" s="37">
        <v>4</v>
      </c>
      <c r="O529" s="37">
        <v>4</v>
      </c>
      <c r="P529" s="27">
        <v>4</v>
      </c>
      <c r="Q529" s="37">
        <v>5</v>
      </c>
      <c r="R529" s="24">
        <v>4</v>
      </c>
      <c r="S529" s="23">
        <v>4</v>
      </c>
      <c r="T529" s="37" t="s">
        <v>611</v>
      </c>
      <c r="U529" s="24"/>
      <c r="V529" s="24">
        <v>5</v>
      </c>
      <c r="W529" s="37">
        <v>5</v>
      </c>
      <c r="X529" s="24">
        <v>5</v>
      </c>
      <c r="Y529" s="82">
        <v>3</v>
      </c>
      <c r="Z529" s="37"/>
      <c r="AA529" s="37" t="s">
        <v>611</v>
      </c>
      <c r="AB529" s="24">
        <v>4</v>
      </c>
      <c r="AC529" s="24">
        <v>4</v>
      </c>
      <c r="AD529" s="37" t="s">
        <v>611</v>
      </c>
      <c r="AE529" s="24"/>
      <c r="AF529" s="37" t="s">
        <v>611</v>
      </c>
      <c r="AG529" s="24"/>
      <c r="AH529" s="26" t="s">
        <v>611</v>
      </c>
      <c r="AI529" s="22">
        <v>5</v>
      </c>
      <c r="AJ529" s="37" t="s">
        <v>611</v>
      </c>
      <c r="AK529" s="26" t="s">
        <v>611</v>
      </c>
      <c r="AL529" s="24"/>
      <c r="AM529" s="26" t="s">
        <v>611</v>
      </c>
      <c r="AN529" s="27">
        <v>5</v>
      </c>
      <c r="AO529" s="27"/>
      <c r="AP529" s="37"/>
      <c r="AQ529" s="27"/>
      <c r="AR529">
        <f t="shared" si="17"/>
        <v>23</v>
      </c>
    </row>
    <row r="530" spans="2:44" x14ac:dyDescent="0.25">
      <c r="B530" t="str">
        <f t="shared" si="16"/>
        <v>EAG - Blas</v>
      </c>
      <c r="C530" t="s">
        <v>967</v>
      </c>
      <c r="D530" s="29" t="s">
        <v>622</v>
      </c>
      <c r="E530" s="65" t="s">
        <v>959</v>
      </c>
      <c r="F530" s="31">
        <v>3</v>
      </c>
      <c r="G530" s="27">
        <v>4</v>
      </c>
      <c r="H530" s="73">
        <v>1</v>
      </c>
      <c r="I530" s="211">
        <f>AVERAGE(Z530,AA530,AK530,AM530)</f>
        <v>4.75</v>
      </c>
      <c r="J530" s="87"/>
      <c r="K530" s="24"/>
      <c r="L530" s="37"/>
      <c r="M530" s="37"/>
      <c r="N530" s="37"/>
      <c r="O530" s="37"/>
      <c r="P530" s="27"/>
      <c r="Q530" s="37"/>
      <c r="R530" s="24"/>
      <c r="S530" s="23"/>
      <c r="T530" s="37"/>
      <c r="U530" s="24"/>
      <c r="V530" s="24"/>
      <c r="W530" s="37"/>
      <c r="X530" s="24"/>
      <c r="Y530" s="37"/>
      <c r="Z530" s="37">
        <v>4</v>
      </c>
      <c r="AA530" s="24">
        <v>5</v>
      </c>
      <c r="AB530" s="24"/>
      <c r="AC530" s="24"/>
      <c r="AD530" s="37"/>
      <c r="AE530" s="24"/>
      <c r="AF530" s="24"/>
      <c r="AG530" s="77" t="s">
        <v>611</v>
      </c>
      <c r="AH530" s="27"/>
      <c r="AI530" s="37" t="s">
        <v>611</v>
      </c>
      <c r="AJ530" s="24"/>
      <c r="AK530" s="27">
        <v>6</v>
      </c>
      <c r="AL530" s="37" t="s">
        <v>611</v>
      </c>
      <c r="AM530" s="26">
        <v>4</v>
      </c>
      <c r="AN530" s="27"/>
      <c r="AO530" s="27"/>
      <c r="AP530" s="37"/>
      <c r="AQ530" s="27"/>
      <c r="AR530">
        <f t="shared" si="17"/>
        <v>7</v>
      </c>
    </row>
    <row r="531" spans="2:44" x14ac:dyDescent="0.25">
      <c r="B531" t="str">
        <f t="shared" si="16"/>
        <v>EAG - Livolant</v>
      </c>
      <c r="C531" t="s">
        <v>967</v>
      </c>
      <c r="D531" s="29" t="s">
        <v>622</v>
      </c>
      <c r="E531" s="65" t="s">
        <v>960</v>
      </c>
      <c r="F531" s="31"/>
      <c r="G531" s="27">
        <v>1</v>
      </c>
      <c r="H531" s="73"/>
      <c r="I531" s="211"/>
      <c r="J531" s="87"/>
      <c r="K531" s="24"/>
      <c r="L531" s="37"/>
      <c r="M531" s="37"/>
      <c r="N531" s="37"/>
      <c r="O531" s="37"/>
      <c r="P531" s="27"/>
      <c r="Q531" s="37"/>
      <c r="R531" s="24"/>
      <c r="S531" s="23"/>
      <c r="T531" s="37"/>
      <c r="U531" s="24"/>
      <c r="V531" s="24"/>
      <c r="W531" s="37"/>
      <c r="X531" s="24"/>
      <c r="Y531" s="37"/>
      <c r="Z531" s="37" t="s">
        <v>611</v>
      </c>
      <c r="AA531" s="24"/>
      <c r="AB531" s="24"/>
      <c r="AC531" s="24"/>
      <c r="AD531" s="37"/>
      <c r="AE531" s="24"/>
      <c r="AF531" s="24"/>
      <c r="AG531" s="24"/>
      <c r="AH531" s="27"/>
      <c r="AI531" s="24"/>
      <c r="AJ531" s="24"/>
      <c r="AK531" s="27"/>
      <c r="AL531" s="24"/>
      <c r="AM531" s="26"/>
      <c r="AN531" s="27"/>
      <c r="AO531" s="27"/>
      <c r="AP531" s="37"/>
      <c r="AQ531" s="27"/>
      <c r="AR531">
        <f t="shared" si="17"/>
        <v>1</v>
      </c>
    </row>
    <row r="532" spans="2:44" x14ac:dyDescent="0.25">
      <c r="B532" t="str">
        <f t="shared" si="16"/>
        <v>EAG - De Pauw</v>
      </c>
      <c r="C532" t="s">
        <v>967</v>
      </c>
      <c r="D532" s="29" t="s">
        <v>622</v>
      </c>
      <c r="E532" s="65" t="s">
        <v>965</v>
      </c>
      <c r="F532" s="31">
        <v>3</v>
      </c>
      <c r="G532" s="38">
        <v>8</v>
      </c>
      <c r="H532" s="33"/>
      <c r="I532" s="211">
        <f>AVERAGE(K532,J532,P532)</f>
        <v>4.333333333333333</v>
      </c>
      <c r="J532" s="87">
        <v>4</v>
      </c>
      <c r="K532" s="24">
        <v>4</v>
      </c>
      <c r="L532" s="37" t="s">
        <v>611</v>
      </c>
      <c r="M532" s="37" t="s">
        <v>611</v>
      </c>
      <c r="N532" s="37" t="s">
        <v>611</v>
      </c>
      <c r="O532" s="37" t="s">
        <v>611</v>
      </c>
      <c r="P532" s="27">
        <v>5</v>
      </c>
      <c r="Q532" s="37"/>
      <c r="R532" s="24"/>
      <c r="S532" s="22"/>
      <c r="T532" s="24"/>
      <c r="U532" s="37" t="s">
        <v>611</v>
      </c>
      <c r="V532" s="24"/>
      <c r="W532" s="37"/>
      <c r="X532" s="37" t="s">
        <v>611</v>
      </c>
      <c r="Y532" s="24"/>
      <c r="Z532" s="37" t="s">
        <v>611</v>
      </c>
      <c r="AA532" s="37" t="s">
        <v>611</v>
      </c>
      <c r="AB532" s="24"/>
      <c r="AC532" s="24"/>
      <c r="AD532" s="37"/>
      <c r="AE532" s="24"/>
      <c r="AF532" s="24"/>
      <c r="AG532" s="24"/>
      <c r="AH532" s="27"/>
      <c r="AI532" s="24"/>
      <c r="AJ532" s="24"/>
      <c r="AK532" s="27"/>
      <c r="AL532" s="24"/>
      <c r="AM532" s="26"/>
      <c r="AN532" s="27"/>
      <c r="AO532" s="27"/>
      <c r="AP532" s="37"/>
      <c r="AQ532" s="27"/>
      <c r="AR532">
        <f t="shared" si="17"/>
        <v>11</v>
      </c>
    </row>
    <row r="533" spans="2:44" x14ac:dyDescent="0.25">
      <c r="B533" t="str">
        <f t="shared" si="16"/>
        <v>OGCN - Pied</v>
      </c>
      <c r="C533" t="s">
        <v>696</v>
      </c>
      <c r="D533" s="102" t="s">
        <v>622</v>
      </c>
      <c r="E533" s="158" t="s">
        <v>68</v>
      </c>
      <c r="F533" s="218">
        <v>27</v>
      </c>
      <c r="G533" s="178"/>
      <c r="H533" s="103"/>
      <c r="I533" s="243">
        <f>AVERAGE(AB533,AA533,L533,M533,N533,O533,P533,Q533,S533,T533,U533,R533,V533,W533,X533,AC533,AD533,AE533,AF533,AG533,AH533,AI533,AJ533,AK533,AL533,AM533,AN533)</f>
        <v>5.4074074074074074</v>
      </c>
      <c r="J533" s="296"/>
      <c r="K533" s="23"/>
      <c r="L533" s="23">
        <v>5</v>
      </c>
      <c r="M533" s="23">
        <v>5</v>
      </c>
      <c r="N533" s="23">
        <v>5</v>
      </c>
      <c r="O533" s="23">
        <v>5</v>
      </c>
      <c r="P533" s="143">
        <v>6</v>
      </c>
      <c r="Q533" s="23">
        <v>5</v>
      </c>
      <c r="R533" s="23">
        <v>6</v>
      </c>
      <c r="S533" s="23">
        <v>5</v>
      </c>
      <c r="T533" s="23">
        <v>5</v>
      </c>
      <c r="U533" s="23">
        <v>6</v>
      </c>
      <c r="V533" s="23">
        <v>6</v>
      </c>
      <c r="W533" s="83">
        <v>7</v>
      </c>
      <c r="X533" s="23">
        <v>5</v>
      </c>
      <c r="Y533" s="23"/>
      <c r="Z533" s="23"/>
      <c r="AA533" s="23">
        <v>5</v>
      </c>
      <c r="AB533" s="23">
        <v>5</v>
      </c>
      <c r="AC533" s="76">
        <v>5</v>
      </c>
      <c r="AD533" s="23">
        <v>5</v>
      </c>
      <c r="AE533" s="23">
        <v>6</v>
      </c>
      <c r="AF533" s="23">
        <v>6</v>
      </c>
      <c r="AG533" s="23">
        <v>6</v>
      </c>
      <c r="AH533" s="143">
        <v>5</v>
      </c>
      <c r="AI533" s="23">
        <v>5</v>
      </c>
      <c r="AJ533" s="23">
        <v>6</v>
      </c>
      <c r="AK533" s="143">
        <v>4</v>
      </c>
      <c r="AL533" s="83">
        <v>7</v>
      </c>
      <c r="AM533" s="143">
        <v>5</v>
      </c>
      <c r="AN533" s="143">
        <v>5</v>
      </c>
      <c r="AO533" s="143"/>
      <c r="AP533" s="23"/>
      <c r="AQ533" s="143"/>
      <c r="AR533">
        <f t="shared" si="17"/>
        <v>27</v>
      </c>
    </row>
    <row r="534" spans="2:44" x14ac:dyDescent="0.25">
      <c r="B534" t="str">
        <f t="shared" si="16"/>
        <v>EAG - Alioui</v>
      </c>
      <c r="C534" t="s">
        <v>967</v>
      </c>
      <c r="D534" s="132" t="s">
        <v>633</v>
      </c>
      <c r="E534" s="132" t="s">
        <v>962</v>
      </c>
      <c r="F534" s="133"/>
      <c r="G534" s="134"/>
      <c r="H534" s="135"/>
      <c r="I534" s="211"/>
      <c r="J534" s="136"/>
      <c r="K534" s="134"/>
      <c r="L534" s="138"/>
      <c r="M534" s="138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4"/>
      <c r="AF534" s="139"/>
      <c r="AG534" s="134"/>
      <c r="AH534" s="139"/>
      <c r="AI534" s="134"/>
      <c r="AJ534" s="134"/>
      <c r="AK534" s="139"/>
      <c r="AL534" s="139"/>
      <c r="AM534" s="139"/>
      <c r="AN534" s="139"/>
      <c r="AO534" s="134"/>
      <c r="AP534" s="139"/>
      <c r="AQ534" s="139"/>
      <c r="AR534">
        <f t="shared" si="17"/>
        <v>0</v>
      </c>
    </row>
    <row r="535" spans="2:44" x14ac:dyDescent="0.25">
      <c r="B535" t="str">
        <f t="shared" si="16"/>
        <v>EAG - Achahbar</v>
      </c>
      <c r="C535" t="s">
        <v>967</v>
      </c>
      <c r="D535" s="132" t="s">
        <v>633</v>
      </c>
      <c r="E535" s="132" t="s">
        <v>963</v>
      </c>
      <c r="F535" s="133"/>
      <c r="G535" s="134"/>
      <c r="H535" s="135"/>
      <c r="I535" s="211"/>
      <c r="J535" s="136"/>
      <c r="K535" s="134"/>
      <c r="L535" s="138"/>
      <c r="M535" s="138"/>
      <c r="N535" s="139"/>
      <c r="O535" s="139"/>
      <c r="P535" s="139"/>
      <c r="Q535" s="139"/>
      <c r="R535" s="139"/>
      <c r="S535" s="139"/>
      <c r="T535" s="139"/>
      <c r="U535" s="138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4"/>
      <c r="AF535" s="139"/>
      <c r="AG535" s="134"/>
      <c r="AH535" s="139"/>
      <c r="AI535" s="134"/>
      <c r="AJ535" s="134"/>
      <c r="AK535" s="139"/>
      <c r="AL535" s="139"/>
      <c r="AM535" s="139"/>
      <c r="AN535" s="139"/>
      <c r="AO535" s="134"/>
      <c r="AP535" s="139"/>
      <c r="AQ535" s="139"/>
      <c r="AR535">
        <f t="shared" si="17"/>
        <v>0</v>
      </c>
    </row>
    <row r="536" spans="2:44" x14ac:dyDescent="0.25">
      <c r="B536" t="str">
        <f t="shared" si="16"/>
        <v>EAG - Schwartz</v>
      </c>
      <c r="C536" t="s">
        <v>967</v>
      </c>
      <c r="D536" s="132" t="s">
        <v>633</v>
      </c>
      <c r="E536" s="132" t="s">
        <v>964</v>
      </c>
      <c r="F536" s="133"/>
      <c r="G536" s="134"/>
      <c r="H536" s="135"/>
      <c r="I536" s="211"/>
      <c r="J536" s="136"/>
      <c r="K536" s="134"/>
      <c r="L536" s="138"/>
      <c r="M536" s="138"/>
      <c r="N536" s="139"/>
      <c r="O536" s="139"/>
      <c r="P536" s="139"/>
      <c r="Q536" s="139"/>
      <c r="R536" s="139"/>
      <c r="S536" s="139"/>
      <c r="T536" s="139"/>
      <c r="U536" s="138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4"/>
      <c r="AF536" s="139"/>
      <c r="AG536" s="134"/>
      <c r="AH536" s="139"/>
      <c r="AI536" s="134"/>
      <c r="AJ536" s="134"/>
      <c r="AK536" s="139"/>
      <c r="AL536" s="139"/>
      <c r="AM536" s="139"/>
      <c r="AN536" s="139"/>
      <c r="AO536" s="134"/>
      <c r="AP536" s="139"/>
      <c r="AQ536" s="139"/>
      <c r="AR536">
        <f t="shared" si="17"/>
        <v>0</v>
      </c>
    </row>
    <row r="537" spans="2:44" x14ac:dyDescent="0.25">
      <c r="B537" t="str">
        <f t="shared" si="16"/>
        <v>EAG - Dembélé</v>
      </c>
      <c r="C537" t="s">
        <v>967</v>
      </c>
      <c r="D537" s="29" t="s">
        <v>633</v>
      </c>
      <c r="E537" s="155" t="s">
        <v>877</v>
      </c>
      <c r="F537" s="31">
        <v>4</v>
      </c>
      <c r="G537" s="38">
        <v>8</v>
      </c>
      <c r="H537" s="33"/>
      <c r="I537" s="211">
        <f>AVERAGE(L537,N537,X537,Z537)</f>
        <v>4</v>
      </c>
      <c r="J537" s="87" t="s">
        <v>611</v>
      </c>
      <c r="K537" s="37" t="s">
        <v>611</v>
      </c>
      <c r="L537" s="37">
        <v>4</v>
      </c>
      <c r="M537" s="37" t="s">
        <v>611</v>
      </c>
      <c r="N537" s="37">
        <v>4</v>
      </c>
      <c r="O537" s="37"/>
      <c r="P537" s="26" t="s">
        <v>611</v>
      </c>
      <c r="Q537" s="37"/>
      <c r="R537" s="24"/>
      <c r="S537" s="22"/>
      <c r="T537" s="24"/>
      <c r="U537" s="24"/>
      <c r="V537" s="24"/>
      <c r="W537" s="37" t="s">
        <v>611</v>
      </c>
      <c r="X537" s="24">
        <v>4</v>
      </c>
      <c r="Y537" s="37" t="s">
        <v>611</v>
      </c>
      <c r="Z537" s="37">
        <v>4</v>
      </c>
      <c r="AA537" s="37" t="s">
        <v>611</v>
      </c>
      <c r="AB537" s="24"/>
      <c r="AC537" s="24"/>
      <c r="AD537" s="37"/>
      <c r="AE537" s="24"/>
      <c r="AF537" s="24"/>
      <c r="AG537" s="24"/>
      <c r="AH537" s="27"/>
      <c r="AI537" s="24"/>
      <c r="AJ537" s="24"/>
      <c r="AK537" s="27"/>
      <c r="AL537" s="24"/>
      <c r="AM537" s="26"/>
      <c r="AN537" s="26" t="s">
        <v>611</v>
      </c>
      <c r="AO537" s="27"/>
      <c r="AP537" s="37"/>
      <c r="AQ537" s="27"/>
      <c r="AR537">
        <f t="shared" si="17"/>
        <v>12</v>
      </c>
    </row>
    <row r="538" spans="2:44" x14ac:dyDescent="0.25">
      <c r="B538" t="str">
        <f t="shared" si="16"/>
        <v>Losc - Enyeama</v>
      </c>
      <c r="C538" t="s">
        <v>739</v>
      </c>
      <c r="D538" s="29" t="s">
        <v>605</v>
      </c>
      <c r="E538" s="30" t="s">
        <v>114</v>
      </c>
      <c r="F538" s="31">
        <v>28</v>
      </c>
      <c r="G538" s="30"/>
      <c r="H538" s="33"/>
      <c r="I538" s="211">
        <f>AVERAGE(J538,K538,L538,M538,N538,O538,S538,T538,U538,V538,W538,X538,Y538,Z538,AA538,AB538,AC538,AD538,AE538,AF538,AG538,AH538,AI538,AJ538,AK538,AL538,AM538,AN538)</f>
        <v>5.5</v>
      </c>
      <c r="J538" s="162">
        <v>5</v>
      </c>
      <c r="K538" s="25">
        <v>7</v>
      </c>
      <c r="L538" s="25">
        <v>7</v>
      </c>
      <c r="M538" s="25">
        <v>7</v>
      </c>
      <c r="N538" s="25">
        <v>8</v>
      </c>
      <c r="O538" s="163">
        <v>3</v>
      </c>
      <c r="P538" s="27"/>
      <c r="Q538" s="22"/>
      <c r="R538" s="24"/>
      <c r="S538" s="24">
        <v>5</v>
      </c>
      <c r="T538" s="24">
        <v>5</v>
      </c>
      <c r="U538" s="22">
        <v>6</v>
      </c>
      <c r="V538" s="24">
        <v>5</v>
      </c>
      <c r="W538" s="23">
        <v>5</v>
      </c>
      <c r="X538" s="24">
        <v>5</v>
      </c>
      <c r="Y538" s="22">
        <v>5</v>
      </c>
      <c r="Z538" s="24">
        <v>6</v>
      </c>
      <c r="AA538" s="22">
        <v>6</v>
      </c>
      <c r="AB538" s="24">
        <v>5</v>
      </c>
      <c r="AC538" s="23">
        <v>5</v>
      </c>
      <c r="AD538" s="24">
        <v>5</v>
      </c>
      <c r="AE538" s="24">
        <v>4</v>
      </c>
      <c r="AF538" s="24">
        <v>5</v>
      </c>
      <c r="AG538" s="22">
        <v>6</v>
      </c>
      <c r="AH538" s="143">
        <v>5</v>
      </c>
      <c r="AI538" s="22">
        <v>6</v>
      </c>
      <c r="AJ538" s="25">
        <v>7</v>
      </c>
      <c r="AK538" s="143">
        <v>4</v>
      </c>
      <c r="AL538" s="25">
        <v>7</v>
      </c>
      <c r="AM538" s="27">
        <v>4</v>
      </c>
      <c r="AN538" s="28">
        <v>6</v>
      </c>
      <c r="AO538" s="28"/>
      <c r="AP538" s="22"/>
      <c r="AQ538" s="27"/>
      <c r="AR538">
        <f t="shared" si="17"/>
        <v>28</v>
      </c>
    </row>
    <row r="539" spans="2:44" x14ac:dyDescent="0.25">
      <c r="B539" t="str">
        <f t="shared" si="16"/>
        <v>EAG - Bègue</v>
      </c>
      <c r="C539" t="s">
        <v>967</v>
      </c>
      <c r="D539" s="132" t="s">
        <v>633</v>
      </c>
      <c r="E539" s="132" t="s">
        <v>966</v>
      </c>
      <c r="F539" s="133"/>
      <c r="G539" s="134">
        <v>3</v>
      </c>
      <c r="H539" s="135"/>
      <c r="I539" s="211"/>
      <c r="J539" s="136"/>
      <c r="K539" s="134"/>
      <c r="L539" s="138" t="s">
        <v>611</v>
      </c>
      <c r="M539" s="138"/>
      <c r="N539" s="139"/>
      <c r="O539" s="139"/>
      <c r="P539" s="139"/>
      <c r="Q539" s="139" t="s">
        <v>611</v>
      </c>
      <c r="R539" s="139" t="s">
        <v>611</v>
      </c>
      <c r="S539" s="139"/>
      <c r="T539" s="139"/>
      <c r="U539" s="138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4"/>
      <c r="AF539" s="139"/>
      <c r="AG539" s="134"/>
      <c r="AH539" s="139"/>
      <c r="AI539" s="134"/>
      <c r="AJ539" s="134"/>
      <c r="AK539" s="139"/>
      <c r="AL539" s="139"/>
      <c r="AM539" s="139"/>
      <c r="AN539" s="139"/>
      <c r="AO539" s="134"/>
      <c r="AP539" s="139"/>
      <c r="AQ539" s="139"/>
      <c r="AR539">
        <f t="shared" si="17"/>
        <v>3</v>
      </c>
    </row>
    <row r="540" spans="2:44" x14ac:dyDescent="0.25">
      <c r="B540" t="str">
        <f t="shared" si="16"/>
        <v>EAG - Erding</v>
      </c>
      <c r="C540" t="s">
        <v>967</v>
      </c>
      <c r="D540" s="29" t="s">
        <v>633</v>
      </c>
      <c r="E540" s="155" t="s">
        <v>1047</v>
      </c>
      <c r="F540" s="31">
        <v>7</v>
      </c>
      <c r="G540" s="38">
        <v>2</v>
      </c>
      <c r="H540" s="33">
        <v>2</v>
      </c>
      <c r="I540" s="211">
        <f>AVERAGE(AD540,AE540,AG540,AH540,AI540,AJ540,AL540)</f>
        <v>4.4285714285714288</v>
      </c>
      <c r="J540" s="87"/>
      <c r="K540" s="24"/>
      <c r="L540" s="37"/>
      <c r="M540" s="37"/>
      <c r="N540" s="37"/>
      <c r="O540" s="37"/>
      <c r="P540" s="27"/>
      <c r="Q540" s="37"/>
      <c r="R540" s="37"/>
      <c r="S540" s="22"/>
      <c r="T540" s="24"/>
      <c r="U540" s="24"/>
      <c r="V540" s="24"/>
      <c r="W540" s="37"/>
      <c r="X540" s="24"/>
      <c r="Y540" s="24"/>
      <c r="Z540" s="37"/>
      <c r="AA540" s="24"/>
      <c r="AB540" s="24"/>
      <c r="AC540" s="37" t="s">
        <v>611</v>
      </c>
      <c r="AD540" s="37">
        <v>4</v>
      </c>
      <c r="AE540" s="24">
        <v>4</v>
      </c>
      <c r="AF540" s="37" t="s">
        <v>611</v>
      </c>
      <c r="AG540" s="25">
        <v>7</v>
      </c>
      <c r="AH540" s="27">
        <v>4</v>
      </c>
      <c r="AI540" s="82">
        <v>3</v>
      </c>
      <c r="AJ540" s="24">
        <v>4</v>
      </c>
      <c r="AK540" s="27"/>
      <c r="AL540" s="22">
        <v>5</v>
      </c>
      <c r="AM540" s="26"/>
      <c r="AN540" s="27"/>
      <c r="AO540" s="27"/>
      <c r="AP540" s="37"/>
      <c r="AQ540" s="27"/>
      <c r="AR540">
        <f t="shared" si="17"/>
        <v>9</v>
      </c>
    </row>
    <row r="541" spans="2:44" ht="15.75" thickBot="1" x14ac:dyDescent="0.3">
      <c r="B541" t="str">
        <f t="shared" si="16"/>
        <v>ASSE - Lemoine</v>
      </c>
      <c r="C541" t="s">
        <v>714</v>
      </c>
      <c r="D541" s="88" t="s">
        <v>622</v>
      </c>
      <c r="E541" s="159" t="s">
        <v>709</v>
      </c>
      <c r="F541" s="90">
        <v>23</v>
      </c>
      <c r="G541" s="141">
        <v>4</v>
      </c>
      <c r="H541" s="92"/>
      <c r="I541" s="249">
        <f>AVERAGE(Z541,K541,L541,M541,J541,P541,Q541,R541,S541,T541,X541,AA541,AB541,AC541,AD541,AE541,AF541,AG541,AJ541,AK541,AL541,AN541)</f>
        <v>4.9090909090909092</v>
      </c>
      <c r="J541" s="38">
        <v>5</v>
      </c>
      <c r="K541" s="21">
        <v>6</v>
      </c>
      <c r="L541" s="37">
        <v>6</v>
      </c>
      <c r="M541" s="24">
        <v>4</v>
      </c>
      <c r="N541" s="37" t="s">
        <v>611</v>
      </c>
      <c r="O541" s="76" t="s">
        <v>611</v>
      </c>
      <c r="P541" s="27">
        <v>5</v>
      </c>
      <c r="Q541" s="24">
        <v>5</v>
      </c>
      <c r="R541" s="24">
        <v>5</v>
      </c>
      <c r="S541" s="23">
        <v>5</v>
      </c>
      <c r="T541" s="37">
        <v>4</v>
      </c>
      <c r="U541" s="24"/>
      <c r="V541" s="24" t="s">
        <v>641</v>
      </c>
      <c r="W541" s="24"/>
      <c r="X541" s="24">
        <v>5</v>
      </c>
      <c r="Y541" s="37"/>
      <c r="Z541" s="24">
        <v>4</v>
      </c>
      <c r="AA541" s="24">
        <v>4</v>
      </c>
      <c r="AB541" s="24">
        <v>5</v>
      </c>
      <c r="AC541" s="24">
        <v>4</v>
      </c>
      <c r="AD541" s="24">
        <v>5</v>
      </c>
      <c r="AE541" s="24">
        <v>5</v>
      </c>
      <c r="AF541" s="24">
        <v>4</v>
      </c>
      <c r="AG541" s="24">
        <v>6</v>
      </c>
      <c r="AH541" s="26" t="s">
        <v>611</v>
      </c>
      <c r="AI541" s="37" t="s">
        <v>611</v>
      </c>
      <c r="AJ541" s="24">
        <v>5</v>
      </c>
      <c r="AK541" s="27">
        <v>5</v>
      </c>
      <c r="AL541" s="24">
        <v>5</v>
      </c>
      <c r="AM541" s="27"/>
      <c r="AN541" s="27">
        <v>6</v>
      </c>
      <c r="AO541" s="27"/>
      <c r="AP541" s="24"/>
      <c r="AQ541" s="27"/>
      <c r="AR541">
        <f t="shared" si="17"/>
        <v>27</v>
      </c>
    </row>
    <row r="542" spans="2:44" x14ac:dyDescent="0.25">
      <c r="B542" t="str">
        <f t="shared" si="16"/>
        <v>SMC - Reulet</v>
      </c>
      <c r="C542" t="s">
        <v>978</v>
      </c>
      <c r="D542" s="29" t="s">
        <v>605</v>
      </c>
      <c r="E542" s="30" t="s">
        <v>519</v>
      </c>
      <c r="F542" s="31"/>
      <c r="G542" s="99"/>
      <c r="H542" s="73"/>
      <c r="I542" s="100"/>
      <c r="J542" s="181"/>
      <c r="K542" s="24"/>
      <c r="L542" s="37"/>
      <c r="M542" s="24"/>
      <c r="N542" s="37"/>
      <c r="O542" s="37"/>
      <c r="P542" s="27"/>
      <c r="Q542" s="37"/>
      <c r="R542" s="24"/>
      <c r="S542" s="23"/>
      <c r="T542" s="24"/>
      <c r="U542" s="24"/>
      <c r="V542" s="24"/>
      <c r="W542" s="37"/>
      <c r="X542" s="24"/>
      <c r="Y542" s="24"/>
      <c r="Z542" s="37"/>
      <c r="AA542" s="24"/>
      <c r="AB542" s="24"/>
      <c r="AC542" s="24"/>
      <c r="AD542" s="37"/>
      <c r="AE542" s="24"/>
      <c r="AF542" s="24"/>
      <c r="AG542" s="24"/>
      <c r="AH542" s="27"/>
      <c r="AI542" s="24"/>
      <c r="AJ542" s="24"/>
      <c r="AK542" s="27"/>
      <c r="AL542" s="24"/>
      <c r="AM542" s="26"/>
      <c r="AN542" s="27"/>
      <c r="AO542" s="27"/>
      <c r="AP542" s="37"/>
      <c r="AQ542" s="27"/>
      <c r="AR542">
        <f t="shared" si="17"/>
        <v>0</v>
      </c>
    </row>
    <row r="543" spans="2:44" x14ac:dyDescent="0.25">
      <c r="B543" t="str">
        <f t="shared" si="16"/>
        <v>PSG - Trapp</v>
      </c>
      <c r="C543" t="s">
        <v>673</v>
      </c>
      <c r="D543" s="67" t="s">
        <v>605</v>
      </c>
      <c r="E543" s="122" t="s">
        <v>287</v>
      </c>
      <c r="F543" s="69">
        <v>30</v>
      </c>
      <c r="G543" s="115"/>
      <c r="H543" s="123"/>
      <c r="I543" s="72">
        <f>AVERAGE(AA543,K543,L543,M543,J543,N543,O543,P543,Q543,R543,T543,U543,V543,W543,X543,Y543,Z543,AB543,AC543,AD543,AE543,AF543,AG543,AH543,AI543,AJ543,AK543,AL543,AM543,AN543)</f>
        <v>5.4666666666666668</v>
      </c>
      <c r="J543" s="97">
        <v>6</v>
      </c>
      <c r="K543" s="22">
        <v>5</v>
      </c>
      <c r="L543" s="22">
        <v>6</v>
      </c>
      <c r="M543" s="22">
        <v>6</v>
      </c>
      <c r="N543" s="163">
        <v>3</v>
      </c>
      <c r="O543" s="24">
        <v>5</v>
      </c>
      <c r="P543" s="28">
        <v>6</v>
      </c>
      <c r="Q543" s="24">
        <v>5</v>
      </c>
      <c r="R543" s="24">
        <v>6</v>
      </c>
      <c r="S543" s="24"/>
      <c r="T543" s="24">
        <v>6</v>
      </c>
      <c r="U543" s="22">
        <v>6</v>
      </c>
      <c r="V543" s="22">
        <v>6</v>
      </c>
      <c r="W543" s="24">
        <v>6</v>
      </c>
      <c r="X543" s="24">
        <v>5</v>
      </c>
      <c r="Y543" s="22">
        <v>5</v>
      </c>
      <c r="Z543" s="22">
        <v>6</v>
      </c>
      <c r="AA543" s="24">
        <v>5</v>
      </c>
      <c r="AB543" s="22">
        <v>6</v>
      </c>
      <c r="AC543" s="22">
        <v>5</v>
      </c>
      <c r="AD543" s="22">
        <v>6</v>
      </c>
      <c r="AE543" s="24">
        <v>5</v>
      </c>
      <c r="AF543" s="22">
        <v>6</v>
      </c>
      <c r="AG543" s="24">
        <v>6</v>
      </c>
      <c r="AH543" s="27">
        <v>6</v>
      </c>
      <c r="AI543" s="22">
        <v>5</v>
      </c>
      <c r="AJ543" s="24">
        <v>4</v>
      </c>
      <c r="AK543" s="27">
        <v>6</v>
      </c>
      <c r="AL543" s="22">
        <v>5</v>
      </c>
      <c r="AM543" s="28">
        <v>6</v>
      </c>
      <c r="AN543" s="27">
        <v>5</v>
      </c>
      <c r="AO543" s="27"/>
      <c r="AP543" s="24"/>
      <c r="AQ543" s="27"/>
      <c r="AR543">
        <f t="shared" si="17"/>
        <v>30</v>
      </c>
    </row>
    <row r="544" spans="2:44" x14ac:dyDescent="0.25">
      <c r="B544" t="str">
        <f t="shared" si="16"/>
        <v>OM - Nkoulou</v>
      </c>
      <c r="C544" t="s">
        <v>671</v>
      </c>
      <c r="D544" s="29" t="s">
        <v>608</v>
      </c>
      <c r="E544" s="30" t="s">
        <v>609</v>
      </c>
      <c r="F544" s="31">
        <v>28</v>
      </c>
      <c r="G544" s="99"/>
      <c r="H544" s="73"/>
      <c r="I544" s="126">
        <f>AVERAGE(AB544,X544,K544,L544,M544,N544,O544,P544,Q544,R544,S544,T544,U544,W544,Y544,Z544,AA544,AC544,AD544,AE544,AF544,AG544,AH544,AI544,AJ544,AK544,AM544,AN544)</f>
        <v>5.0357142857142856</v>
      </c>
      <c r="J544" s="35"/>
      <c r="K544" s="21">
        <v>5</v>
      </c>
      <c r="L544" s="24">
        <v>6</v>
      </c>
      <c r="M544" s="24">
        <v>5</v>
      </c>
      <c r="N544" s="24">
        <v>5</v>
      </c>
      <c r="O544" s="24">
        <v>5</v>
      </c>
      <c r="P544" s="27">
        <v>5</v>
      </c>
      <c r="Q544" s="24">
        <v>5</v>
      </c>
      <c r="R544" s="24">
        <v>5</v>
      </c>
      <c r="S544" s="23">
        <v>5</v>
      </c>
      <c r="T544" s="24">
        <v>4</v>
      </c>
      <c r="U544" s="23">
        <v>6</v>
      </c>
      <c r="V544" s="24"/>
      <c r="W544" s="24">
        <v>6</v>
      </c>
      <c r="X544" s="24">
        <v>4</v>
      </c>
      <c r="Y544" s="24">
        <v>5</v>
      </c>
      <c r="Z544" s="24">
        <v>5</v>
      </c>
      <c r="AA544" s="24">
        <v>5</v>
      </c>
      <c r="AB544" s="24">
        <v>5</v>
      </c>
      <c r="AC544" s="37">
        <v>6</v>
      </c>
      <c r="AD544" s="24">
        <v>5</v>
      </c>
      <c r="AE544" s="24">
        <v>6</v>
      </c>
      <c r="AF544" s="24">
        <v>5</v>
      </c>
      <c r="AG544" s="24">
        <v>6</v>
      </c>
      <c r="AH544" s="27">
        <v>4</v>
      </c>
      <c r="AI544" s="24">
        <v>5</v>
      </c>
      <c r="AJ544" s="24">
        <v>5</v>
      </c>
      <c r="AK544" s="27">
        <v>5</v>
      </c>
      <c r="AL544" s="24"/>
      <c r="AM544" s="27">
        <v>5</v>
      </c>
      <c r="AN544" s="244">
        <v>3</v>
      </c>
      <c r="AO544" s="26"/>
      <c r="AP544" s="24"/>
      <c r="AQ544" s="27"/>
      <c r="AR544">
        <f t="shared" si="17"/>
        <v>28</v>
      </c>
    </row>
    <row r="545" spans="2:44" x14ac:dyDescent="0.25">
      <c r="B545" t="str">
        <f t="shared" ref="B545:B591" si="18">C545 &amp; " - " &amp;E545</f>
        <v>Losc - Obbadi</v>
      </c>
      <c r="C545" t="s">
        <v>739</v>
      </c>
      <c r="D545" s="285" t="s">
        <v>622</v>
      </c>
      <c r="E545" s="124" t="s">
        <v>727</v>
      </c>
      <c r="F545" s="31">
        <v>20</v>
      </c>
      <c r="G545" s="99">
        <v>4</v>
      </c>
      <c r="H545" s="73"/>
      <c r="I545" s="34">
        <f>AVERAGE(K545,L545,O545,Q545,P545,R545,S545,U545,V545,Z545,AA545,AB545,AC545,AD545,AE545,AF545,AG545,AH545,AK545,AM545,AN545)</f>
        <v>5.2857142857142856</v>
      </c>
      <c r="J545" s="87" t="s">
        <v>611</v>
      </c>
      <c r="K545" s="24">
        <v>4</v>
      </c>
      <c r="L545" s="27">
        <v>4</v>
      </c>
      <c r="M545" s="37" t="s">
        <v>611</v>
      </c>
      <c r="N545" s="24"/>
      <c r="O545" s="24">
        <v>5</v>
      </c>
      <c r="P545" s="27">
        <v>5</v>
      </c>
      <c r="Q545" s="24">
        <v>5</v>
      </c>
      <c r="R545" s="24">
        <v>6</v>
      </c>
      <c r="S545" s="66">
        <v>7</v>
      </c>
      <c r="T545" s="24"/>
      <c r="U545" s="24">
        <v>4</v>
      </c>
      <c r="V545" s="37">
        <v>6</v>
      </c>
      <c r="W545" s="24"/>
      <c r="X545" s="24"/>
      <c r="Y545" s="24"/>
      <c r="Z545" s="37">
        <v>5</v>
      </c>
      <c r="AA545" s="37">
        <v>6</v>
      </c>
      <c r="AB545" s="37">
        <v>5</v>
      </c>
      <c r="AC545" s="24">
        <v>6</v>
      </c>
      <c r="AD545" s="24">
        <v>5</v>
      </c>
      <c r="AE545" s="37">
        <v>5</v>
      </c>
      <c r="AF545" s="24">
        <v>6</v>
      </c>
      <c r="AG545" s="24">
        <v>6</v>
      </c>
      <c r="AH545" s="27">
        <v>6</v>
      </c>
      <c r="AI545" s="24"/>
      <c r="AJ545" s="24"/>
      <c r="AK545" s="27">
        <v>4</v>
      </c>
      <c r="AL545" s="37" t="s">
        <v>611</v>
      </c>
      <c r="AM545" s="26">
        <v>6</v>
      </c>
      <c r="AN545" s="27">
        <v>5</v>
      </c>
      <c r="AO545" s="28"/>
      <c r="AP545" s="24"/>
      <c r="AQ545" s="27"/>
      <c r="AR545">
        <f t="shared" ref="AR545:AR591" si="19">F545 +G545</f>
        <v>24</v>
      </c>
    </row>
    <row r="546" spans="2:44" x14ac:dyDescent="0.25">
      <c r="B546" t="str">
        <f t="shared" si="18"/>
        <v>SRFC - André</v>
      </c>
      <c r="C546" t="s">
        <v>881</v>
      </c>
      <c r="D546" s="29" t="s">
        <v>622</v>
      </c>
      <c r="E546" s="30" t="s">
        <v>869</v>
      </c>
      <c r="F546" s="31">
        <v>25</v>
      </c>
      <c r="G546" s="99">
        <v>2</v>
      </c>
      <c r="H546" s="73"/>
      <c r="I546" s="34">
        <f>AVERAGE(K546,L546,N546,P546,Q546,R546,T546,V546,W546,X546,Y546,Z546,AA546,AB546,AC546,AD546,AE546,AF546,AG546,AH546,AI546,AJ546,AK546,AL546,AM546,AN546)</f>
        <v>5.1538461538461542</v>
      </c>
      <c r="J546" s="176"/>
      <c r="K546" s="26">
        <v>4</v>
      </c>
      <c r="L546" s="26">
        <v>4</v>
      </c>
      <c r="M546" s="37" t="s">
        <v>611</v>
      </c>
      <c r="N546" s="24">
        <v>6</v>
      </c>
      <c r="O546" s="24"/>
      <c r="P546" s="27">
        <v>5</v>
      </c>
      <c r="Q546" s="24">
        <v>5</v>
      </c>
      <c r="R546" s="24">
        <v>5</v>
      </c>
      <c r="S546" s="37"/>
      <c r="T546" s="37">
        <v>5</v>
      </c>
      <c r="U546" s="24"/>
      <c r="V546" s="24">
        <v>6</v>
      </c>
      <c r="W546" s="24">
        <v>4</v>
      </c>
      <c r="X546" s="24">
        <v>6</v>
      </c>
      <c r="Y546" s="37">
        <v>5</v>
      </c>
      <c r="Z546" s="37">
        <v>5</v>
      </c>
      <c r="AA546" s="24">
        <v>5</v>
      </c>
      <c r="AB546" s="24">
        <v>5</v>
      </c>
      <c r="AC546" s="24">
        <v>5</v>
      </c>
      <c r="AD546" s="66">
        <v>7</v>
      </c>
      <c r="AE546" s="23">
        <v>6</v>
      </c>
      <c r="AF546" s="82">
        <v>3</v>
      </c>
      <c r="AG546" s="37">
        <v>5</v>
      </c>
      <c r="AH546" s="26">
        <v>4</v>
      </c>
      <c r="AI546" s="24">
        <v>5</v>
      </c>
      <c r="AJ546" s="24">
        <v>6</v>
      </c>
      <c r="AK546" s="27">
        <v>6</v>
      </c>
      <c r="AL546" s="24">
        <v>6</v>
      </c>
      <c r="AM546" s="27">
        <v>6</v>
      </c>
      <c r="AN546" s="27">
        <v>5</v>
      </c>
      <c r="AO546" s="27"/>
      <c r="AP546" s="24"/>
      <c r="AQ546" s="27"/>
      <c r="AR546">
        <f t="shared" si="19"/>
        <v>27</v>
      </c>
    </row>
    <row r="547" spans="2:44" x14ac:dyDescent="0.25">
      <c r="B547" t="str">
        <f t="shared" si="18"/>
        <v>SMC - Yahia</v>
      </c>
      <c r="C547" t="s">
        <v>978</v>
      </c>
      <c r="D547" s="29" t="s">
        <v>608</v>
      </c>
      <c r="E547" s="155" t="s">
        <v>505</v>
      </c>
      <c r="F547" s="31">
        <v>21</v>
      </c>
      <c r="G547" s="99"/>
      <c r="H547" s="114" t="s">
        <v>938</v>
      </c>
      <c r="I547" s="34">
        <f>AVERAGE(K547,J547,N547,O547,Q547,R547,S547,T547,U547,V547,Z547,AC547,AD547,AE547,AI547,AJ547,AK547,AL547,AM547,AN547)</f>
        <v>4.7</v>
      </c>
      <c r="J547" s="179">
        <v>5</v>
      </c>
      <c r="K547" s="24">
        <v>6</v>
      </c>
      <c r="L547" s="37"/>
      <c r="M547" s="24"/>
      <c r="N547" s="37">
        <v>5</v>
      </c>
      <c r="O547" s="37">
        <v>5</v>
      </c>
      <c r="P547" s="27"/>
      <c r="Q547" s="37">
        <v>5</v>
      </c>
      <c r="R547" s="24">
        <v>5</v>
      </c>
      <c r="S547" s="23">
        <v>6</v>
      </c>
      <c r="T547" s="24">
        <v>5</v>
      </c>
      <c r="U547" s="24">
        <v>5</v>
      </c>
      <c r="V547" s="24">
        <v>5</v>
      </c>
      <c r="W547" s="37" t="s">
        <v>623</v>
      </c>
      <c r="X547" s="24"/>
      <c r="Y547" s="22"/>
      <c r="Z547" s="37">
        <v>4</v>
      </c>
      <c r="AA547" s="24"/>
      <c r="AB547" s="24"/>
      <c r="AC547" s="24">
        <v>4</v>
      </c>
      <c r="AD547" s="241">
        <v>3</v>
      </c>
      <c r="AE547" s="24">
        <v>5</v>
      </c>
      <c r="AF547" s="24"/>
      <c r="AG547" s="24"/>
      <c r="AH547" s="27"/>
      <c r="AI547" s="82">
        <v>3</v>
      </c>
      <c r="AJ547" s="24">
        <v>5</v>
      </c>
      <c r="AK547" s="26">
        <v>5</v>
      </c>
      <c r="AL547" s="82">
        <v>3</v>
      </c>
      <c r="AM547" s="26">
        <v>4</v>
      </c>
      <c r="AN547" s="28">
        <v>6</v>
      </c>
      <c r="AO547" s="26"/>
      <c r="AP547" s="37"/>
      <c r="AQ547" s="27"/>
      <c r="AR547">
        <f t="shared" si="19"/>
        <v>21</v>
      </c>
    </row>
    <row r="548" spans="2:44" x14ac:dyDescent="0.25">
      <c r="B548" t="str">
        <f t="shared" si="18"/>
        <v>SMC - Alhadhur</v>
      </c>
      <c r="C548" t="s">
        <v>978</v>
      </c>
      <c r="D548" s="29" t="s">
        <v>608</v>
      </c>
      <c r="E548" s="155" t="s">
        <v>969</v>
      </c>
      <c r="F548" s="31">
        <v>8</v>
      </c>
      <c r="G548" s="99">
        <v>2</v>
      </c>
      <c r="H548" s="73"/>
      <c r="I548" s="34">
        <f>AVERAGE(L548,M548,V548,W548,X548,Y548,AA548,AB548,AC548)</f>
        <v>4.8888888888888893</v>
      </c>
      <c r="J548" s="179"/>
      <c r="K548" s="37" t="s">
        <v>611</v>
      </c>
      <c r="L548" s="37">
        <v>5</v>
      </c>
      <c r="M548" s="24">
        <v>5</v>
      </c>
      <c r="N548" s="37"/>
      <c r="O548" s="37"/>
      <c r="P548" s="27"/>
      <c r="Q548" s="37"/>
      <c r="R548" s="24"/>
      <c r="S548" s="23"/>
      <c r="T548" s="24"/>
      <c r="U548" s="24"/>
      <c r="V548" s="24">
        <v>5</v>
      </c>
      <c r="W548" s="37">
        <v>5</v>
      </c>
      <c r="X548" s="24">
        <v>5</v>
      </c>
      <c r="Y548" s="23">
        <v>5</v>
      </c>
      <c r="Z548" s="37"/>
      <c r="AA548" s="37">
        <v>5</v>
      </c>
      <c r="AB548" s="24">
        <v>5</v>
      </c>
      <c r="AC548" s="24">
        <v>4</v>
      </c>
      <c r="AD548" s="77"/>
      <c r="AE548" s="24"/>
      <c r="AF548" s="24"/>
      <c r="AG548" s="24"/>
      <c r="AH548" s="27"/>
      <c r="AI548" s="24"/>
      <c r="AJ548" s="24"/>
      <c r="AK548" s="26"/>
      <c r="AL548" s="24"/>
      <c r="AM548" s="26"/>
      <c r="AN548" s="27"/>
      <c r="AO548" s="26"/>
      <c r="AP548" s="37"/>
      <c r="AQ548" s="27"/>
      <c r="AR548">
        <f t="shared" si="19"/>
        <v>10</v>
      </c>
    </row>
    <row r="549" spans="2:44" x14ac:dyDescent="0.25">
      <c r="B549" t="str">
        <f t="shared" si="18"/>
        <v>SMC - Le Joncour</v>
      </c>
      <c r="C549" t="s">
        <v>978</v>
      </c>
      <c r="D549" s="29" t="s">
        <v>608</v>
      </c>
      <c r="E549" s="65" t="s">
        <v>970</v>
      </c>
      <c r="F549" s="31"/>
      <c r="G549" s="99"/>
      <c r="H549" s="73"/>
      <c r="I549" s="34"/>
      <c r="J549" s="179"/>
      <c r="K549" s="24"/>
      <c r="L549" s="37"/>
      <c r="M549" s="24"/>
      <c r="N549" s="37"/>
      <c r="O549" s="37"/>
      <c r="P549" s="27"/>
      <c r="Q549" s="37"/>
      <c r="R549" s="24"/>
      <c r="S549" s="23"/>
      <c r="T549" s="24"/>
      <c r="U549" s="24"/>
      <c r="V549" s="24"/>
      <c r="W549" s="37"/>
      <c r="X549" s="24"/>
      <c r="Y549" s="22"/>
      <c r="Z549" s="37"/>
      <c r="AA549" s="24"/>
      <c r="AB549" s="24"/>
      <c r="AC549" s="24"/>
      <c r="AD549" s="77"/>
      <c r="AE549" s="24"/>
      <c r="AF549" s="24"/>
      <c r="AG549" s="24"/>
      <c r="AH549" s="27"/>
      <c r="AI549" s="24"/>
      <c r="AJ549" s="24"/>
      <c r="AK549" s="26"/>
      <c r="AL549" s="24"/>
      <c r="AM549" s="26"/>
      <c r="AN549" s="27"/>
      <c r="AO549" s="26"/>
      <c r="AP549" s="37"/>
      <c r="AQ549" s="27"/>
      <c r="AR549">
        <f t="shared" si="19"/>
        <v>0</v>
      </c>
    </row>
    <row r="550" spans="2:44" x14ac:dyDescent="0.25">
      <c r="B550" t="str">
        <f t="shared" si="18"/>
        <v>SMC - Ben Youssef</v>
      </c>
      <c r="C550" t="s">
        <v>978</v>
      </c>
      <c r="D550" s="29" t="s">
        <v>608</v>
      </c>
      <c r="E550" s="65" t="s">
        <v>585</v>
      </c>
      <c r="F550" s="31">
        <v>13</v>
      </c>
      <c r="G550" s="99">
        <v>2</v>
      </c>
      <c r="H550" s="73">
        <v>3</v>
      </c>
      <c r="I550" s="34">
        <f>AVERAGE(L550,M550,N550,P550,W550,X550,Y550,AA550,AB550,AD550,AE550,AF550,AG550,AK550)</f>
        <v>5</v>
      </c>
      <c r="J550" s="179"/>
      <c r="K550" s="24"/>
      <c r="L550" s="37">
        <v>5</v>
      </c>
      <c r="M550" s="24">
        <v>5</v>
      </c>
      <c r="N550" s="77">
        <v>5</v>
      </c>
      <c r="O550" s="37"/>
      <c r="P550" s="27">
        <v>4</v>
      </c>
      <c r="Q550" s="37"/>
      <c r="R550" s="24"/>
      <c r="S550" s="23"/>
      <c r="T550" s="24"/>
      <c r="U550" s="24"/>
      <c r="V550" s="37" t="s">
        <v>611</v>
      </c>
      <c r="W550" s="37">
        <v>5</v>
      </c>
      <c r="X550" s="83">
        <v>7</v>
      </c>
      <c r="Y550" s="23">
        <v>5</v>
      </c>
      <c r="Z550" s="37"/>
      <c r="AA550" s="22">
        <v>6</v>
      </c>
      <c r="AB550" s="24">
        <v>5</v>
      </c>
      <c r="AC550" s="24"/>
      <c r="AD550" s="241">
        <v>3</v>
      </c>
      <c r="AE550" s="24">
        <v>5</v>
      </c>
      <c r="AF550" s="24">
        <v>6</v>
      </c>
      <c r="AG550" s="24">
        <v>4</v>
      </c>
      <c r="AH550" s="27"/>
      <c r="AI550" s="24"/>
      <c r="AJ550" s="24"/>
      <c r="AK550" s="26">
        <v>5</v>
      </c>
      <c r="AL550" s="24"/>
      <c r="AM550" s="26"/>
      <c r="AN550" s="27"/>
      <c r="AO550" s="26"/>
      <c r="AP550" s="37"/>
      <c r="AQ550" s="27"/>
      <c r="AR550">
        <f t="shared" si="19"/>
        <v>15</v>
      </c>
    </row>
    <row r="551" spans="2:44" x14ac:dyDescent="0.25">
      <c r="B551" t="str">
        <f t="shared" si="18"/>
        <v>SMC - Imorou</v>
      </c>
      <c r="C551" t="s">
        <v>978</v>
      </c>
      <c r="D551" s="67" t="s">
        <v>608</v>
      </c>
      <c r="E551" s="158" t="s">
        <v>971</v>
      </c>
      <c r="F551" s="69">
        <v>14</v>
      </c>
      <c r="G551" s="115"/>
      <c r="H551" s="123">
        <v>1</v>
      </c>
      <c r="I551" s="34">
        <f>AVERAGE(K551,J551,N551,O551,P551,Q551,R551,T551,Z551,AD551,AE551,AG551,AH551)</f>
        <v>5.2307692307692308</v>
      </c>
      <c r="J551" s="248">
        <v>7</v>
      </c>
      <c r="K551" s="24">
        <v>5</v>
      </c>
      <c r="L551" s="37"/>
      <c r="M551" s="24"/>
      <c r="N551" s="37">
        <v>5</v>
      </c>
      <c r="O551" s="37">
        <v>5</v>
      </c>
      <c r="P551" s="27">
        <v>4</v>
      </c>
      <c r="Q551" s="75">
        <v>7</v>
      </c>
      <c r="R551" s="24">
        <v>5</v>
      </c>
      <c r="S551" s="23"/>
      <c r="T551" s="24">
        <v>5</v>
      </c>
      <c r="U551" s="24"/>
      <c r="V551" s="24"/>
      <c r="W551" s="37"/>
      <c r="X551" s="24"/>
      <c r="Y551" s="24"/>
      <c r="Z551" s="37">
        <v>5</v>
      </c>
      <c r="AA551" s="24" t="s">
        <v>623</v>
      </c>
      <c r="AB551" s="24"/>
      <c r="AC551" s="24"/>
      <c r="AD551" s="37">
        <v>4</v>
      </c>
      <c r="AE551" s="66">
        <v>7</v>
      </c>
      <c r="AF551" s="24"/>
      <c r="AG551" s="24">
        <v>5</v>
      </c>
      <c r="AH551" s="27">
        <v>4</v>
      </c>
      <c r="AI551" s="24"/>
      <c r="AJ551" s="24"/>
      <c r="AK551" s="27"/>
      <c r="AL551" s="24"/>
      <c r="AM551" s="26"/>
      <c r="AN551" s="27"/>
      <c r="AO551" s="27"/>
      <c r="AP551" s="37"/>
      <c r="AQ551" s="27"/>
      <c r="AR551">
        <f t="shared" si="19"/>
        <v>14</v>
      </c>
    </row>
    <row r="552" spans="2:44" x14ac:dyDescent="0.25">
      <c r="B552" t="str">
        <f t="shared" si="18"/>
        <v>SMC - Beaulieu</v>
      </c>
      <c r="C552" t="s">
        <v>978</v>
      </c>
      <c r="D552" s="29" t="s">
        <v>622</v>
      </c>
      <c r="E552" s="155" t="s">
        <v>972</v>
      </c>
      <c r="F552" s="31"/>
      <c r="G552" s="99"/>
      <c r="H552" s="73"/>
      <c r="I552" s="34"/>
      <c r="J552" s="179"/>
      <c r="K552" s="24"/>
      <c r="L552" s="37"/>
      <c r="M552" s="24"/>
      <c r="N552" s="37"/>
      <c r="O552" s="37"/>
      <c r="P552" s="27"/>
      <c r="Q552" s="37"/>
      <c r="R552" s="24"/>
      <c r="S552" s="23"/>
      <c r="T552" s="24"/>
      <c r="U552" s="24"/>
      <c r="V552" s="24"/>
      <c r="W552" s="37"/>
      <c r="X552" s="24"/>
      <c r="Y552" s="24"/>
      <c r="Z552" s="37"/>
      <c r="AA552" s="24"/>
      <c r="AB552" s="24"/>
      <c r="AC552" s="24"/>
      <c r="AD552" s="37"/>
      <c r="AE552" s="24"/>
      <c r="AF552" s="24"/>
      <c r="AG552" s="24"/>
      <c r="AH552" s="27"/>
      <c r="AI552" s="24"/>
      <c r="AJ552" s="24"/>
      <c r="AK552" s="27"/>
      <c r="AL552" s="24"/>
      <c r="AM552" s="26"/>
      <c r="AN552" s="27"/>
      <c r="AO552" s="27"/>
      <c r="AP552" s="37"/>
      <c r="AQ552" s="27"/>
      <c r="AR552">
        <f t="shared" si="19"/>
        <v>0</v>
      </c>
    </row>
    <row r="553" spans="2:44" x14ac:dyDescent="0.25">
      <c r="B553" t="str">
        <f t="shared" si="18"/>
        <v>FCGB - Guilbert</v>
      </c>
      <c r="C553" t="s">
        <v>764</v>
      </c>
      <c r="D553" s="29" t="s">
        <v>622</v>
      </c>
      <c r="E553" s="60" t="s">
        <v>747</v>
      </c>
      <c r="F553" s="31">
        <v>23</v>
      </c>
      <c r="G553" s="99">
        <v>1</v>
      </c>
      <c r="H553" s="73"/>
      <c r="I553" s="34">
        <f>AVERAGE(K553,J553,N553,P553,S553,W553,Y553,Z553,AA553,AB553,AD553,AE553,AF553,AG553,AH553,AI553,AJ553,AK553,AL553,AM553,AN553)</f>
        <v>4.7142857142857144</v>
      </c>
      <c r="J553" s="38">
        <v>4</v>
      </c>
      <c r="K553" s="24">
        <v>5</v>
      </c>
      <c r="L553" s="37" t="s">
        <v>611</v>
      </c>
      <c r="M553" s="24"/>
      <c r="N553" s="24">
        <v>5</v>
      </c>
      <c r="O553" s="24"/>
      <c r="P553" s="27">
        <v>4</v>
      </c>
      <c r="Q553" s="24"/>
      <c r="R553" s="24"/>
      <c r="S553" s="24">
        <v>6</v>
      </c>
      <c r="T553" s="24" t="s">
        <v>641</v>
      </c>
      <c r="U553" s="24"/>
      <c r="V553" s="24"/>
      <c r="W553" s="24">
        <v>5</v>
      </c>
      <c r="X553" s="37" t="s">
        <v>645</v>
      </c>
      <c r="Y553" s="24">
        <v>6</v>
      </c>
      <c r="Z553" s="24">
        <v>5</v>
      </c>
      <c r="AA553" s="24">
        <v>5</v>
      </c>
      <c r="AB553" s="24">
        <v>5</v>
      </c>
      <c r="AC553" s="37"/>
      <c r="AD553" s="24">
        <v>6</v>
      </c>
      <c r="AE553" s="24">
        <v>4</v>
      </c>
      <c r="AF553" s="24">
        <v>6</v>
      </c>
      <c r="AG553" s="24">
        <v>4</v>
      </c>
      <c r="AH553" s="244">
        <v>3</v>
      </c>
      <c r="AI553" s="24">
        <v>5</v>
      </c>
      <c r="AJ553" s="24">
        <v>6</v>
      </c>
      <c r="AK553" s="244">
        <v>3</v>
      </c>
      <c r="AL553" s="24">
        <v>4</v>
      </c>
      <c r="AM553" s="244">
        <v>3</v>
      </c>
      <c r="AN553" s="26">
        <v>5</v>
      </c>
      <c r="AO553" s="27"/>
      <c r="AP553" s="24"/>
      <c r="AQ553" s="27"/>
      <c r="AR553">
        <f t="shared" si="19"/>
        <v>24</v>
      </c>
    </row>
    <row r="554" spans="2:44" x14ac:dyDescent="0.25">
      <c r="B554" t="str">
        <f t="shared" si="18"/>
        <v>SMC - Raineau</v>
      </c>
      <c r="C554" t="s">
        <v>978</v>
      </c>
      <c r="D554" s="29" t="s">
        <v>622</v>
      </c>
      <c r="E554" s="155" t="s">
        <v>973</v>
      </c>
      <c r="F554" s="31">
        <v>2</v>
      </c>
      <c r="G554" s="99">
        <v>3</v>
      </c>
      <c r="H554" s="73"/>
      <c r="I554" s="34">
        <f>AVERAGE(S554,U554,AN554)</f>
        <v>4.666666666666667</v>
      </c>
      <c r="J554" s="179"/>
      <c r="K554" s="24"/>
      <c r="L554" s="37"/>
      <c r="M554" s="24"/>
      <c r="N554" s="37"/>
      <c r="O554" s="37"/>
      <c r="P554" s="27"/>
      <c r="Q554" s="37"/>
      <c r="R554" s="24"/>
      <c r="S554" s="23">
        <v>4</v>
      </c>
      <c r="T554" s="24"/>
      <c r="U554" s="24">
        <v>5</v>
      </c>
      <c r="V554" s="24"/>
      <c r="W554" s="37"/>
      <c r="X554" s="24"/>
      <c r="Y554" s="24"/>
      <c r="Z554" s="37"/>
      <c r="AA554" s="24"/>
      <c r="AB554" s="24"/>
      <c r="AC554" s="24"/>
      <c r="AD554" s="37"/>
      <c r="AE554" s="24"/>
      <c r="AF554" s="24"/>
      <c r="AG554" s="24"/>
      <c r="AH554" s="27"/>
      <c r="AI554" s="24"/>
      <c r="AJ554" s="24"/>
      <c r="AK554" s="26" t="s">
        <v>611</v>
      </c>
      <c r="AL554" s="37" t="s">
        <v>611</v>
      </c>
      <c r="AM554" s="26"/>
      <c r="AN554" s="27">
        <v>5</v>
      </c>
      <c r="AO554" s="27"/>
      <c r="AP554" s="37"/>
      <c r="AQ554" s="27"/>
      <c r="AR554">
        <f t="shared" si="19"/>
        <v>5</v>
      </c>
    </row>
    <row r="555" spans="2:44" x14ac:dyDescent="0.25">
      <c r="B555" t="str">
        <f t="shared" si="18"/>
        <v>SMC - Delaplace</v>
      </c>
      <c r="C555" t="s">
        <v>978</v>
      </c>
      <c r="D555" s="29" t="s">
        <v>622</v>
      </c>
      <c r="E555" s="155" t="s">
        <v>974</v>
      </c>
      <c r="F555" s="31">
        <v>14</v>
      </c>
      <c r="G555" s="99">
        <v>1</v>
      </c>
      <c r="H555" s="73"/>
      <c r="I555" s="34">
        <f>AVERAGE(K555,L555,M555,J555,V555,X555,Y555,Z555,AB555,AC555,AE555)</f>
        <v>4.3636363636363633</v>
      </c>
      <c r="J555" s="179">
        <v>4</v>
      </c>
      <c r="K555" s="24">
        <v>5</v>
      </c>
      <c r="L555" s="37">
        <v>5</v>
      </c>
      <c r="M555" s="24">
        <v>4</v>
      </c>
      <c r="N555" s="37" t="s">
        <v>641</v>
      </c>
      <c r="O555" s="37"/>
      <c r="P555" s="27"/>
      <c r="Q555" s="37"/>
      <c r="R555" s="24"/>
      <c r="S555" s="23"/>
      <c r="T555" s="24"/>
      <c r="U555" s="37" t="s">
        <v>611</v>
      </c>
      <c r="V555" s="24">
        <v>4</v>
      </c>
      <c r="W555" s="37" t="s">
        <v>645</v>
      </c>
      <c r="X555" s="24">
        <v>5</v>
      </c>
      <c r="Y555" s="24">
        <v>4</v>
      </c>
      <c r="Z555" s="37">
        <v>4</v>
      </c>
      <c r="AA555" s="37" t="s">
        <v>645</v>
      </c>
      <c r="AB555" s="24">
        <v>4</v>
      </c>
      <c r="AC555" s="24">
        <v>4</v>
      </c>
      <c r="AD555" s="37"/>
      <c r="AE555" s="24">
        <v>5</v>
      </c>
      <c r="AF555" s="24"/>
      <c r="AG555" s="24"/>
      <c r="AH555" s="27"/>
      <c r="AI555" s="24"/>
      <c r="AJ555" s="24"/>
      <c r="AK555" s="27"/>
      <c r="AL555" s="24"/>
      <c r="AM555" s="26"/>
      <c r="AN555" s="27"/>
      <c r="AO555" s="27"/>
      <c r="AP555" s="37"/>
      <c r="AQ555" s="27"/>
      <c r="AR555">
        <f t="shared" si="19"/>
        <v>15</v>
      </c>
    </row>
    <row r="556" spans="2:44" x14ac:dyDescent="0.25">
      <c r="B556" t="str">
        <f t="shared" si="18"/>
        <v>SMC - Vercoutre</v>
      </c>
      <c r="C556" t="s">
        <v>978</v>
      </c>
      <c r="D556" s="29" t="s">
        <v>605</v>
      </c>
      <c r="E556" s="30" t="s">
        <v>116</v>
      </c>
      <c r="F556" s="31">
        <v>31</v>
      </c>
      <c r="G556" s="99"/>
      <c r="H556" s="73"/>
      <c r="I556" s="34">
        <f>AVERAGE(AB556,K556,L556,M556,J556,N556,O556,P556,Q556,R556,S556,T556,U556,V556,W556,X556,Y556,Z556,AA556,AC556,AD556,AE556,AF556,AG556,AH556,AI556,AJ556,AK556,AL556,AM556,AN556)</f>
        <v>5.4516129032258061</v>
      </c>
      <c r="J556" s="153">
        <v>7</v>
      </c>
      <c r="K556" s="25">
        <v>7</v>
      </c>
      <c r="L556" s="76">
        <v>4</v>
      </c>
      <c r="M556" s="24">
        <v>4</v>
      </c>
      <c r="N556" s="37">
        <v>6</v>
      </c>
      <c r="O556" s="37">
        <v>5</v>
      </c>
      <c r="P556" s="27">
        <v>5</v>
      </c>
      <c r="Q556" s="77">
        <v>6</v>
      </c>
      <c r="R556" s="22">
        <v>6</v>
      </c>
      <c r="S556" s="22">
        <v>6</v>
      </c>
      <c r="T556" s="24">
        <v>4</v>
      </c>
      <c r="U556" s="66">
        <v>7</v>
      </c>
      <c r="V556" s="24">
        <v>6</v>
      </c>
      <c r="W556" s="77">
        <v>6</v>
      </c>
      <c r="X556" s="24">
        <v>5</v>
      </c>
      <c r="Y556" s="24">
        <v>5</v>
      </c>
      <c r="Z556" s="37">
        <v>4</v>
      </c>
      <c r="AA556" s="24">
        <v>6</v>
      </c>
      <c r="AB556" s="24">
        <v>6</v>
      </c>
      <c r="AC556" s="24">
        <v>5</v>
      </c>
      <c r="AD556" s="37">
        <v>5</v>
      </c>
      <c r="AE556" s="24">
        <v>5</v>
      </c>
      <c r="AF556" s="25">
        <v>7</v>
      </c>
      <c r="AG556" s="23">
        <v>6</v>
      </c>
      <c r="AH556" s="27">
        <v>5</v>
      </c>
      <c r="AI556" s="24">
        <v>4</v>
      </c>
      <c r="AJ556" s="77">
        <v>6</v>
      </c>
      <c r="AK556" s="27">
        <v>6</v>
      </c>
      <c r="AL556" s="24">
        <v>5</v>
      </c>
      <c r="AM556" s="140">
        <v>5</v>
      </c>
      <c r="AN556" s="27">
        <v>5</v>
      </c>
      <c r="AO556" s="27"/>
      <c r="AP556" s="37"/>
      <c r="AQ556" s="27"/>
      <c r="AR556">
        <f t="shared" si="19"/>
        <v>31</v>
      </c>
    </row>
    <row r="557" spans="2:44" x14ac:dyDescent="0.25">
      <c r="B557" t="str">
        <f t="shared" si="18"/>
        <v>SMC - Nkololo</v>
      </c>
      <c r="C557" t="s">
        <v>978</v>
      </c>
      <c r="D557" s="29" t="s">
        <v>622</v>
      </c>
      <c r="E557" s="65" t="s">
        <v>975</v>
      </c>
      <c r="F557" s="31">
        <v>4</v>
      </c>
      <c r="G557" s="99">
        <v>8</v>
      </c>
      <c r="H557" s="73"/>
      <c r="I557" s="34">
        <f>AVERAGE(U557,AG557,AI557,AL557,AM557)</f>
        <v>4.2</v>
      </c>
      <c r="J557" s="179" t="s">
        <v>611</v>
      </c>
      <c r="K557" s="24"/>
      <c r="L557" s="37"/>
      <c r="M557" s="24"/>
      <c r="N557" s="37"/>
      <c r="O557" s="37" t="s">
        <v>611</v>
      </c>
      <c r="P557" s="26" t="s">
        <v>611</v>
      </c>
      <c r="Q557" s="37"/>
      <c r="R557" s="24"/>
      <c r="S557" s="23"/>
      <c r="T557" s="37" t="s">
        <v>611</v>
      </c>
      <c r="U557" s="24">
        <v>4</v>
      </c>
      <c r="V557" s="24"/>
      <c r="W557" s="37"/>
      <c r="X557" s="24"/>
      <c r="Y557" s="24"/>
      <c r="Z557" s="37"/>
      <c r="AA557" s="24"/>
      <c r="AB557" s="24"/>
      <c r="AC557" s="24"/>
      <c r="AD557" s="37"/>
      <c r="AE557" s="24"/>
      <c r="AF557" s="37" t="s">
        <v>611</v>
      </c>
      <c r="AG557" s="24">
        <v>4</v>
      </c>
      <c r="AH557" s="27"/>
      <c r="AI557" s="37">
        <v>4</v>
      </c>
      <c r="AJ557" s="37" t="s">
        <v>611</v>
      </c>
      <c r="AK557" s="27"/>
      <c r="AL557" s="24">
        <v>5</v>
      </c>
      <c r="AM557" s="26">
        <v>4</v>
      </c>
      <c r="AN557" s="26" t="s">
        <v>611</v>
      </c>
      <c r="AO557" s="27"/>
      <c r="AP557" s="37"/>
      <c r="AQ557" s="27"/>
      <c r="AR557">
        <f t="shared" si="19"/>
        <v>12</v>
      </c>
    </row>
    <row r="558" spans="2:44" x14ac:dyDescent="0.25">
      <c r="B558" t="str">
        <f t="shared" si="18"/>
        <v>SMC - Louis</v>
      </c>
      <c r="C558" t="s">
        <v>978</v>
      </c>
      <c r="D558" s="29" t="s">
        <v>622</v>
      </c>
      <c r="E558" s="155" t="s">
        <v>518</v>
      </c>
      <c r="F558" s="31">
        <v>3</v>
      </c>
      <c r="G558" s="99">
        <v>11</v>
      </c>
      <c r="H558" s="73">
        <v>1</v>
      </c>
      <c r="I558" s="34">
        <f>AVERAGE(M558,P558,T558)</f>
        <v>4.666666666666667</v>
      </c>
      <c r="J558" s="179"/>
      <c r="K558" s="24"/>
      <c r="L558" s="37" t="s">
        <v>611</v>
      </c>
      <c r="M558" s="24">
        <v>5</v>
      </c>
      <c r="N558" s="37"/>
      <c r="O558" s="77" t="s">
        <v>611</v>
      </c>
      <c r="P558" s="27">
        <v>5</v>
      </c>
      <c r="Q558" s="37" t="s">
        <v>611</v>
      </c>
      <c r="R558" s="24"/>
      <c r="S558" s="76" t="s">
        <v>611</v>
      </c>
      <c r="T558" s="24">
        <v>4</v>
      </c>
      <c r="U558" s="37" t="s">
        <v>611</v>
      </c>
      <c r="V558" s="37" t="s">
        <v>611</v>
      </c>
      <c r="W558" s="37"/>
      <c r="X558" s="24"/>
      <c r="Y558" s="24"/>
      <c r="Z558" s="37"/>
      <c r="AA558" s="24"/>
      <c r="AB558" s="24"/>
      <c r="AC558" s="24"/>
      <c r="AD558" s="37" t="s">
        <v>611</v>
      </c>
      <c r="AE558" s="37" t="s">
        <v>611</v>
      </c>
      <c r="AF558" s="24"/>
      <c r="AG558" s="37" t="s">
        <v>611</v>
      </c>
      <c r="AH558" s="27"/>
      <c r="AI558" s="24"/>
      <c r="AJ558" s="24"/>
      <c r="AK558" s="27"/>
      <c r="AL558" s="37" t="s">
        <v>611</v>
      </c>
      <c r="AM558" s="26" t="s">
        <v>611</v>
      </c>
      <c r="AN558" s="27"/>
      <c r="AO558" s="27"/>
      <c r="AP558" s="37"/>
      <c r="AQ558" s="27"/>
      <c r="AR558">
        <f t="shared" si="19"/>
        <v>14</v>
      </c>
    </row>
    <row r="559" spans="2:44" x14ac:dyDescent="0.25">
      <c r="B559" t="str">
        <f t="shared" si="18"/>
        <v>SMC - Leborgne</v>
      </c>
      <c r="C559" t="s">
        <v>978</v>
      </c>
      <c r="D559" s="29" t="s">
        <v>622</v>
      </c>
      <c r="E559" s="65" t="s">
        <v>976</v>
      </c>
      <c r="F559" s="31">
        <v>6</v>
      </c>
      <c r="G559" s="99">
        <v>5</v>
      </c>
      <c r="H559" s="73"/>
      <c r="I559" s="34">
        <f>AVERAGE(Q559,R559,S559,AG559,AK559,AN559)</f>
        <v>5.166666666666667</v>
      </c>
      <c r="J559" s="179"/>
      <c r="K559" s="24"/>
      <c r="L559" s="37"/>
      <c r="M559" s="24"/>
      <c r="N559" s="37" t="s">
        <v>611</v>
      </c>
      <c r="O559" s="37"/>
      <c r="P559" s="26" t="s">
        <v>611</v>
      </c>
      <c r="Q559" s="37">
        <v>5</v>
      </c>
      <c r="R559" s="24">
        <v>5</v>
      </c>
      <c r="S559" s="23">
        <v>4</v>
      </c>
      <c r="T559" s="24"/>
      <c r="U559" s="24"/>
      <c r="V559" s="37" t="s">
        <v>611</v>
      </c>
      <c r="W559" s="37"/>
      <c r="X559" s="24"/>
      <c r="Y559" s="37" t="s">
        <v>611</v>
      </c>
      <c r="Z559" s="37"/>
      <c r="AA559" s="24"/>
      <c r="AB559" s="24"/>
      <c r="AC559" s="24"/>
      <c r="AD559" s="37"/>
      <c r="AE559" s="24"/>
      <c r="AF559" s="37" t="s">
        <v>611</v>
      </c>
      <c r="AG559" s="24">
        <v>5</v>
      </c>
      <c r="AH559" s="27"/>
      <c r="AI559" s="24"/>
      <c r="AJ559" s="37" t="s">
        <v>611</v>
      </c>
      <c r="AK559" s="27">
        <v>5</v>
      </c>
      <c r="AL559" s="24"/>
      <c r="AM559" s="26"/>
      <c r="AN559" s="165">
        <v>7</v>
      </c>
      <c r="AO559" s="27"/>
      <c r="AP559" s="37"/>
      <c r="AQ559" s="27"/>
      <c r="AR559">
        <f t="shared" si="19"/>
        <v>11</v>
      </c>
    </row>
    <row r="560" spans="2:44" x14ac:dyDescent="0.25">
      <c r="B560" t="str">
        <f t="shared" si="18"/>
        <v>SMC - Ntibazonkiza</v>
      </c>
      <c r="C560" t="s">
        <v>978</v>
      </c>
      <c r="D560" s="29" t="s">
        <v>622</v>
      </c>
      <c r="E560" s="65" t="s">
        <v>977</v>
      </c>
      <c r="F560" s="31">
        <v>5</v>
      </c>
      <c r="G560" s="99">
        <v>5</v>
      </c>
      <c r="H560" s="73">
        <v>1</v>
      </c>
      <c r="I560" s="34">
        <f>AVERAGE(AF560,AH560,AI560,AJ560,AK560)</f>
        <v>5.2</v>
      </c>
      <c r="J560" s="179"/>
      <c r="K560" s="24"/>
      <c r="L560" s="37"/>
      <c r="M560" s="24"/>
      <c r="N560" s="37"/>
      <c r="O560" s="37"/>
      <c r="P560" s="26"/>
      <c r="Q560" s="37"/>
      <c r="R560" s="37" t="s">
        <v>611</v>
      </c>
      <c r="S560" s="23"/>
      <c r="T560" s="37" t="s">
        <v>611</v>
      </c>
      <c r="U560" s="24"/>
      <c r="V560" s="24"/>
      <c r="W560" s="37"/>
      <c r="X560" s="24"/>
      <c r="Y560" s="24"/>
      <c r="Z560" s="37"/>
      <c r="AA560" s="24"/>
      <c r="AB560" s="24"/>
      <c r="AC560" s="37" t="s">
        <v>611</v>
      </c>
      <c r="AD560" s="37"/>
      <c r="AE560" s="37" t="s">
        <v>611</v>
      </c>
      <c r="AF560" s="24">
        <v>6</v>
      </c>
      <c r="AG560" s="37" t="s">
        <v>611</v>
      </c>
      <c r="AH560" s="27">
        <v>4</v>
      </c>
      <c r="AI560" s="82">
        <v>3</v>
      </c>
      <c r="AJ560" s="25">
        <v>7</v>
      </c>
      <c r="AK560" s="27">
        <v>6</v>
      </c>
      <c r="AL560" s="24"/>
      <c r="AM560" s="26"/>
      <c r="AN560" s="27"/>
      <c r="AO560" s="27"/>
      <c r="AP560" s="37"/>
      <c r="AQ560" s="27"/>
      <c r="AR560">
        <f t="shared" si="19"/>
        <v>10</v>
      </c>
    </row>
    <row r="561" spans="2:44" x14ac:dyDescent="0.25">
      <c r="B561" t="str">
        <f t="shared" si="18"/>
        <v>SMC - Makengo</v>
      </c>
      <c r="C561" t="s">
        <v>978</v>
      </c>
      <c r="D561" s="29" t="s">
        <v>622</v>
      </c>
      <c r="E561" s="65" t="s">
        <v>579</v>
      </c>
      <c r="F561" s="31">
        <v>5</v>
      </c>
      <c r="G561" s="99">
        <v>4</v>
      </c>
      <c r="H561" s="73"/>
      <c r="I561" s="34">
        <f>AVERAGE(AD561,AE561,AF561,AH561,AI561)</f>
        <v>4.8</v>
      </c>
      <c r="J561" s="179"/>
      <c r="K561" s="24"/>
      <c r="L561" s="37"/>
      <c r="M561" s="24"/>
      <c r="N561" s="37"/>
      <c r="O561" s="37"/>
      <c r="P561" s="26"/>
      <c r="Q561" s="37"/>
      <c r="R561" s="37"/>
      <c r="S561" s="23"/>
      <c r="T561" s="37"/>
      <c r="U561" s="24"/>
      <c r="V561" s="24"/>
      <c r="W561" s="37"/>
      <c r="X561" s="37" t="s">
        <v>611</v>
      </c>
      <c r="Y561" s="24"/>
      <c r="Z561" s="37"/>
      <c r="AA561" s="37" t="s">
        <v>611</v>
      </c>
      <c r="AB561" s="37" t="s">
        <v>611</v>
      </c>
      <c r="AC561" s="37" t="s">
        <v>611</v>
      </c>
      <c r="AD561" s="37">
        <v>4</v>
      </c>
      <c r="AE561" s="24">
        <v>6</v>
      </c>
      <c r="AF561" s="24">
        <v>5</v>
      </c>
      <c r="AG561" s="24"/>
      <c r="AH561" s="27">
        <v>5</v>
      </c>
      <c r="AI561" s="24">
        <v>4</v>
      </c>
      <c r="AJ561" s="24"/>
      <c r="AK561" s="27"/>
      <c r="AL561" s="24"/>
      <c r="AM561" s="26"/>
      <c r="AN561" s="27"/>
      <c r="AO561" s="27"/>
      <c r="AP561" s="37"/>
      <c r="AQ561" s="27"/>
      <c r="AR561">
        <f t="shared" si="19"/>
        <v>9</v>
      </c>
    </row>
    <row r="562" spans="2:44" x14ac:dyDescent="0.25">
      <c r="B562" t="str">
        <f t="shared" si="18"/>
        <v>SMC - Diomandé</v>
      </c>
      <c r="C562" t="s">
        <v>978</v>
      </c>
      <c r="D562" s="29" t="s">
        <v>622</v>
      </c>
      <c r="E562" s="155" t="s">
        <v>707</v>
      </c>
      <c r="F562" s="31">
        <v>2</v>
      </c>
      <c r="G562" s="99"/>
      <c r="H562" s="73"/>
      <c r="I562" s="34">
        <f>AVERAGE(AF562,AH562)</f>
        <v>5</v>
      </c>
      <c r="J562" s="179"/>
      <c r="K562" s="24"/>
      <c r="L562" s="37"/>
      <c r="M562" s="24"/>
      <c r="N562" s="37"/>
      <c r="O562" s="37"/>
      <c r="P562" s="26"/>
      <c r="Q562" s="37"/>
      <c r="R562" s="37"/>
      <c r="S562" s="23"/>
      <c r="T562" s="37"/>
      <c r="U562" s="24"/>
      <c r="V562" s="24"/>
      <c r="W562" s="37"/>
      <c r="X562" s="37"/>
      <c r="Y562" s="24"/>
      <c r="Z562" s="37"/>
      <c r="AA562" s="37"/>
      <c r="AB562" s="37"/>
      <c r="AC562" s="37"/>
      <c r="AD562" s="37"/>
      <c r="AE562" s="24"/>
      <c r="AF562" s="24">
        <v>6</v>
      </c>
      <c r="AG562" s="24"/>
      <c r="AH562" s="27">
        <v>4</v>
      </c>
      <c r="AI562" s="24"/>
      <c r="AJ562" s="24"/>
      <c r="AK562" s="27"/>
      <c r="AL562" s="24"/>
      <c r="AM562" s="26"/>
      <c r="AN562" s="27"/>
      <c r="AO562" s="27"/>
      <c r="AP562" s="37"/>
      <c r="AQ562" s="27"/>
      <c r="AR562">
        <f t="shared" si="19"/>
        <v>2</v>
      </c>
    </row>
    <row r="563" spans="2:44" x14ac:dyDescent="0.25">
      <c r="B563" t="str">
        <f t="shared" si="18"/>
        <v>FCL - Gassama</v>
      </c>
      <c r="C563" t="s">
        <v>784</v>
      </c>
      <c r="D563" s="67" t="s">
        <v>608</v>
      </c>
      <c r="E563" s="85" t="s">
        <v>513</v>
      </c>
      <c r="F563" s="69">
        <v>26</v>
      </c>
      <c r="G563" s="115"/>
      <c r="H563" s="68"/>
      <c r="I563" s="72">
        <f>AVERAGE(AA563,X563,K563,L563,M563,J563,N563,O563,P563,Q563,R563,T563,U563,V563,W563,Z563,AC563,AD563,AE563,AF563,AG563,AH563,AI563,AL563,AM563,AN563)</f>
        <v>4.8076923076923075</v>
      </c>
      <c r="J563" s="87">
        <v>6</v>
      </c>
      <c r="K563" s="37">
        <v>5</v>
      </c>
      <c r="L563" s="37">
        <v>6</v>
      </c>
      <c r="M563" s="37">
        <v>4</v>
      </c>
      <c r="N563" s="24">
        <v>6</v>
      </c>
      <c r="O563" s="24">
        <v>5</v>
      </c>
      <c r="P563" s="27">
        <v>6</v>
      </c>
      <c r="Q563" s="172">
        <v>3</v>
      </c>
      <c r="R563" s="24">
        <v>5</v>
      </c>
      <c r="S563" s="37"/>
      <c r="T563" s="24">
        <v>5</v>
      </c>
      <c r="U563" s="24">
        <v>4</v>
      </c>
      <c r="V563" s="24">
        <v>4</v>
      </c>
      <c r="W563" s="24">
        <v>5</v>
      </c>
      <c r="X563" s="24">
        <v>5</v>
      </c>
      <c r="Y563" s="37"/>
      <c r="Z563" s="24">
        <v>5</v>
      </c>
      <c r="AA563" s="24">
        <v>4</v>
      </c>
      <c r="AB563" s="24"/>
      <c r="AC563" s="24">
        <v>5</v>
      </c>
      <c r="AD563" s="24">
        <v>4</v>
      </c>
      <c r="AE563" s="24">
        <v>5</v>
      </c>
      <c r="AF563" s="24">
        <v>6</v>
      </c>
      <c r="AG563" s="23">
        <v>4</v>
      </c>
      <c r="AH563" s="27">
        <v>5</v>
      </c>
      <c r="AI563" s="24">
        <v>4</v>
      </c>
      <c r="AJ563" s="24"/>
      <c r="AK563" s="27"/>
      <c r="AL563" s="37">
        <v>5</v>
      </c>
      <c r="AM563" s="27">
        <v>5</v>
      </c>
      <c r="AN563" s="27">
        <v>4</v>
      </c>
      <c r="AO563" s="27"/>
      <c r="AP563" s="24"/>
      <c r="AQ563" s="27"/>
      <c r="AR563">
        <f t="shared" si="19"/>
        <v>26</v>
      </c>
    </row>
    <row r="564" spans="2:44" x14ac:dyDescent="0.25">
      <c r="B564" t="str">
        <f t="shared" si="18"/>
        <v>SMC - Nangis</v>
      </c>
      <c r="C564" t="s">
        <v>978</v>
      </c>
      <c r="D564" s="250" t="s">
        <v>633</v>
      </c>
      <c r="E564" s="146" t="s">
        <v>737</v>
      </c>
      <c r="F564" s="52">
        <v>3</v>
      </c>
      <c r="G564" s="239"/>
      <c r="H564" s="251"/>
      <c r="I564" s="80">
        <f>AVERAGE(J564,K564,L564)</f>
        <v>4.666666666666667</v>
      </c>
      <c r="J564" s="150">
        <v>5</v>
      </c>
      <c r="K564" s="53">
        <v>4</v>
      </c>
      <c r="L564" s="61">
        <v>5</v>
      </c>
      <c r="M564" s="61"/>
      <c r="N564" s="61"/>
      <c r="O564" s="81"/>
      <c r="P564" s="63"/>
      <c r="Q564" s="61"/>
      <c r="R564" s="61"/>
      <c r="S564" s="53"/>
      <c r="T564" s="53"/>
      <c r="U564" s="61"/>
      <c r="V564" s="53"/>
      <c r="W564" s="61"/>
      <c r="X564" s="53"/>
      <c r="Y564" s="53"/>
      <c r="Z564" s="61"/>
      <c r="AA564" s="61"/>
      <c r="AB564" s="53"/>
      <c r="AC564" s="61"/>
      <c r="AD564" s="61"/>
      <c r="AE564" s="53"/>
      <c r="AF564" s="53"/>
      <c r="AG564" s="53"/>
      <c r="AH564" s="63"/>
      <c r="AI564" s="53"/>
      <c r="AJ564" s="53"/>
      <c r="AK564" s="63"/>
      <c r="AL564" s="53"/>
      <c r="AM564" s="62"/>
      <c r="AN564" s="63"/>
      <c r="AO564" s="63"/>
      <c r="AP564" s="61"/>
      <c r="AQ564" s="63"/>
      <c r="AR564">
        <f t="shared" si="19"/>
        <v>3</v>
      </c>
    </row>
    <row r="565" spans="2:44" x14ac:dyDescent="0.25">
      <c r="B565" t="str">
        <f t="shared" si="18"/>
        <v>FCL - Bellugou</v>
      </c>
      <c r="C565" t="s">
        <v>784</v>
      </c>
      <c r="D565" s="29" t="s">
        <v>608</v>
      </c>
      <c r="E565" s="78" t="s">
        <v>767</v>
      </c>
      <c r="F565" s="31">
        <v>22</v>
      </c>
      <c r="G565" s="99">
        <v>5</v>
      </c>
      <c r="H565" s="73"/>
      <c r="I565" s="34">
        <f>AVERAGE(AA565,K565,L565,M565,J565,P565,R565,S565,T565,U565,V565,W565,X565,Z565,AC565,AD565,AE565,AF565,AK565,AL565,AN565)</f>
        <v>4.9523809523809526</v>
      </c>
      <c r="J565" s="87">
        <v>5</v>
      </c>
      <c r="K565" s="37">
        <v>4</v>
      </c>
      <c r="L565" s="37">
        <v>5</v>
      </c>
      <c r="M565" s="37">
        <v>5</v>
      </c>
      <c r="N565" s="24"/>
      <c r="O565" s="37" t="s">
        <v>611</v>
      </c>
      <c r="P565" s="27">
        <v>5</v>
      </c>
      <c r="Q565" s="37"/>
      <c r="R565" s="24">
        <v>5</v>
      </c>
      <c r="S565" s="37">
        <v>5</v>
      </c>
      <c r="T565" s="24">
        <v>5</v>
      </c>
      <c r="U565" s="24">
        <v>5</v>
      </c>
      <c r="V565" s="24">
        <v>5</v>
      </c>
      <c r="W565" s="24">
        <v>4</v>
      </c>
      <c r="X565" s="24">
        <v>5</v>
      </c>
      <c r="Y565" s="37" t="s">
        <v>611</v>
      </c>
      <c r="Z565" s="24">
        <v>5</v>
      </c>
      <c r="AA565" s="24">
        <v>5</v>
      </c>
      <c r="AB565" s="37" t="s">
        <v>611</v>
      </c>
      <c r="AC565" s="24">
        <v>6</v>
      </c>
      <c r="AD565" s="24">
        <v>5</v>
      </c>
      <c r="AE565" s="24">
        <v>5</v>
      </c>
      <c r="AF565" s="24">
        <v>6</v>
      </c>
      <c r="AG565" s="24"/>
      <c r="AH565" s="27" t="s">
        <v>623</v>
      </c>
      <c r="AI565" s="24"/>
      <c r="AJ565" s="76" t="s">
        <v>611</v>
      </c>
      <c r="AK565" s="27">
        <v>6</v>
      </c>
      <c r="AL565" s="37">
        <v>5</v>
      </c>
      <c r="AM565" s="26" t="s">
        <v>611</v>
      </c>
      <c r="AN565" s="244">
        <v>3</v>
      </c>
      <c r="AO565" s="27"/>
      <c r="AP565" s="24"/>
      <c r="AQ565" s="28"/>
      <c r="AR565">
        <f t="shared" si="19"/>
        <v>27</v>
      </c>
    </row>
    <row r="566" spans="2:44" x14ac:dyDescent="0.25">
      <c r="B566" t="str">
        <f t="shared" si="18"/>
        <v>SMC - Bazile</v>
      </c>
      <c r="C566" t="s">
        <v>978</v>
      </c>
      <c r="D566" s="29" t="s">
        <v>633</v>
      </c>
      <c r="E566" s="155" t="s">
        <v>564</v>
      </c>
      <c r="F566" s="31">
        <v>9</v>
      </c>
      <c r="G566" s="99">
        <v>11</v>
      </c>
      <c r="H566" s="73"/>
      <c r="I566" s="34">
        <f>AVERAGE(K566,N566,O566,P566,U566,Z566,AD566,AJ566,AL566,AM566,AN566)</f>
        <v>4.7272727272727275</v>
      </c>
      <c r="J566" s="87" t="s">
        <v>611</v>
      </c>
      <c r="K566" s="24">
        <v>4</v>
      </c>
      <c r="L566" s="76" t="s">
        <v>611</v>
      </c>
      <c r="M566" s="37" t="s">
        <v>611</v>
      </c>
      <c r="N566" s="37">
        <v>4</v>
      </c>
      <c r="O566" s="37">
        <v>6</v>
      </c>
      <c r="P566" s="27">
        <v>5</v>
      </c>
      <c r="Q566" s="37" t="s">
        <v>611</v>
      </c>
      <c r="R566" s="37" t="s">
        <v>611</v>
      </c>
      <c r="S566" s="22"/>
      <c r="T566" s="24"/>
      <c r="U566" s="24">
        <v>4</v>
      </c>
      <c r="V566" s="24"/>
      <c r="W566" s="37" t="s">
        <v>611</v>
      </c>
      <c r="X566" s="37" t="s">
        <v>611</v>
      </c>
      <c r="Y566" s="37" t="s">
        <v>611</v>
      </c>
      <c r="Z566" s="37">
        <v>4</v>
      </c>
      <c r="AA566" s="37"/>
      <c r="AB566" s="37" t="s">
        <v>611</v>
      </c>
      <c r="AC566" s="24"/>
      <c r="AD566" s="37">
        <v>4</v>
      </c>
      <c r="AE566" s="24"/>
      <c r="AF566" s="24"/>
      <c r="AG566" s="24"/>
      <c r="AH566" s="28"/>
      <c r="AI566" s="22"/>
      <c r="AJ566" s="66">
        <v>7</v>
      </c>
      <c r="AK566" s="26" t="s">
        <v>611</v>
      </c>
      <c r="AL566" s="23">
        <v>4</v>
      </c>
      <c r="AM566" s="26">
        <v>4</v>
      </c>
      <c r="AN566" s="27">
        <v>6</v>
      </c>
      <c r="AO566" s="27"/>
      <c r="AP566" s="37"/>
      <c r="AQ566" s="27"/>
      <c r="AR566">
        <f t="shared" si="19"/>
        <v>20</v>
      </c>
    </row>
    <row r="567" spans="2:44" x14ac:dyDescent="0.25">
      <c r="B567" t="str">
        <f t="shared" si="18"/>
        <v>SMC - Koukaou</v>
      </c>
      <c r="C567" t="s">
        <v>978</v>
      </c>
      <c r="D567" s="29" t="s">
        <v>633</v>
      </c>
      <c r="E567" s="65" t="s">
        <v>1070</v>
      </c>
      <c r="F567" s="31"/>
      <c r="G567" s="99">
        <v>5</v>
      </c>
      <c r="H567" s="73">
        <v>1</v>
      </c>
      <c r="I567" s="34">
        <f>AVERAGE(AH567)</f>
        <v>3</v>
      </c>
      <c r="J567" s="179"/>
      <c r="K567" s="24"/>
      <c r="L567" s="37"/>
      <c r="M567" s="24"/>
      <c r="N567" s="37"/>
      <c r="O567" s="37"/>
      <c r="P567" s="26"/>
      <c r="Q567" s="37"/>
      <c r="R567" s="37"/>
      <c r="S567" s="23"/>
      <c r="T567" s="37"/>
      <c r="U567" s="24"/>
      <c r="V567" s="24"/>
      <c r="W567" s="37"/>
      <c r="X567" s="37"/>
      <c r="Y567" s="24"/>
      <c r="Z567" s="37"/>
      <c r="AA567" s="37"/>
      <c r="AB567" s="37"/>
      <c r="AC567" s="37"/>
      <c r="AD567" s="37"/>
      <c r="AE567" s="24"/>
      <c r="AF567" s="24"/>
      <c r="AG567" s="24"/>
      <c r="AH567" s="259">
        <v>3</v>
      </c>
      <c r="AI567" s="24"/>
      <c r="AJ567" s="24"/>
      <c r="AK567" s="26" t="s">
        <v>611</v>
      </c>
      <c r="AL567" s="77" t="s">
        <v>611</v>
      </c>
      <c r="AM567" s="26" t="s">
        <v>611</v>
      </c>
      <c r="AN567" s="26" t="s">
        <v>611</v>
      </c>
      <c r="AO567" s="27"/>
      <c r="AP567" s="37"/>
      <c r="AQ567" s="27"/>
      <c r="AR567">
        <f t="shared" si="19"/>
        <v>5</v>
      </c>
    </row>
    <row r="568" spans="2:44" ht="15.75" thickBot="1" x14ac:dyDescent="0.3">
      <c r="B568" t="str">
        <f t="shared" si="18"/>
        <v>FCL - Le Goff</v>
      </c>
      <c r="C568" t="s">
        <v>784</v>
      </c>
      <c r="D568" s="88" t="s">
        <v>608</v>
      </c>
      <c r="E568" s="119" t="s">
        <v>768</v>
      </c>
      <c r="F568" s="90">
        <v>19</v>
      </c>
      <c r="G568" s="120">
        <v>8</v>
      </c>
      <c r="H568" s="89"/>
      <c r="I568" s="121">
        <f>AVERAGE(AA568,Y568,K568,L568,M568,J568,N568,P568,Q568,R568,S568,T568,U568,W568,Z568,AH568,AI568,AL568,AN568)</f>
        <v>4.7894736842105265</v>
      </c>
      <c r="J568" s="87">
        <v>6</v>
      </c>
      <c r="K568" s="37">
        <v>5</v>
      </c>
      <c r="L568" s="37">
        <v>5</v>
      </c>
      <c r="M568" s="37">
        <v>5</v>
      </c>
      <c r="N568" s="24">
        <v>5</v>
      </c>
      <c r="O568" s="37"/>
      <c r="P568" s="27">
        <v>5</v>
      </c>
      <c r="Q568" s="172">
        <v>3</v>
      </c>
      <c r="R568" s="24">
        <v>5</v>
      </c>
      <c r="S568" s="37">
        <v>6</v>
      </c>
      <c r="T568" s="24">
        <v>5</v>
      </c>
      <c r="U568" s="24">
        <v>4</v>
      </c>
      <c r="V568" s="37" t="s">
        <v>611</v>
      </c>
      <c r="W568" s="24">
        <v>5</v>
      </c>
      <c r="X568" s="37" t="s">
        <v>611</v>
      </c>
      <c r="Y568" s="84">
        <v>7</v>
      </c>
      <c r="Z568" s="23">
        <v>4</v>
      </c>
      <c r="AA568" s="24">
        <v>5</v>
      </c>
      <c r="AB568" s="37" t="s">
        <v>611</v>
      </c>
      <c r="AC568" s="76" t="s">
        <v>611</v>
      </c>
      <c r="AD568" s="24"/>
      <c r="AE568" s="24"/>
      <c r="AF568" s="37" t="s">
        <v>611</v>
      </c>
      <c r="AG568" s="24"/>
      <c r="AH568" s="27">
        <v>5</v>
      </c>
      <c r="AI568" s="24">
        <v>4</v>
      </c>
      <c r="AJ568" s="76" t="s">
        <v>611</v>
      </c>
      <c r="AK568" s="26" t="s">
        <v>611</v>
      </c>
      <c r="AL568" s="37">
        <v>5</v>
      </c>
      <c r="AM568" s="26" t="s">
        <v>611</v>
      </c>
      <c r="AN568" s="244">
        <v>2</v>
      </c>
      <c r="AO568" s="27"/>
      <c r="AP568" s="24"/>
      <c r="AQ568" s="27"/>
      <c r="AR568">
        <f t="shared" si="19"/>
        <v>27</v>
      </c>
    </row>
    <row r="569" spans="2:44" x14ac:dyDescent="0.25">
      <c r="B569" t="str">
        <f t="shared" si="18"/>
        <v>ESTAC - Petric</v>
      </c>
      <c r="C569" t="s">
        <v>1002</v>
      </c>
      <c r="D569" s="50" t="s">
        <v>605</v>
      </c>
      <c r="E569" s="51" t="s">
        <v>979</v>
      </c>
      <c r="F569" s="262">
        <v>9</v>
      </c>
      <c r="G569" s="263"/>
      <c r="H569" s="264"/>
      <c r="I569" s="80">
        <f>AVERAGE(K569,L569,M569,N569,O569,P569,Q569,R569,S569)</f>
        <v>5.333333333333333</v>
      </c>
      <c r="J569" s="265"/>
      <c r="K569" s="53">
        <v>5</v>
      </c>
      <c r="L569" s="61">
        <v>3</v>
      </c>
      <c r="M569" s="59">
        <v>7</v>
      </c>
      <c r="N569" s="61">
        <v>5</v>
      </c>
      <c r="O569" s="61">
        <v>6</v>
      </c>
      <c r="P569" s="63">
        <v>6</v>
      </c>
      <c r="Q569" s="61">
        <v>5</v>
      </c>
      <c r="R569" s="53">
        <v>6</v>
      </c>
      <c r="S569" s="53">
        <v>5</v>
      </c>
      <c r="T569" s="53"/>
      <c r="U569" s="53"/>
      <c r="V569" s="53"/>
      <c r="W569" s="61"/>
      <c r="X569" s="53"/>
      <c r="Y569" s="53"/>
      <c r="Z569" s="61"/>
      <c r="AA569" s="53"/>
      <c r="AB569" s="53"/>
      <c r="AC569" s="53"/>
      <c r="AD569" s="61"/>
      <c r="AE569" s="53"/>
      <c r="AF569" s="53"/>
      <c r="AG569" s="53"/>
      <c r="AH569" s="63"/>
      <c r="AI569" s="53"/>
      <c r="AJ569" s="53"/>
      <c r="AK569" s="63"/>
      <c r="AL569" s="53"/>
      <c r="AM569" s="62"/>
      <c r="AN569" s="63"/>
      <c r="AO569" s="63"/>
      <c r="AP569" s="61"/>
      <c r="AQ569" s="63"/>
      <c r="AR569">
        <f t="shared" si="19"/>
        <v>9</v>
      </c>
    </row>
    <row r="570" spans="2:44" x14ac:dyDescent="0.25">
      <c r="B570" t="str">
        <f t="shared" si="18"/>
        <v>ESTAC - Dreyer</v>
      </c>
      <c r="C570" t="s">
        <v>1002</v>
      </c>
      <c r="D570" s="29" t="s">
        <v>605</v>
      </c>
      <c r="E570" s="30" t="s">
        <v>980</v>
      </c>
      <c r="F570" s="31">
        <v>8</v>
      </c>
      <c r="G570" s="99"/>
      <c r="H570" s="73"/>
      <c r="I570" s="34">
        <f>AVERAGE(AG570,AH570,AI570,AJ570,AK570,AL570,AM570,AN570)</f>
        <v>5</v>
      </c>
      <c r="J570" s="181"/>
      <c r="K570" s="24"/>
      <c r="L570" s="37"/>
      <c r="M570" s="24"/>
      <c r="N570" s="37"/>
      <c r="O570" s="37"/>
      <c r="P570" s="27"/>
      <c r="Q570" s="37"/>
      <c r="R570" s="24"/>
      <c r="S570" s="23"/>
      <c r="T570" s="24"/>
      <c r="U570" s="24"/>
      <c r="V570" s="24"/>
      <c r="W570" s="37"/>
      <c r="X570" s="24"/>
      <c r="Y570" s="24"/>
      <c r="Z570" s="37"/>
      <c r="AA570" s="24"/>
      <c r="AB570" s="24"/>
      <c r="AC570" s="24"/>
      <c r="AD570" s="37"/>
      <c r="AE570" s="24"/>
      <c r="AF570" s="24"/>
      <c r="AG570" s="82">
        <v>3</v>
      </c>
      <c r="AH570" s="27">
        <v>5</v>
      </c>
      <c r="AI570" s="24">
        <v>6</v>
      </c>
      <c r="AJ570" s="24">
        <v>5</v>
      </c>
      <c r="AK570" s="27">
        <v>6</v>
      </c>
      <c r="AL570" s="24">
        <v>6</v>
      </c>
      <c r="AM570" s="26">
        <v>4</v>
      </c>
      <c r="AN570" s="27">
        <v>5</v>
      </c>
      <c r="AO570" s="27"/>
      <c r="AP570" s="37"/>
      <c r="AQ570" s="27"/>
      <c r="AR570">
        <f t="shared" si="19"/>
        <v>8</v>
      </c>
    </row>
    <row r="571" spans="2:44" x14ac:dyDescent="0.25">
      <c r="B571" t="str">
        <f t="shared" si="18"/>
        <v>ESTAC - Bernardoni</v>
      </c>
      <c r="C571" t="s">
        <v>1002</v>
      </c>
      <c r="D571" s="50" t="s">
        <v>605</v>
      </c>
      <c r="E571" s="51" t="s">
        <v>981</v>
      </c>
      <c r="F571" s="52">
        <v>14</v>
      </c>
      <c r="G571" s="63"/>
      <c r="H571" s="146"/>
      <c r="I571" s="80">
        <f>AVERAGE(AB571,J571,T571,U571,V571,W571,X571,Y571,Z571,AA571,AC571,AD571,AE571,AF571)</f>
        <v>5.7857142857142856</v>
      </c>
      <c r="J571" s="265">
        <v>5</v>
      </c>
      <c r="K571" s="53"/>
      <c r="L571" s="61"/>
      <c r="M571" s="53"/>
      <c r="N571" s="61"/>
      <c r="O571" s="61"/>
      <c r="P571" s="63"/>
      <c r="Q571" s="61"/>
      <c r="R571" s="53"/>
      <c r="S571" s="53"/>
      <c r="T571" s="53">
        <v>5</v>
      </c>
      <c r="U571" s="53">
        <v>6</v>
      </c>
      <c r="V571" s="53">
        <v>6</v>
      </c>
      <c r="W571" s="61">
        <v>7</v>
      </c>
      <c r="X571" s="53">
        <v>6</v>
      </c>
      <c r="Y571" s="53">
        <v>6</v>
      </c>
      <c r="Z571" s="61">
        <v>5</v>
      </c>
      <c r="AA571" s="53">
        <v>5</v>
      </c>
      <c r="AB571" s="59">
        <v>7</v>
      </c>
      <c r="AC571" s="53">
        <v>4</v>
      </c>
      <c r="AD571" s="61">
        <v>7</v>
      </c>
      <c r="AE571" s="53">
        <v>7</v>
      </c>
      <c r="AF571" s="53">
        <v>5</v>
      </c>
      <c r="AG571" s="53"/>
      <c r="AH571" s="63"/>
      <c r="AI571" s="53"/>
      <c r="AJ571" s="53"/>
      <c r="AK571" s="63"/>
      <c r="AL571" s="53"/>
      <c r="AM571" s="62"/>
      <c r="AN571" s="63"/>
      <c r="AO571" s="63"/>
      <c r="AP571" s="61"/>
      <c r="AQ571" s="63"/>
      <c r="AR571">
        <f t="shared" si="19"/>
        <v>14</v>
      </c>
    </row>
    <row r="572" spans="2:44" x14ac:dyDescent="0.25">
      <c r="B572" t="str">
        <f t="shared" si="18"/>
        <v>ESTAC - Grandel</v>
      </c>
      <c r="C572" t="s">
        <v>1002</v>
      </c>
      <c r="D572" s="67" t="s">
        <v>605</v>
      </c>
      <c r="E572" s="154" t="s">
        <v>982</v>
      </c>
      <c r="F572" s="69"/>
      <c r="G572" s="115"/>
      <c r="H572" s="68"/>
      <c r="I572" s="72"/>
      <c r="J572" s="181"/>
      <c r="K572" s="24"/>
      <c r="L572" s="77"/>
      <c r="M572" s="24"/>
      <c r="N572" s="37"/>
      <c r="O572" s="37"/>
      <c r="P572" s="27"/>
      <c r="Q572" s="77"/>
      <c r="R572" s="24"/>
      <c r="S572" s="23"/>
      <c r="T572" s="24"/>
      <c r="U572" s="24"/>
      <c r="V572" s="24"/>
      <c r="W572" s="37"/>
      <c r="X572" s="24"/>
      <c r="Y572" s="24"/>
      <c r="Z572" s="37"/>
      <c r="AA572" s="24"/>
      <c r="AB572" s="24"/>
      <c r="AC572" s="24"/>
      <c r="AD572" s="37"/>
      <c r="AE572" s="24"/>
      <c r="AF572" s="22"/>
      <c r="AG572" s="22"/>
      <c r="AH572" s="27"/>
      <c r="AI572" s="24"/>
      <c r="AJ572" s="24"/>
      <c r="AK572" s="27"/>
      <c r="AL572" s="24"/>
      <c r="AM572" s="94"/>
      <c r="AN572" s="27"/>
      <c r="AO572" s="27"/>
      <c r="AP572" s="37"/>
      <c r="AQ572" s="27"/>
      <c r="AR572">
        <f t="shared" si="19"/>
        <v>0</v>
      </c>
    </row>
    <row r="573" spans="2:44" x14ac:dyDescent="0.25">
      <c r="B573" t="str">
        <f t="shared" si="18"/>
        <v>ESTAC - Saunier</v>
      </c>
      <c r="C573" t="s">
        <v>1002</v>
      </c>
      <c r="D573" s="29" t="s">
        <v>608</v>
      </c>
      <c r="E573" s="155" t="s">
        <v>470</v>
      </c>
      <c r="F573" s="31">
        <v>21</v>
      </c>
      <c r="G573" s="99"/>
      <c r="H573" s="114" t="s">
        <v>647</v>
      </c>
      <c r="I573" s="126">
        <f>AVERAGE(AB573,AA573,K573,L573,M573,N573,J573,O573,P573,Q573,W573,X573,Y573,Z573,AC573,AD573,AE573,AF573,AM573,AN573)</f>
        <v>4.8</v>
      </c>
      <c r="J573" s="179">
        <v>6</v>
      </c>
      <c r="K573" s="24">
        <v>4</v>
      </c>
      <c r="L573" s="172">
        <v>3</v>
      </c>
      <c r="M573" s="24">
        <v>5</v>
      </c>
      <c r="N573" s="37">
        <v>5</v>
      </c>
      <c r="O573" s="37">
        <v>4</v>
      </c>
      <c r="P573" s="27">
        <v>6</v>
      </c>
      <c r="Q573" s="37">
        <v>5</v>
      </c>
      <c r="R573" s="24" t="s">
        <v>641</v>
      </c>
      <c r="S573" s="23"/>
      <c r="T573" s="37"/>
      <c r="U573" s="24"/>
      <c r="V573" s="24"/>
      <c r="W573" s="37">
        <v>5</v>
      </c>
      <c r="X573" s="37">
        <v>6</v>
      </c>
      <c r="Y573" s="24">
        <v>5</v>
      </c>
      <c r="Z573" s="37">
        <v>5</v>
      </c>
      <c r="AA573" s="37">
        <v>5</v>
      </c>
      <c r="AB573" s="24">
        <v>6</v>
      </c>
      <c r="AC573" s="82">
        <v>3</v>
      </c>
      <c r="AD573" s="37">
        <v>5</v>
      </c>
      <c r="AE573" s="84">
        <v>7</v>
      </c>
      <c r="AF573" s="37">
        <v>5</v>
      </c>
      <c r="AG573" s="37"/>
      <c r="AH573" s="26"/>
      <c r="AI573" s="37"/>
      <c r="AJ573" s="24"/>
      <c r="AK573" s="26"/>
      <c r="AL573" s="24"/>
      <c r="AM573" s="259">
        <v>1</v>
      </c>
      <c r="AN573" s="27">
        <v>5</v>
      </c>
      <c r="AO573" s="27"/>
      <c r="AP573" s="37"/>
      <c r="AQ573" s="27"/>
      <c r="AR573">
        <f t="shared" si="19"/>
        <v>21</v>
      </c>
    </row>
    <row r="574" spans="2:44" x14ac:dyDescent="0.25">
      <c r="B574" t="str">
        <f t="shared" si="18"/>
        <v>ESTAC - Rincon</v>
      </c>
      <c r="C574" t="s">
        <v>1002</v>
      </c>
      <c r="D574" s="29" t="s">
        <v>608</v>
      </c>
      <c r="E574" s="155" t="s">
        <v>983</v>
      </c>
      <c r="F574" s="31">
        <v>3</v>
      </c>
      <c r="G574" s="99"/>
      <c r="H574" s="73"/>
      <c r="I574" s="34">
        <f>AVERAGE(AL574,AM574,AN574)</f>
        <v>3.3333333333333335</v>
      </c>
      <c r="J574" s="179"/>
      <c r="K574" s="24"/>
      <c r="L574" s="37"/>
      <c r="M574" s="24"/>
      <c r="N574" s="37"/>
      <c r="O574" s="37"/>
      <c r="P574" s="27"/>
      <c r="Q574" s="37"/>
      <c r="R574" s="24"/>
      <c r="S574" s="23"/>
      <c r="T574" s="24"/>
      <c r="U574" s="24"/>
      <c r="V574" s="37"/>
      <c r="W574" s="37"/>
      <c r="X574" s="24"/>
      <c r="Y574" s="24"/>
      <c r="Z574" s="37"/>
      <c r="AA574" s="24"/>
      <c r="AB574" s="24"/>
      <c r="AC574" s="24"/>
      <c r="AD574" s="37"/>
      <c r="AE574" s="24"/>
      <c r="AF574" s="24"/>
      <c r="AG574" s="24"/>
      <c r="AH574" s="27"/>
      <c r="AI574" s="24"/>
      <c r="AJ574" s="24"/>
      <c r="AK574" s="27"/>
      <c r="AL574" s="24">
        <v>5</v>
      </c>
      <c r="AM574" s="259">
        <v>1</v>
      </c>
      <c r="AN574" s="27">
        <v>4</v>
      </c>
      <c r="AO574" s="27"/>
      <c r="AP574" s="37"/>
      <c r="AQ574" s="27"/>
      <c r="AR574">
        <f t="shared" si="19"/>
        <v>3</v>
      </c>
    </row>
    <row r="575" spans="2:44" x14ac:dyDescent="0.25">
      <c r="B575" t="str">
        <f t="shared" si="18"/>
        <v>ESTAC - Lacour</v>
      </c>
      <c r="C575" t="s">
        <v>1002</v>
      </c>
      <c r="D575" s="29" t="s">
        <v>608</v>
      </c>
      <c r="E575" s="155" t="s">
        <v>984</v>
      </c>
      <c r="F575" s="31"/>
      <c r="G575" s="99"/>
      <c r="H575" s="73"/>
      <c r="I575" s="34"/>
      <c r="J575" s="179"/>
      <c r="K575" s="24"/>
      <c r="L575" s="37"/>
      <c r="M575" s="24"/>
      <c r="N575" s="37"/>
      <c r="O575" s="77"/>
      <c r="P575" s="27"/>
      <c r="Q575" s="37"/>
      <c r="R575" s="24"/>
      <c r="S575" s="23"/>
      <c r="T575" s="24"/>
      <c r="U575" s="22"/>
      <c r="V575" s="24"/>
      <c r="W575" s="37"/>
      <c r="X575" s="24"/>
      <c r="Y575" s="24"/>
      <c r="Z575" s="37"/>
      <c r="AA575" s="24"/>
      <c r="AB575" s="24"/>
      <c r="AC575" s="24"/>
      <c r="AD575" s="37"/>
      <c r="AE575" s="24"/>
      <c r="AF575" s="24"/>
      <c r="AG575" s="24"/>
      <c r="AH575" s="27"/>
      <c r="AI575" s="24"/>
      <c r="AJ575" s="24"/>
      <c r="AK575" s="27"/>
      <c r="AL575" s="24"/>
      <c r="AM575" s="26"/>
      <c r="AN575" s="27"/>
      <c r="AO575" s="27"/>
      <c r="AP575" s="37"/>
      <c r="AQ575" s="27"/>
      <c r="AR575">
        <f t="shared" si="19"/>
        <v>0</v>
      </c>
    </row>
    <row r="576" spans="2:44" x14ac:dyDescent="0.25">
      <c r="B576" t="str">
        <f t="shared" si="18"/>
        <v>ESTAC - N'Diaye</v>
      </c>
      <c r="C576" t="s">
        <v>1002</v>
      </c>
      <c r="D576" s="29" t="s">
        <v>608</v>
      </c>
      <c r="E576" s="65" t="s">
        <v>791</v>
      </c>
      <c r="F576" s="31"/>
      <c r="G576" s="99"/>
      <c r="H576" s="73"/>
      <c r="I576" s="34"/>
      <c r="J576" s="179"/>
      <c r="K576" s="24"/>
      <c r="L576" s="37"/>
      <c r="M576" s="24"/>
      <c r="N576" s="37"/>
      <c r="O576" s="37"/>
      <c r="P576" s="27"/>
      <c r="Q576" s="37"/>
      <c r="R576" s="22"/>
      <c r="S576" s="23"/>
      <c r="T576" s="24"/>
      <c r="U576" s="24"/>
      <c r="V576" s="24"/>
      <c r="W576" s="37"/>
      <c r="X576" s="24"/>
      <c r="Y576" s="24"/>
      <c r="Z576" s="37"/>
      <c r="AA576" s="24"/>
      <c r="AB576" s="24"/>
      <c r="AC576" s="24"/>
      <c r="AD576" s="37"/>
      <c r="AE576" s="24"/>
      <c r="AF576" s="24"/>
      <c r="AG576" s="24"/>
      <c r="AH576" s="27"/>
      <c r="AI576" s="24"/>
      <c r="AJ576" s="24"/>
      <c r="AK576" s="27"/>
      <c r="AL576" s="24"/>
      <c r="AM576" s="26"/>
      <c r="AN576" s="27"/>
      <c r="AO576" s="27"/>
      <c r="AP576" s="37"/>
      <c r="AQ576" s="27"/>
      <c r="AR576">
        <f t="shared" si="19"/>
        <v>0</v>
      </c>
    </row>
    <row r="577" spans="2:44" x14ac:dyDescent="0.25">
      <c r="B577" t="str">
        <f t="shared" si="18"/>
        <v>ESTAC - Koné</v>
      </c>
      <c r="C577" t="s">
        <v>1002</v>
      </c>
      <c r="D577" s="29" t="s">
        <v>608</v>
      </c>
      <c r="E577" s="65" t="s">
        <v>853</v>
      </c>
      <c r="F577" s="31">
        <v>3</v>
      </c>
      <c r="G577" s="99"/>
      <c r="H577" s="73"/>
      <c r="I577" s="34">
        <f>AVERAGE(K577,L577,J577)</f>
        <v>4.666666666666667</v>
      </c>
      <c r="J577" s="179">
        <v>5</v>
      </c>
      <c r="K577" s="140">
        <v>5</v>
      </c>
      <c r="L577" s="140">
        <v>4</v>
      </c>
      <c r="M577" s="24"/>
      <c r="N577" s="37"/>
      <c r="O577" s="37"/>
      <c r="P577" s="27"/>
      <c r="Q577" s="37"/>
      <c r="R577" s="24"/>
      <c r="S577" s="23"/>
      <c r="T577" s="24"/>
      <c r="U577" s="24"/>
      <c r="V577" s="24"/>
      <c r="W577" s="37"/>
      <c r="X577" s="24"/>
      <c r="Y577" s="24"/>
      <c r="Z577" s="37"/>
      <c r="AA577" s="24"/>
      <c r="AB577" s="24"/>
      <c r="AC577" s="24"/>
      <c r="AD577" s="37"/>
      <c r="AE577" s="22"/>
      <c r="AF577" s="24"/>
      <c r="AG577" s="24"/>
      <c r="AH577" s="27"/>
      <c r="AI577" s="24"/>
      <c r="AJ577" s="24"/>
      <c r="AK577" s="27"/>
      <c r="AL577" s="24"/>
      <c r="AM577" s="26"/>
      <c r="AN577" s="27"/>
      <c r="AO577" s="27"/>
      <c r="AP577" s="37"/>
      <c r="AQ577" s="27"/>
      <c r="AR577">
        <f t="shared" si="19"/>
        <v>3</v>
      </c>
    </row>
    <row r="578" spans="2:44" x14ac:dyDescent="0.25">
      <c r="B578" t="str">
        <f t="shared" si="18"/>
        <v>ESTAC - Martins-Pereira</v>
      </c>
      <c r="C578" t="s">
        <v>1002</v>
      </c>
      <c r="D578" s="50" t="s">
        <v>608</v>
      </c>
      <c r="E578" s="57" t="s">
        <v>951</v>
      </c>
      <c r="F578" s="52">
        <v>11</v>
      </c>
      <c r="G578" s="63"/>
      <c r="H578" s="146"/>
      <c r="I578" s="80">
        <f>AVERAGE(K578,L578,M578,J578,S578,T578,W578,X578,Y578,AA578)</f>
        <v>5.2</v>
      </c>
      <c r="J578" s="150">
        <v>5</v>
      </c>
      <c r="K578" s="53">
        <v>4</v>
      </c>
      <c r="L578" s="61">
        <v>3</v>
      </c>
      <c r="M578" s="53">
        <v>6</v>
      </c>
      <c r="N578" s="61"/>
      <c r="O578" s="61"/>
      <c r="P578" s="63"/>
      <c r="Q578" s="61"/>
      <c r="R578" s="53"/>
      <c r="S578" s="53">
        <v>5</v>
      </c>
      <c r="T578" s="53">
        <v>5</v>
      </c>
      <c r="U578" s="53" t="s">
        <v>641</v>
      </c>
      <c r="V578" s="53"/>
      <c r="W578" s="61">
        <v>6</v>
      </c>
      <c r="X578" s="53">
        <v>5</v>
      </c>
      <c r="Y578" s="53">
        <v>6</v>
      </c>
      <c r="Z578" s="61"/>
      <c r="AA578" s="53">
        <v>7</v>
      </c>
      <c r="AB578" s="53"/>
      <c r="AC578" s="46"/>
      <c r="AD578" s="81"/>
      <c r="AE578" s="46"/>
      <c r="AF578" s="46"/>
      <c r="AG578" s="46"/>
      <c r="AH578" s="47"/>
      <c r="AI578" s="46"/>
      <c r="AJ578" s="46"/>
      <c r="AK578" s="56"/>
      <c r="AL578" s="46"/>
      <c r="AM578" s="56"/>
      <c r="AN578" s="47"/>
      <c r="AO578" s="56"/>
      <c r="AP578" s="55"/>
      <c r="AQ578" s="47"/>
      <c r="AR578">
        <f t="shared" si="19"/>
        <v>11</v>
      </c>
    </row>
    <row r="579" spans="2:44" x14ac:dyDescent="0.25">
      <c r="B579" t="str">
        <f t="shared" si="18"/>
        <v>ESTAC - Mavinga</v>
      </c>
      <c r="C579" t="s">
        <v>1002</v>
      </c>
      <c r="D579" s="29" t="s">
        <v>608</v>
      </c>
      <c r="E579" s="155" t="s">
        <v>985</v>
      </c>
      <c r="F579" s="31">
        <v>15</v>
      </c>
      <c r="G579" s="99">
        <v>1</v>
      </c>
      <c r="H579" s="73"/>
      <c r="I579" s="34">
        <f>AVERAGE(M579,O579,P579,Q579,S579,T579,U579,X579,Z579,AB579,AD579,AH579,AJ579)</f>
        <v>4.4615384615384617</v>
      </c>
      <c r="J579" s="179"/>
      <c r="K579" s="24" t="s">
        <v>623</v>
      </c>
      <c r="L579" s="37"/>
      <c r="M579" s="24">
        <v>6</v>
      </c>
      <c r="N579" s="37" t="s">
        <v>645</v>
      </c>
      <c r="O579" s="37">
        <v>5</v>
      </c>
      <c r="P579" s="27">
        <v>5</v>
      </c>
      <c r="Q579" s="37">
        <v>5</v>
      </c>
      <c r="R579" s="24"/>
      <c r="S579" s="163">
        <v>3</v>
      </c>
      <c r="T579" s="82">
        <v>3</v>
      </c>
      <c r="U579" s="24">
        <v>4</v>
      </c>
      <c r="V579" s="24"/>
      <c r="W579" s="37"/>
      <c r="X579" s="24">
        <v>4</v>
      </c>
      <c r="Y579" s="22"/>
      <c r="Z579" s="37">
        <v>5</v>
      </c>
      <c r="AA579" s="24"/>
      <c r="AB579" s="24">
        <v>6</v>
      </c>
      <c r="AC579" s="24"/>
      <c r="AD579" s="76">
        <v>4</v>
      </c>
      <c r="AE579" s="24"/>
      <c r="AF579" s="24"/>
      <c r="AG579" s="24"/>
      <c r="AH579" s="27">
        <v>5</v>
      </c>
      <c r="AI579" s="24"/>
      <c r="AJ579" s="82">
        <v>3</v>
      </c>
      <c r="AK579" s="26"/>
      <c r="AL579" s="37" t="s">
        <v>611</v>
      </c>
      <c r="AM579" s="26"/>
      <c r="AN579" s="27"/>
      <c r="AO579" s="26"/>
      <c r="AP579" s="37"/>
      <c r="AQ579" s="27"/>
      <c r="AR579">
        <f t="shared" si="19"/>
        <v>16</v>
      </c>
    </row>
    <row r="580" spans="2:44" x14ac:dyDescent="0.25">
      <c r="B580" t="str">
        <f t="shared" si="18"/>
        <v>ESTAC - Veskovac</v>
      </c>
      <c r="C580" t="s">
        <v>1002</v>
      </c>
      <c r="D580" s="29" t="s">
        <v>608</v>
      </c>
      <c r="E580" s="155" t="s">
        <v>817</v>
      </c>
      <c r="F580" s="31">
        <v>12</v>
      </c>
      <c r="G580" s="99">
        <v>2</v>
      </c>
      <c r="H580" s="73"/>
      <c r="I580" s="34">
        <f>AVERAGE(N580,O580,Q580,R580,S580,T580,V580,W580,Z580,AG580,AJ580,AK580)</f>
        <v>4.333333333333333</v>
      </c>
      <c r="J580" s="179"/>
      <c r="K580" s="24"/>
      <c r="L580" s="37"/>
      <c r="M580" s="24"/>
      <c r="N580" s="172">
        <v>3</v>
      </c>
      <c r="O580" s="37">
        <v>5</v>
      </c>
      <c r="P580" s="27"/>
      <c r="Q580" s="37">
        <v>5</v>
      </c>
      <c r="R580" s="24">
        <v>5</v>
      </c>
      <c r="S580" s="23">
        <v>4</v>
      </c>
      <c r="T580" s="24">
        <v>4</v>
      </c>
      <c r="U580" s="24"/>
      <c r="V580" s="24">
        <v>4</v>
      </c>
      <c r="W580" s="37">
        <v>5</v>
      </c>
      <c r="X580" s="24"/>
      <c r="Y580" s="22"/>
      <c r="Z580" s="37">
        <v>5</v>
      </c>
      <c r="AA580" s="24"/>
      <c r="AB580" s="24"/>
      <c r="AC580" s="24"/>
      <c r="AD580" s="77"/>
      <c r="AE580" s="24"/>
      <c r="AF580" s="24"/>
      <c r="AG580" s="82">
        <v>3</v>
      </c>
      <c r="AH580" s="27"/>
      <c r="AI580" s="76" t="s">
        <v>611</v>
      </c>
      <c r="AJ580" s="24">
        <v>4</v>
      </c>
      <c r="AK580" s="26">
        <v>5</v>
      </c>
      <c r="AL580" s="24"/>
      <c r="AM580" s="26"/>
      <c r="AN580" s="27"/>
      <c r="AO580" s="26"/>
      <c r="AP580" s="37"/>
      <c r="AQ580" s="27"/>
      <c r="AR580">
        <f t="shared" si="19"/>
        <v>14</v>
      </c>
    </row>
    <row r="581" spans="2:44" x14ac:dyDescent="0.25">
      <c r="B581" t="str">
        <f t="shared" si="18"/>
        <v>ESTAC - Ngcongca</v>
      </c>
      <c r="C581" t="s">
        <v>1002</v>
      </c>
      <c r="D581" s="29" t="s">
        <v>608</v>
      </c>
      <c r="E581" s="65" t="s">
        <v>270</v>
      </c>
      <c r="F581" s="31">
        <v>18</v>
      </c>
      <c r="G581" s="99">
        <v>2</v>
      </c>
      <c r="H581" s="73"/>
      <c r="I581" s="34">
        <f>AVERAGE(O581,P581,R581,U581,V581,Z581,AA581,AB581,AC581,AD581,AE581,AF581,AG581,AH581,AI581,AJ581,AK581,AL581,AM581)</f>
        <v>4.4736842105263159</v>
      </c>
      <c r="J581" s="179"/>
      <c r="K581" s="24"/>
      <c r="L581" s="37"/>
      <c r="M581" s="24"/>
      <c r="N581" s="37"/>
      <c r="O581" s="37">
        <v>4</v>
      </c>
      <c r="P581" s="27">
        <v>5</v>
      </c>
      <c r="Q581" s="37"/>
      <c r="R581" s="24">
        <v>4</v>
      </c>
      <c r="S581" s="23"/>
      <c r="T581" s="76" t="s">
        <v>611</v>
      </c>
      <c r="U581" s="24">
        <v>5</v>
      </c>
      <c r="V581" s="24">
        <v>5</v>
      </c>
      <c r="W581" s="37"/>
      <c r="X581" s="24"/>
      <c r="Y581" s="22"/>
      <c r="Z581" s="37">
        <v>5</v>
      </c>
      <c r="AA581" s="24">
        <v>4</v>
      </c>
      <c r="AB581" s="66">
        <v>7</v>
      </c>
      <c r="AC581" s="82">
        <v>3</v>
      </c>
      <c r="AD581" s="241">
        <v>3</v>
      </c>
      <c r="AE581" s="66">
        <v>7</v>
      </c>
      <c r="AF581" s="24">
        <v>5</v>
      </c>
      <c r="AG581" s="82">
        <v>3</v>
      </c>
      <c r="AH581" s="27">
        <v>4</v>
      </c>
      <c r="AI581" s="24">
        <v>5</v>
      </c>
      <c r="AJ581" s="24">
        <v>4</v>
      </c>
      <c r="AK581" s="26">
        <v>5</v>
      </c>
      <c r="AL581" s="24">
        <v>4</v>
      </c>
      <c r="AM581" s="259">
        <v>3</v>
      </c>
      <c r="AN581" s="27"/>
      <c r="AO581" s="26"/>
      <c r="AP581" s="37"/>
      <c r="AQ581" s="27"/>
      <c r="AR581">
        <f t="shared" si="19"/>
        <v>20</v>
      </c>
    </row>
    <row r="582" spans="2:44" x14ac:dyDescent="0.25">
      <c r="B582" t="str">
        <f t="shared" si="18"/>
        <v>ESTAC - Dabo</v>
      </c>
      <c r="C582" t="s">
        <v>1002</v>
      </c>
      <c r="D582" s="29" t="s">
        <v>608</v>
      </c>
      <c r="E582" s="155" t="s">
        <v>790</v>
      </c>
      <c r="F582" s="31">
        <v>13</v>
      </c>
      <c r="G582" s="99">
        <v>2</v>
      </c>
      <c r="H582" s="73"/>
      <c r="I582" s="34">
        <f>AVERAGE(T582,U582,V582,W582,Y582,AA582,AC582,AD582,AG582,AI582,AK582,AL582,AM582)</f>
        <v>4.384615384615385</v>
      </c>
      <c r="J582" s="179"/>
      <c r="K582" s="24"/>
      <c r="L582" s="37"/>
      <c r="M582" s="24"/>
      <c r="N582" s="37"/>
      <c r="O582" s="37"/>
      <c r="P582" s="27"/>
      <c r="Q582" s="37"/>
      <c r="R582" s="24"/>
      <c r="S582" s="23"/>
      <c r="T582" s="24">
        <v>5</v>
      </c>
      <c r="U582" s="24">
        <v>5</v>
      </c>
      <c r="V582" s="24">
        <v>4</v>
      </c>
      <c r="W582" s="37">
        <v>5</v>
      </c>
      <c r="X582" s="37" t="s">
        <v>611</v>
      </c>
      <c r="Y582" s="23">
        <v>5</v>
      </c>
      <c r="Z582" s="37" t="s">
        <v>611</v>
      </c>
      <c r="AA582" s="24">
        <v>5</v>
      </c>
      <c r="AB582" s="24" t="s">
        <v>623</v>
      </c>
      <c r="AC582" s="82">
        <v>3</v>
      </c>
      <c r="AD582" s="241">
        <v>3</v>
      </c>
      <c r="AE582" s="24"/>
      <c r="AF582" s="24"/>
      <c r="AG582" s="24">
        <v>4</v>
      </c>
      <c r="AH582" s="27"/>
      <c r="AI582" s="24">
        <v>5</v>
      </c>
      <c r="AJ582" s="24"/>
      <c r="AK582" s="26">
        <v>5</v>
      </c>
      <c r="AL582" s="24">
        <v>5</v>
      </c>
      <c r="AM582" s="259">
        <v>3</v>
      </c>
      <c r="AN582" s="27"/>
      <c r="AO582" s="26"/>
      <c r="AP582" s="37"/>
      <c r="AQ582" s="27"/>
      <c r="AR582">
        <f t="shared" si="19"/>
        <v>15</v>
      </c>
    </row>
    <row r="583" spans="2:44" x14ac:dyDescent="0.25">
      <c r="B583" t="str">
        <f t="shared" si="18"/>
        <v>ESTAC - Martial</v>
      </c>
      <c r="C583" t="s">
        <v>1002</v>
      </c>
      <c r="D583" s="29" t="s">
        <v>608</v>
      </c>
      <c r="E583" s="155" t="s">
        <v>986</v>
      </c>
      <c r="F583" s="31">
        <v>5</v>
      </c>
      <c r="G583" s="99">
        <v>1</v>
      </c>
      <c r="H583" s="73"/>
      <c r="I583" s="34">
        <f>AVERAGE(X583,Y583,AH583,AI583)</f>
        <v>4.75</v>
      </c>
      <c r="J583" s="179"/>
      <c r="K583" s="24"/>
      <c r="L583" s="37"/>
      <c r="M583" s="24"/>
      <c r="N583" s="37"/>
      <c r="O583" s="37"/>
      <c r="P583" s="27"/>
      <c r="Q583" s="37"/>
      <c r="R583" s="24"/>
      <c r="S583" s="23"/>
      <c r="T583" s="24"/>
      <c r="U583" s="24"/>
      <c r="V583" s="24"/>
      <c r="W583" s="37"/>
      <c r="X583" s="24">
        <v>5</v>
      </c>
      <c r="Y583" s="23">
        <v>5</v>
      </c>
      <c r="Z583" s="37" t="s">
        <v>641</v>
      </c>
      <c r="AA583" s="24"/>
      <c r="AB583" s="24"/>
      <c r="AC583" s="24"/>
      <c r="AD583" s="77"/>
      <c r="AE583" s="24"/>
      <c r="AF583" s="24"/>
      <c r="AG583" s="24"/>
      <c r="AH583" s="27">
        <v>5</v>
      </c>
      <c r="AI583" s="24">
        <v>4</v>
      </c>
      <c r="AJ583" s="24"/>
      <c r="AK583" s="26"/>
      <c r="AL583" s="24"/>
      <c r="AM583" s="26" t="s">
        <v>611</v>
      </c>
      <c r="AN583" s="27"/>
      <c r="AO583" s="26"/>
      <c r="AP583" s="37"/>
      <c r="AQ583" s="27"/>
      <c r="AR583">
        <f t="shared" si="19"/>
        <v>6</v>
      </c>
    </row>
    <row r="584" spans="2:44" x14ac:dyDescent="0.25">
      <c r="B584" t="str">
        <f t="shared" si="18"/>
        <v>ESTAC - Traoré</v>
      </c>
      <c r="C584" t="s">
        <v>1002</v>
      </c>
      <c r="D584" s="67" t="s">
        <v>608</v>
      </c>
      <c r="E584" s="122" t="s">
        <v>756</v>
      </c>
      <c r="F584" s="69">
        <v>3</v>
      </c>
      <c r="G584" s="115"/>
      <c r="H584" s="68"/>
      <c r="I584" s="34">
        <f>AVERAGE(AE584,AF584,AG584)</f>
        <v>4.333333333333333</v>
      </c>
      <c r="J584" s="179"/>
      <c r="K584" s="24"/>
      <c r="L584" s="37"/>
      <c r="M584" s="24"/>
      <c r="N584" s="37"/>
      <c r="O584" s="37"/>
      <c r="P584" s="27"/>
      <c r="Q584" s="37"/>
      <c r="R584" s="24"/>
      <c r="S584" s="23"/>
      <c r="T584" s="24"/>
      <c r="U584" s="24"/>
      <c r="V584" s="24"/>
      <c r="W584" s="37"/>
      <c r="X584" s="24"/>
      <c r="Y584" s="23"/>
      <c r="Z584" s="37"/>
      <c r="AA584" s="24"/>
      <c r="AB584" s="24"/>
      <c r="AC584" s="24"/>
      <c r="AD584" s="77"/>
      <c r="AE584" s="66">
        <v>7</v>
      </c>
      <c r="AF584" s="24">
        <v>4</v>
      </c>
      <c r="AG584" s="82">
        <v>2</v>
      </c>
      <c r="AH584" s="27"/>
      <c r="AI584" s="24"/>
      <c r="AJ584" s="24"/>
      <c r="AK584" s="26"/>
      <c r="AL584" s="24"/>
      <c r="AM584" s="26"/>
      <c r="AN584" s="27"/>
      <c r="AO584" s="26"/>
      <c r="AP584" s="37"/>
      <c r="AQ584" s="27"/>
      <c r="AR584">
        <f t="shared" si="19"/>
        <v>3</v>
      </c>
    </row>
    <row r="585" spans="2:44" x14ac:dyDescent="0.25">
      <c r="B585" t="str">
        <f t="shared" si="18"/>
        <v>FCL - Philippoteaux</v>
      </c>
      <c r="C585" t="s">
        <v>784</v>
      </c>
      <c r="D585" s="29" t="s">
        <v>622</v>
      </c>
      <c r="E585" s="60" t="s">
        <v>253</v>
      </c>
      <c r="F585" s="31">
        <v>12</v>
      </c>
      <c r="G585" s="99">
        <v>12</v>
      </c>
      <c r="H585" s="73"/>
      <c r="I585" s="126">
        <f>AVERAGE(O585,Q585,S585,X585,Z585,AB585,AC585,AD585,AE585,AG585,AL585,AN585)</f>
        <v>4.5</v>
      </c>
      <c r="J585" s="176" t="s">
        <v>611</v>
      </c>
      <c r="K585" s="37"/>
      <c r="L585" s="37" t="s">
        <v>611</v>
      </c>
      <c r="M585" s="37"/>
      <c r="N585" s="37" t="s">
        <v>611</v>
      </c>
      <c r="O585" s="66">
        <v>7</v>
      </c>
      <c r="P585" s="26" t="s">
        <v>611</v>
      </c>
      <c r="Q585" s="37">
        <v>4</v>
      </c>
      <c r="R585" s="37" t="s">
        <v>611</v>
      </c>
      <c r="S585" s="37">
        <v>4</v>
      </c>
      <c r="T585" s="37" t="s">
        <v>611</v>
      </c>
      <c r="U585" s="37" t="s">
        <v>611</v>
      </c>
      <c r="V585" s="24"/>
      <c r="W585" s="37" t="s">
        <v>611</v>
      </c>
      <c r="X585" s="24">
        <v>4</v>
      </c>
      <c r="Y585" s="37" t="s">
        <v>611</v>
      </c>
      <c r="Z585" s="24">
        <v>5</v>
      </c>
      <c r="AA585" s="37" t="s">
        <v>611</v>
      </c>
      <c r="AB585" s="24">
        <v>4</v>
      </c>
      <c r="AC585" s="24">
        <v>4</v>
      </c>
      <c r="AD585" s="24">
        <v>4</v>
      </c>
      <c r="AE585" s="37">
        <v>4</v>
      </c>
      <c r="AF585" s="24"/>
      <c r="AG585" s="24">
        <v>6</v>
      </c>
      <c r="AH585" s="27"/>
      <c r="AI585" s="37" t="s">
        <v>611</v>
      </c>
      <c r="AJ585" s="24"/>
      <c r="AK585" s="26" t="s">
        <v>611</v>
      </c>
      <c r="AL585" s="37">
        <v>5</v>
      </c>
      <c r="AM585" s="27"/>
      <c r="AN585" s="244">
        <v>3</v>
      </c>
      <c r="AO585" s="26"/>
      <c r="AP585" s="37"/>
      <c r="AQ585" s="28"/>
      <c r="AR585">
        <f t="shared" si="19"/>
        <v>24</v>
      </c>
    </row>
    <row r="586" spans="2:44" x14ac:dyDescent="0.25">
      <c r="B586" t="str">
        <f t="shared" si="18"/>
        <v>ESTAC - Ayasse</v>
      </c>
      <c r="C586" t="s">
        <v>1002</v>
      </c>
      <c r="D586" s="50" t="s">
        <v>622</v>
      </c>
      <c r="E586" s="57" t="s">
        <v>988</v>
      </c>
      <c r="F586" s="52">
        <v>13</v>
      </c>
      <c r="G586" s="63">
        <v>2</v>
      </c>
      <c r="H586" s="278" t="s">
        <v>938</v>
      </c>
      <c r="I586" s="80">
        <f>AVERAGE(K586,L586,J586,O586,P586,Q586,R586,T586,U586,W586,X586,Y586,AA586)</f>
        <v>4.7692307692307692</v>
      </c>
      <c r="J586" s="150">
        <v>5</v>
      </c>
      <c r="K586" s="53">
        <v>4</v>
      </c>
      <c r="L586" s="61">
        <v>4</v>
      </c>
      <c r="M586" s="53"/>
      <c r="N586" s="61"/>
      <c r="O586" s="61">
        <v>5</v>
      </c>
      <c r="P586" s="63">
        <v>4</v>
      </c>
      <c r="Q586" s="61">
        <v>4</v>
      </c>
      <c r="R586" s="53">
        <v>5</v>
      </c>
      <c r="S586" s="53"/>
      <c r="T586" s="53">
        <v>5</v>
      </c>
      <c r="U586" s="53">
        <v>5</v>
      </c>
      <c r="V586" s="53"/>
      <c r="W586" s="61">
        <v>5</v>
      </c>
      <c r="X586" s="53">
        <v>7</v>
      </c>
      <c r="Y586" s="53">
        <v>5</v>
      </c>
      <c r="Z586" s="61"/>
      <c r="AA586" s="53">
        <v>4</v>
      </c>
      <c r="AB586" s="53" t="s">
        <v>611</v>
      </c>
      <c r="AC586" s="46"/>
      <c r="AD586" s="81"/>
      <c r="AE586" s="46"/>
      <c r="AF586" s="46"/>
      <c r="AG586" s="46"/>
      <c r="AH586" s="47"/>
      <c r="AI586" s="46"/>
      <c r="AJ586" s="46"/>
      <c r="AK586" s="56"/>
      <c r="AL586" s="46"/>
      <c r="AM586" s="56"/>
      <c r="AN586" s="47"/>
      <c r="AO586" s="56"/>
      <c r="AP586" s="55"/>
      <c r="AQ586" s="47"/>
      <c r="AR586">
        <f t="shared" si="19"/>
        <v>15</v>
      </c>
    </row>
    <row r="587" spans="2:44" x14ac:dyDescent="0.25">
      <c r="B587" t="str">
        <f t="shared" si="18"/>
        <v>ESTAC - Court</v>
      </c>
      <c r="C587" t="s">
        <v>1002</v>
      </c>
      <c r="D587" s="29" t="s">
        <v>622</v>
      </c>
      <c r="E587" s="65" t="s">
        <v>989</v>
      </c>
      <c r="F587" s="31">
        <v>11</v>
      </c>
      <c r="G587" s="99">
        <v>11</v>
      </c>
      <c r="H587" s="73"/>
      <c r="I587" s="34">
        <f>AVERAGE(K587,M587,N587,J587,O587,P587,R587,S587,V587,W587,AN587)</f>
        <v>4.3636363636363633</v>
      </c>
      <c r="J587" s="179">
        <v>5</v>
      </c>
      <c r="K587" s="24">
        <v>4</v>
      </c>
      <c r="L587" s="37" t="s">
        <v>645</v>
      </c>
      <c r="M587" s="24">
        <v>5</v>
      </c>
      <c r="N587" s="37">
        <v>5</v>
      </c>
      <c r="O587" s="37">
        <v>4</v>
      </c>
      <c r="P587" s="27">
        <v>4</v>
      </c>
      <c r="Q587" s="37" t="s">
        <v>611</v>
      </c>
      <c r="R587" s="24">
        <v>4</v>
      </c>
      <c r="S587" s="23">
        <v>4</v>
      </c>
      <c r="T587" s="24"/>
      <c r="U587" s="37" t="s">
        <v>611</v>
      </c>
      <c r="V587" s="24">
        <v>5</v>
      </c>
      <c r="W587" s="37">
        <v>4</v>
      </c>
      <c r="X587" s="37" t="s">
        <v>611</v>
      </c>
      <c r="Y587" s="24"/>
      <c r="Z587" s="37"/>
      <c r="AA587" s="37" t="s">
        <v>611</v>
      </c>
      <c r="AB587" s="76" t="s">
        <v>611</v>
      </c>
      <c r="AC587" s="37" t="s">
        <v>611</v>
      </c>
      <c r="AD587" s="37" t="s">
        <v>611</v>
      </c>
      <c r="AE587" s="22"/>
      <c r="AF587" s="22"/>
      <c r="AG587" s="76" t="s">
        <v>611</v>
      </c>
      <c r="AH587" s="140" t="s">
        <v>611</v>
      </c>
      <c r="AI587" s="22"/>
      <c r="AJ587" s="37" t="s">
        <v>611</v>
      </c>
      <c r="AK587" s="26" t="s">
        <v>611</v>
      </c>
      <c r="AL587" s="24"/>
      <c r="AM587" s="26"/>
      <c r="AN587" s="27">
        <v>4</v>
      </c>
      <c r="AO587" s="27"/>
      <c r="AP587" s="37"/>
      <c r="AQ587" s="27"/>
      <c r="AR587">
        <f t="shared" si="19"/>
        <v>22</v>
      </c>
    </row>
    <row r="588" spans="2:44" x14ac:dyDescent="0.25">
      <c r="B588" t="str">
        <f t="shared" si="18"/>
        <v>ESTAC - Darbion</v>
      </c>
      <c r="C588" t="s">
        <v>1002</v>
      </c>
      <c r="D588" s="29" t="s">
        <v>622</v>
      </c>
      <c r="E588" s="155" t="s">
        <v>990</v>
      </c>
      <c r="F588" s="31">
        <v>15</v>
      </c>
      <c r="G588" s="99">
        <v>6</v>
      </c>
      <c r="H588" s="73"/>
      <c r="I588" s="34">
        <f>AVERAGE(K588,L588,M588,P588,Q588,T588,U588,W588,X588,Y588,AB588,AF588,AH588,AK588,AN588)</f>
        <v>4.5999999999999996</v>
      </c>
      <c r="J588" s="181"/>
      <c r="K588" s="140">
        <v>5</v>
      </c>
      <c r="L588" s="253">
        <v>3</v>
      </c>
      <c r="M588" s="24">
        <v>4</v>
      </c>
      <c r="N588" s="37"/>
      <c r="O588" s="37" t="s">
        <v>611</v>
      </c>
      <c r="P588" s="27">
        <v>5</v>
      </c>
      <c r="Q588" s="37">
        <v>5</v>
      </c>
      <c r="R588" s="24"/>
      <c r="S588" s="23"/>
      <c r="T588" s="24">
        <v>5</v>
      </c>
      <c r="U588" s="24">
        <v>5</v>
      </c>
      <c r="V588" s="37" t="s">
        <v>611</v>
      </c>
      <c r="W588" s="37">
        <v>4</v>
      </c>
      <c r="X588" s="24">
        <v>5</v>
      </c>
      <c r="Y588" s="37">
        <v>5</v>
      </c>
      <c r="Z588" s="37"/>
      <c r="AA588" s="24"/>
      <c r="AB588" s="24">
        <v>5</v>
      </c>
      <c r="AC588" s="24"/>
      <c r="AD588" s="37"/>
      <c r="AE588" s="37" t="s">
        <v>611</v>
      </c>
      <c r="AF588" s="24">
        <v>4</v>
      </c>
      <c r="AG588" s="76" t="s">
        <v>611</v>
      </c>
      <c r="AH588" s="27">
        <v>4</v>
      </c>
      <c r="AI588" s="24"/>
      <c r="AJ588" s="37" t="s">
        <v>611</v>
      </c>
      <c r="AK588" s="27">
        <v>6</v>
      </c>
      <c r="AL588" s="37" t="s">
        <v>611</v>
      </c>
      <c r="AM588" s="26"/>
      <c r="AN588" s="27">
        <v>4</v>
      </c>
      <c r="AO588" s="27"/>
      <c r="AP588" s="37"/>
      <c r="AQ588" s="27"/>
      <c r="AR588">
        <f t="shared" si="19"/>
        <v>21</v>
      </c>
    </row>
    <row r="589" spans="2:44" x14ac:dyDescent="0.25">
      <c r="B589" t="str">
        <f t="shared" si="18"/>
        <v>ESTAC - Othon</v>
      </c>
      <c r="C589" t="s">
        <v>1002</v>
      </c>
      <c r="D589" s="29" t="s">
        <v>622</v>
      </c>
      <c r="E589" s="155" t="s">
        <v>991</v>
      </c>
      <c r="F589" s="31">
        <v>5</v>
      </c>
      <c r="G589" s="99">
        <v>2</v>
      </c>
      <c r="H589" s="73">
        <v>1</v>
      </c>
      <c r="I589" s="34">
        <f>AVERAGE(L589,M589,N589,P589,R589,S589,AN589)</f>
        <v>4.5714285714285712</v>
      </c>
      <c r="J589" s="181"/>
      <c r="K589" s="76"/>
      <c r="L589" s="76">
        <v>4</v>
      </c>
      <c r="M589" s="24">
        <v>5</v>
      </c>
      <c r="N589" s="77">
        <v>6</v>
      </c>
      <c r="O589" s="37"/>
      <c r="P589" s="27">
        <v>5</v>
      </c>
      <c r="Q589" s="37"/>
      <c r="R589" s="24">
        <v>4</v>
      </c>
      <c r="S589" s="23">
        <v>4</v>
      </c>
      <c r="T589" s="24"/>
      <c r="U589" s="24"/>
      <c r="V589" s="24"/>
      <c r="W589" s="37"/>
      <c r="X589" s="24"/>
      <c r="Y589" s="37"/>
      <c r="Z589" s="37"/>
      <c r="AA589" s="24"/>
      <c r="AB589" s="24"/>
      <c r="AC589" s="24"/>
      <c r="AD589" s="37"/>
      <c r="AE589" s="24"/>
      <c r="AF589" s="24"/>
      <c r="AG589" s="24"/>
      <c r="AH589" s="27"/>
      <c r="AI589" s="24"/>
      <c r="AJ589" s="24"/>
      <c r="AK589" s="27"/>
      <c r="AL589" s="24"/>
      <c r="AM589" s="26"/>
      <c r="AN589" s="27">
        <v>4</v>
      </c>
      <c r="AO589" s="27"/>
      <c r="AP589" s="37"/>
      <c r="AQ589" s="27"/>
      <c r="AR589">
        <f t="shared" si="19"/>
        <v>7</v>
      </c>
    </row>
    <row r="590" spans="2:44" x14ac:dyDescent="0.25">
      <c r="B590" t="str">
        <f t="shared" si="18"/>
        <v>TFC - Tisserand</v>
      </c>
      <c r="C590" t="s">
        <v>836</v>
      </c>
      <c r="D590" s="29" t="s">
        <v>608</v>
      </c>
      <c r="E590" s="124" t="s">
        <v>820</v>
      </c>
      <c r="F590" s="31">
        <v>25</v>
      </c>
      <c r="G590" s="99">
        <v>1</v>
      </c>
      <c r="H590" s="73"/>
      <c r="I590" s="34">
        <f>AVERAGE(AB590,Y590,J590,N590,O590,P590,Q590,R590,S590,T590,U590,V590,W590,X590,AC590,AD590,AE590,AF590,AG590,AH590,AI590,AJ590,AL590,AM590,AN590)</f>
        <v>4.76</v>
      </c>
      <c r="J590" s="87">
        <v>5</v>
      </c>
      <c r="K590" s="37"/>
      <c r="L590" s="37"/>
      <c r="M590" s="37" t="s">
        <v>611</v>
      </c>
      <c r="N590" s="194">
        <v>3</v>
      </c>
      <c r="O590" s="24">
        <v>5</v>
      </c>
      <c r="P590" s="27">
        <v>5</v>
      </c>
      <c r="Q590" s="24">
        <v>5</v>
      </c>
      <c r="R590" s="24">
        <v>4</v>
      </c>
      <c r="S590" s="24">
        <v>5</v>
      </c>
      <c r="T590" s="24">
        <v>5</v>
      </c>
      <c r="U590" s="37">
        <v>5</v>
      </c>
      <c r="V590" s="163">
        <v>3</v>
      </c>
      <c r="W590" s="24">
        <v>5</v>
      </c>
      <c r="X590" s="24">
        <v>6</v>
      </c>
      <c r="Y590" s="24">
        <v>5</v>
      </c>
      <c r="Z590" s="24"/>
      <c r="AA590" s="24"/>
      <c r="AB590" s="24">
        <v>4</v>
      </c>
      <c r="AC590" s="24">
        <v>5</v>
      </c>
      <c r="AD590" s="37">
        <v>5</v>
      </c>
      <c r="AE590" s="24">
        <v>4</v>
      </c>
      <c r="AF590" s="24">
        <v>5</v>
      </c>
      <c r="AG590" s="24">
        <v>5</v>
      </c>
      <c r="AH590" s="27">
        <v>5</v>
      </c>
      <c r="AI590" s="24">
        <v>5</v>
      </c>
      <c r="AJ590" s="24">
        <v>5</v>
      </c>
      <c r="AK590" s="27"/>
      <c r="AL590" s="24">
        <v>5</v>
      </c>
      <c r="AM590" s="27">
        <v>6</v>
      </c>
      <c r="AN590" s="27">
        <v>4</v>
      </c>
      <c r="AO590" s="27"/>
      <c r="AP590" s="24"/>
      <c r="AQ590" s="27"/>
      <c r="AR590">
        <f t="shared" si="19"/>
        <v>26</v>
      </c>
    </row>
    <row r="591" spans="2:44" x14ac:dyDescent="0.25">
      <c r="B591" t="str">
        <f t="shared" si="18"/>
        <v>ESTAC - Thiago</v>
      </c>
      <c r="C591" t="s">
        <v>1002</v>
      </c>
      <c r="D591" s="29" t="s">
        <v>622</v>
      </c>
      <c r="E591" s="155" t="s">
        <v>993</v>
      </c>
      <c r="F591" s="31">
        <v>8</v>
      </c>
      <c r="G591" s="99">
        <v>3</v>
      </c>
      <c r="H591" s="73">
        <v>2</v>
      </c>
      <c r="I591" s="34">
        <f>AVERAGE(Z591,AB591,AC591,AG591,AH591,AL591,AM591,AN591)</f>
        <v>4.625</v>
      </c>
      <c r="J591" s="179"/>
      <c r="K591" s="77" t="s">
        <v>611</v>
      </c>
      <c r="L591" s="37"/>
      <c r="M591" s="24"/>
      <c r="N591" s="37"/>
      <c r="O591" s="37"/>
      <c r="P591" s="27"/>
      <c r="Q591" s="37" t="s">
        <v>611</v>
      </c>
      <c r="R591" s="24"/>
      <c r="S591" s="23"/>
      <c r="T591" s="24"/>
      <c r="U591" s="24"/>
      <c r="V591" s="24"/>
      <c r="W591" s="37"/>
      <c r="X591" s="24"/>
      <c r="Y591" s="24"/>
      <c r="Z591" s="37">
        <v>5</v>
      </c>
      <c r="AA591" s="24"/>
      <c r="AB591" s="24">
        <v>6</v>
      </c>
      <c r="AC591" s="24">
        <v>4</v>
      </c>
      <c r="AD591" s="37"/>
      <c r="AE591" s="24"/>
      <c r="AF591" s="37" t="s">
        <v>611</v>
      </c>
      <c r="AG591" s="24">
        <v>4</v>
      </c>
      <c r="AH591" s="27">
        <v>5</v>
      </c>
      <c r="AI591" s="24"/>
      <c r="AJ591" s="24"/>
      <c r="AK591" s="27"/>
      <c r="AL591" s="82">
        <v>3</v>
      </c>
      <c r="AM591" s="259">
        <v>3</v>
      </c>
      <c r="AN591" s="254">
        <v>7</v>
      </c>
      <c r="AO591" s="27"/>
      <c r="AP591" s="37"/>
      <c r="AQ591" s="27"/>
      <c r="AR591">
        <f t="shared" si="19"/>
        <v>11</v>
      </c>
    </row>
    <row r="592" spans="2:44" x14ac:dyDescent="0.25">
      <c r="B592" t="str">
        <f t="shared" ref="B592:B655" si="20">C592 &amp; " - " &amp;E592</f>
        <v>ESTAC - Ben Saada</v>
      </c>
      <c r="C592" t="s">
        <v>1002</v>
      </c>
      <c r="D592" s="29" t="s">
        <v>622</v>
      </c>
      <c r="E592" s="155" t="s">
        <v>994</v>
      </c>
      <c r="F592" s="31">
        <v>5</v>
      </c>
      <c r="G592" s="99">
        <v>7</v>
      </c>
      <c r="H592" s="73">
        <v>1</v>
      </c>
      <c r="I592" s="34">
        <f>AVERAGE(N592,AI592,AJ592,AK592,AN592)</f>
        <v>4.5999999999999996</v>
      </c>
      <c r="J592" s="179" t="s">
        <v>611</v>
      </c>
      <c r="K592" s="77"/>
      <c r="L592" s="37"/>
      <c r="M592" s="24"/>
      <c r="N592" s="37">
        <v>4</v>
      </c>
      <c r="O592" s="37"/>
      <c r="P592" s="26" t="s">
        <v>611</v>
      </c>
      <c r="Q592" s="37"/>
      <c r="R592" s="24"/>
      <c r="S592" s="76" t="s">
        <v>611</v>
      </c>
      <c r="T592" s="24"/>
      <c r="U592" s="24"/>
      <c r="V592" s="24"/>
      <c r="W592" s="37"/>
      <c r="X592" s="24"/>
      <c r="Y592" s="24"/>
      <c r="Z592" s="37"/>
      <c r="AA592" s="37" t="s">
        <v>611</v>
      </c>
      <c r="AB592" s="24"/>
      <c r="AC592" s="24"/>
      <c r="AD592" s="37"/>
      <c r="AE592" s="24"/>
      <c r="AF592" s="37" t="s">
        <v>611</v>
      </c>
      <c r="AG592" s="24"/>
      <c r="AH592" s="140" t="s">
        <v>611</v>
      </c>
      <c r="AI592" s="22">
        <v>6</v>
      </c>
      <c r="AJ592" s="24">
        <v>5</v>
      </c>
      <c r="AK592" s="27">
        <v>4</v>
      </c>
      <c r="AL592" s="37" t="s">
        <v>611</v>
      </c>
      <c r="AM592" s="26"/>
      <c r="AN592" s="27">
        <v>4</v>
      </c>
      <c r="AO592" s="27"/>
      <c r="AP592" s="37"/>
      <c r="AQ592" s="27"/>
      <c r="AR592">
        <f t="shared" ref="AR592:AR658" si="21">F592 +G592</f>
        <v>12</v>
      </c>
    </row>
    <row r="593" spans="2:44" x14ac:dyDescent="0.25">
      <c r="B593" t="str">
        <f t="shared" si="20"/>
        <v>FCN - Riou</v>
      </c>
      <c r="C593" t="s">
        <v>923</v>
      </c>
      <c r="D593" s="29" t="s">
        <v>605</v>
      </c>
      <c r="E593" s="30" t="s">
        <v>89</v>
      </c>
      <c r="F593" s="31">
        <v>28</v>
      </c>
      <c r="G593" s="99"/>
      <c r="H593" s="73"/>
      <c r="I593" s="34">
        <f>AVERAGE(AB593,K593,L593,M593,J593,O593,Q593,P593,S593,T593,U593,R593,V593,W593,X593,AA593,AC593,AD593,AE593,AF593,AG593,AH593,AI593,AK593,AL593,AJ593,AM593,AN593)</f>
        <v>5.4285714285714288</v>
      </c>
      <c r="J593" s="181">
        <v>6</v>
      </c>
      <c r="K593" s="22">
        <v>6</v>
      </c>
      <c r="L593" s="77">
        <v>6</v>
      </c>
      <c r="M593" s="24">
        <v>5</v>
      </c>
      <c r="N593" s="24"/>
      <c r="O593" s="24">
        <v>5</v>
      </c>
      <c r="P593" s="254">
        <v>7</v>
      </c>
      <c r="Q593" s="24">
        <v>5</v>
      </c>
      <c r="R593" s="23">
        <v>5</v>
      </c>
      <c r="S593" s="22">
        <v>6</v>
      </c>
      <c r="T593" s="25">
        <v>7</v>
      </c>
      <c r="U593" s="24">
        <v>5</v>
      </c>
      <c r="V593" s="24">
        <v>5</v>
      </c>
      <c r="W593" s="23">
        <v>5</v>
      </c>
      <c r="X593" s="22">
        <v>6</v>
      </c>
      <c r="Y593" s="24"/>
      <c r="Z593" s="24"/>
      <c r="AA593" s="24">
        <v>4</v>
      </c>
      <c r="AB593" s="22">
        <v>6</v>
      </c>
      <c r="AC593" s="23">
        <v>5</v>
      </c>
      <c r="AD593" s="24">
        <v>4</v>
      </c>
      <c r="AE593" s="24">
        <v>6</v>
      </c>
      <c r="AF593" s="75">
        <v>7</v>
      </c>
      <c r="AG593" s="23">
        <v>4</v>
      </c>
      <c r="AH593" s="94">
        <v>5</v>
      </c>
      <c r="AI593" s="76">
        <v>5</v>
      </c>
      <c r="AJ593" s="22">
        <v>6</v>
      </c>
      <c r="AK593" s="94">
        <v>6</v>
      </c>
      <c r="AL593" s="24">
        <v>4</v>
      </c>
      <c r="AM593" s="28">
        <v>6</v>
      </c>
      <c r="AN593" s="27">
        <v>5</v>
      </c>
      <c r="AO593" s="27"/>
      <c r="AP593" s="22"/>
      <c r="AQ593" s="27"/>
      <c r="AR593">
        <f t="shared" si="21"/>
        <v>28</v>
      </c>
    </row>
    <row r="594" spans="2:44" x14ac:dyDescent="0.25">
      <c r="B594" t="str">
        <f t="shared" si="20"/>
        <v>SCB - Cahuzac</v>
      </c>
      <c r="C594" t="s">
        <v>855</v>
      </c>
      <c r="D594" s="29" t="s">
        <v>622</v>
      </c>
      <c r="E594" s="60" t="s">
        <v>843</v>
      </c>
      <c r="F594" s="31">
        <v>24</v>
      </c>
      <c r="G594" s="99">
        <v>1</v>
      </c>
      <c r="H594" s="73"/>
      <c r="I594" s="34">
        <f>AVERAGE(Z594,X594,K594,L594,M594,J594,N594,O594,P594,Q594,S594,T594,U594,V594,W594,AB594,AC594,AD594,AE594,AH594,AI594,AK594,AL594,AM594)</f>
        <v>5.125</v>
      </c>
      <c r="J594" s="87">
        <v>5</v>
      </c>
      <c r="K594" s="37">
        <v>5</v>
      </c>
      <c r="L594" s="37">
        <v>5</v>
      </c>
      <c r="M594" s="37">
        <v>5</v>
      </c>
      <c r="N594" s="24">
        <v>5</v>
      </c>
      <c r="O594" s="24">
        <v>5</v>
      </c>
      <c r="P594" s="27">
        <v>4</v>
      </c>
      <c r="Q594" s="24">
        <v>5</v>
      </c>
      <c r="R594" s="24" t="s">
        <v>641</v>
      </c>
      <c r="S594" s="24">
        <v>5</v>
      </c>
      <c r="T594" s="24">
        <v>5</v>
      </c>
      <c r="U594" s="24">
        <v>6</v>
      </c>
      <c r="V594" s="24">
        <v>5</v>
      </c>
      <c r="W594" s="24">
        <v>5</v>
      </c>
      <c r="X594" s="24">
        <v>5</v>
      </c>
      <c r="Y594" s="24"/>
      <c r="Z594" s="24">
        <v>4</v>
      </c>
      <c r="AA594" s="22"/>
      <c r="AB594" s="24">
        <v>6</v>
      </c>
      <c r="AC594" s="24">
        <v>4</v>
      </c>
      <c r="AD594" s="24">
        <v>6</v>
      </c>
      <c r="AE594" s="24">
        <v>5</v>
      </c>
      <c r="AF594" s="24"/>
      <c r="AG594" s="24"/>
      <c r="AH594" s="27">
        <v>6</v>
      </c>
      <c r="AI594" s="24">
        <v>6</v>
      </c>
      <c r="AJ594" s="24"/>
      <c r="AK594" s="27">
        <v>6</v>
      </c>
      <c r="AL594" s="24">
        <v>6</v>
      </c>
      <c r="AM594" s="27">
        <v>4</v>
      </c>
      <c r="AN594" s="27"/>
      <c r="AO594" s="27"/>
      <c r="AP594" s="24"/>
      <c r="AQ594" s="27"/>
      <c r="AR594">
        <f t="shared" si="21"/>
        <v>25</v>
      </c>
    </row>
    <row r="595" spans="2:44" x14ac:dyDescent="0.25">
      <c r="B595" t="str">
        <f t="shared" si="20"/>
        <v>ESTAC - Confais</v>
      </c>
      <c r="C595" t="s">
        <v>1002</v>
      </c>
      <c r="D595" s="29" t="s">
        <v>622</v>
      </c>
      <c r="E595" s="65" t="s">
        <v>1048</v>
      </c>
      <c r="F595" s="31">
        <v>8</v>
      </c>
      <c r="G595" s="99">
        <v>1</v>
      </c>
      <c r="H595" s="73"/>
      <c r="I595" s="34">
        <f>AVERAGE(AC595,AD595,AE595,AF595,AG595,AI595,AL595,AM595,AN595)</f>
        <v>4.4444444444444446</v>
      </c>
      <c r="J595" s="179"/>
      <c r="K595" s="77"/>
      <c r="L595" s="37"/>
      <c r="M595" s="37"/>
      <c r="N595" s="37"/>
      <c r="O595" s="37"/>
      <c r="P595" s="27"/>
      <c r="Q595" s="37"/>
      <c r="R595" s="24"/>
      <c r="S595" s="23"/>
      <c r="T595" s="24"/>
      <c r="U595" s="24"/>
      <c r="V595" s="24"/>
      <c r="W595" s="37"/>
      <c r="X595" s="24"/>
      <c r="Y595" s="24"/>
      <c r="Z595" s="37"/>
      <c r="AA595" s="24"/>
      <c r="AB595" s="24"/>
      <c r="AC595" s="24">
        <v>4</v>
      </c>
      <c r="AD595" s="37">
        <v>4</v>
      </c>
      <c r="AE595" s="24">
        <v>5</v>
      </c>
      <c r="AF595" s="24">
        <v>5</v>
      </c>
      <c r="AG595" s="24">
        <v>4</v>
      </c>
      <c r="AH595" s="27"/>
      <c r="AI595" s="24">
        <v>6</v>
      </c>
      <c r="AJ595" s="24"/>
      <c r="AK595" s="27"/>
      <c r="AL595" s="24">
        <v>4</v>
      </c>
      <c r="AM595" s="26">
        <v>4</v>
      </c>
      <c r="AN595" s="27">
        <v>4</v>
      </c>
      <c r="AO595" s="27"/>
      <c r="AP595" s="37"/>
      <c r="AQ595" s="27"/>
      <c r="AR595">
        <f t="shared" si="21"/>
        <v>9</v>
      </c>
    </row>
    <row r="596" spans="2:44" x14ac:dyDescent="0.25">
      <c r="B596" t="str">
        <f t="shared" si="20"/>
        <v>ESTAC - Azamoum</v>
      </c>
      <c r="C596" t="s">
        <v>1002</v>
      </c>
      <c r="D596" s="67" t="s">
        <v>622</v>
      </c>
      <c r="E596" s="122" t="s">
        <v>997</v>
      </c>
      <c r="F596" s="69">
        <v>7</v>
      </c>
      <c r="G596" s="115">
        <v>1</v>
      </c>
      <c r="H596" s="68">
        <v>2</v>
      </c>
      <c r="I596" s="72">
        <f>AVERAGE(AB596,AE596,AG596,AI596,AJ596,AK596,AL596)</f>
        <v>5</v>
      </c>
      <c r="J596" s="179"/>
      <c r="K596" s="24"/>
      <c r="L596" s="37"/>
      <c r="M596" s="24"/>
      <c r="N596" s="37"/>
      <c r="O596" s="37"/>
      <c r="P596" s="27"/>
      <c r="Q596" s="37"/>
      <c r="R596" s="24"/>
      <c r="S596" s="23"/>
      <c r="T596" s="24"/>
      <c r="U596" s="24"/>
      <c r="V596" s="37" t="s">
        <v>611</v>
      </c>
      <c r="W596" s="37"/>
      <c r="X596" s="24"/>
      <c r="Y596" s="24"/>
      <c r="Z596" s="37"/>
      <c r="AA596" s="24"/>
      <c r="AB596" s="24">
        <v>4</v>
      </c>
      <c r="AC596" s="24"/>
      <c r="AD596" s="37"/>
      <c r="AE596" s="24">
        <v>5</v>
      </c>
      <c r="AF596" s="24"/>
      <c r="AG596" s="24">
        <v>4</v>
      </c>
      <c r="AH596" s="27"/>
      <c r="AI596" s="25">
        <v>8</v>
      </c>
      <c r="AJ596" s="24">
        <v>5</v>
      </c>
      <c r="AK596" s="27">
        <v>4</v>
      </c>
      <c r="AL596" s="24">
        <v>5</v>
      </c>
      <c r="AM596" s="26"/>
      <c r="AN596" s="27"/>
      <c r="AO596" s="27"/>
      <c r="AP596" s="37"/>
      <c r="AQ596" s="27"/>
      <c r="AR596">
        <f t="shared" si="21"/>
        <v>8</v>
      </c>
    </row>
    <row r="597" spans="2:44" x14ac:dyDescent="0.25">
      <c r="B597" t="str">
        <f t="shared" si="20"/>
        <v>ESTAC - Hümmet</v>
      </c>
      <c r="C597" t="s">
        <v>1002</v>
      </c>
      <c r="D597" s="147" t="s">
        <v>633</v>
      </c>
      <c r="E597" s="118" t="s">
        <v>998</v>
      </c>
      <c r="F597" s="149"/>
      <c r="G597" s="143">
        <v>1</v>
      </c>
      <c r="H597" s="49"/>
      <c r="I597" s="34"/>
      <c r="J597" s="181"/>
      <c r="K597" s="24"/>
      <c r="L597" s="37"/>
      <c r="M597" s="24"/>
      <c r="N597" s="37"/>
      <c r="O597" s="76"/>
      <c r="P597" s="27"/>
      <c r="Q597" s="37"/>
      <c r="R597" s="24"/>
      <c r="S597" s="23"/>
      <c r="T597" s="22"/>
      <c r="U597" s="24"/>
      <c r="V597" s="22"/>
      <c r="W597" s="37"/>
      <c r="X597" s="22"/>
      <c r="Y597" s="37"/>
      <c r="Z597" s="77"/>
      <c r="AA597" s="24"/>
      <c r="AB597" s="24"/>
      <c r="AC597" s="24"/>
      <c r="AD597" s="37"/>
      <c r="AE597" s="37"/>
      <c r="AF597" s="24"/>
      <c r="AG597" s="24"/>
      <c r="AH597" s="27"/>
      <c r="AI597" s="24"/>
      <c r="AJ597" s="37" t="s">
        <v>611</v>
      </c>
      <c r="AK597" s="27"/>
      <c r="AL597" s="24"/>
      <c r="AM597" s="26"/>
      <c r="AN597" s="27"/>
      <c r="AO597" s="27"/>
      <c r="AP597" s="37"/>
      <c r="AQ597" s="27"/>
      <c r="AR597">
        <f t="shared" si="21"/>
        <v>1</v>
      </c>
    </row>
    <row r="598" spans="2:44" x14ac:dyDescent="0.25">
      <c r="B598" t="str">
        <f t="shared" si="20"/>
        <v>ESTAC - Gueye</v>
      </c>
      <c r="C598" t="s">
        <v>1002</v>
      </c>
      <c r="D598" s="147" t="s">
        <v>633</v>
      </c>
      <c r="E598" s="118" t="s">
        <v>999</v>
      </c>
      <c r="F598" s="149">
        <v>6</v>
      </c>
      <c r="G598" s="143">
        <v>5</v>
      </c>
      <c r="H598" s="49">
        <v>1</v>
      </c>
      <c r="I598" s="34">
        <f>AVERAGE(AG598,AI598,AJ598,AK598,AL598,AM598)</f>
        <v>4.166666666666667</v>
      </c>
      <c r="J598" s="87"/>
      <c r="K598" s="37"/>
      <c r="L598" s="37"/>
      <c r="M598" s="24"/>
      <c r="N598" s="76" t="s">
        <v>611</v>
      </c>
      <c r="O598" s="76"/>
      <c r="P598" s="26"/>
      <c r="Q598" s="37"/>
      <c r="R598" s="24"/>
      <c r="S598" s="23"/>
      <c r="T598" s="24"/>
      <c r="U598" s="77"/>
      <c r="V598" s="24"/>
      <c r="W598" s="77"/>
      <c r="X598" s="24"/>
      <c r="Y598" s="37"/>
      <c r="Z598" s="37"/>
      <c r="AA598" s="24"/>
      <c r="AB598" s="24"/>
      <c r="AC598" s="37" t="s">
        <v>611</v>
      </c>
      <c r="AD598" s="76" t="s">
        <v>611</v>
      </c>
      <c r="AE598" s="37" t="s">
        <v>611</v>
      </c>
      <c r="AF598" s="37" t="s">
        <v>611</v>
      </c>
      <c r="AG598" s="82">
        <v>3</v>
      </c>
      <c r="AH598" s="27"/>
      <c r="AI598" s="24">
        <v>4</v>
      </c>
      <c r="AJ598" s="25">
        <v>7</v>
      </c>
      <c r="AK598" s="27">
        <v>4</v>
      </c>
      <c r="AL598" s="24">
        <v>4</v>
      </c>
      <c r="AM598" s="259">
        <v>3</v>
      </c>
      <c r="AN598" s="26" t="s">
        <v>611</v>
      </c>
      <c r="AO598" s="27"/>
      <c r="AP598" s="37"/>
      <c r="AQ598" s="27"/>
      <c r="AR598">
        <f t="shared" si="21"/>
        <v>11</v>
      </c>
    </row>
    <row r="599" spans="2:44" x14ac:dyDescent="0.25">
      <c r="B599" t="str">
        <f t="shared" si="20"/>
        <v>ESTAC - Bienvenu</v>
      </c>
      <c r="C599" t="s">
        <v>1002</v>
      </c>
      <c r="D599" s="147" t="s">
        <v>633</v>
      </c>
      <c r="E599" s="118" t="s">
        <v>1000</v>
      </c>
      <c r="F599" s="149">
        <v>1</v>
      </c>
      <c r="G599" s="143">
        <v>4</v>
      </c>
      <c r="H599" s="49"/>
      <c r="I599" s="34">
        <f>AVERAGE(O599)</f>
        <v>4</v>
      </c>
      <c r="J599" s="179" t="s">
        <v>611</v>
      </c>
      <c r="K599" s="109"/>
      <c r="L599" s="108"/>
      <c r="M599" s="108"/>
      <c r="N599" s="76" t="s">
        <v>611</v>
      </c>
      <c r="O599" s="76">
        <v>4</v>
      </c>
      <c r="P599" s="110"/>
      <c r="Q599" s="108"/>
      <c r="R599" s="108"/>
      <c r="S599" s="76" t="s">
        <v>611</v>
      </c>
      <c r="T599" s="109"/>
      <c r="U599" s="108"/>
      <c r="V599" s="76" t="s">
        <v>611</v>
      </c>
      <c r="W599" s="108"/>
      <c r="X599" s="109"/>
      <c r="Y599" s="76" t="s">
        <v>611</v>
      </c>
      <c r="Z599" s="108"/>
      <c r="AA599" s="108"/>
      <c r="AB599" s="109"/>
      <c r="AC599" s="108"/>
      <c r="AD599" s="108"/>
      <c r="AE599" s="109"/>
      <c r="AF599" s="109"/>
      <c r="AG599" s="109"/>
      <c r="AH599" s="110"/>
      <c r="AI599" s="109"/>
      <c r="AJ599" s="109"/>
      <c r="AK599" s="110"/>
      <c r="AL599" s="109"/>
      <c r="AM599" s="180"/>
      <c r="AN599" s="110"/>
      <c r="AO599" s="110"/>
      <c r="AP599" s="108"/>
      <c r="AQ599" s="110"/>
      <c r="AR599">
        <f t="shared" si="21"/>
        <v>5</v>
      </c>
    </row>
    <row r="600" spans="2:44" x14ac:dyDescent="0.25">
      <c r="B600" t="str">
        <f t="shared" si="20"/>
        <v>ESTAC - Cabot</v>
      </c>
      <c r="C600" t="s">
        <v>1002</v>
      </c>
      <c r="D600" s="50" t="s">
        <v>633</v>
      </c>
      <c r="E600" s="57" t="s">
        <v>507</v>
      </c>
      <c r="F600" s="52">
        <v>7</v>
      </c>
      <c r="G600" s="63">
        <v>8</v>
      </c>
      <c r="H600" s="278">
        <v>3</v>
      </c>
      <c r="I600" s="80">
        <f>AVERAGE(V600,Z600,AA600,AB600,AC600,AD600,AE600)</f>
        <v>5.8571428571428568</v>
      </c>
      <c r="J600" s="150" t="s">
        <v>611</v>
      </c>
      <c r="K600" s="53" t="s">
        <v>611</v>
      </c>
      <c r="L600" s="61"/>
      <c r="M600" s="53" t="s">
        <v>611</v>
      </c>
      <c r="N600" s="61"/>
      <c r="O600" s="61"/>
      <c r="P600" s="63"/>
      <c r="Q600" s="61"/>
      <c r="R600" s="53" t="s">
        <v>611</v>
      </c>
      <c r="S600" s="53" t="s">
        <v>611</v>
      </c>
      <c r="T600" s="53"/>
      <c r="U600" s="53"/>
      <c r="V600" s="53">
        <v>5</v>
      </c>
      <c r="W600" s="61" t="s">
        <v>611</v>
      </c>
      <c r="X600" s="53" t="s">
        <v>611</v>
      </c>
      <c r="Y600" s="53" t="s">
        <v>611</v>
      </c>
      <c r="Z600" s="61">
        <v>7</v>
      </c>
      <c r="AA600" s="53">
        <v>7</v>
      </c>
      <c r="AB600" s="53">
        <v>6</v>
      </c>
      <c r="AC600" s="53">
        <v>4</v>
      </c>
      <c r="AD600" s="81">
        <v>4</v>
      </c>
      <c r="AE600" s="53">
        <v>8</v>
      </c>
      <c r="AF600" s="46"/>
      <c r="AG600" s="46"/>
      <c r="AH600" s="47"/>
      <c r="AI600" s="46"/>
      <c r="AJ600" s="46"/>
      <c r="AK600" s="56"/>
      <c r="AL600" s="46"/>
      <c r="AM600" s="56"/>
      <c r="AN600" s="47"/>
      <c r="AO600" s="56"/>
      <c r="AP600" s="55"/>
      <c r="AQ600" s="47"/>
      <c r="AR600">
        <f t="shared" si="21"/>
        <v>15</v>
      </c>
    </row>
    <row r="601" spans="2:44" x14ac:dyDescent="0.25">
      <c r="B601" t="str">
        <f t="shared" si="20"/>
        <v>ESTAC - Perea</v>
      </c>
      <c r="C601" t="s">
        <v>1002</v>
      </c>
      <c r="D601" s="29" t="s">
        <v>633</v>
      </c>
      <c r="E601" s="118" t="s">
        <v>1001</v>
      </c>
      <c r="F601" s="31">
        <v>6</v>
      </c>
      <c r="G601" s="99">
        <v>5</v>
      </c>
      <c r="H601" s="73"/>
      <c r="I601" s="34">
        <f>AVERAGE(M601,Q601,V601,Z601,AA601,AH601)</f>
        <v>3.6666666666666665</v>
      </c>
      <c r="J601" s="179"/>
      <c r="K601" s="24"/>
      <c r="L601" s="37" t="s">
        <v>611</v>
      </c>
      <c r="M601" s="24">
        <v>4</v>
      </c>
      <c r="N601" s="37"/>
      <c r="O601" s="76"/>
      <c r="P601" s="26" t="s">
        <v>611</v>
      </c>
      <c r="Q601" s="37">
        <v>4</v>
      </c>
      <c r="R601" s="37" t="s">
        <v>611</v>
      </c>
      <c r="S601" s="23"/>
      <c r="T601" s="76" t="s">
        <v>611</v>
      </c>
      <c r="U601" s="37" t="s">
        <v>611</v>
      </c>
      <c r="V601" s="37">
        <v>4</v>
      </c>
      <c r="W601" s="37"/>
      <c r="X601" s="24"/>
      <c r="Y601" s="24"/>
      <c r="Z601" s="76">
        <v>4</v>
      </c>
      <c r="AA601" s="24">
        <v>4</v>
      </c>
      <c r="AB601" s="37"/>
      <c r="AC601" s="24"/>
      <c r="AD601" s="37"/>
      <c r="AE601" s="22"/>
      <c r="AF601" s="24"/>
      <c r="AG601" s="24"/>
      <c r="AH601" s="244">
        <v>2</v>
      </c>
      <c r="AI601" s="24"/>
      <c r="AJ601" s="24"/>
      <c r="AK601" s="26" t="s">
        <v>611</v>
      </c>
      <c r="AL601" s="24"/>
      <c r="AM601" s="26"/>
      <c r="AN601" s="27"/>
      <c r="AO601" s="27"/>
      <c r="AP601" s="37"/>
      <c r="AQ601" s="27"/>
      <c r="AR601">
        <f t="shared" si="21"/>
        <v>11</v>
      </c>
    </row>
    <row r="602" spans="2:44" ht="15.75" thickBot="1" x14ac:dyDescent="0.3">
      <c r="B602" t="str">
        <f t="shared" si="20"/>
        <v>EAG - Lössl</v>
      </c>
      <c r="C602" t="s">
        <v>967</v>
      </c>
      <c r="D602" s="88" t="s">
        <v>605</v>
      </c>
      <c r="E602" s="119" t="s">
        <v>943</v>
      </c>
      <c r="F602" s="90">
        <v>30</v>
      </c>
      <c r="G602" s="120"/>
      <c r="H602" s="89"/>
      <c r="I602" s="121">
        <f>AVERAGE(AB602,L602,M602,J602,N602,O602,P602,Q602,R602,S602,T602,U602,V602,W602,X602,Y602,Z602,AA602,AC602,AD602,AE602,AF602,AG602,AH602,AI602,AJ602,AK602,AL602,AM602,AN602)</f>
        <v>5.3666666666666663</v>
      </c>
      <c r="J602" s="179">
        <v>5</v>
      </c>
      <c r="K602" s="24"/>
      <c r="L602" s="37">
        <v>4</v>
      </c>
      <c r="M602" s="25">
        <v>7</v>
      </c>
      <c r="N602" s="77">
        <v>6</v>
      </c>
      <c r="O602" s="37">
        <v>5</v>
      </c>
      <c r="P602" s="165">
        <v>7</v>
      </c>
      <c r="Q602" s="37">
        <v>4</v>
      </c>
      <c r="R602" s="22">
        <v>6</v>
      </c>
      <c r="S602" s="23">
        <v>5</v>
      </c>
      <c r="T602" s="22">
        <v>6</v>
      </c>
      <c r="U602" s="23">
        <v>5</v>
      </c>
      <c r="V602" s="24">
        <v>5</v>
      </c>
      <c r="W602" s="77">
        <v>6</v>
      </c>
      <c r="X602" s="24">
        <v>5</v>
      </c>
      <c r="Y602" s="24">
        <v>5</v>
      </c>
      <c r="Z602" s="37">
        <v>5</v>
      </c>
      <c r="AA602" s="23">
        <v>5</v>
      </c>
      <c r="AB602" s="24">
        <v>5</v>
      </c>
      <c r="AC602" s="22">
        <v>6</v>
      </c>
      <c r="AD602" s="37">
        <v>4</v>
      </c>
      <c r="AE602" s="22">
        <v>6</v>
      </c>
      <c r="AF602" s="66">
        <v>8</v>
      </c>
      <c r="AG602" s="25">
        <v>7</v>
      </c>
      <c r="AH602" s="28">
        <v>6</v>
      </c>
      <c r="AI602" s="24">
        <v>4</v>
      </c>
      <c r="AJ602" s="24">
        <v>4</v>
      </c>
      <c r="AK602" s="27">
        <v>5</v>
      </c>
      <c r="AL602" s="82">
        <v>3</v>
      </c>
      <c r="AM602" s="94">
        <v>6</v>
      </c>
      <c r="AN602" s="28">
        <v>6</v>
      </c>
      <c r="AO602" s="27"/>
      <c r="AP602" s="37"/>
      <c r="AQ602" s="28"/>
      <c r="AR602">
        <f t="shared" si="21"/>
        <v>30</v>
      </c>
    </row>
    <row r="603" spans="2:44" x14ac:dyDescent="0.25">
      <c r="B603" t="str">
        <f t="shared" si="20"/>
        <v>Losc - Mavuba</v>
      </c>
      <c r="C603" t="s">
        <v>739</v>
      </c>
      <c r="D603" s="16" t="s">
        <v>622</v>
      </c>
      <c r="E603" s="287" t="s">
        <v>730</v>
      </c>
      <c r="F603" s="18">
        <v>27</v>
      </c>
      <c r="G603" s="95">
        <v>3</v>
      </c>
      <c r="H603" s="160"/>
      <c r="I603" s="20">
        <f>AVERAGE(Y603,K603,L603,M603,J603,N603,O603,Q603,P603,R603,T603,U603,V603,W603,X603,Z603,AA603,AB603,AC603,AD603,AE603,AH603,AF603,AI603,AJ603,AK603,AL603)</f>
        <v>5.0740740740740744</v>
      </c>
      <c r="J603" s="48">
        <v>5</v>
      </c>
      <c r="K603" s="24">
        <v>5</v>
      </c>
      <c r="L603" s="24">
        <v>5</v>
      </c>
      <c r="M603" s="24">
        <v>5</v>
      </c>
      <c r="N603" s="24">
        <v>5</v>
      </c>
      <c r="O603" s="24">
        <v>5</v>
      </c>
      <c r="P603" s="27">
        <v>5</v>
      </c>
      <c r="Q603" s="24">
        <v>5</v>
      </c>
      <c r="R603" s="24">
        <v>5</v>
      </c>
      <c r="S603" s="22"/>
      <c r="T603" s="24">
        <v>5</v>
      </c>
      <c r="U603" s="24">
        <v>5</v>
      </c>
      <c r="V603" s="24">
        <v>5</v>
      </c>
      <c r="W603" s="24">
        <v>5</v>
      </c>
      <c r="X603" s="24">
        <v>6</v>
      </c>
      <c r="Y603" s="27">
        <v>5</v>
      </c>
      <c r="Z603" s="24">
        <v>5</v>
      </c>
      <c r="AA603" s="24">
        <v>5</v>
      </c>
      <c r="AB603" s="24">
        <v>5</v>
      </c>
      <c r="AC603" s="24">
        <v>5</v>
      </c>
      <c r="AD603" s="24">
        <v>5</v>
      </c>
      <c r="AE603" s="24">
        <v>4</v>
      </c>
      <c r="AF603" s="24">
        <v>5</v>
      </c>
      <c r="AG603" s="37" t="s">
        <v>611</v>
      </c>
      <c r="AH603" s="27">
        <v>5</v>
      </c>
      <c r="AI603" s="24">
        <v>6</v>
      </c>
      <c r="AJ603" s="24">
        <v>6</v>
      </c>
      <c r="AK603" s="27">
        <v>4</v>
      </c>
      <c r="AL603" s="27">
        <v>6</v>
      </c>
      <c r="AM603" s="26" t="s">
        <v>611</v>
      </c>
      <c r="AN603" s="26" t="s">
        <v>611</v>
      </c>
      <c r="AO603" s="27"/>
      <c r="AP603" s="24"/>
      <c r="AQ603" s="27"/>
      <c r="AR603">
        <f t="shared" si="21"/>
        <v>30</v>
      </c>
    </row>
    <row r="604" spans="2:44" x14ac:dyDescent="0.25">
      <c r="B604" t="str">
        <f t="shared" si="20"/>
        <v>GFCA - Guerin</v>
      </c>
      <c r="C604" t="s">
        <v>1015</v>
      </c>
      <c r="D604" s="29" t="s">
        <v>605</v>
      </c>
      <c r="E604" s="182" t="s">
        <v>1003</v>
      </c>
      <c r="F604" s="31">
        <v>1</v>
      </c>
      <c r="G604" s="99">
        <v>1</v>
      </c>
      <c r="H604" s="73"/>
      <c r="I604" s="34">
        <f>AVERAGE(Y604,Z604)</f>
        <v>5.5</v>
      </c>
      <c r="J604" s="181"/>
      <c r="K604" s="24"/>
      <c r="L604" s="37"/>
      <c r="M604" s="24"/>
      <c r="N604" s="94"/>
      <c r="O604" s="24"/>
      <c r="P604" s="37"/>
      <c r="Q604" s="24"/>
      <c r="R604" s="24"/>
      <c r="S604" s="23"/>
      <c r="T604" s="24"/>
      <c r="U604" s="22"/>
      <c r="V604" s="24"/>
      <c r="W604" s="37"/>
      <c r="X604" s="24"/>
      <c r="Y604" s="25">
        <v>7</v>
      </c>
      <c r="Z604" s="37">
        <v>4</v>
      </c>
      <c r="AA604" s="24"/>
      <c r="AB604" s="24"/>
      <c r="AC604" s="24"/>
      <c r="AD604" s="37"/>
      <c r="AE604" s="24"/>
      <c r="AF604" s="24"/>
      <c r="AG604" s="24"/>
      <c r="AH604" s="27"/>
      <c r="AI604" s="24"/>
      <c r="AJ604" s="24"/>
      <c r="AK604" s="99"/>
      <c r="AL604" s="27"/>
      <c r="AM604" s="26"/>
      <c r="AN604" s="27"/>
      <c r="AO604" s="27"/>
      <c r="AP604" s="37"/>
      <c r="AQ604" s="27"/>
      <c r="AR604">
        <f t="shared" si="21"/>
        <v>2</v>
      </c>
    </row>
    <row r="605" spans="2:44" x14ac:dyDescent="0.25">
      <c r="B605" t="str">
        <f t="shared" si="20"/>
        <v>GFCA - Goda</v>
      </c>
      <c r="C605" t="s">
        <v>1015</v>
      </c>
      <c r="D605" s="67" t="s">
        <v>605</v>
      </c>
      <c r="E605" s="154" t="s">
        <v>1004</v>
      </c>
      <c r="F605" s="69">
        <v>3</v>
      </c>
      <c r="G605" s="115"/>
      <c r="H605" s="68"/>
      <c r="I605" s="72">
        <f>AVERAGE(J605,X605)</f>
        <v>6</v>
      </c>
      <c r="J605" s="153">
        <v>7</v>
      </c>
      <c r="K605" s="24"/>
      <c r="L605" s="37"/>
      <c r="M605" s="24"/>
      <c r="N605" s="37"/>
      <c r="O605" s="37"/>
      <c r="P605" s="27"/>
      <c r="Q605" s="37"/>
      <c r="R605" s="24"/>
      <c r="S605" s="23"/>
      <c r="T605" s="24"/>
      <c r="U605" s="24"/>
      <c r="V605" s="24"/>
      <c r="W605" s="37"/>
      <c r="X605" s="24">
        <v>5</v>
      </c>
      <c r="Y605" s="23" t="s">
        <v>641</v>
      </c>
      <c r="Z605" s="37"/>
      <c r="AA605" s="24"/>
      <c r="AB605" s="24"/>
      <c r="AC605" s="24"/>
      <c r="AD605" s="37"/>
      <c r="AE605" s="24"/>
      <c r="AF605" s="24"/>
      <c r="AG605" s="24"/>
      <c r="AH605" s="27"/>
      <c r="AI605" s="24"/>
      <c r="AJ605" s="24"/>
      <c r="AK605" s="99"/>
      <c r="AL605" s="27"/>
      <c r="AM605" s="26"/>
      <c r="AN605" s="27"/>
      <c r="AO605" s="27"/>
      <c r="AP605" s="37"/>
      <c r="AQ605" s="27"/>
      <c r="AR605">
        <f t="shared" si="21"/>
        <v>3</v>
      </c>
    </row>
    <row r="606" spans="2:44" x14ac:dyDescent="0.25">
      <c r="B606" t="str">
        <f t="shared" si="20"/>
        <v>GFCA - Filippi</v>
      </c>
      <c r="C606" t="s">
        <v>1015</v>
      </c>
      <c r="D606" s="29" t="s">
        <v>608</v>
      </c>
      <c r="E606" s="65" t="s">
        <v>285</v>
      </c>
      <c r="F606" s="31">
        <v>15</v>
      </c>
      <c r="G606" s="99">
        <v>5</v>
      </c>
      <c r="H606" s="114" t="s">
        <v>1071</v>
      </c>
      <c r="I606" s="34">
        <f>AVERAGE(K606,L606,M606,Q606,R606,T606,U606,X606,Y606,Z606,AF606,AH606,AI606,AJ606,AK606,AM606)</f>
        <v>5.3125</v>
      </c>
      <c r="J606" s="179"/>
      <c r="K606" s="24">
        <v>5</v>
      </c>
      <c r="L606" s="37">
        <v>5</v>
      </c>
      <c r="M606" s="24">
        <v>5</v>
      </c>
      <c r="N606" s="37"/>
      <c r="O606" s="77"/>
      <c r="P606" s="27"/>
      <c r="Q606" s="37">
        <v>6</v>
      </c>
      <c r="R606" s="24">
        <v>5</v>
      </c>
      <c r="S606" s="23"/>
      <c r="T606" s="22">
        <v>6</v>
      </c>
      <c r="U606" s="23">
        <v>5</v>
      </c>
      <c r="V606" s="24"/>
      <c r="W606" s="37" t="s">
        <v>611</v>
      </c>
      <c r="X606" s="24">
        <v>6</v>
      </c>
      <c r="Y606" s="24">
        <v>5</v>
      </c>
      <c r="Z606" s="37">
        <v>5</v>
      </c>
      <c r="AA606" s="24"/>
      <c r="AB606" s="37" t="s">
        <v>611</v>
      </c>
      <c r="AC606" s="37" t="s">
        <v>611</v>
      </c>
      <c r="AD606" s="37"/>
      <c r="AE606" s="37" t="s">
        <v>611</v>
      </c>
      <c r="AF606" s="24">
        <v>4</v>
      </c>
      <c r="AG606" s="24"/>
      <c r="AH606" s="27">
        <v>6</v>
      </c>
      <c r="AI606" s="77">
        <v>5</v>
      </c>
      <c r="AJ606" s="24">
        <v>5</v>
      </c>
      <c r="AK606" s="99">
        <v>6</v>
      </c>
      <c r="AL606" s="27"/>
      <c r="AM606" s="26">
        <v>6</v>
      </c>
      <c r="AN606" s="27"/>
      <c r="AO606" s="27"/>
      <c r="AP606" s="37"/>
      <c r="AQ606" s="27"/>
      <c r="AR606">
        <f t="shared" si="21"/>
        <v>20</v>
      </c>
    </row>
    <row r="607" spans="2:44" x14ac:dyDescent="0.25">
      <c r="B607" t="str">
        <f t="shared" si="20"/>
        <v>GFCA - Bréchet</v>
      </c>
      <c r="C607" t="s">
        <v>1015</v>
      </c>
      <c r="D607" s="29" t="s">
        <v>608</v>
      </c>
      <c r="E607" s="155" t="s">
        <v>554</v>
      </c>
      <c r="F607" s="31">
        <v>20</v>
      </c>
      <c r="G607" s="99">
        <v>1</v>
      </c>
      <c r="H607" s="73"/>
      <c r="I607" s="34">
        <f>AVERAGE(AC607,AA607,N607,O607,P607,R607,S607,T607,U607,V607,W607,X607,Z607,AB607,AD607,AE607,AF607,AG607,AN607)</f>
        <v>4.8947368421052628</v>
      </c>
      <c r="J607" s="179"/>
      <c r="K607" s="24"/>
      <c r="L607" s="37"/>
      <c r="M607" s="24"/>
      <c r="N607" s="37">
        <v>5</v>
      </c>
      <c r="O607" s="37">
        <v>4</v>
      </c>
      <c r="P607" s="27">
        <v>5</v>
      </c>
      <c r="Q607" s="37" t="s">
        <v>611</v>
      </c>
      <c r="R607" s="23">
        <v>5</v>
      </c>
      <c r="S607" s="23">
        <v>5</v>
      </c>
      <c r="T607" s="24">
        <v>5</v>
      </c>
      <c r="U607" s="24">
        <v>6</v>
      </c>
      <c r="V607" s="24">
        <v>5</v>
      </c>
      <c r="W607" s="37">
        <v>5</v>
      </c>
      <c r="X607" s="24">
        <v>6</v>
      </c>
      <c r="Y607" s="24"/>
      <c r="Z607" s="37">
        <v>5</v>
      </c>
      <c r="AA607" s="24">
        <v>5</v>
      </c>
      <c r="AB607" s="24">
        <v>5</v>
      </c>
      <c r="AC607" s="24">
        <v>6</v>
      </c>
      <c r="AD607" s="37">
        <v>5</v>
      </c>
      <c r="AE607" s="24">
        <v>4</v>
      </c>
      <c r="AF607" s="24">
        <v>4</v>
      </c>
      <c r="AG607" s="24">
        <v>4</v>
      </c>
      <c r="AH607" s="27"/>
      <c r="AI607" s="24" t="s">
        <v>641</v>
      </c>
      <c r="AJ607" s="24"/>
      <c r="AK607" s="99"/>
      <c r="AL607" s="27"/>
      <c r="AM607" s="26"/>
      <c r="AN607" s="27">
        <v>4</v>
      </c>
      <c r="AO607" s="27"/>
      <c r="AP607" s="37"/>
      <c r="AQ607" s="27"/>
      <c r="AR607">
        <f t="shared" si="21"/>
        <v>21</v>
      </c>
    </row>
    <row r="608" spans="2:44" x14ac:dyDescent="0.25">
      <c r="B608" t="str">
        <f t="shared" si="20"/>
        <v>SR - Signorino</v>
      </c>
      <c r="C608" t="s">
        <v>901</v>
      </c>
      <c r="D608" s="29" t="s">
        <v>608</v>
      </c>
      <c r="E608" s="30" t="s">
        <v>205</v>
      </c>
      <c r="F608" s="31">
        <v>26</v>
      </c>
      <c r="G608" s="99"/>
      <c r="H608" s="73"/>
      <c r="I608" s="34">
        <f>AVERAGE(Z608,Y608,X608,W608,K608,L608,M608,J608,N608,O608,Q608,R608,S608,T608,U608,V608,AB608,AC608,AD608,AE608,AF608,AG608,AH608,AI608,AJ608,AN608)</f>
        <v>4.7307692307692308</v>
      </c>
      <c r="J608" s="48">
        <v>5</v>
      </c>
      <c r="K608" s="175">
        <v>6</v>
      </c>
      <c r="L608" s="175">
        <v>5</v>
      </c>
      <c r="M608" s="37">
        <v>5</v>
      </c>
      <c r="N608" s="24">
        <v>4</v>
      </c>
      <c r="O608" s="24">
        <v>5</v>
      </c>
      <c r="P608" s="27"/>
      <c r="Q608" s="24">
        <v>6</v>
      </c>
      <c r="R608" s="24">
        <v>5</v>
      </c>
      <c r="S608" s="24">
        <v>5</v>
      </c>
      <c r="T608" s="24">
        <v>5</v>
      </c>
      <c r="U608" s="24">
        <v>5</v>
      </c>
      <c r="V608" s="24">
        <v>4</v>
      </c>
      <c r="W608" s="24">
        <v>5</v>
      </c>
      <c r="X608" s="24">
        <v>4</v>
      </c>
      <c r="Y608" s="24">
        <v>5</v>
      </c>
      <c r="Z608" s="24">
        <v>5</v>
      </c>
      <c r="AA608" s="24"/>
      <c r="AB608" s="24">
        <v>4</v>
      </c>
      <c r="AC608" s="24">
        <v>4</v>
      </c>
      <c r="AD608" s="24">
        <v>4</v>
      </c>
      <c r="AE608" s="24">
        <v>5</v>
      </c>
      <c r="AF608" s="24">
        <v>4</v>
      </c>
      <c r="AG608" s="24">
        <v>5</v>
      </c>
      <c r="AH608" s="27">
        <v>5</v>
      </c>
      <c r="AI608" s="24">
        <v>5</v>
      </c>
      <c r="AJ608" s="82">
        <v>3</v>
      </c>
      <c r="AK608" s="27"/>
      <c r="AL608" s="26"/>
      <c r="AM608" s="27"/>
      <c r="AN608" s="27">
        <v>5</v>
      </c>
      <c r="AO608" s="27"/>
      <c r="AP608" s="24"/>
      <c r="AQ608" s="27"/>
      <c r="AR608">
        <f t="shared" si="21"/>
        <v>26</v>
      </c>
    </row>
    <row r="609" spans="2:44" x14ac:dyDescent="0.25">
      <c r="B609" t="str">
        <f t="shared" si="20"/>
        <v>GFCA - Touré</v>
      </c>
      <c r="C609" t="s">
        <v>1015</v>
      </c>
      <c r="D609" s="29" t="s">
        <v>608</v>
      </c>
      <c r="E609" s="155" t="s">
        <v>48</v>
      </c>
      <c r="F609" s="31">
        <v>7</v>
      </c>
      <c r="G609" s="99">
        <v>1</v>
      </c>
      <c r="H609" s="73"/>
      <c r="I609" s="34">
        <f>AVERAGE(S609,AF609,AH609,AI609,AJ609,AL609,AN609)</f>
        <v>4.7142857142857144</v>
      </c>
      <c r="J609" s="179"/>
      <c r="K609" s="24"/>
      <c r="L609" s="37"/>
      <c r="M609" s="24"/>
      <c r="N609" s="37"/>
      <c r="O609" s="37"/>
      <c r="P609" s="27"/>
      <c r="Q609" s="37"/>
      <c r="R609" s="24"/>
      <c r="S609" s="23">
        <v>6</v>
      </c>
      <c r="T609" s="24"/>
      <c r="U609" s="24"/>
      <c r="V609" s="24"/>
      <c r="W609" s="37"/>
      <c r="X609" s="24"/>
      <c r="Y609" s="22"/>
      <c r="Z609" s="37"/>
      <c r="AA609" s="24"/>
      <c r="AB609" s="24"/>
      <c r="AC609" s="24"/>
      <c r="AD609" s="77"/>
      <c r="AE609" s="24"/>
      <c r="AF609" s="24">
        <v>4</v>
      </c>
      <c r="AG609" s="24"/>
      <c r="AH609" s="27">
        <v>5</v>
      </c>
      <c r="AI609" s="24">
        <v>4</v>
      </c>
      <c r="AJ609" s="24">
        <v>5</v>
      </c>
      <c r="AK609" s="99"/>
      <c r="AL609" s="26">
        <v>4</v>
      </c>
      <c r="AM609" s="26" t="s">
        <v>611</v>
      </c>
      <c r="AN609" s="27">
        <v>5</v>
      </c>
      <c r="AO609" s="26"/>
      <c r="AP609" s="37"/>
      <c r="AQ609" s="27"/>
      <c r="AR609">
        <f t="shared" si="21"/>
        <v>8</v>
      </c>
    </row>
    <row r="610" spans="2:44" x14ac:dyDescent="0.25">
      <c r="B610" t="str">
        <f t="shared" si="20"/>
        <v>FCL - Lecomte</v>
      </c>
      <c r="C610" t="s">
        <v>784</v>
      </c>
      <c r="D610" s="29" t="s">
        <v>605</v>
      </c>
      <c r="E610" s="30" t="s">
        <v>156</v>
      </c>
      <c r="F610" s="31">
        <v>30</v>
      </c>
      <c r="G610" s="99"/>
      <c r="H610" s="73"/>
      <c r="I610" s="34">
        <f>AVERAGE(AA610,K610,J610,N610,O610,P610,Q610,R610,S610,T610,U610,V610,W610,X610,Y610,Z610,AB610,AC610,AD610,AE610,AF610,AG610,AH610,AI610,AJ610,AK610,AL610,AM610,AN610)</f>
        <v>5.3448275862068968</v>
      </c>
      <c r="J610" s="294">
        <v>7</v>
      </c>
      <c r="K610" s="76">
        <v>5</v>
      </c>
      <c r="L610" s="37" t="s">
        <v>623</v>
      </c>
      <c r="M610" s="77"/>
      <c r="N610" s="24">
        <v>4</v>
      </c>
      <c r="O610" s="24">
        <v>5</v>
      </c>
      <c r="P610" s="28">
        <v>6</v>
      </c>
      <c r="Q610" s="37">
        <v>5</v>
      </c>
      <c r="R610" s="23">
        <v>5</v>
      </c>
      <c r="S610" s="84">
        <v>7</v>
      </c>
      <c r="T610" s="24">
        <v>5</v>
      </c>
      <c r="U610" s="24">
        <v>5</v>
      </c>
      <c r="V610" s="24">
        <v>6</v>
      </c>
      <c r="W610" s="23">
        <v>5</v>
      </c>
      <c r="X610" s="24">
        <v>5</v>
      </c>
      <c r="Y610" s="75">
        <v>7</v>
      </c>
      <c r="Z610" s="24">
        <v>4</v>
      </c>
      <c r="AA610" s="24">
        <v>5</v>
      </c>
      <c r="AB610" s="25">
        <v>7</v>
      </c>
      <c r="AC610" s="24">
        <v>4</v>
      </c>
      <c r="AD610" s="23">
        <v>5</v>
      </c>
      <c r="AE610" s="24">
        <v>5</v>
      </c>
      <c r="AF610" s="25">
        <v>7</v>
      </c>
      <c r="AG610" s="24">
        <v>4</v>
      </c>
      <c r="AH610" s="27">
        <v>6</v>
      </c>
      <c r="AI610" s="24">
        <v>4</v>
      </c>
      <c r="AJ610" s="23">
        <v>5</v>
      </c>
      <c r="AK610" s="254">
        <v>7</v>
      </c>
      <c r="AL610" s="130">
        <v>7</v>
      </c>
      <c r="AM610" s="27">
        <v>4</v>
      </c>
      <c r="AN610" s="27">
        <v>4</v>
      </c>
      <c r="AO610" s="28"/>
      <c r="AP610" s="24"/>
      <c r="AQ610" s="27"/>
      <c r="AR610">
        <f t="shared" si="21"/>
        <v>30</v>
      </c>
    </row>
    <row r="611" spans="2:44" x14ac:dyDescent="0.25">
      <c r="B611" t="str">
        <f t="shared" si="20"/>
        <v>GFCA - Coeff</v>
      </c>
      <c r="C611" t="s">
        <v>1015</v>
      </c>
      <c r="D611" s="29" t="s">
        <v>608</v>
      </c>
      <c r="E611" s="155" t="s">
        <v>467</v>
      </c>
      <c r="F611" s="31">
        <v>21</v>
      </c>
      <c r="G611" s="99">
        <v>1</v>
      </c>
      <c r="H611" s="73"/>
      <c r="I611" s="34">
        <f>AVERAGE(AC611,AA611,Z611,L611,K611,J611,O611,P611,Q611,R611,T611,U611,W611,X611,Y611,AB611,AD611,AE611,AG611,AJ611,AL611)</f>
        <v>5.1428571428571432</v>
      </c>
      <c r="J611" s="179">
        <v>5</v>
      </c>
      <c r="K611" s="24">
        <v>4</v>
      </c>
      <c r="L611" s="37">
        <v>5</v>
      </c>
      <c r="M611" s="24"/>
      <c r="N611" s="37" t="s">
        <v>611</v>
      </c>
      <c r="O611" s="37">
        <v>4</v>
      </c>
      <c r="P611" s="27">
        <v>5</v>
      </c>
      <c r="Q611" s="37">
        <v>5</v>
      </c>
      <c r="R611" s="24">
        <v>5</v>
      </c>
      <c r="S611" s="23"/>
      <c r="T611" s="24">
        <v>5</v>
      </c>
      <c r="U611" s="24">
        <v>6</v>
      </c>
      <c r="V611" s="24"/>
      <c r="W611" s="37">
        <v>5</v>
      </c>
      <c r="X611" s="24">
        <v>6</v>
      </c>
      <c r="Y611" s="23">
        <v>6</v>
      </c>
      <c r="Z611" s="37">
        <v>6</v>
      </c>
      <c r="AA611" s="24">
        <v>4</v>
      </c>
      <c r="AB611" s="24">
        <v>6</v>
      </c>
      <c r="AC611" s="24">
        <v>5</v>
      </c>
      <c r="AD611" s="76">
        <v>6</v>
      </c>
      <c r="AE611" s="24">
        <v>5</v>
      </c>
      <c r="AF611" s="24"/>
      <c r="AG611" s="82">
        <v>3</v>
      </c>
      <c r="AH611" s="27"/>
      <c r="AI611" s="24"/>
      <c r="AJ611" s="24">
        <v>5</v>
      </c>
      <c r="AK611" s="99"/>
      <c r="AL611" s="200">
        <v>7</v>
      </c>
      <c r="AM611" s="26"/>
      <c r="AN611" s="27"/>
      <c r="AO611" s="26"/>
      <c r="AP611" s="37"/>
      <c r="AQ611" s="27"/>
      <c r="AR611">
        <f t="shared" si="21"/>
        <v>22</v>
      </c>
    </row>
    <row r="612" spans="2:44" x14ac:dyDescent="0.25">
      <c r="B612" t="str">
        <f t="shared" si="20"/>
        <v>FCN - Vizcarrondo</v>
      </c>
      <c r="C612" t="s">
        <v>923</v>
      </c>
      <c r="D612" s="29" t="s">
        <v>608</v>
      </c>
      <c r="E612" s="30" t="s">
        <v>199</v>
      </c>
      <c r="F612" s="31">
        <v>23</v>
      </c>
      <c r="G612" s="99">
        <v>1</v>
      </c>
      <c r="H612" s="73"/>
      <c r="I612" s="34">
        <f>AVERAGE(AB612,Q612,P612,T612,U612,R612,V612,X612,Y612,Z612,AA612,AC612,AD612,AE612,AF612,AG612,AH612,AI612,AK612,AL612,AJ612,AM612,AN612)</f>
        <v>4.7826086956521738</v>
      </c>
      <c r="J612" s="87"/>
      <c r="K612" s="37" t="s">
        <v>611</v>
      </c>
      <c r="L612" s="37"/>
      <c r="M612" s="24"/>
      <c r="N612" s="24"/>
      <c r="O612" s="24"/>
      <c r="P612" s="27">
        <v>5</v>
      </c>
      <c r="Q612" s="24">
        <v>4</v>
      </c>
      <c r="R612" s="24">
        <v>4</v>
      </c>
      <c r="S612" s="24"/>
      <c r="T612" s="24">
        <v>5</v>
      </c>
      <c r="U612" s="24">
        <v>5</v>
      </c>
      <c r="V612" s="23">
        <v>4</v>
      </c>
      <c r="W612" s="24"/>
      <c r="X612" s="24">
        <v>5</v>
      </c>
      <c r="Y612" s="24">
        <v>5</v>
      </c>
      <c r="Z612" s="24">
        <v>4</v>
      </c>
      <c r="AA612" s="24">
        <v>5</v>
      </c>
      <c r="AB612" s="24">
        <v>6</v>
      </c>
      <c r="AC612" s="24">
        <v>6</v>
      </c>
      <c r="AD612" s="24">
        <v>4</v>
      </c>
      <c r="AE612" s="24">
        <v>5</v>
      </c>
      <c r="AF612" s="76">
        <v>5</v>
      </c>
      <c r="AG612" s="24">
        <v>6</v>
      </c>
      <c r="AH612" s="26">
        <v>5</v>
      </c>
      <c r="AI612" s="37">
        <v>5</v>
      </c>
      <c r="AJ612" s="24">
        <v>5</v>
      </c>
      <c r="AK612" s="26">
        <v>5</v>
      </c>
      <c r="AL612" s="244">
        <v>3</v>
      </c>
      <c r="AM612" s="27">
        <v>5</v>
      </c>
      <c r="AN612" s="27">
        <v>4</v>
      </c>
      <c r="AO612" s="27"/>
      <c r="AP612" s="24"/>
      <c r="AQ612" s="27"/>
      <c r="AR612">
        <f t="shared" si="21"/>
        <v>24</v>
      </c>
    </row>
    <row r="613" spans="2:44" x14ac:dyDescent="0.25">
      <c r="B613" t="str">
        <f t="shared" si="20"/>
        <v>GFCA - Martinez</v>
      </c>
      <c r="C613" t="s">
        <v>1015</v>
      </c>
      <c r="D613" s="67" t="s">
        <v>608</v>
      </c>
      <c r="E613" s="122" t="s">
        <v>501</v>
      </c>
      <c r="F613" s="69">
        <v>19</v>
      </c>
      <c r="G613" s="115">
        <v>2</v>
      </c>
      <c r="H613" s="123"/>
      <c r="I613" s="34">
        <f>AVERAGE(K613,L613,M613,N613,J613,O613,P613,S613,T613,U613,V613,AE613,AF613,AG613,AH613,AK613,AM613,AN613)</f>
        <v>4.7222222222222223</v>
      </c>
      <c r="J613" s="179">
        <v>5</v>
      </c>
      <c r="K613" s="24">
        <v>4</v>
      </c>
      <c r="L613" s="37">
        <v>5</v>
      </c>
      <c r="M613" s="24">
        <v>5</v>
      </c>
      <c r="N613" s="37">
        <v>5</v>
      </c>
      <c r="O613" s="37">
        <v>4</v>
      </c>
      <c r="P613" s="27">
        <v>5</v>
      </c>
      <c r="Q613" s="37"/>
      <c r="R613" s="24"/>
      <c r="S613" s="23">
        <v>5</v>
      </c>
      <c r="T613" s="24">
        <v>5</v>
      </c>
      <c r="U613" s="24">
        <v>5</v>
      </c>
      <c r="V613" s="24">
        <v>5</v>
      </c>
      <c r="W613" s="37" t="s">
        <v>641</v>
      </c>
      <c r="X613" s="24"/>
      <c r="Y613" s="24"/>
      <c r="Z613" s="37"/>
      <c r="AA613" s="24"/>
      <c r="AB613" s="24"/>
      <c r="AC613" s="24"/>
      <c r="AD613" s="37"/>
      <c r="AE613" s="24">
        <v>4</v>
      </c>
      <c r="AF613" s="24">
        <v>5</v>
      </c>
      <c r="AG613" s="24">
        <v>5</v>
      </c>
      <c r="AH613" s="27">
        <v>4</v>
      </c>
      <c r="AI613" s="24" t="s">
        <v>641</v>
      </c>
      <c r="AJ613" s="24"/>
      <c r="AK613" s="99">
        <v>5</v>
      </c>
      <c r="AL613" s="26" t="s">
        <v>611</v>
      </c>
      <c r="AM613" s="26">
        <v>5</v>
      </c>
      <c r="AN613" s="27">
        <v>4</v>
      </c>
      <c r="AO613" s="27"/>
      <c r="AP613" s="37"/>
      <c r="AQ613" s="27"/>
      <c r="AR613">
        <f t="shared" si="21"/>
        <v>21</v>
      </c>
    </row>
    <row r="614" spans="2:44" x14ac:dyDescent="0.25">
      <c r="B614" t="str">
        <f t="shared" si="20"/>
        <v>GFCA - Poggi</v>
      </c>
      <c r="C614" t="s">
        <v>1015</v>
      </c>
      <c r="D614" s="29" t="s">
        <v>622</v>
      </c>
      <c r="E614" s="65" t="s">
        <v>1006</v>
      </c>
      <c r="F614" s="31">
        <v>5</v>
      </c>
      <c r="G614" s="99">
        <v>6</v>
      </c>
      <c r="H614" s="73"/>
      <c r="I614" s="126">
        <f>AVERAGE(V614,W614,Y614,AH614,AJ614)</f>
        <v>4.5999999999999996</v>
      </c>
      <c r="J614" s="87"/>
      <c r="K614" s="24"/>
      <c r="L614" s="77"/>
      <c r="M614" s="24"/>
      <c r="N614" s="37"/>
      <c r="O614" s="37"/>
      <c r="P614" s="26" t="s">
        <v>611</v>
      </c>
      <c r="Q614" s="37"/>
      <c r="R614" s="37" t="s">
        <v>611</v>
      </c>
      <c r="S614" s="22"/>
      <c r="T614" s="37" t="s">
        <v>611</v>
      </c>
      <c r="U614" s="24"/>
      <c r="V614" s="24">
        <v>5</v>
      </c>
      <c r="W614" s="37">
        <v>4</v>
      </c>
      <c r="X614" s="24"/>
      <c r="Y614" s="24">
        <v>4</v>
      </c>
      <c r="Z614" s="37" t="s">
        <v>611</v>
      </c>
      <c r="AA614" s="37" t="s">
        <v>611</v>
      </c>
      <c r="AB614" s="24"/>
      <c r="AC614" s="24"/>
      <c r="AD614" s="37"/>
      <c r="AE614" s="24"/>
      <c r="AF614" s="24"/>
      <c r="AG614" s="24"/>
      <c r="AH614" s="143">
        <v>5</v>
      </c>
      <c r="AI614" s="22"/>
      <c r="AJ614" s="24">
        <v>5</v>
      </c>
      <c r="AK614" s="99"/>
      <c r="AL614" s="27"/>
      <c r="AM614" s="26"/>
      <c r="AN614" s="26" t="s">
        <v>611</v>
      </c>
      <c r="AO614" s="27"/>
      <c r="AP614" s="37"/>
      <c r="AQ614" s="27"/>
      <c r="AR614">
        <f t="shared" si="21"/>
        <v>11</v>
      </c>
    </row>
    <row r="615" spans="2:44" x14ac:dyDescent="0.25">
      <c r="B615" t="str">
        <f t="shared" si="20"/>
        <v>OM - Mandanda</v>
      </c>
      <c r="C615" t="s">
        <v>671</v>
      </c>
      <c r="D615" s="29" t="s">
        <v>605</v>
      </c>
      <c r="E615" s="30" t="s">
        <v>458</v>
      </c>
      <c r="F615" s="31">
        <v>30</v>
      </c>
      <c r="G615" s="99"/>
      <c r="H615" s="73"/>
      <c r="I615" s="34">
        <f>AVERAGE(AB615,K615,L615,M615,J615,N615,O615,P615,Q615,R615,S615,T615,U615,V615,W615,X615,Y615,Z615,AA615,AC615,AD615,AE615,AG615,AH615,AI615,AJ615,AL615,AK615,AM615,AN615)</f>
        <v>5.333333333333333</v>
      </c>
      <c r="J615" s="292">
        <v>5</v>
      </c>
      <c r="K615" s="21">
        <v>6</v>
      </c>
      <c r="L615" s="22">
        <v>6</v>
      </c>
      <c r="M615" s="23">
        <v>4</v>
      </c>
      <c r="N615" s="24">
        <v>5</v>
      </c>
      <c r="O615" s="23">
        <v>5</v>
      </c>
      <c r="P615" s="143">
        <v>5</v>
      </c>
      <c r="Q615" s="24">
        <v>5</v>
      </c>
      <c r="R615" s="24">
        <v>5</v>
      </c>
      <c r="S615" s="23">
        <v>5</v>
      </c>
      <c r="T615" s="24">
        <v>6</v>
      </c>
      <c r="U615" s="22">
        <v>6</v>
      </c>
      <c r="V615" s="24">
        <v>6</v>
      </c>
      <c r="W615" s="25">
        <v>7</v>
      </c>
      <c r="X615" s="23">
        <v>5</v>
      </c>
      <c r="Y615" s="22">
        <v>6</v>
      </c>
      <c r="Z615" s="24">
        <v>4</v>
      </c>
      <c r="AA615" s="24">
        <v>5</v>
      </c>
      <c r="AB615" s="24">
        <v>5</v>
      </c>
      <c r="AC615" s="77">
        <v>6</v>
      </c>
      <c r="AD615" s="24">
        <v>5</v>
      </c>
      <c r="AE615" s="66">
        <v>7</v>
      </c>
      <c r="AF615" s="22"/>
      <c r="AG615" s="22">
        <v>6</v>
      </c>
      <c r="AH615" s="27">
        <v>4</v>
      </c>
      <c r="AI615" s="24">
        <v>5</v>
      </c>
      <c r="AJ615" s="24">
        <v>5</v>
      </c>
      <c r="AK615" s="28">
        <v>6</v>
      </c>
      <c r="AL615" s="143">
        <v>6</v>
      </c>
      <c r="AM615" s="299">
        <v>7</v>
      </c>
      <c r="AN615" s="244">
        <v>2</v>
      </c>
      <c r="AO615" s="27"/>
      <c r="AP615" s="24"/>
      <c r="AQ615" s="27"/>
      <c r="AR615">
        <f t="shared" si="21"/>
        <v>30</v>
      </c>
    </row>
    <row r="616" spans="2:44" x14ac:dyDescent="0.25">
      <c r="B616" t="str">
        <f t="shared" si="20"/>
        <v>ASSE - Ruffier</v>
      </c>
      <c r="C616" t="s">
        <v>714</v>
      </c>
      <c r="D616" s="29" t="s">
        <v>605</v>
      </c>
      <c r="E616" s="30" t="s">
        <v>148</v>
      </c>
      <c r="F616" s="31">
        <v>31</v>
      </c>
      <c r="G616" s="99"/>
      <c r="H616" s="114"/>
      <c r="I616" s="34">
        <f>AVERAGE(Z616,K616,L616,M616,J616,N616,O616,P616,Q616,R616,S616,T616,U616,V616,W616,X616,Y616,AA616,AB616,AC616,AD616,AE616,AF616,AG616,AH616,AI616,AJ616,AK616,AL616,AM616,AN616)</f>
        <v>5.32258064516129</v>
      </c>
      <c r="J616" s="155">
        <v>4</v>
      </c>
      <c r="K616" s="24">
        <v>5</v>
      </c>
      <c r="L616" s="22">
        <v>6</v>
      </c>
      <c r="M616" s="24">
        <v>4</v>
      </c>
      <c r="N616" s="83">
        <v>7</v>
      </c>
      <c r="O616" s="22">
        <v>6</v>
      </c>
      <c r="P616" s="28">
        <v>6</v>
      </c>
      <c r="Q616" s="24">
        <v>4</v>
      </c>
      <c r="R616" s="24">
        <v>6</v>
      </c>
      <c r="S616" s="22">
        <v>5</v>
      </c>
      <c r="T616" s="23">
        <v>4</v>
      </c>
      <c r="U616" s="25">
        <v>7</v>
      </c>
      <c r="V616" s="24">
        <v>6</v>
      </c>
      <c r="W616" s="23">
        <v>5</v>
      </c>
      <c r="X616" s="22">
        <v>6</v>
      </c>
      <c r="Y616" s="23">
        <v>6</v>
      </c>
      <c r="Z616" s="23">
        <v>4</v>
      </c>
      <c r="AA616" s="23">
        <v>5</v>
      </c>
      <c r="AB616" s="22">
        <v>6</v>
      </c>
      <c r="AC616" s="24">
        <v>5</v>
      </c>
      <c r="AD616" s="25">
        <v>7</v>
      </c>
      <c r="AE616" s="24">
        <v>5</v>
      </c>
      <c r="AF616" s="24">
        <v>5</v>
      </c>
      <c r="AG616" s="22">
        <v>6</v>
      </c>
      <c r="AH616" s="27">
        <v>5</v>
      </c>
      <c r="AI616" s="24">
        <v>5</v>
      </c>
      <c r="AJ616" s="24">
        <v>5</v>
      </c>
      <c r="AK616" s="143">
        <v>5</v>
      </c>
      <c r="AL616" s="28">
        <v>5</v>
      </c>
      <c r="AM616" s="143">
        <v>4</v>
      </c>
      <c r="AN616" s="28">
        <v>6</v>
      </c>
      <c r="AO616" s="28"/>
      <c r="AP616" s="24"/>
      <c r="AQ616" s="28"/>
      <c r="AR616">
        <f t="shared" si="21"/>
        <v>31</v>
      </c>
    </row>
    <row r="617" spans="2:44" x14ac:dyDescent="0.25">
      <c r="B617" t="str">
        <f t="shared" si="20"/>
        <v>EAG - Jacobsen</v>
      </c>
      <c r="C617" t="s">
        <v>967</v>
      </c>
      <c r="D617" s="29" t="s">
        <v>608</v>
      </c>
      <c r="E617" s="60" t="s">
        <v>944</v>
      </c>
      <c r="F617" s="31">
        <v>24</v>
      </c>
      <c r="G617" s="99">
        <v>1</v>
      </c>
      <c r="H617" s="73"/>
      <c r="I617" s="34">
        <f>AVERAGE(Y617,X617,W617,K617,M617,J617,N617,O617,P617,Q617,R617,S617,T617,U617,V617,AA617,AC617,AF617,AH617,AG617,AI617,AJ617,AK617,AL617,AM617,AN617)</f>
        <v>4.6538461538461542</v>
      </c>
      <c r="J617" s="179">
        <v>4</v>
      </c>
      <c r="K617" s="21">
        <v>5</v>
      </c>
      <c r="L617" s="79"/>
      <c r="M617" s="24">
        <v>5</v>
      </c>
      <c r="N617" s="37">
        <v>5</v>
      </c>
      <c r="O617" s="37">
        <v>5</v>
      </c>
      <c r="P617" s="27">
        <v>4</v>
      </c>
      <c r="Q617" s="37">
        <v>4</v>
      </c>
      <c r="R617" s="24">
        <v>5</v>
      </c>
      <c r="S617" s="23">
        <v>4</v>
      </c>
      <c r="T617" s="24">
        <v>5</v>
      </c>
      <c r="U617" s="24">
        <v>5</v>
      </c>
      <c r="V617" s="24">
        <v>4</v>
      </c>
      <c r="W617" s="37">
        <v>5</v>
      </c>
      <c r="X617" s="24">
        <v>4</v>
      </c>
      <c r="Y617" s="24">
        <v>5</v>
      </c>
      <c r="Z617" s="77"/>
      <c r="AA617" s="24">
        <v>5</v>
      </c>
      <c r="AB617" s="24"/>
      <c r="AC617" s="24">
        <v>5</v>
      </c>
      <c r="AD617" s="37"/>
      <c r="AE617" s="24"/>
      <c r="AF617" s="24">
        <v>5</v>
      </c>
      <c r="AG617" s="37">
        <v>5</v>
      </c>
      <c r="AH617" s="27">
        <v>5</v>
      </c>
      <c r="AI617" s="82">
        <v>3</v>
      </c>
      <c r="AJ617" s="82">
        <v>3</v>
      </c>
      <c r="AK617" s="27">
        <v>6</v>
      </c>
      <c r="AL617" s="244">
        <v>3</v>
      </c>
      <c r="AM617" s="200">
        <v>7</v>
      </c>
      <c r="AN617" s="27">
        <v>5</v>
      </c>
      <c r="AO617" s="27"/>
      <c r="AP617" s="37"/>
      <c r="AQ617" s="27"/>
      <c r="AR617">
        <f t="shared" si="21"/>
        <v>25</v>
      </c>
    </row>
    <row r="618" spans="2:44" x14ac:dyDescent="0.25">
      <c r="B618" t="str">
        <f t="shared" si="20"/>
        <v>GFCA - Youga</v>
      </c>
      <c r="C618" t="s">
        <v>1015</v>
      </c>
      <c r="D618" s="67" t="s">
        <v>622</v>
      </c>
      <c r="E618" s="122" t="s">
        <v>1008</v>
      </c>
      <c r="F618" s="69">
        <v>12</v>
      </c>
      <c r="G618" s="115">
        <v>3</v>
      </c>
      <c r="H618" s="68"/>
      <c r="I618" s="72">
        <f>AVERAGE(K618,L618,N618,J618,T618,U618,Y618,AA618,AB618,AD618,AG618,AI618)</f>
        <v>4.583333333333333</v>
      </c>
      <c r="J618" s="179">
        <v>5</v>
      </c>
      <c r="K618" s="24">
        <v>4</v>
      </c>
      <c r="L618" s="37">
        <v>5</v>
      </c>
      <c r="M618" s="24"/>
      <c r="N618" s="37">
        <v>5</v>
      </c>
      <c r="O618" s="37"/>
      <c r="P618" s="27"/>
      <c r="Q618" s="37"/>
      <c r="R618" s="24"/>
      <c r="S618" s="23"/>
      <c r="T618" s="24">
        <v>5</v>
      </c>
      <c r="U618" s="24">
        <v>4</v>
      </c>
      <c r="V618" s="24"/>
      <c r="W618" s="37"/>
      <c r="X618" s="37" t="s">
        <v>611</v>
      </c>
      <c r="Y618" s="66">
        <v>7</v>
      </c>
      <c r="Z618" s="37"/>
      <c r="AA618" s="24">
        <v>4</v>
      </c>
      <c r="AB618" s="24">
        <v>4</v>
      </c>
      <c r="AC618" s="37" t="s">
        <v>611</v>
      </c>
      <c r="AD618" s="37">
        <v>5</v>
      </c>
      <c r="AE618" s="37"/>
      <c r="AF618" s="76" t="s">
        <v>611</v>
      </c>
      <c r="AG618" s="82">
        <v>3</v>
      </c>
      <c r="AH618" s="27"/>
      <c r="AI618" s="24">
        <v>4</v>
      </c>
      <c r="AJ618" s="24"/>
      <c r="AK618" s="99"/>
      <c r="AL618" s="27"/>
      <c r="AM618" s="26"/>
      <c r="AN618" s="27"/>
      <c r="AO618" s="27"/>
      <c r="AP618" s="37"/>
      <c r="AQ618" s="27"/>
      <c r="AR618">
        <f t="shared" si="21"/>
        <v>15</v>
      </c>
    </row>
    <row r="619" spans="2:44" x14ac:dyDescent="0.25">
      <c r="B619" t="str">
        <f t="shared" si="20"/>
        <v>EAG - M. Diallo</v>
      </c>
      <c r="C619" t="s">
        <v>967</v>
      </c>
      <c r="D619" s="29" t="s">
        <v>622</v>
      </c>
      <c r="E619" s="73" t="s">
        <v>953</v>
      </c>
      <c r="F619" s="31">
        <v>15</v>
      </c>
      <c r="G619" s="99">
        <v>9</v>
      </c>
      <c r="H619" s="73"/>
      <c r="I619" s="34">
        <f>AVERAGE(AB619,Y619,J619,K619,L619,M619,P619,S619,T619,U619,V619,W619,X619,AE619,AI619,AM619,AN619)</f>
        <v>5</v>
      </c>
      <c r="J619" s="179">
        <v>5</v>
      </c>
      <c r="K619" s="24">
        <v>5</v>
      </c>
      <c r="L619" s="74">
        <v>6</v>
      </c>
      <c r="M619" s="37">
        <v>4</v>
      </c>
      <c r="N619" s="76" t="s">
        <v>611</v>
      </c>
      <c r="O619" s="37" t="s">
        <v>611</v>
      </c>
      <c r="P619" s="26">
        <v>4</v>
      </c>
      <c r="Q619" s="37" t="s">
        <v>611</v>
      </c>
      <c r="R619" s="37" t="s">
        <v>611</v>
      </c>
      <c r="S619" s="23">
        <v>4</v>
      </c>
      <c r="T619" s="24">
        <v>5</v>
      </c>
      <c r="U619" s="24">
        <v>5</v>
      </c>
      <c r="V619" s="24">
        <v>4</v>
      </c>
      <c r="W619" s="37">
        <v>5</v>
      </c>
      <c r="X619" s="37">
        <v>5</v>
      </c>
      <c r="Y619" s="24">
        <v>5</v>
      </c>
      <c r="Z619" s="37"/>
      <c r="AA619" s="37"/>
      <c r="AB619" s="24">
        <v>5</v>
      </c>
      <c r="AC619" s="37" t="s">
        <v>611</v>
      </c>
      <c r="AD619" s="37" t="s">
        <v>611</v>
      </c>
      <c r="AE619" s="24">
        <v>5</v>
      </c>
      <c r="AF619" s="24"/>
      <c r="AG619" s="24"/>
      <c r="AH619" s="27"/>
      <c r="AI619" s="24">
        <v>6</v>
      </c>
      <c r="AJ619" s="24"/>
      <c r="AK619" s="27"/>
      <c r="AL619" s="26" t="s">
        <v>611</v>
      </c>
      <c r="AM619" s="26">
        <v>6</v>
      </c>
      <c r="AN619" s="26">
        <v>6</v>
      </c>
      <c r="AO619" s="27"/>
      <c r="AP619" s="37"/>
      <c r="AQ619" s="26"/>
      <c r="AR619">
        <f t="shared" si="21"/>
        <v>24</v>
      </c>
    </row>
    <row r="620" spans="2:44" x14ac:dyDescent="0.25">
      <c r="B620" t="str">
        <f t="shared" si="20"/>
        <v>GFCA - Pujol</v>
      </c>
      <c r="C620" t="s">
        <v>1015</v>
      </c>
      <c r="D620" s="147" t="s">
        <v>633</v>
      </c>
      <c r="E620" s="49" t="s">
        <v>1010</v>
      </c>
      <c r="F620" s="149">
        <v>9</v>
      </c>
      <c r="G620" s="143">
        <v>4</v>
      </c>
      <c r="H620" s="49">
        <v>2</v>
      </c>
      <c r="I620" s="34">
        <f>AVERAGE(K620,L620,M620,N620,J620,O620,P620,R620,T620,U620)</f>
        <v>4.5</v>
      </c>
      <c r="J620" s="87">
        <v>4</v>
      </c>
      <c r="K620" s="37">
        <v>4</v>
      </c>
      <c r="L620" s="37">
        <v>5</v>
      </c>
      <c r="M620" s="37">
        <v>4</v>
      </c>
      <c r="N620" s="37">
        <v>4</v>
      </c>
      <c r="O620" s="37">
        <v>4</v>
      </c>
      <c r="P620" s="26">
        <v>4</v>
      </c>
      <c r="Q620" s="37" t="s">
        <v>611</v>
      </c>
      <c r="R620" s="22">
        <v>5</v>
      </c>
      <c r="S620" s="76" t="s">
        <v>611</v>
      </c>
      <c r="T620" s="22">
        <v>6</v>
      </c>
      <c r="U620" s="76">
        <v>5</v>
      </c>
      <c r="V620" s="24"/>
      <c r="W620" s="77"/>
      <c r="X620" s="24"/>
      <c r="Y620" s="37"/>
      <c r="Z620" s="37"/>
      <c r="AA620" s="24"/>
      <c r="AB620" s="24"/>
      <c r="AC620" s="24"/>
      <c r="AD620" s="76" t="s">
        <v>611</v>
      </c>
      <c r="AE620" s="24"/>
      <c r="AF620" s="24"/>
      <c r="AG620" s="24"/>
      <c r="AH620" s="27"/>
      <c r="AI620" s="24"/>
      <c r="AJ620" s="24"/>
      <c r="AK620" s="99"/>
      <c r="AL620" s="27"/>
      <c r="AM620" s="26"/>
      <c r="AN620" s="27"/>
      <c r="AO620" s="27"/>
      <c r="AP620" s="37"/>
      <c r="AQ620" s="27"/>
      <c r="AR620">
        <f t="shared" si="21"/>
        <v>13</v>
      </c>
    </row>
    <row r="621" spans="2:44" x14ac:dyDescent="0.25">
      <c r="B621" t="str">
        <f t="shared" si="20"/>
        <v>GFCA - Mayi</v>
      </c>
      <c r="C621" t="s">
        <v>1015</v>
      </c>
      <c r="D621" s="147" t="s">
        <v>633</v>
      </c>
      <c r="E621" s="49" t="s">
        <v>1011</v>
      </c>
      <c r="F621" s="149">
        <v>7</v>
      </c>
      <c r="G621" s="143">
        <v>12</v>
      </c>
      <c r="H621" s="49">
        <v>3</v>
      </c>
      <c r="I621" s="34">
        <f>AVERAGE(M621,Q621,R621,S621,Z621,AG621,AF621,AJ621,AL621)</f>
        <v>4.7777777777777777</v>
      </c>
      <c r="J621" s="179" t="s">
        <v>611</v>
      </c>
      <c r="K621" s="76" t="s">
        <v>611</v>
      </c>
      <c r="L621" s="76" t="s">
        <v>611</v>
      </c>
      <c r="M621" s="76">
        <v>4</v>
      </c>
      <c r="N621" s="108"/>
      <c r="O621" s="76" t="s">
        <v>611</v>
      </c>
      <c r="P621" s="140" t="s">
        <v>611</v>
      </c>
      <c r="Q621" s="76">
        <v>5</v>
      </c>
      <c r="R621" s="75">
        <v>7</v>
      </c>
      <c r="S621" s="23">
        <v>5</v>
      </c>
      <c r="T621" s="109"/>
      <c r="U621" s="108"/>
      <c r="V621" s="76" t="s">
        <v>611</v>
      </c>
      <c r="W621" s="108"/>
      <c r="X621" s="109"/>
      <c r="Y621" s="109"/>
      <c r="Z621" s="76">
        <v>4</v>
      </c>
      <c r="AA621" s="108"/>
      <c r="AB621" s="109"/>
      <c r="AC621" s="76" t="s">
        <v>611</v>
      </c>
      <c r="AD621" s="76" t="s">
        <v>611</v>
      </c>
      <c r="AE621" s="109"/>
      <c r="AF621" s="241">
        <v>3</v>
      </c>
      <c r="AG621" s="22">
        <v>5</v>
      </c>
      <c r="AH621" s="140" t="s">
        <v>611</v>
      </c>
      <c r="AI621" s="76" t="s">
        <v>611</v>
      </c>
      <c r="AJ621" s="22">
        <v>6</v>
      </c>
      <c r="AK621" s="99"/>
      <c r="AL621" s="143">
        <v>4</v>
      </c>
      <c r="AM621" s="180"/>
      <c r="AN621" s="110"/>
      <c r="AO621" s="110"/>
      <c r="AP621" s="108"/>
      <c r="AQ621" s="110"/>
      <c r="AR621">
        <f t="shared" si="21"/>
        <v>19</v>
      </c>
    </row>
    <row r="622" spans="2:44" x14ac:dyDescent="0.25">
      <c r="B622" t="str">
        <f t="shared" si="20"/>
        <v>GFCA - Tshibumbu</v>
      </c>
      <c r="C622" t="s">
        <v>1015</v>
      </c>
      <c r="D622" s="29" t="s">
        <v>633</v>
      </c>
      <c r="E622" s="118" t="s">
        <v>1012</v>
      </c>
      <c r="F622" s="31">
        <v>10</v>
      </c>
      <c r="G622" s="99">
        <v>10</v>
      </c>
      <c r="H622" s="73">
        <v>3</v>
      </c>
      <c r="I622" s="34">
        <f>AVERAGE(L622,J622,T622,Z622,AA622,AB622,AC622,AD622,AE622,AK622)</f>
        <v>4.5</v>
      </c>
      <c r="J622" s="179">
        <v>4</v>
      </c>
      <c r="K622" s="37" t="s">
        <v>611</v>
      </c>
      <c r="L622" s="37">
        <v>4</v>
      </c>
      <c r="M622" s="37"/>
      <c r="N622" s="37" t="s">
        <v>611</v>
      </c>
      <c r="O622" s="77"/>
      <c r="P622" s="27"/>
      <c r="Q622" s="37"/>
      <c r="R622" s="37"/>
      <c r="S622" s="76" t="s">
        <v>611</v>
      </c>
      <c r="T622" s="23">
        <v>4</v>
      </c>
      <c r="U622" s="24"/>
      <c r="V622" s="37"/>
      <c r="W622" s="37" t="s">
        <v>611</v>
      </c>
      <c r="X622" s="37" t="s">
        <v>611</v>
      </c>
      <c r="Y622" s="77" t="s">
        <v>611</v>
      </c>
      <c r="Z622" s="77">
        <v>6</v>
      </c>
      <c r="AA622" s="37">
        <v>4</v>
      </c>
      <c r="AB622" s="37">
        <v>4</v>
      </c>
      <c r="AC622" s="22">
        <v>6</v>
      </c>
      <c r="AD622" s="37">
        <v>4</v>
      </c>
      <c r="AE622" s="23">
        <v>4</v>
      </c>
      <c r="AF622" s="24"/>
      <c r="AG622" s="37" t="s">
        <v>611</v>
      </c>
      <c r="AH622" s="27" t="s">
        <v>641</v>
      </c>
      <c r="AI622" s="24"/>
      <c r="AJ622" s="37" t="s">
        <v>611</v>
      </c>
      <c r="AK622" s="99">
        <v>5</v>
      </c>
      <c r="AL622" s="27"/>
      <c r="AM622" s="26"/>
      <c r="AN622" s="27"/>
      <c r="AO622" s="27"/>
      <c r="AP622" s="37"/>
      <c r="AQ622" s="27"/>
      <c r="AR622">
        <f t="shared" si="21"/>
        <v>20</v>
      </c>
    </row>
    <row r="623" spans="2:44" x14ac:dyDescent="0.25">
      <c r="B623" t="str">
        <f t="shared" si="20"/>
        <v>GFCA - Chermiti</v>
      </c>
      <c r="C623" t="s">
        <v>1015</v>
      </c>
      <c r="D623" s="29" t="s">
        <v>633</v>
      </c>
      <c r="E623" s="118" t="s">
        <v>1093</v>
      </c>
      <c r="F623" s="31">
        <v>2</v>
      </c>
      <c r="G623" s="99">
        <v>3</v>
      </c>
      <c r="H623" s="73"/>
      <c r="I623" s="34">
        <f>AVERAGE(AJ623,AL623)</f>
        <v>4.5</v>
      </c>
      <c r="J623" s="179"/>
      <c r="K623" s="37"/>
      <c r="L623" s="37"/>
      <c r="M623" s="37"/>
      <c r="N623" s="37"/>
      <c r="O623" s="77"/>
      <c r="P623" s="27"/>
      <c r="Q623" s="37"/>
      <c r="R623" s="37"/>
      <c r="S623" s="76"/>
      <c r="T623" s="23"/>
      <c r="U623" s="24"/>
      <c r="V623" s="37"/>
      <c r="W623" s="37"/>
      <c r="X623" s="37"/>
      <c r="Y623" s="77"/>
      <c r="Z623" s="77"/>
      <c r="AA623" s="37"/>
      <c r="AB623" s="37"/>
      <c r="AC623" s="22"/>
      <c r="AD623" s="37"/>
      <c r="AE623" s="23"/>
      <c r="AF623" s="24"/>
      <c r="AG623" s="37"/>
      <c r="AH623" s="27"/>
      <c r="AI623" s="24"/>
      <c r="AJ623" s="24">
        <v>5</v>
      </c>
      <c r="AK623" s="196" t="s">
        <v>611</v>
      </c>
      <c r="AL623" s="27">
        <v>4</v>
      </c>
      <c r="AM623" s="26" t="s">
        <v>611</v>
      </c>
      <c r="AN623" s="26" t="s">
        <v>611</v>
      </c>
      <c r="AO623" s="27"/>
      <c r="AP623" s="37"/>
      <c r="AQ623" s="27"/>
      <c r="AR623">
        <f t="shared" si="21"/>
        <v>5</v>
      </c>
    </row>
    <row r="624" spans="2:44" x14ac:dyDescent="0.25">
      <c r="B624" t="str">
        <f t="shared" si="20"/>
        <v>SRFC - Costil</v>
      </c>
      <c r="C624" t="s">
        <v>881</v>
      </c>
      <c r="D624" s="29" t="s">
        <v>605</v>
      </c>
      <c r="E624" s="73" t="s">
        <v>856</v>
      </c>
      <c r="F624" s="31">
        <v>24</v>
      </c>
      <c r="G624" s="99"/>
      <c r="H624" s="73"/>
      <c r="I624" s="34">
        <f>AVERAGE(K624,L624,M624,J624,U624,V624,W624,X624,Y624,Z624,AA624,AB624,AC624,AD624,AE624,AF624,AG624,AH624,AI624,AJ624,AK624,AL624,AM624,AN624)</f>
        <v>5.166666666666667</v>
      </c>
      <c r="J624" s="87">
        <v>4</v>
      </c>
      <c r="K624" s="22">
        <v>5</v>
      </c>
      <c r="L624" s="23">
        <v>6</v>
      </c>
      <c r="M624" s="23">
        <v>6</v>
      </c>
      <c r="N624" s="24"/>
      <c r="O624" s="24"/>
      <c r="P624" s="27"/>
      <c r="Q624" s="24"/>
      <c r="R624" s="22"/>
      <c r="S624" s="22"/>
      <c r="T624" s="22"/>
      <c r="U624" s="24">
        <v>6</v>
      </c>
      <c r="V624" s="22">
        <v>6</v>
      </c>
      <c r="W624" s="23">
        <v>5</v>
      </c>
      <c r="X624" s="23">
        <v>5</v>
      </c>
      <c r="Y624" s="24">
        <v>5</v>
      </c>
      <c r="Z624" s="24">
        <v>6</v>
      </c>
      <c r="AA624" s="24">
        <v>5</v>
      </c>
      <c r="AB624" s="25">
        <v>7</v>
      </c>
      <c r="AC624" s="82">
        <v>3</v>
      </c>
      <c r="AD624" s="23">
        <v>5</v>
      </c>
      <c r="AE624" s="22">
        <v>6</v>
      </c>
      <c r="AF624" s="82">
        <v>3</v>
      </c>
      <c r="AG624" s="24">
        <v>6</v>
      </c>
      <c r="AH624" s="27">
        <v>6</v>
      </c>
      <c r="AI624" s="22">
        <v>6</v>
      </c>
      <c r="AJ624" s="23">
        <v>5</v>
      </c>
      <c r="AK624" s="143">
        <v>4</v>
      </c>
      <c r="AL624" s="27">
        <v>6</v>
      </c>
      <c r="AM624" s="143">
        <v>4</v>
      </c>
      <c r="AN624" s="143">
        <v>4</v>
      </c>
      <c r="AO624" s="28"/>
      <c r="AP624" s="24"/>
      <c r="AQ624" s="27"/>
      <c r="AR624">
        <f t="shared" si="21"/>
        <v>24</v>
      </c>
    </row>
    <row r="625" spans="2:44" ht="15.75" thickBot="1" x14ac:dyDescent="0.3">
      <c r="B625" t="str">
        <f t="shared" si="20"/>
        <v>GFCA - Dia</v>
      </c>
      <c r="C625" t="s">
        <v>1015</v>
      </c>
      <c r="D625" s="266" t="s">
        <v>633</v>
      </c>
      <c r="E625" s="220" t="s">
        <v>1014</v>
      </c>
      <c r="F625" s="221">
        <v>5</v>
      </c>
      <c r="G625" s="222">
        <v>6</v>
      </c>
      <c r="H625" s="261"/>
      <c r="I625" s="267">
        <f>AVERAGE(P625,Q625,Y625)</f>
        <v>5</v>
      </c>
      <c r="J625" s="150"/>
      <c r="K625" s="61"/>
      <c r="L625" s="61"/>
      <c r="M625" s="61" t="s">
        <v>611</v>
      </c>
      <c r="N625" s="61" t="s">
        <v>611</v>
      </c>
      <c r="O625" s="61" t="s">
        <v>611</v>
      </c>
      <c r="P625" s="63">
        <v>5</v>
      </c>
      <c r="Q625" s="61">
        <v>5</v>
      </c>
      <c r="R625" s="61" t="s">
        <v>645</v>
      </c>
      <c r="S625" s="53"/>
      <c r="T625" s="53"/>
      <c r="U625" s="61" t="s">
        <v>611</v>
      </c>
      <c r="V625" s="61" t="s">
        <v>611</v>
      </c>
      <c r="W625" s="61"/>
      <c r="X625" s="61" t="s">
        <v>611</v>
      </c>
      <c r="Y625" s="53">
        <v>5</v>
      </c>
      <c r="Z625" s="61"/>
      <c r="AA625" s="53" t="s">
        <v>641</v>
      </c>
      <c r="AB625" s="61"/>
      <c r="AC625" s="53"/>
      <c r="AD625" s="81"/>
      <c r="AE625" s="59"/>
      <c r="AF625" s="53"/>
      <c r="AG625" s="59"/>
      <c r="AH625" s="63"/>
      <c r="AI625" s="53"/>
      <c r="AJ625" s="61"/>
      <c r="AK625" s="63"/>
      <c r="AL625" s="166"/>
      <c r="AM625" s="62"/>
      <c r="AN625" s="63"/>
      <c r="AO625" s="63"/>
      <c r="AP625" s="61"/>
      <c r="AQ625" s="62"/>
      <c r="AR625">
        <f t="shared" si="21"/>
        <v>11</v>
      </c>
    </row>
    <row r="626" spans="2:44" x14ac:dyDescent="0.25">
      <c r="B626" t="str">
        <f t="shared" si="20"/>
        <v>SCO - Butelle</v>
      </c>
      <c r="C626" t="s">
        <v>1034</v>
      </c>
      <c r="D626" s="64" t="s">
        <v>605</v>
      </c>
      <c r="E626" s="64" t="s">
        <v>1016</v>
      </c>
      <c r="F626" s="52">
        <v>19</v>
      </c>
      <c r="G626" s="63"/>
      <c r="H626" s="146"/>
      <c r="I626" s="80">
        <f>AVERAGE(AA626,K626,L626,M626,J626,N626,O626,P626,Q626,R626,S626,T626,U626,V626,W626,X626,Y626,Z626,AB626)</f>
        <v>5.5789473684210522</v>
      </c>
      <c r="J626" s="265">
        <v>7</v>
      </c>
      <c r="K626" s="59">
        <v>6</v>
      </c>
      <c r="L626" s="81">
        <v>6</v>
      </c>
      <c r="M626" s="53">
        <v>5</v>
      </c>
      <c r="N626" s="61">
        <v>5</v>
      </c>
      <c r="O626" s="81">
        <v>6</v>
      </c>
      <c r="P626" s="166">
        <v>6</v>
      </c>
      <c r="Q626" s="61">
        <v>6</v>
      </c>
      <c r="R626" s="59">
        <v>6</v>
      </c>
      <c r="S626" s="53">
        <v>6</v>
      </c>
      <c r="T626" s="59">
        <v>6</v>
      </c>
      <c r="U626" s="53">
        <v>5</v>
      </c>
      <c r="V626" s="53">
        <v>4</v>
      </c>
      <c r="W626" s="81">
        <v>6</v>
      </c>
      <c r="X626" s="59">
        <v>5</v>
      </c>
      <c r="Y626" s="59">
        <v>7</v>
      </c>
      <c r="Z626" s="81">
        <v>5</v>
      </c>
      <c r="AA626" s="53">
        <v>5</v>
      </c>
      <c r="AB626" s="53">
        <v>4</v>
      </c>
      <c r="AC626" s="53"/>
      <c r="AD626" s="61"/>
      <c r="AE626" s="53"/>
      <c r="AF626" s="53"/>
      <c r="AG626" s="53"/>
      <c r="AH626" s="63"/>
      <c r="AI626" s="53"/>
      <c r="AJ626" s="53"/>
      <c r="AK626" s="63"/>
      <c r="AL626" s="53"/>
      <c r="AM626" s="62"/>
      <c r="AN626" s="63"/>
      <c r="AO626" s="63"/>
      <c r="AP626" s="61"/>
      <c r="AQ626" s="63"/>
      <c r="AR626">
        <f t="shared" si="21"/>
        <v>19</v>
      </c>
    </row>
    <row r="627" spans="2:44" x14ac:dyDescent="0.25">
      <c r="B627" t="str">
        <f t="shared" si="20"/>
        <v>SCO - Petric</v>
      </c>
      <c r="C627" t="s">
        <v>1034</v>
      </c>
      <c r="D627" s="38" t="s">
        <v>605</v>
      </c>
      <c r="E627" s="127" t="s">
        <v>979</v>
      </c>
      <c r="F627" s="31">
        <v>2</v>
      </c>
      <c r="G627" s="99"/>
      <c r="H627" s="73"/>
      <c r="I627" s="34">
        <f>AVERAGE(AI627,AJ627)</f>
        <v>4.5</v>
      </c>
      <c r="J627" s="181"/>
      <c r="K627" s="22"/>
      <c r="L627" s="77"/>
      <c r="M627" s="24"/>
      <c r="N627" s="37"/>
      <c r="O627" s="77"/>
      <c r="P627" s="28"/>
      <c r="Q627" s="37"/>
      <c r="R627" s="22"/>
      <c r="S627" s="23"/>
      <c r="T627" s="22"/>
      <c r="U627" s="24"/>
      <c r="V627" s="24"/>
      <c r="W627" s="77"/>
      <c r="X627" s="22"/>
      <c r="Y627" s="77"/>
      <c r="Z627" s="77"/>
      <c r="AA627" s="24"/>
      <c r="AB627" s="24"/>
      <c r="AC627" s="24"/>
      <c r="AD627" s="37"/>
      <c r="AE627" s="24"/>
      <c r="AF627" s="24"/>
      <c r="AG627" s="24"/>
      <c r="AH627" s="27"/>
      <c r="AI627" s="24">
        <v>5</v>
      </c>
      <c r="AJ627" s="24">
        <v>4</v>
      </c>
      <c r="AK627" s="27"/>
      <c r="AL627" s="22"/>
      <c r="AM627" s="26"/>
      <c r="AN627" s="27"/>
      <c r="AO627" s="27"/>
      <c r="AP627" s="37"/>
      <c r="AQ627" s="27"/>
      <c r="AR627">
        <f t="shared" si="21"/>
        <v>2</v>
      </c>
    </row>
    <row r="628" spans="2:44" x14ac:dyDescent="0.25">
      <c r="B628" t="str">
        <f t="shared" si="20"/>
        <v>SCO - Letellier</v>
      </c>
      <c r="C628" t="s">
        <v>1034</v>
      </c>
      <c r="D628" s="85" t="s">
        <v>605</v>
      </c>
      <c r="E628" s="154" t="s">
        <v>1017</v>
      </c>
      <c r="F628" s="69">
        <v>10</v>
      </c>
      <c r="G628" s="115"/>
      <c r="H628" s="68"/>
      <c r="I628" s="34">
        <f>AVERAGE(AC628,AD628,AE628,AF628,AG628,AH628,AK628,AL628,AM628,AN628)</f>
        <v>5.0999999999999996</v>
      </c>
      <c r="J628" s="181"/>
      <c r="K628" s="24"/>
      <c r="L628" s="37"/>
      <c r="M628" s="24"/>
      <c r="N628" s="37"/>
      <c r="O628" s="37"/>
      <c r="P628" s="27"/>
      <c r="Q628" s="37"/>
      <c r="R628" s="24"/>
      <c r="S628" s="23"/>
      <c r="T628" s="24"/>
      <c r="U628" s="24"/>
      <c r="V628" s="24"/>
      <c r="W628" s="37"/>
      <c r="X628" s="24"/>
      <c r="Y628" s="24"/>
      <c r="Z628" s="37"/>
      <c r="AA628" s="24"/>
      <c r="AB628" s="24"/>
      <c r="AC628" s="22">
        <v>6</v>
      </c>
      <c r="AD628" s="37">
        <v>6</v>
      </c>
      <c r="AE628" s="82">
        <v>3</v>
      </c>
      <c r="AF628" s="25">
        <v>7</v>
      </c>
      <c r="AG628" s="24">
        <v>5</v>
      </c>
      <c r="AH628" s="244">
        <v>3</v>
      </c>
      <c r="AI628" s="24"/>
      <c r="AJ628" s="24"/>
      <c r="AK628" s="27">
        <v>5</v>
      </c>
      <c r="AL628" s="22">
        <v>6</v>
      </c>
      <c r="AM628" s="26">
        <v>6</v>
      </c>
      <c r="AN628" s="27">
        <v>4</v>
      </c>
      <c r="AO628" s="27"/>
      <c r="AP628" s="37"/>
      <c r="AQ628" s="27"/>
      <c r="AR628">
        <f t="shared" si="21"/>
        <v>10</v>
      </c>
    </row>
    <row r="629" spans="2:44" x14ac:dyDescent="0.25">
      <c r="B629" t="str">
        <f t="shared" si="20"/>
        <v>SCO - Angoula</v>
      </c>
      <c r="C629" t="s">
        <v>1034</v>
      </c>
      <c r="D629" t="s">
        <v>608</v>
      </c>
      <c r="E629" s="155" t="s">
        <v>533</v>
      </c>
      <c r="F629" s="31">
        <v>8</v>
      </c>
      <c r="G629" s="99">
        <v>2</v>
      </c>
      <c r="H629" s="73"/>
      <c r="I629" s="126">
        <f>AVERAGE(Q629,Z629,AA629,AC629,AF629,AH629,AI629,AJ629,AM629)</f>
        <v>4.7777777777777777</v>
      </c>
      <c r="J629" s="179"/>
      <c r="K629" s="24"/>
      <c r="L629" s="37"/>
      <c r="M629" s="24"/>
      <c r="N629" s="37"/>
      <c r="O629" s="37"/>
      <c r="P629" s="27"/>
      <c r="Q629" s="37">
        <v>5</v>
      </c>
      <c r="R629" s="24"/>
      <c r="S629" s="23"/>
      <c r="T629" s="37"/>
      <c r="U629" s="24"/>
      <c r="V629" s="24"/>
      <c r="W629" s="37"/>
      <c r="X629" s="37"/>
      <c r="Y629" s="24"/>
      <c r="Z629" s="37">
        <v>6</v>
      </c>
      <c r="AA629" s="37">
        <v>5</v>
      </c>
      <c r="AB629" s="24"/>
      <c r="AC629" s="24">
        <v>6</v>
      </c>
      <c r="AD629" s="37"/>
      <c r="AE629" s="37" t="s">
        <v>611</v>
      </c>
      <c r="AF629" s="37">
        <v>6</v>
      </c>
      <c r="AG629" s="37"/>
      <c r="AH629" s="259">
        <v>3</v>
      </c>
      <c r="AI629" s="37">
        <v>4</v>
      </c>
      <c r="AJ629" s="82">
        <v>3</v>
      </c>
      <c r="AK629" s="26"/>
      <c r="AL629" s="24"/>
      <c r="AM629" s="26">
        <v>5</v>
      </c>
      <c r="AN629" s="27"/>
      <c r="AO629" s="27"/>
      <c r="AP629" s="37"/>
      <c r="AQ629" s="27"/>
      <c r="AR629">
        <f t="shared" si="21"/>
        <v>10</v>
      </c>
    </row>
    <row r="630" spans="2:44" x14ac:dyDescent="0.25">
      <c r="B630" t="str">
        <f t="shared" si="20"/>
        <v>SCO - Bouka Moutou</v>
      </c>
      <c r="C630" t="s">
        <v>1034</v>
      </c>
      <c r="D630" t="s">
        <v>608</v>
      </c>
      <c r="E630" s="65" t="s">
        <v>1018</v>
      </c>
      <c r="F630" s="31">
        <v>5</v>
      </c>
      <c r="G630" s="99">
        <v>11</v>
      </c>
      <c r="H630" s="114" t="s">
        <v>1064</v>
      </c>
      <c r="I630" s="34">
        <f>AVERAGE(Q630,W630,Z630,AG630,AJ630,AL630)</f>
        <v>4.833333333333333</v>
      </c>
      <c r="J630" s="179"/>
      <c r="K630" s="24"/>
      <c r="L630" s="37"/>
      <c r="M630" s="24"/>
      <c r="N630" s="37"/>
      <c r="O630" s="37"/>
      <c r="P630" s="26" t="s">
        <v>611</v>
      </c>
      <c r="Q630" s="37">
        <v>5</v>
      </c>
      <c r="R630" s="24"/>
      <c r="S630" s="76" t="s">
        <v>611</v>
      </c>
      <c r="T630" s="76" t="s">
        <v>611</v>
      </c>
      <c r="U630" s="24"/>
      <c r="V630" s="37"/>
      <c r="W630" s="37">
        <v>4</v>
      </c>
      <c r="X630" s="24"/>
      <c r="Y630" s="76" t="s">
        <v>611</v>
      </c>
      <c r="Z630" s="37">
        <v>5</v>
      </c>
      <c r="AA630" s="76" t="s">
        <v>611</v>
      </c>
      <c r="AB630" s="24"/>
      <c r="AC630" s="24"/>
      <c r="AD630" s="37"/>
      <c r="AE630" s="24"/>
      <c r="AF630" s="24"/>
      <c r="AG630" s="22">
        <v>6</v>
      </c>
      <c r="AH630" s="26" t="s">
        <v>611</v>
      </c>
      <c r="AI630" s="76" t="s">
        <v>611</v>
      </c>
      <c r="AJ630" s="77">
        <v>5</v>
      </c>
      <c r="AK630" s="26" t="s">
        <v>611</v>
      </c>
      <c r="AL630" s="24">
        <v>4</v>
      </c>
      <c r="AM630" s="26" t="s">
        <v>611</v>
      </c>
      <c r="AN630" s="140" t="s">
        <v>611</v>
      </c>
      <c r="AO630" s="27"/>
      <c r="AP630" s="37"/>
      <c r="AQ630" s="27"/>
      <c r="AR630">
        <f t="shared" si="21"/>
        <v>16</v>
      </c>
    </row>
    <row r="631" spans="2:44" x14ac:dyDescent="0.25">
      <c r="B631" t="str">
        <f t="shared" si="20"/>
        <v>SCO - Diallo</v>
      </c>
      <c r="C631" t="s">
        <v>1034</v>
      </c>
      <c r="D631" t="s">
        <v>608</v>
      </c>
      <c r="E631" s="65" t="s">
        <v>847</v>
      </c>
      <c r="F631" s="31"/>
      <c r="G631" s="99"/>
      <c r="H631" s="73"/>
      <c r="I631" s="34"/>
      <c r="J631" s="179"/>
      <c r="K631" s="24"/>
      <c r="L631" s="37"/>
      <c r="M631" s="24"/>
      <c r="N631" s="37"/>
      <c r="O631" s="77"/>
      <c r="P631" s="27"/>
      <c r="Q631" s="37"/>
      <c r="R631" s="24"/>
      <c r="S631" s="23"/>
      <c r="T631" s="24"/>
      <c r="U631" s="22"/>
      <c r="V631" s="24"/>
      <c r="W631" s="37"/>
      <c r="X631" s="24"/>
      <c r="Y631" s="24"/>
      <c r="Z631" s="37"/>
      <c r="AA631" s="24"/>
      <c r="AB631" s="24"/>
      <c r="AC631" s="24"/>
      <c r="AD631" s="37"/>
      <c r="AE631" s="24"/>
      <c r="AF631" s="24"/>
      <c r="AG631" s="24"/>
      <c r="AH631" s="27"/>
      <c r="AI631" s="24"/>
      <c r="AJ631" s="24"/>
      <c r="AK631" s="27"/>
      <c r="AL631" s="24"/>
      <c r="AM631" s="26"/>
      <c r="AN631" s="27"/>
      <c r="AO631" s="27"/>
      <c r="AP631" s="37"/>
      <c r="AQ631" s="27"/>
      <c r="AR631">
        <f t="shared" si="21"/>
        <v>0</v>
      </c>
    </row>
    <row r="632" spans="2:44" x14ac:dyDescent="0.25">
      <c r="B632" t="str">
        <f t="shared" si="20"/>
        <v>SMC - Adéoti</v>
      </c>
      <c r="C632" t="s">
        <v>978</v>
      </c>
      <c r="D632" s="30" t="s">
        <v>608</v>
      </c>
      <c r="E632" s="155" t="s">
        <v>968</v>
      </c>
      <c r="F632" s="31">
        <v>14</v>
      </c>
      <c r="G632" s="99">
        <v>13</v>
      </c>
      <c r="H632" s="73"/>
      <c r="I632" s="34">
        <f>AVERAGE(K632,M632,J632,N632,O632,P632,S632,U632,Z632,AF632,AG632,AH632,AK632,AL632,AM632)</f>
        <v>4.5333333333333332</v>
      </c>
      <c r="J632" s="179">
        <v>5</v>
      </c>
      <c r="K632" s="24">
        <v>5</v>
      </c>
      <c r="L632" s="37" t="s">
        <v>611</v>
      </c>
      <c r="M632" s="24">
        <v>4</v>
      </c>
      <c r="N632" s="37">
        <v>4</v>
      </c>
      <c r="O632" s="37">
        <v>4</v>
      </c>
      <c r="P632" s="27">
        <v>5</v>
      </c>
      <c r="Q632" s="37" t="s">
        <v>611</v>
      </c>
      <c r="R632" s="37" t="s">
        <v>611</v>
      </c>
      <c r="S632" s="23">
        <v>5</v>
      </c>
      <c r="T632" s="37" t="s">
        <v>611</v>
      </c>
      <c r="U632" s="82">
        <v>3</v>
      </c>
      <c r="V632" s="24"/>
      <c r="W632" s="37" t="s">
        <v>611</v>
      </c>
      <c r="X632" s="37" t="s">
        <v>611</v>
      </c>
      <c r="Y632" s="24"/>
      <c r="Z632" s="37">
        <v>4</v>
      </c>
      <c r="AA632" s="37" t="s">
        <v>611</v>
      </c>
      <c r="AB632" s="37" t="s">
        <v>611</v>
      </c>
      <c r="AC632" s="37" t="s">
        <v>611</v>
      </c>
      <c r="AD632" s="37"/>
      <c r="AE632" s="37"/>
      <c r="AF632" s="37">
        <v>6</v>
      </c>
      <c r="AG632" s="37">
        <v>5</v>
      </c>
      <c r="AH632" s="26">
        <v>4</v>
      </c>
      <c r="AI632" s="37" t="s">
        <v>611</v>
      </c>
      <c r="AJ632" s="37" t="s">
        <v>611</v>
      </c>
      <c r="AK632" s="26">
        <v>5</v>
      </c>
      <c r="AL632" s="24">
        <v>5</v>
      </c>
      <c r="AM632" s="26">
        <v>4</v>
      </c>
      <c r="AN632" s="26" t="s">
        <v>611</v>
      </c>
      <c r="AO632" s="27"/>
      <c r="AP632" s="37"/>
      <c r="AQ632" s="27"/>
      <c r="AR632">
        <f t="shared" si="21"/>
        <v>27</v>
      </c>
    </row>
    <row r="633" spans="2:44" x14ac:dyDescent="0.25">
      <c r="B633" t="str">
        <f t="shared" si="20"/>
        <v>SCO - K. Traoré</v>
      </c>
      <c r="C633" t="s">
        <v>1034</v>
      </c>
      <c r="D633" s="64" t="s">
        <v>608</v>
      </c>
      <c r="E633" s="57" t="s">
        <v>1019</v>
      </c>
      <c r="F633" s="52"/>
      <c r="G633" s="63"/>
      <c r="H633" s="146"/>
      <c r="I633" s="80"/>
      <c r="J633" s="265"/>
      <c r="K633" s="53"/>
      <c r="L633" s="61"/>
      <c r="M633" s="53"/>
      <c r="N633" s="61"/>
      <c r="O633" s="61"/>
      <c r="P633" s="63"/>
      <c r="Q633" s="61"/>
      <c r="R633" s="53"/>
      <c r="S633" s="59"/>
      <c r="T633" s="53"/>
      <c r="U633" s="53"/>
      <c r="V633" s="53"/>
      <c r="W633" s="61"/>
      <c r="X633" s="53"/>
      <c r="Y633" s="53"/>
      <c r="Z633" s="61"/>
      <c r="AA633" s="53"/>
      <c r="AB633" s="81"/>
      <c r="AC633" s="53"/>
      <c r="AD633" s="61"/>
      <c r="AE633" s="59"/>
      <c r="AF633" s="59"/>
      <c r="AG633" s="59"/>
      <c r="AH633" s="63"/>
      <c r="AI633" s="59"/>
      <c r="AJ633" s="53"/>
      <c r="AK633" s="63"/>
      <c r="AL633" s="53"/>
      <c r="AM633" s="62"/>
      <c r="AN633" s="63"/>
      <c r="AO633" s="63"/>
      <c r="AP633" s="61"/>
      <c r="AQ633" s="63"/>
      <c r="AR633">
        <f t="shared" si="21"/>
        <v>0</v>
      </c>
    </row>
    <row r="634" spans="2:44" x14ac:dyDescent="0.25">
      <c r="B634" t="str">
        <f t="shared" si="20"/>
        <v>SMC - Appiah</v>
      </c>
      <c r="C634" t="s">
        <v>978</v>
      </c>
      <c r="D634" s="30" t="s">
        <v>608</v>
      </c>
      <c r="E634" s="155" t="s">
        <v>496</v>
      </c>
      <c r="F634" s="31">
        <v>31</v>
      </c>
      <c r="G634" s="99"/>
      <c r="H634" s="73"/>
      <c r="I634" s="34">
        <f>AVERAGE(AB634,Y634,X634,W634,K634,L634,M634,J634,N634,O634,P634,Q634,R634,S634,T634,U634,V634,Z634,AA634,AC634,AD634,AE634,AF634,AG634,AH634,AI634,AJ634,AK634,AL634,AM634,AN634)</f>
        <v>4.741935483870968</v>
      </c>
      <c r="J634" s="179">
        <v>5</v>
      </c>
      <c r="K634" s="24">
        <v>5</v>
      </c>
      <c r="L634" s="32">
        <v>5</v>
      </c>
      <c r="M634" s="82">
        <v>3</v>
      </c>
      <c r="N634" s="37">
        <v>4</v>
      </c>
      <c r="O634" s="37">
        <v>5</v>
      </c>
      <c r="P634" s="27">
        <v>4</v>
      </c>
      <c r="Q634" s="84">
        <v>7</v>
      </c>
      <c r="R634" s="24">
        <v>5</v>
      </c>
      <c r="S634" s="23">
        <v>5</v>
      </c>
      <c r="T634" s="24">
        <v>5</v>
      </c>
      <c r="U634" s="24">
        <v>5</v>
      </c>
      <c r="V634" s="37">
        <v>5</v>
      </c>
      <c r="W634" s="37">
        <v>5</v>
      </c>
      <c r="X634" s="24">
        <v>5</v>
      </c>
      <c r="Y634" s="24">
        <v>5</v>
      </c>
      <c r="Z634" s="37">
        <v>5</v>
      </c>
      <c r="AA634" s="24">
        <v>5</v>
      </c>
      <c r="AB634" s="24">
        <v>4</v>
      </c>
      <c r="AC634" s="24">
        <v>4</v>
      </c>
      <c r="AD634" s="37">
        <v>4</v>
      </c>
      <c r="AE634" s="24">
        <v>5</v>
      </c>
      <c r="AF634" s="24">
        <v>5</v>
      </c>
      <c r="AG634" s="24">
        <v>4</v>
      </c>
      <c r="AH634" s="27">
        <v>4</v>
      </c>
      <c r="AI634" s="82">
        <v>3</v>
      </c>
      <c r="AJ634" s="24">
        <v>6</v>
      </c>
      <c r="AK634" s="27">
        <v>5</v>
      </c>
      <c r="AL634" s="24">
        <v>5</v>
      </c>
      <c r="AM634" s="26">
        <v>5</v>
      </c>
      <c r="AN634" s="27">
        <v>5</v>
      </c>
      <c r="AO634" s="27"/>
      <c r="AP634" s="37"/>
      <c r="AQ634" s="27"/>
      <c r="AR634">
        <f t="shared" si="21"/>
        <v>31</v>
      </c>
    </row>
    <row r="635" spans="2:44" x14ac:dyDescent="0.25">
      <c r="B635" t="str">
        <f t="shared" si="20"/>
        <v>SMC - Seube</v>
      </c>
      <c r="C635" t="s">
        <v>978</v>
      </c>
      <c r="D635" s="30" t="s">
        <v>622</v>
      </c>
      <c r="E635" s="155" t="s">
        <v>582</v>
      </c>
      <c r="F635" s="31">
        <v>20</v>
      </c>
      <c r="G635" s="99">
        <v>7</v>
      </c>
      <c r="H635" s="73"/>
      <c r="I635" s="34">
        <f>AVERAGE(AB635,L635,N635,O635,Q635,R635,S635,T635,V635,W635,X635,Y635,Z635,AA635,AC635,AD635,AG635,AI635,AJ635,AL635,AN635)</f>
        <v>4.7619047619047619</v>
      </c>
      <c r="J635" s="179" t="s">
        <v>611</v>
      </c>
      <c r="K635" s="37" t="s">
        <v>611</v>
      </c>
      <c r="L635" s="37">
        <v>4</v>
      </c>
      <c r="M635" s="37" t="s">
        <v>611</v>
      </c>
      <c r="N635" s="37">
        <v>5</v>
      </c>
      <c r="O635" s="37">
        <v>5</v>
      </c>
      <c r="P635" s="27"/>
      <c r="Q635" s="37">
        <v>5</v>
      </c>
      <c r="R635" s="24">
        <v>5</v>
      </c>
      <c r="S635" s="23">
        <v>5</v>
      </c>
      <c r="T635" s="24">
        <v>4</v>
      </c>
      <c r="U635" s="24"/>
      <c r="V635" s="24">
        <v>6</v>
      </c>
      <c r="W635" s="84">
        <v>7</v>
      </c>
      <c r="X635" s="24">
        <v>4</v>
      </c>
      <c r="Y635" s="24">
        <v>4</v>
      </c>
      <c r="Z635" s="37">
        <v>4</v>
      </c>
      <c r="AA635" s="24">
        <v>5</v>
      </c>
      <c r="AB635" s="82">
        <v>3</v>
      </c>
      <c r="AC635" s="24">
        <v>5</v>
      </c>
      <c r="AD635" s="37">
        <v>4</v>
      </c>
      <c r="AE635" s="37" t="s">
        <v>611</v>
      </c>
      <c r="AF635" s="37" t="s">
        <v>611</v>
      </c>
      <c r="AG635" s="24">
        <v>5</v>
      </c>
      <c r="AH635" s="26" t="s">
        <v>611</v>
      </c>
      <c r="AI635" s="82">
        <v>3</v>
      </c>
      <c r="AJ635" s="23">
        <v>6</v>
      </c>
      <c r="AK635" s="27"/>
      <c r="AL635" s="24">
        <v>5</v>
      </c>
      <c r="AM635" s="26"/>
      <c r="AN635" s="27">
        <v>6</v>
      </c>
      <c r="AO635" s="27"/>
      <c r="AP635" s="37"/>
      <c r="AQ635" s="27"/>
      <c r="AR635">
        <f t="shared" si="21"/>
        <v>27</v>
      </c>
    </row>
    <row r="636" spans="2:44" x14ac:dyDescent="0.25">
      <c r="B636" t="str">
        <f t="shared" si="20"/>
        <v>ESTAC - Karaboué</v>
      </c>
      <c r="C636" t="s">
        <v>1002</v>
      </c>
      <c r="D636" s="30" t="s">
        <v>622</v>
      </c>
      <c r="E636" s="155" t="s">
        <v>987</v>
      </c>
      <c r="F636" s="31">
        <v>20</v>
      </c>
      <c r="G636" s="99">
        <v>6</v>
      </c>
      <c r="H636" s="73"/>
      <c r="I636" s="34">
        <f>AVERAGE(K636,L636,M636,N636,J636,O636,P636,Q636,R636,S636,U636,V636,Y636,AC636,AD636,AE636,AF636,AG636,AH636,AI636,AJ636,AK636)</f>
        <v>4.7272727272727275</v>
      </c>
      <c r="J636" s="87">
        <v>6</v>
      </c>
      <c r="K636" s="66">
        <v>7</v>
      </c>
      <c r="L636" s="76">
        <v>5</v>
      </c>
      <c r="M636" s="24">
        <v>4</v>
      </c>
      <c r="N636" s="37">
        <v>5</v>
      </c>
      <c r="O636" s="37">
        <v>4</v>
      </c>
      <c r="P636" s="27">
        <v>5</v>
      </c>
      <c r="Q636" s="37">
        <v>5</v>
      </c>
      <c r="R636" s="37">
        <v>5</v>
      </c>
      <c r="S636" s="23">
        <v>4</v>
      </c>
      <c r="T636" s="76" t="s">
        <v>611</v>
      </c>
      <c r="U636" s="24">
        <v>5</v>
      </c>
      <c r="V636" s="24">
        <v>5</v>
      </c>
      <c r="W636" s="37" t="s">
        <v>611</v>
      </c>
      <c r="X636" s="24"/>
      <c r="Y636" s="24">
        <v>4</v>
      </c>
      <c r="Z636" s="37"/>
      <c r="AA636" s="37"/>
      <c r="AB636" s="76" t="s">
        <v>611</v>
      </c>
      <c r="AC636" s="37">
        <v>4</v>
      </c>
      <c r="AD636" s="37">
        <v>5</v>
      </c>
      <c r="AE636" s="24">
        <v>5</v>
      </c>
      <c r="AF636" s="24">
        <v>5</v>
      </c>
      <c r="AG636" s="82">
        <v>3</v>
      </c>
      <c r="AH636" s="143">
        <v>5</v>
      </c>
      <c r="AI636" s="23">
        <v>4</v>
      </c>
      <c r="AJ636" s="24">
        <v>4</v>
      </c>
      <c r="AK636" s="27">
        <v>5</v>
      </c>
      <c r="AL636" s="22"/>
      <c r="AM636" s="26" t="s">
        <v>611</v>
      </c>
      <c r="AN636" s="27"/>
      <c r="AO636" s="27"/>
      <c r="AP636" s="37"/>
      <c r="AQ636" s="27"/>
      <c r="AR636">
        <f t="shared" si="21"/>
        <v>26</v>
      </c>
    </row>
    <row r="637" spans="2:44" x14ac:dyDescent="0.25">
      <c r="B637" t="str">
        <f t="shared" si="20"/>
        <v>SCO - N'Gosso</v>
      </c>
      <c r="C637" t="s">
        <v>1034</v>
      </c>
      <c r="D637" t="s">
        <v>608</v>
      </c>
      <c r="E637" s="65" t="s">
        <v>1026</v>
      </c>
      <c r="F637" s="31">
        <v>1</v>
      </c>
      <c r="G637" s="99">
        <v>2</v>
      </c>
      <c r="H637" s="73"/>
      <c r="I637" s="34">
        <f>AVERAGE(L637,M637)</f>
        <v>4.5</v>
      </c>
      <c r="J637" s="179"/>
      <c r="K637" s="24"/>
      <c r="L637" s="37">
        <v>4</v>
      </c>
      <c r="M637" s="24">
        <v>5</v>
      </c>
      <c r="N637" s="37"/>
      <c r="O637" s="37"/>
      <c r="P637" s="27"/>
      <c r="Q637" s="37"/>
      <c r="R637" s="24"/>
      <c r="S637" s="76" t="s">
        <v>611</v>
      </c>
      <c r="T637" s="24"/>
      <c r="U637" s="24"/>
      <c r="V637" s="24"/>
      <c r="W637" s="37"/>
      <c r="X637" s="24"/>
      <c r="Y637" s="24"/>
      <c r="Z637" s="37"/>
      <c r="AA637" s="24"/>
      <c r="AB637" s="24"/>
      <c r="AC637" s="24"/>
      <c r="AD637" s="37"/>
      <c r="AE637" s="24"/>
      <c r="AF637" s="24"/>
      <c r="AG637" s="24"/>
      <c r="AH637" s="27"/>
      <c r="AI637" s="24"/>
      <c r="AJ637" s="24"/>
      <c r="AK637" s="27"/>
      <c r="AL637" s="24"/>
      <c r="AM637" s="26"/>
      <c r="AN637" s="27"/>
      <c r="AO637" s="27"/>
      <c r="AP637" s="37"/>
      <c r="AQ637" s="27"/>
      <c r="AR637">
        <f t="shared" si="21"/>
        <v>3</v>
      </c>
    </row>
    <row r="638" spans="2:44" x14ac:dyDescent="0.25">
      <c r="B638" t="str">
        <f t="shared" si="20"/>
        <v>SCO - Yahia</v>
      </c>
      <c r="C638" t="s">
        <v>1034</v>
      </c>
      <c r="D638" s="232" t="s">
        <v>608</v>
      </c>
      <c r="E638" s="232" t="s">
        <v>505</v>
      </c>
      <c r="F638" s="41"/>
      <c r="G638" s="233"/>
      <c r="H638" s="268"/>
      <c r="I638" s="34"/>
      <c r="J638" s="269"/>
      <c r="K638" s="46"/>
      <c r="L638" s="55"/>
      <c r="M638" s="46"/>
      <c r="N638" s="55"/>
      <c r="O638" s="55"/>
      <c r="P638" s="47"/>
      <c r="Q638" s="55"/>
      <c r="R638" s="46"/>
      <c r="S638" s="236"/>
      <c r="T638" s="46"/>
      <c r="U638" s="46"/>
      <c r="V638" s="46"/>
      <c r="W638" s="55"/>
      <c r="X638" s="46"/>
      <c r="Y638" s="46"/>
      <c r="Z638" s="55"/>
      <c r="AA638" s="46"/>
      <c r="AB638" s="46"/>
      <c r="AC638" s="46"/>
      <c r="AD638" s="55"/>
      <c r="AE638" s="46"/>
      <c r="AF638" s="46"/>
      <c r="AG638" s="46"/>
      <c r="AH638" s="47"/>
      <c r="AI638" s="46"/>
      <c r="AJ638" s="46"/>
      <c r="AK638" s="47"/>
      <c r="AL638" s="46"/>
      <c r="AM638" s="56"/>
      <c r="AN638" s="47"/>
      <c r="AO638" s="47"/>
      <c r="AP638" s="55"/>
      <c r="AQ638" s="47"/>
      <c r="AR638">
        <f t="shared" si="21"/>
        <v>0</v>
      </c>
    </row>
    <row r="639" spans="2:44" x14ac:dyDescent="0.25">
      <c r="B639" t="str">
        <f t="shared" si="20"/>
        <v>SCO - Auriac</v>
      </c>
      <c r="C639" t="s">
        <v>1034</v>
      </c>
      <c r="D639" t="s">
        <v>622</v>
      </c>
      <c r="E639" s="65" t="s">
        <v>1021</v>
      </c>
      <c r="F639" s="31">
        <v>3</v>
      </c>
      <c r="G639" s="99">
        <v>11</v>
      </c>
      <c r="H639" s="73"/>
      <c r="I639" s="126">
        <f>AVERAGE(P639,S639,V639,Z639)</f>
        <v>4.75</v>
      </c>
      <c r="J639" s="87"/>
      <c r="K639" s="24"/>
      <c r="L639" s="77"/>
      <c r="M639" s="24"/>
      <c r="N639" s="37" t="s">
        <v>611</v>
      </c>
      <c r="O639" s="37" t="s">
        <v>611</v>
      </c>
      <c r="P639" s="27">
        <v>5</v>
      </c>
      <c r="Q639" s="37" t="s">
        <v>611</v>
      </c>
      <c r="R639" s="37" t="s">
        <v>611</v>
      </c>
      <c r="S639" s="23">
        <v>4</v>
      </c>
      <c r="T639" s="24"/>
      <c r="U639" s="24"/>
      <c r="V639" s="24">
        <v>5</v>
      </c>
      <c r="W639" s="37"/>
      <c r="X639" s="37" t="s">
        <v>611</v>
      </c>
      <c r="Y639" s="24"/>
      <c r="Z639" s="37">
        <v>5</v>
      </c>
      <c r="AA639" s="37"/>
      <c r="AB639" s="37" t="s">
        <v>611</v>
      </c>
      <c r="AC639" s="24"/>
      <c r="AD639" s="37" t="s">
        <v>611</v>
      </c>
      <c r="AE639" s="24"/>
      <c r="AF639" s="24"/>
      <c r="AG639" s="24"/>
      <c r="AH639" s="28"/>
      <c r="AI639" s="22"/>
      <c r="AJ639" s="24"/>
      <c r="AK639" s="27"/>
      <c r="AL639" s="76" t="s">
        <v>611</v>
      </c>
      <c r="AM639" s="26" t="s">
        <v>611</v>
      </c>
      <c r="AN639" s="140" t="s">
        <v>611</v>
      </c>
      <c r="AO639" s="27"/>
      <c r="AP639" s="37"/>
      <c r="AQ639" s="27"/>
      <c r="AR639">
        <f t="shared" si="21"/>
        <v>14</v>
      </c>
    </row>
    <row r="640" spans="2:44" x14ac:dyDescent="0.25">
      <c r="B640" t="str">
        <f t="shared" si="20"/>
        <v>SCO - Camara</v>
      </c>
      <c r="C640" t="s">
        <v>1034</v>
      </c>
      <c r="D640" s="64" t="s">
        <v>622</v>
      </c>
      <c r="E640" s="57" t="s">
        <v>130</v>
      </c>
      <c r="F640" s="52">
        <v>17</v>
      </c>
      <c r="G640" s="63"/>
      <c r="H640" s="146">
        <v>2</v>
      </c>
      <c r="I640" s="80">
        <f>AVERAGE(AA640,K640,L640,M640,J640,N640,O640,P640,Q640,R640,S640,T640,U640,V640,X640,Y640,Z640)</f>
        <v>4.6470588235294121</v>
      </c>
      <c r="J640" s="265">
        <v>7</v>
      </c>
      <c r="K640" s="53">
        <v>5</v>
      </c>
      <c r="L640" s="61">
        <v>5</v>
      </c>
      <c r="M640" s="53">
        <v>4</v>
      </c>
      <c r="N640" s="61">
        <v>4</v>
      </c>
      <c r="O640" s="61">
        <v>5</v>
      </c>
      <c r="P640" s="63">
        <v>4</v>
      </c>
      <c r="Q640" s="61">
        <v>4</v>
      </c>
      <c r="R640" s="53">
        <v>4</v>
      </c>
      <c r="S640" s="59">
        <v>6</v>
      </c>
      <c r="T640" s="53">
        <v>4</v>
      </c>
      <c r="U640" s="53">
        <v>4</v>
      </c>
      <c r="V640" s="53">
        <v>4</v>
      </c>
      <c r="W640" s="61"/>
      <c r="X640" s="53">
        <v>5</v>
      </c>
      <c r="Y640" s="53">
        <v>5</v>
      </c>
      <c r="Z640" s="61">
        <v>5</v>
      </c>
      <c r="AA640" s="53">
        <v>4</v>
      </c>
      <c r="AB640" s="81"/>
      <c r="AC640" s="53"/>
      <c r="AD640" s="61"/>
      <c r="AE640" s="59"/>
      <c r="AF640" s="59"/>
      <c r="AG640" s="59"/>
      <c r="AH640" s="63"/>
      <c r="AI640" s="59"/>
      <c r="AJ640" s="53"/>
      <c r="AK640" s="63"/>
      <c r="AL640" s="53"/>
      <c r="AM640" s="62"/>
      <c r="AN640" s="63"/>
      <c r="AO640" s="63"/>
      <c r="AP640" s="61"/>
      <c r="AQ640" s="63"/>
      <c r="AR640">
        <f t="shared" si="21"/>
        <v>17</v>
      </c>
    </row>
    <row r="641" spans="2:44" x14ac:dyDescent="0.25">
      <c r="B641" t="str">
        <f t="shared" si="20"/>
        <v>SCO - Diers</v>
      </c>
      <c r="C641" t="s">
        <v>1034</v>
      </c>
      <c r="D641" t="s">
        <v>622</v>
      </c>
      <c r="E641" s="65" t="s">
        <v>1022</v>
      </c>
      <c r="F641" s="31">
        <v>5</v>
      </c>
      <c r="G641" s="99">
        <v>6</v>
      </c>
      <c r="H641" s="73"/>
      <c r="I641" s="34">
        <f>AVERAGE(AC641,AD641,AI641,AJ641,AL641)</f>
        <v>5.2</v>
      </c>
      <c r="J641" s="181"/>
      <c r="K641" s="140"/>
      <c r="L641" s="94"/>
      <c r="M641" s="24"/>
      <c r="N641" s="37"/>
      <c r="O641" s="37"/>
      <c r="P641" s="26" t="s">
        <v>611</v>
      </c>
      <c r="Q641" s="37" t="s">
        <v>611</v>
      </c>
      <c r="R641" s="24"/>
      <c r="S641" s="23"/>
      <c r="T641" s="24"/>
      <c r="U641" s="37" t="s">
        <v>611</v>
      </c>
      <c r="V641" s="24"/>
      <c r="W641" s="37" t="s">
        <v>611</v>
      </c>
      <c r="X641" s="24"/>
      <c r="Y641" s="76" t="s">
        <v>611</v>
      </c>
      <c r="Z641" s="37"/>
      <c r="AA641" s="24"/>
      <c r="AB641" s="24"/>
      <c r="AC641" s="24">
        <v>6</v>
      </c>
      <c r="AD641" s="37">
        <v>5</v>
      </c>
      <c r="AE641" s="37" t="s">
        <v>611</v>
      </c>
      <c r="AF641" s="24"/>
      <c r="AG641" s="24"/>
      <c r="AH641" s="27"/>
      <c r="AI641" s="24">
        <v>6</v>
      </c>
      <c r="AJ641" s="24">
        <v>5</v>
      </c>
      <c r="AK641" s="27"/>
      <c r="AL641" s="24">
        <v>4</v>
      </c>
      <c r="AM641" s="26"/>
      <c r="AN641" s="27"/>
      <c r="AO641" s="27"/>
      <c r="AP641" s="37"/>
      <c r="AQ641" s="27"/>
      <c r="AR641">
        <f t="shared" si="21"/>
        <v>11</v>
      </c>
    </row>
    <row r="642" spans="2:44" x14ac:dyDescent="0.25">
      <c r="B642" t="str">
        <f t="shared" si="20"/>
        <v>SCO - Eudeline</v>
      </c>
      <c r="C642" t="s">
        <v>1034</v>
      </c>
      <c r="D642" t="s">
        <v>622</v>
      </c>
      <c r="E642" s="155" t="s">
        <v>1023</v>
      </c>
      <c r="F642" s="31"/>
      <c r="G642" s="99"/>
      <c r="H642" s="73"/>
      <c r="I642" s="34"/>
      <c r="J642" s="181"/>
      <c r="K642" s="76"/>
      <c r="L642" s="77"/>
      <c r="M642" s="24"/>
      <c r="N642" s="37"/>
      <c r="O642" s="37"/>
      <c r="P642" s="27"/>
      <c r="Q642" s="37"/>
      <c r="R642" s="24"/>
      <c r="S642" s="23"/>
      <c r="T642" s="24"/>
      <c r="U642" s="24"/>
      <c r="V642" s="24"/>
      <c r="W642" s="37"/>
      <c r="X642" s="24"/>
      <c r="Y642" s="37"/>
      <c r="Z642" s="37"/>
      <c r="AA642" s="24"/>
      <c r="AB642" s="24"/>
      <c r="AC642" s="24"/>
      <c r="AD642" s="37"/>
      <c r="AE642" s="24"/>
      <c r="AF642" s="24"/>
      <c r="AG642" s="24"/>
      <c r="AH642" s="27"/>
      <c r="AI642" s="24"/>
      <c r="AJ642" s="24"/>
      <c r="AK642" s="27"/>
      <c r="AL642" s="24"/>
      <c r="AM642" s="26"/>
      <c r="AN642" s="27"/>
      <c r="AO642" s="27"/>
      <c r="AP642" s="37"/>
      <c r="AQ642" s="27"/>
      <c r="AR642">
        <f t="shared" si="21"/>
        <v>0</v>
      </c>
    </row>
    <row r="643" spans="2:44" x14ac:dyDescent="0.25">
      <c r="B643" t="str">
        <f t="shared" si="20"/>
        <v>GFCA - Maury</v>
      </c>
      <c r="C643" t="s">
        <v>1015</v>
      </c>
      <c r="D643" s="30" t="s">
        <v>605</v>
      </c>
      <c r="E643" s="182" t="s">
        <v>211</v>
      </c>
      <c r="F643" s="31">
        <v>27</v>
      </c>
      <c r="G643" s="99"/>
      <c r="H643" s="73"/>
      <c r="I643" s="34">
        <f>AVERAGE(K643,L643,M643,N643,O643,P643,Q643,R643,S643,T643,U643,V643,W643,AA643,AB643,AC643,AD643,AE643,AF643,AG643,AH643,AI643,AJ643,AL643,AK643,AM643,AN643)</f>
        <v>5.1481481481481479</v>
      </c>
      <c r="J643" s="181"/>
      <c r="K643" s="24">
        <v>5</v>
      </c>
      <c r="L643" s="37">
        <v>5</v>
      </c>
      <c r="M643" s="24">
        <v>5</v>
      </c>
      <c r="N643" s="84">
        <v>7</v>
      </c>
      <c r="O643" s="37">
        <v>4</v>
      </c>
      <c r="P643" s="27">
        <v>6</v>
      </c>
      <c r="Q643" s="84">
        <v>7</v>
      </c>
      <c r="R643" s="24">
        <v>5</v>
      </c>
      <c r="S643" s="23">
        <v>5</v>
      </c>
      <c r="T643" s="24">
        <v>6</v>
      </c>
      <c r="U643" s="22">
        <v>6</v>
      </c>
      <c r="V643" s="24">
        <v>5</v>
      </c>
      <c r="W643" s="37">
        <v>5</v>
      </c>
      <c r="X643" s="24"/>
      <c r="Y643" s="32"/>
      <c r="Z643" s="37"/>
      <c r="AA643" s="24">
        <v>5</v>
      </c>
      <c r="AB643" s="24">
        <v>5</v>
      </c>
      <c r="AC643" s="24">
        <v>4</v>
      </c>
      <c r="AD643" s="37">
        <v>4</v>
      </c>
      <c r="AE643" s="24">
        <v>6</v>
      </c>
      <c r="AF643" s="24">
        <v>4</v>
      </c>
      <c r="AG643" s="24">
        <v>5</v>
      </c>
      <c r="AH643" s="28">
        <v>5</v>
      </c>
      <c r="AI643" s="82">
        <v>2</v>
      </c>
      <c r="AJ643" s="24">
        <v>6</v>
      </c>
      <c r="AK643" s="99">
        <v>6</v>
      </c>
      <c r="AL643" s="24">
        <v>5</v>
      </c>
      <c r="AM643" s="130">
        <v>7</v>
      </c>
      <c r="AN643" s="27">
        <v>4</v>
      </c>
      <c r="AO643" s="27"/>
      <c r="AP643" s="37"/>
      <c r="AQ643" s="27"/>
      <c r="AR643">
        <f t="shared" si="21"/>
        <v>27</v>
      </c>
    </row>
    <row r="644" spans="2:44" x14ac:dyDescent="0.25">
      <c r="B644" t="str">
        <f t="shared" si="20"/>
        <v>SCO - Pessalli</v>
      </c>
      <c r="C644" t="s">
        <v>1034</v>
      </c>
      <c r="D644" s="64" t="s">
        <v>622</v>
      </c>
      <c r="E644" s="57" t="s">
        <v>1025</v>
      </c>
      <c r="F644" s="52"/>
      <c r="G644" s="63"/>
      <c r="H644" s="146"/>
      <c r="I644" s="80"/>
      <c r="J644" s="265"/>
      <c r="K644" s="53"/>
      <c r="L644" s="61"/>
      <c r="M644" s="53"/>
      <c r="N644" s="61"/>
      <c r="O644" s="61"/>
      <c r="P644" s="63"/>
      <c r="Q644" s="61"/>
      <c r="R644" s="53"/>
      <c r="S644" s="59"/>
      <c r="T644" s="53"/>
      <c r="U644" s="53"/>
      <c r="V644" s="53"/>
      <c r="W644" s="61"/>
      <c r="X644" s="53"/>
      <c r="Y644" s="53"/>
      <c r="Z644" s="61"/>
      <c r="AA644" s="53"/>
      <c r="AB644" s="81"/>
      <c r="AC644" s="53"/>
      <c r="AD644" s="61"/>
      <c r="AE644" s="59"/>
      <c r="AF644" s="59"/>
      <c r="AG644" s="59"/>
      <c r="AH644" s="63"/>
      <c r="AI644" s="59"/>
      <c r="AJ644" s="53"/>
      <c r="AK644" s="63"/>
      <c r="AL644" s="53"/>
      <c r="AM644" s="62"/>
      <c r="AN644" s="63"/>
      <c r="AO644" s="63"/>
      <c r="AP644" s="61"/>
      <c r="AQ644" s="63"/>
      <c r="AR644">
        <f t="shared" si="21"/>
        <v>0</v>
      </c>
    </row>
    <row r="645" spans="2:44" x14ac:dyDescent="0.25">
      <c r="B645" t="str">
        <f t="shared" si="20"/>
        <v>SCO - Capelle</v>
      </c>
      <c r="C645" t="s">
        <v>1034</v>
      </c>
      <c r="D645" t="s">
        <v>622</v>
      </c>
      <c r="E645" s="65" t="s">
        <v>1027</v>
      </c>
      <c r="F645" s="31">
        <v>10</v>
      </c>
      <c r="G645" s="99">
        <v>11</v>
      </c>
      <c r="H645" s="73">
        <v>4</v>
      </c>
      <c r="I645" s="34">
        <f>AVERAGE(P645,AC645,AD645,AE645,AF645,AG645,AJ645,AM645,AN645)</f>
        <v>5.2222222222222223</v>
      </c>
      <c r="J645" s="179" t="s">
        <v>611</v>
      </c>
      <c r="K645" s="24"/>
      <c r="L645" s="37"/>
      <c r="M645" s="37" t="s">
        <v>611</v>
      </c>
      <c r="N645" s="37" t="s">
        <v>611</v>
      </c>
      <c r="O645" s="37"/>
      <c r="P645" s="27">
        <v>4</v>
      </c>
      <c r="Q645" s="37"/>
      <c r="R645" s="37" t="s">
        <v>611</v>
      </c>
      <c r="S645" s="23"/>
      <c r="T645" s="76" t="s">
        <v>611</v>
      </c>
      <c r="U645" s="37" t="s">
        <v>611</v>
      </c>
      <c r="V645" s="24"/>
      <c r="W645" s="37" t="s">
        <v>611</v>
      </c>
      <c r="X645" s="37" t="s">
        <v>611</v>
      </c>
      <c r="Y645" s="24"/>
      <c r="Z645" s="37" t="s">
        <v>611</v>
      </c>
      <c r="AA645" s="76" t="s">
        <v>611</v>
      </c>
      <c r="AB645" s="37" t="s">
        <v>611</v>
      </c>
      <c r="AC645" s="25">
        <v>7</v>
      </c>
      <c r="AD645" s="77">
        <v>6</v>
      </c>
      <c r="AE645" s="22">
        <v>6</v>
      </c>
      <c r="AF645" s="24">
        <v>6</v>
      </c>
      <c r="AG645" s="24">
        <v>4</v>
      </c>
      <c r="AH645" s="27"/>
      <c r="AI645" s="24"/>
      <c r="AJ645" s="24">
        <v>4</v>
      </c>
      <c r="AK645" s="28" t="s">
        <v>641</v>
      </c>
      <c r="AL645" s="24"/>
      <c r="AM645" s="26">
        <v>4</v>
      </c>
      <c r="AN645" s="27">
        <v>6</v>
      </c>
      <c r="AO645" s="27"/>
      <c r="AP645" s="37"/>
      <c r="AQ645" s="27"/>
      <c r="AR645">
        <f t="shared" si="21"/>
        <v>21</v>
      </c>
    </row>
    <row r="646" spans="2:44" x14ac:dyDescent="0.25">
      <c r="B646" t="str">
        <f t="shared" si="20"/>
        <v>GFCA - Ducourtioux</v>
      </c>
      <c r="C646" t="s">
        <v>1015</v>
      </c>
      <c r="D646" s="30" t="s">
        <v>608</v>
      </c>
      <c r="E646" s="155" t="s">
        <v>1005</v>
      </c>
      <c r="F646" s="31">
        <v>25</v>
      </c>
      <c r="G646" s="99">
        <v>3</v>
      </c>
      <c r="H646" s="73"/>
      <c r="I646" s="34">
        <f>AVERAGE(AC646,AA646,Z646,X646,K646,L646,M646,N646,J646,O646,P646,R646,T646,U646,V646,W646,AB646,AE646,AF646,AG646,AI646,AJ646,AL646,AK646,AM646,AN646)</f>
        <v>4.7692307692307692</v>
      </c>
      <c r="J646" s="179">
        <v>5</v>
      </c>
      <c r="K646" s="76">
        <v>5</v>
      </c>
      <c r="L646" s="76">
        <v>5</v>
      </c>
      <c r="M646" s="24">
        <v>4</v>
      </c>
      <c r="N646" s="37">
        <v>4</v>
      </c>
      <c r="O646" s="37">
        <v>5</v>
      </c>
      <c r="P646" s="27">
        <v>5</v>
      </c>
      <c r="Q646" s="37"/>
      <c r="R646" s="24">
        <v>4</v>
      </c>
      <c r="S646" s="23"/>
      <c r="T646" s="24">
        <v>4</v>
      </c>
      <c r="U646" s="24">
        <v>5</v>
      </c>
      <c r="V646" s="24">
        <v>5</v>
      </c>
      <c r="W646" s="37">
        <v>6</v>
      </c>
      <c r="X646" s="24">
        <v>5</v>
      </c>
      <c r="Y646" s="24"/>
      <c r="Z646" s="37">
        <v>6</v>
      </c>
      <c r="AA646" s="24">
        <v>4</v>
      </c>
      <c r="AB646" s="24">
        <v>5</v>
      </c>
      <c r="AC646" s="24">
        <v>5</v>
      </c>
      <c r="AD646" s="37" t="s">
        <v>611</v>
      </c>
      <c r="AE646" s="23">
        <v>4</v>
      </c>
      <c r="AF646" s="24">
        <v>4</v>
      </c>
      <c r="AG646" s="24">
        <v>4</v>
      </c>
      <c r="AH646" s="140" t="s">
        <v>611</v>
      </c>
      <c r="AI646" s="76">
        <v>4</v>
      </c>
      <c r="AJ646" s="24">
        <v>5</v>
      </c>
      <c r="AK646" s="99">
        <v>5</v>
      </c>
      <c r="AL646" s="24">
        <v>5</v>
      </c>
      <c r="AM646" s="200">
        <v>7</v>
      </c>
      <c r="AN646" s="27">
        <v>4</v>
      </c>
      <c r="AO646" s="27"/>
      <c r="AP646" s="37"/>
      <c r="AQ646" s="27"/>
      <c r="AR646">
        <f t="shared" si="21"/>
        <v>28</v>
      </c>
    </row>
    <row r="647" spans="2:44" x14ac:dyDescent="0.25">
      <c r="B647" t="str">
        <f t="shared" si="20"/>
        <v>GFCA - Le Moigne</v>
      </c>
      <c r="C647" t="s">
        <v>1015</v>
      </c>
      <c r="D647" s="30" t="s">
        <v>622</v>
      </c>
      <c r="E647" s="155" t="s">
        <v>577</v>
      </c>
      <c r="F647" s="31">
        <v>24</v>
      </c>
      <c r="G647" s="99">
        <v>3</v>
      </c>
      <c r="H647" s="73"/>
      <c r="I647" s="34">
        <f>AVERAGE(AC647,AA647,Y647,K647,L647,M647,J647,O647,P647,Q647,S647,V647,W647,X647,AB647,AD647,AE647,AF647,AG647,AH647,AI647,AK647,AM647,AN647)</f>
        <v>4.791666666666667</v>
      </c>
      <c r="J647" s="179">
        <v>5</v>
      </c>
      <c r="K647" s="76">
        <v>5</v>
      </c>
      <c r="L647" s="76">
        <v>4</v>
      </c>
      <c r="M647" s="37">
        <v>5</v>
      </c>
      <c r="N647" s="37"/>
      <c r="O647" s="37">
        <v>4</v>
      </c>
      <c r="P647" s="27">
        <v>5</v>
      </c>
      <c r="Q647" s="37">
        <v>5</v>
      </c>
      <c r="R647" s="24"/>
      <c r="S647" s="23">
        <v>5</v>
      </c>
      <c r="T647" s="37" t="s">
        <v>611</v>
      </c>
      <c r="U647" s="24"/>
      <c r="V647" s="24">
        <v>4</v>
      </c>
      <c r="W647" s="37">
        <v>5</v>
      </c>
      <c r="X647" s="24">
        <v>5</v>
      </c>
      <c r="Y647" s="37">
        <v>5</v>
      </c>
      <c r="Z647" s="37"/>
      <c r="AA647" s="24">
        <v>5</v>
      </c>
      <c r="AB647" s="24">
        <v>6</v>
      </c>
      <c r="AC647" s="24">
        <v>5</v>
      </c>
      <c r="AD647" s="37">
        <v>6</v>
      </c>
      <c r="AE647" s="24">
        <v>6</v>
      </c>
      <c r="AF647" s="82">
        <v>3</v>
      </c>
      <c r="AG647" s="24">
        <v>4</v>
      </c>
      <c r="AH647" s="27">
        <v>4</v>
      </c>
      <c r="AI647" s="24">
        <v>5</v>
      </c>
      <c r="AJ647" s="37" t="s">
        <v>611</v>
      </c>
      <c r="AK647" s="99">
        <v>5</v>
      </c>
      <c r="AL647" s="37" t="s">
        <v>611</v>
      </c>
      <c r="AM647" s="26">
        <v>5</v>
      </c>
      <c r="AN647" s="27">
        <v>4</v>
      </c>
      <c r="AO647" s="27"/>
      <c r="AP647" s="37"/>
      <c r="AQ647" s="27"/>
      <c r="AR647">
        <f t="shared" si="21"/>
        <v>27</v>
      </c>
    </row>
    <row r="648" spans="2:44" x14ac:dyDescent="0.25">
      <c r="B648" t="str">
        <f t="shared" si="20"/>
        <v>SCO - Benrahma</v>
      </c>
      <c r="C648" t="s">
        <v>1034</v>
      </c>
      <c r="D648" s="255" t="s">
        <v>622</v>
      </c>
      <c r="E648" s="155" t="s">
        <v>695</v>
      </c>
      <c r="F648" s="31">
        <v>1</v>
      </c>
      <c r="G648" s="99">
        <v>5</v>
      </c>
      <c r="H648" s="73"/>
      <c r="I648" s="34">
        <f>AVERAGE(AI648,AJ648)</f>
        <v>4</v>
      </c>
      <c r="J648" s="179"/>
      <c r="K648" s="37"/>
      <c r="L648" s="37"/>
      <c r="M648" s="24"/>
      <c r="N648" s="37"/>
      <c r="O648" s="77"/>
      <c r="P648" s="27"/>
      <c r="Q648" s="37"/>
      <c r="R648" s="24"/>
      <c r="S648" s="23"/>
      <c r="T648" s="22"/>
      <c r="U648" s="24"/>
      <c r="V648" s="37"/>
      <c r="W648" s="37"/>
      <c r="X648" s="24"/>
      <c r="Y648" s="24"/>
      <c r="Z648" s="77"/>
      <c r="AA648" s="24"/>
      <c r="AB648" s="37"/>
      <c r="AC648" s="37"/>
      <c r="AD648" s="37"/>
      <c r="AE648" s="76" t="s">
        <v>611</v>
      </c>
      <c r="AF648" s="37" t="s">
        <v>611</v>
      </c>
      <c r="AG648" s="37" t="s">
        <v>611</v>
      </c>
      <c r="AH648" s="140" t="s">
        <v>611</v>
      </c>
      <c r="AI648" s="76">
        <v>4</v>
      </c>
      <c r="AJ648" s="76" t="s">
        <v>645</v>
      </c>
      <c r="AK648" s="27"/>
      <c r="AL648" s="37"/>
      <c r="AM648" s="26"/>
      <c r="AN648" s="94"/>
      <c r="AO648" s="27"/>
      <c r="AP648" s="37"/>
      <c r="AQ648" s="27"/>
      <c r="AR648">
        <f t="shared" si="21"/>
        <v>6</v>
      </c>
    </row>
    <row r="649" spans="2:44" x14ac:dyDescent="0.25">
      <c r="B649" t="str">
        <f t="shared" si="20"/>
        <v>SCO - Bourillon</v>
      </c>
      <c r="C649" t="s">
        <v>1034</v>
      </c>
      <c r="D649" t="s">
        <v>622</v>
      </c>
      <c r="E649" s="155" t="s">
        <v>890</v>
      </c>
      <c r="F649" s="31">
        <v>2</v>
      </c>
      <c r="G649" s="99">
        <v>1</v>
      </c>
      <c r="H649" s="73"/>
      <c r="I649" s="34">
        <f>AVERAGE(AG649,AJ649)</f>
        <v>4</v>
      </c>
      <c r="J649" s="179"/>
      <c r="K649" s="24"/>
      <c r="L649" s="37"/>
      <c r="M649" s="24"/>
      <c r="N649" s="37"/>
      <c r="O649" s="37"/>
      <c r="P649" s="27"/>
      <c r="Q649" s="37"/>
      <c r="R649" s="24"/>
      <c r="S649" s="23"/>
      <c r="T649" s="24"/>
      <c r="U649" s="24"/>
      <c r="V649" s="24"/>
      <c r="W649" s="37"/>
      <c r="X649" s="24"/>
      <c r="Y649" s="23"/>
      <c r="Z649" s="37"/>
      <c r="AA649" s="24"/>
      <c r="AB649" s="24"/>
      <c r="AC649" s="24"/>
      <c r="AD649" s="76"/>
      <c r="AE649" s="76"/>
      <c r="AF649" s="24"/>
      <c r="AG649" s="24">
        <v>4</v>
      </c>
      <c r="AH649" s="27"/>
      <c r="AI649" s="24"/>
      <c r="AJ649" s="24">
        <v>4</v>
      </c>
      <c r="AK649" s="26" t="s">
        <v>611</v>
      </c>
      <c r="AL649" s="24"/>
      <c r="AM649" s="26"/>
      <c r="AN649" s="27"/>
      <c r="AO649" s="26"/>
      <c r="AP649" s="37"/>
      <c r="AQ649" s="27"/>
      <c r="AR649">
        <f t="shared" si="21"/>
        <v>3</v>
      </c>
    </row>
    <row r="650" spans="2:44" x14ac:dyDescent="0.25">
      <c r="B650" t="str">
        <f t="shared" si="20"/>
        <v>SCO - Nsamé</v>
      </c>
      <c r="C650" t="s">
        <v>1034</v>
      </c>
      <c r="D650" t="s">
        <v>622</v>
      </c>
      <c r="E650" s="65" t="s">
        <v>1033</v>
      </c>
      <c r="F650" s="31"/>
      <c r="G650" s="99">
        <v>5</v>
      </c>
      <c r="H650" s="73"/>
      <c r="I650" s="34"/>
      <c r="J650" s="179"/>
      <c r="K650" s="37" t="s">
        <v>611</v>
      </c>
      <c r="L650" s="37"/>
      <c r="M650" s="24"/>
      <c r="N650" s="37"/>
      <c r="O650" s="77"/>
      <c r="P650" s="27"/>
      <c r="Q650" s="37"/>
      <c r="R650" s="24"/>
      <c r="S650" s="23"/>
      <c r="T650" s="22"/>
      <c r="U650" s="24"/>
      <c r="V650" s="37"/>
      <c r="W650" s="37"/>
      <c r="X650" s="24"/>
      <c r="Y650" s="24"/>
      <c r="Z650" s="77"/>
      <c r="AA650" s="24"/>
      <c r="AB650" s="37"/>
      <c r="AC650" s="37" t="s">
        <v>611</v>
      </c>
      <c r="AD650" s="37"/>
      <c r="AE650" s="22"/>
      <c r="AF650" s="37"/>
      <c r="AG650" s="37" t="s">
        <v>611</v>
      </c>
      <c r="AH650" s="140" t="s">
        <v>611</v>
      </c>
      <c r="AI650" s="22"/>
      <c r="AJ650" s="76" t="s">
        <v>611</v>
      </c>
      <c r="AK650" s="27"/>
      <c r="AL650" s="37"/>
      <c r="AM650" s="26"/>
      <c r="AN650" s="94"/>
      <c r="AO650" s="27"/>
      <c r="AP650" s="37"/>
      <c r="AQ650" s="27"/>
      <c r="AR650">
        <f t="shared" si="21"/>
        <v>5</v>
      </c>
    </row>
    <row r="651" spans="2:44" x14ac:dyDescent="0.25">
      <c r="B651" t="str">
        <f t="shared" si="20"/>
        <v>SCO - Serin</v>
      </c>
      <c r="C651" t="s">
        <v>1034</v>
      </c>
      <c r="D651" s="85" t="s">
        <v>622</v>
      </c>
      <c r="E651" s="122" t="s">
        <v>1030</v>
      </c>
      <c r="F651" s="69"/>
      <c r="G651" s="115">
        <v>1</v>
      </c>
      <c r="H651" s="68"/>
      <c r="I651" s="72"/>
      <c r="J651" s="179"/>
      <c r="K651" s="24"/>
      <c r="L651" s="37"/>
      <c r="M651" s="37"/>
      <c r="N651" s="37"/>
      <c r="O651" s="37" t="s">
        <v>611</v>
      </c>
      <c r="P651" s="27"/>
      <c r="Q651" s="37"/>
      <c r="R651" s="24"/>
      <c r="S651" s="23"/>
      <c r="T651" s="24"/>
      <c r="U651" s="24"/>
      <c r="V651" s="24"/>
      <c r="W651" s="37"/>
      <c r="X651" s="24"/>
      <c r="Y651" s="24"/>
      <c r="Z651" s="37"/>
      <c r="AA651" s="24"/>
      <c r="AB651" s="24"/>
      <c r="AC651" s="24"/>
      <c r="AD651" s="37"/>
      <c r="AE651" s="24"/>
      <c r="AF651" s="24"/>
      <c r="AG651" s="37"/>
      <c r="AH651" s="27"/>
      <c r="AI651" s="24"/>
      <c r="AJ651" s="24"/>
      <c r="AK651" s="27"/>
      <c r="AL651" s="24"/>
      <c r="AM651" s="26"/>
      <c r="AN651" s="27"/>
      <c r="AO651" s="27"/>
      <c r="AP651" s="37"/>
      <c r="AQ651" s="27"/>
      <c r="AR651">
        <f t="shared" si="21"/>
        <v>1</v>
      </c>
    </row>
    <row r="652" spans="2:44" x14ac:dyDescent="0.25">
      <c r="B652" t="str">
        <f t="shared" si="20"/>
        <v>SCO - Karanovic</v>
      </c>
      <c r="C652" t="s">
        <v>1034</v>
      </c>
      <c r="D652" s="148" t="s">
        <v>633</v>
      </c>
      <c r="E652" s="118" t="s">
        <v>1031</v>
      </c>
      <c r="F652" s="149">
        <v>2</v>
      </c>
      <c r="G652" s="143">
        <v>10</v>
      </c>
      <c r="H652" s="49">
        <v>1</v>
      </c>
      <c r="I652" s="34">
        <f>AVERAGE(N652,AB652)</f>
        <v>4</v>
      </c>
      <c r="J652" s="187"/>
      <c r="K652" s="109"/>
      <c r="L652" s="76" t="s">
        <v>611</v>
      </c>
      <c r="M652" s="76" t="s">
        <v>611</v>
      </c>
      <c r="N652" s="76">
        <v>4</v>
      </c>
      <c r="O652" s="76"/>
      <c r="P652" s="143"/>
      <c r="Q652" s="76"/>
      <c r="R652" s="76"/>
      <c r="S652" s="23"/>
      <c r="T652" s="23"/>
      <c r="U652" s="76"/>
      <c r="V652" s="76" t="s">
        <v>611</v>
      </c>
      <c r="W652" s="76" t="s">
        <v>611</v>
      </c>
      <c r="X652" s="76" t="s">
        <v>611</v>
      </c>
      <c r="Y652" s="76" t="s">
        <v>611</v>
      </c>
      <c r="Z652" s="108"/>
      <c r="AA652" s="76" t="s">
        <v>611</v>
      </c>
      <c r="AB652" s="23">
        <v>4</v>
      </c>
      <c r="AC652" s="108"/>
      <c r="AD652" s="108"/>
      <c r="AE652" s="109"/>
      <c r="AF652" s="109"/>
      <c r="AG652" s="109"/>
      <c r="AH652" s="110"/>
      <c r="AI652" s="109"/>
      <c r="AJ652" s="77" t="s">
        <v>611</v>
      </c>
      <c r="AK652" s="110"/>
      <c r="AL652" s="76" t="s">
        <v>611</v>
      </c>
      <c r="AM652" s="180"/>
      <c r="AN652" s="110"/>
      <c r="AO652" s="110"/>
      <c r="AP652" s="108"/>
      <c r="AQ652" s="110"/>
      <c r="AR652">
        <f t="shared" si="21"/>
        <v>12</v>
      </c>
    </row>
    <row r="653" spans="2:44" x14ac:dyDescent="0.25">
      <c r="B653" t="str">
        <f t="shared" si="20"/>
        <v>SCO - Sissoko</v>
      </c>
      <c r="C653" t="s">
        <v>1034</v>
      </c>
      <c r="D653" t="s">
        <v>633</v>
      </c>
      <c r="E653" s="118" t="s">
        <v>566</v>
      </c>
      <c r="F653" s="31">
        <v>2</v>
      </c>
      <c r="G653" s="99">
        <v>9</v>
      </c>
      <c r="H653" s="73"/>
      <c r="I653" s="34">
        <f>AVERAGE(O653,P653)</f>
        <v>4</v>
      </c>
      <c r="J653" s="179" t="s">
        <v>611</v>
      </c>
      <c r="K653" s="24"/>
      <c r="L653" s="37"/>
      <c r="M653" s="37"/>
      <c r="N653" s="37" t="s">
        <v>611</v>
      </c>
      <c r="O653" s="76">
        <v>4</v>
      </c>
      <c r="P653" s="27">
        <v>4</v>
      </c>
      <c r="Q653" s="37"/>
      <c r="R653" s="37" t="s">
        <v>611</v>
      </c>
      <c r="S653" s="76" t="s">
        <v>611</v>
      </c>
      <c r="T653" s="76" t="s">
        <v>611</v>
      </c>
      <c r="U653" s="37" t="s">
        <v>611</v>
      </c>
      <c r="V653" s="37" t="s">
        <v>611</v>
      </c>
      <c r="W653" s="37"/>
      <c r="X653" s="24"/>
      <c r="Y653" s="24"/>
      <c r="Z653" s="77"/>
      <c r="AA653" s="24"/>
      <c r="AB653" s="37" t="s">
        <v>611</v>
      </c>
      <c r="AC653" s="24"/>
      <c r="AD653" s="37" t="s">
        <v>611</v>
      </c>
      <c r="AE653" s="22"/>
      <c r="AF653" s="37" t="s">
        <v>611</v>
      </c>
      <c r="AG653" s="24"/>
      <c r="AH653" s="27"/>
      <c r="AI653" s="24"/>
      <c r="AJ653" s="24"/>
      <c r="AK653" s="27"/>
      <c r="AL653" s="24"/>
      <c r="AM653" s="26"/>
      <c r="AN653" s="27"/>
      <c r="AO653" s="27"/>
      <c r="AP653" s="37"/>
      <c r="AQ653" s="27"/>
      <c r="AR653">
        <f t="shared" si="21"/>
        <v>11</v>
      </c>
    </row>
    <row r="654" spans="2:44" x14ac:dyDescent="0.25">
      <c r="B654" t="str">
        <f t="shared" si="20"/>
        <v>SCO - Doré</v>
      </c>
      <c r="C654" t="s">
        <v>1034</v>
      </c>
      <c r="D654" t="s">
        <v>633</v>
      </c>
      <c r="E654" s="65" t="s">
        <v>1032</v>
      </c>
      <c r="F654" s="31">
        <v>7</v>
      </c>
      <c r="G654" s="99">
        <v>2</v>
      </c>
      <c r="H654" s="73"/>
      <c r="I654" s="34">
        <f>AVERAGE(L654,N654,O654,Q654,R654,S654,T654)</f>
        <v>4.7142857142857144</v>
      </c>
      <c r="J654" s="179"/>
      <c r="K654" s="37" t="s">
        <v>611</v>
      </c>
      <c r="L654" s="84">
        <v>7</v>
      </c>
      <c r="M654" s="37" t="s">
        <v>611</v>
      </c>
      <c r="N654" s="37">
        <v>5</v>
      </c>
      <c r="O654" s="76">
        <v>5</v>
      </c>
      <c r="P654" s="27"/>
      <c r="Q654" s="37">
        <v>4</v>
      </c>
      <c r="R654" s="24">
        <v>4</v>
      </c>
      <c r="S654" s="23">
        <v>4</v>
      </c>
      <c r="T654" s="23">
        <v>4</v>
      </c>
      <c r="U654" s="24"/>
      <c r="V654" s="37"/>
      <c r="W654" s="37"/>
      <c r="X654" s="24"/>
      <c r="Y654" s="24"/>
      <c r="Z654" s="77"/>
      <c r="AA654" s="24"/>
      <c r="AB654" s="37"/>
      <c r="AC654" s="24"/>
      <c r="AD654" s="37"/>
      <c r="AE654" s="22"/>
      <c r="AF654" s="37"/>
      <c r="AG654" s="24"/>
      <c r="AH654" s="28"/>
      <c r="AI654" s="22"/>
      <c r="AJ654" s="22"/>
      <c r="AK654" s="27"/>
      <c r="AL654" s="37"/>
      <c r="AM654" s="26"/>
      <c r="AN654" s="94"/>
      <c r="AO654" s="27"/>
      <c r="AP654" s="37"/>
      <c r="AQ654" s="27"/>
      <c r="AR654">
        <f t="shared" si="21"/>
        <v>9</v>
      </c>
    </row>
    <row r="655" spans="2:44" x14ac:dyDescent="0.25">
      <c r="B655" t="str">
        <f t="shared" si="20"/>
        <v>SCO - Gomez</v>
      </c>
      <c r="C655" t="s">
        <v>1034</v>
      </c>
      <c r="D655" s="64" t="s">
        <v>633</v>
      </c>
      <c r="E655" s="57" t="s">
        <v>1024</v>
      </c>
      <c r="F655" s="52"/>
      <c r="G655" s="63">
        <v>1</v>
      </c>
      <c r="H655" s="146"/>
      <c r="I655" s="80"/>
      <c r="J655" s="265"/>
      <c r="K655" s="53"/>
      <c r="L655" s="61"/>
      <c r="M655" s="53"/>
      <c r="N655" s="61"/>
      <c r="O655" s="61"/>
      <c r="P655" s="63"/>
      <c r="Q655" s="61"/>
      <c r="R655" s="53"/>
      <c r="S655" s="59"/>
      <c r="T655" s="53"/>
      <c r="U655" s="53"/>
      <c r="V655" s="53" t="s">
        <v>611</v>
      </c>
      <c r="W655" s="61"/>
      <c r="X655" s="53"/>
      <c r="Y655" s="53"/>
      <c r="Z655" s="61"/>
      <c r="AA655" s="53"/>
      <c r="AB655" s="81"/>
      <c r="AC655" s="53"/>
      <c r="AD655" s="61"/>
      <c r="AE655" s="59"/>
      <c r="AF655" s="59"/>
      <c r="AG655" s="59"/>
      <c r="AH655" s="63"/>
      <c r="AI655" s="59"/>
      <c r="AJ655" s="53"/>
      <c r="AK655" s="63"/>
      <c r="AL655" s="53"/>
      <c r="AM655" s="62"/>
      <c r="AN655" s="63"/>
      <c r="AO655" s="63"/>
      <c r="AP655" s="61"/>
      <c r="AQ655" s="63"/>
      <c r="AR655">
        <f t="shared" si="21"/>
        <v>1</v>
      </c>
    </row>
    <row r="656" spans="2:44" x14ac:dyDescent="0.25">
      <c r="B656" t="str">
        <f t="shared" ref="B656:B658" si="22">C656 &amp; " - " &amp;E656</f>
        <v>SCO - Yattara</v>
      </c>
      <c r="C656" t="s">
        <v>1034</v>
      </c>
      <c r="D656" s="255" t="s">
        <v>633</v>
      </c>
      <c r="E656" s="155" t="s">
        <v>1049</v>
      </c>
      <c r="F656" s="31">
        <v>5</v>
      </c>
      <c r="G656" s="99">
        <v>7</v>
      </c>
      <c r="H656" s="73">
        <v>1</v>
      </c>
      <c r="I656" s="34">
        <f>AVERAGE(AE656,AF656,AH656,AI656,AJ656,AK656)</f>
        <v>4.333333333333333</v>
      </c>
      <c r="J656" s="179"/>
      <c r="K656" s="37"/>
      <c r="L656" s="37"/>
      <c r="M656" s="24"/>
      <c r="N656" s="37"/>
      <c r="O656" s="77"/>
      <c r="P656" s="27"/>
      <c r="Q656" s="37"/>
      <c r="R656" s="24"/>
      <c r="S656" s="23"/>
      <c r="T656" s="22"/>
      <c r="U656" s="24"/>
      <c r="V656" s="37"/>
      <c r="W656" s="37"/>
      <c r="X656" s="24"/>
      <c r="Y656" s="24"/>
      <c r="Z656" s="77"/>
      <c r="AA656" s="24"/>
      <c r="AB656" s="37"/>
      <c r="AC656" s="37" t="s">
        <v>611</v>
      </c>
      <c r="AD656" s="37" t="s">
        <v>611</v>
      </c>
      <c r="AE656" s="23">
        <v>4</v>
      </c>
      <c r="AF656" s="75">
        <v>7</v>
      </c>
      <c r="AG656" s="37" t="s">
        <v>611</v>
      </c>
      <c r="AH656" s="280">
        <v>3</v>
      </c>
      <c r="AI656" s="23">
        <v>4</v>
      </c>
      <c r="AJ656" s="23">
        <v>4</v>
      </c>
      <c r="AK656" s="26">
        <v>4</v>
      </c>
      <c r="AL656" s="37" t="s">
        <v>611</v>
      </c>
      <c r="AM656" s="26" t="s">
        <v>611</v>
      </c>
      <c r="AN656" s="140" t="s">
        <v>611</v>
      </c>
      <c r="AO656" s="27"/>
      <c r="AP656" s="37"/>
      <c r="AQ656" s="27"/>
      <c r="AR656">
        <f t="shared" si="21"/>
        <v>12</v>
      </c>
    </row>
    <row r="657" spans="2:44" x14ac:dyDescent="0.25">
      <c r="B657" t="str">
        <f t="shared" si="22"/>
        <v>SCO - Andreu</v>
      </c>
      <c r="C657" t="s">
        <v>1034</v>
      </c>
      <c r="D657" t="s">
        <v>608</v>
      </c>
      <c r="E657" s="49" t="s">
        <v>465</v>
      </c>
      <c r="F657" s="31">
        <v>27</v>
      </c>
      <c r="G657" s="99"/>
      <c r="H657" s="73"/>
      <c r="I657" s="34">
        <f>AVERAGE(AA657,W657,K657,L657,M657,J657,N657,O657,P657,Q657,R657,S657,T657,U657,V657,X657,Y657,Z657,AB657,AC657,AD657,AE657,AG657,AH657,AK657,AL657,AN657)</f>
        <v>4.9259259259259256</v>
      </c>
      <c r="J657" s="179">
        <v>6</v>
      </c>
      <c r="K657" s="24">
        <v>5</v>
      </c>
      <c r="L657" s="37">
        <v>6</v>
      </c>
      <c r="M657" s="24">
        <v>4</v>
      </c>
      <c r="N657" s="37">
        <v>4</v>
      </c>
      <c r="O657" s="37">
        <v>5</v>
      </c>
      <c r="P657" s="27">
        <v>6</v>
      </c>
      <c r="Q657" s="37">
        <v>5</v>
      </c>
      <c r="R657" s="24">
        <v>5</v>
      </c>
      <c r="S657" s="23">
        <v>4</v>
      </c>
      <c r="T657" s="24">
        <v>5</v>
      </c>
      <c r="U657" s="24">
        <v>4</v>
      </c>
      <c r="V657" s="24">
        <v>5</v>
      </c>
      <c r="W657" s="37">
        <v>6</v>
      </c>
      <c r="X657" s="24">
        <v>5</v>
      </c>
      <c r="Y657" s="23">
        <v>5</v>
      </c>
      <c r="Z657" s="37">
        <v>6</v>
      </c>
      <c r="AA657" s="24">
        <v>5</v>
      </c>
      <c r="AB657" s="24">
        <v>5</v>
      </c>
      <c r="AC657" s="24">
        <v>6</v>
      </c>
      <c r="AD657" s="76">
        <v>5</v>
      </c>
      <c r="AE657" s="82">
        <v>3</v>
      </c>
      <c r="AF657" s="24"/>
      <c r="AG657" s="24">
        <v>4</v>
      </c>
      <c r="AH657" s="27">
        <v>4</v>
      </c>
      <c r="AI657" s="24"/>
      <c r="AJ657" s="24"/>
      <c r="AK657" s="26">
        <v>5</v>
      </c>
      <c r="AL657" s="24">
        <v>5</v>
      </c>
      <c r="AM657" s="26"/>
      <c r="AN657" s="27">
        <v>5</v>
      </c>
      <c r="AO657" s="26"/>
      <c r="AP657" s="37"/>
      <c r="AQ657" s="27"/>
      <c r="AR657">
        <f t="shared" si="21"/>
        <v>27</v>
      </c>
    </row>
    <row r="658" spans="2:44" ht="15.75" thickBot="1" x14ac:dyDescent="0.3">
      <c r="B658" t="str">
        <f t="shared" si="22"/>
        <v>SCO - Manceau</v>
      </c>
      <c r="C658" t="s">
        <v>1034</v>
      </c>
      <c r="D658" s="141" t="s">
        <v>608</v>
      </c>
      <c r="E658" s="168" t="s">
        <v>509</v>
      </c>
      <c r="F658" s="90">
        <v>27</v>
      </c>
      <c r="G658" s="120"/>
      <c r="H658" s="89"/>
      <c r="I658" s="121">
        <f>AVERAGE(W658,K658,L658,M658,J658,N658,O658,P658,Q658,R658,S658,T658,U658,V658,X658,Y658,AB658,AD658,AE658,AF658,AG658,AI658,AJ658,AK658,AL658,AM658,AN658)</f>
        <v>4.6296296296296298</v>
      </c>
      <c r="J658" s="179">
        <v>5</v>
      </c>
      <c r="K658" s="24">
        <v>5</v>
      </c>
      <c r="L658" s="37">
        <v>5</v>
      </c>
      <c r="M658" s="24">
        <v>5</v>
      </c>
      <c r="N658" s="37">
        <v>4</v>
      </c>
      <c r="O658" s="37">
        <v>5</v>
      </c>
      <c r="P658" s="27">
        <v>5</v>
      </c>
      <c r="Q658" s="37">
        <v>4</v>
      </c>
      <c r="R658" s="24">
        <v>5</v>
      </c>
      <c r="S658" s="23">
        <v>5</v>
      </c>
      <c r="T658" s="24">
        <v>5</v>
      </c>
      <c r="U658" s="24">
        <v>5</v>
      </c>
      <c r="V658" s="24">
        <v>5</v>
      </c>
      <c r="W658" s="37">
        <v>5</v>
      </c>
      <c r="X658" s="24">
        <v>5</v>
      </c>
      <c r="Y658" s="24">
        <v>5</v>
      </c>
      <c r="Z658" s="37"/>
      <c r="AA658" s="24"/>
      <c r="AB658" s="24">
        <v>4</v>
      </c>
      <c r="AC658" s="24"/>
      <c r="AD658" s="172">
        <v>3</v>
      </c>
      <c r="AE658" s="82">
        <v>2</v>
      </c>
      <c r="AF658" s="24">
        <v>6</v>
      </c>
      <c r="AG658" s="24">
        <v>4</v>
      </c>
      <c r="AH658" s="27"/>
      <c r="AI658" s="24">
        <v>5</v>
      </c>
      <c r="AJ658" s="24">
        <v>4</v>
      </c>
      <c r="AK658" s="27">
        <v>6</v>
      </c>
      <c r="AL658" s="24">
        <v>5</v>
      </c>
      <c r="AM658" s="259">
        <v>3</v>
      </c>
      <c r="AN658" s="27">
        <v>5</v>
      </c>
      <c r="AO658" s="27"/>
      <c r="AP658" s="37"/>
      <c r="AQ658" s="27"/>
      <c r="AR658">
        <f t="shared" si="21"/>
        <v>27</v>
      </c>
    </row>
  </sheetData>
  <autoFilter ref="B15:AR658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12"/>
  <sheetViews>
    <sheetView zoomScaleNormal="100" workbookViewId="0">
      <selection activeCell="E27" sqref="E27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302" t="s">
        <v>605</v>
      </c>
      <c r="C2" s="303" t="s">
        <v>1095</v>
      </c>
      <c r="D2" s="303" t="s">
        <v>1096</v>
      </c>
      <c r="E2" s="304" t="s">
        <v>34</v>
      </c>
      <c r="F2" s="302" t="s">
        <v>608</v>
      </c>
      <c r="G2" s="303" t="s">
        <v>1095</v>
      </c>
      <c r="H2" s="303" t="s">
        <v>1096</v>
      </c>
      <c r="I2" s="304" t="s">
        <v>34</v>
      </c>
      <c r="J2" s="302" t="s">
        <v>622</v>
      </c>
      <c r="K2" s="303" t="s">
        <v>1095</v>
      </c>
      <c r="L2" s="303" t="s">
        <v>1096</v>
      </c>
      <c r="M2" s="304" t="s">
        <v>34</v>
      </c>
      <c r="N2" s="302" t="s">
        <v>633</v>
      </c>
      <c r="O2" s="303" t="s">
        <v>1095</v>
      </c>
      <c r="P2" s="303" t="s">
        <v>1096</v>
      </c>
      <c r="Q2" s="304" t="s">
        <v>34</v>
      </c>
    </row>
    <row r="3" spans="2:19" x14ac:dyDescent="0.25">
      <c r="B3" s="29" t="s">
        <v>476</v>
      </c>
      <c r="C3" s="30">
        <v>5</v>
      </c>
      <c r="D3" s="30">
        <v>18</v>
      </c>
      <c r="E3" s="73">
        <v>8</v>
      </c>
      <c r="F3" s="29" t="s">
        <v>1097</v>
      </c>
      <c r="G3" s="30">
        <v>7</v>
      </c>
      <c r="H3" s="30"/>
      <c r="I3" s="73">
        <v>9</v>
      </c>
      <c r="J3" s="29" t="s">
        <v>281</v>
      </c>
      <c r="K3" s="30">
        <v>20</v>
      </c>
      <c r="L3" s="30">
        <v>54</v>
      </c>
      <c r="M3" s="73">
        <v>55</v>
      </c>
      <c r="N3" s="29" t="s">
        <v>583</v>
      </c>
      <c r="O3" s="38">
        <v>7</v>
      </c>
      <c r="P3" s="38">
        <v>30</v>
      </c>
      <c r="Q3" s="73">
        <v>9</v>
      </c>
    </row>
    <row r="4" spans="2:19" x14ac:dyDescent="0.25">
      <c r="B4" s="29" t="s">
        <v>287</v>
      </c>
      <c r="C4" s="30">
        <v>20</v>
      </c>
      <c r="D4" s="30">
        <v>20</v>
      </c>
      <c r="E4" s="73"/>
      <c r="F4" s="29" t="s">
        <v>719</v>
      </c>
      <c r="G4" s="30">
        <v>12</v>
      </c>
      <c r="H4" s="30">
        <v>31</v>
      </c>
      <c r="I4" s="73">
        <v>15</v>
      </c>
      <c r="J4" s="29" t="s">
        <v>267</v>
      </c>
      <c r="K4" s="30">
        <v>20</v>
      </c>
      <c r="L4" s="30">
        <v>60</v>
      </c>
      <c r="M4" s="73">
        <v>61</v>
      </c>
      <c r="N4" s="29" t="s">
        <v>85</v>
      </c>
      <c r="O4" s="38">
        <v>35</v>
      </c>
      <c r="P4" s="38">
        <v>166</v>
      </c>
      <c r="Q4" s="73">
        <v>131</v>
      </c>
    </row>
    <row r="5" spans="2:19" x14ac:dyDescent="0.25">
      <c r="B5" s="29" t="s">
        <v>925</v>
      </c>
      <c r="C5" s="30">
        <v>24</v>
      </c>
      <c r="D5" s="30"/>
      <c r="E5" s="73">
        <v>27</v>
      </c>
      <c r="F5" s="29" t="s">
        <v>48</v>
      </c>
      <c r="G5" s="30">
        <v>1</v>
      </c>
      <c r="H5" s="30">
        <v>2</v>
      </c>
      <c r="I5" s="73">
        <v>4</v>
      </c>
      <c r="J5" s="29" t="s">
        <v>486</v>
      </c>
      <c r="K5" s="30">
        <v>7</v>
      </c>
      <c r="L5" s="30">
        <v>8</v>
      </c>
      <c r="M5" s="73">
        <v>13</v>
      </c>
      <c r="N5" s="29" t="s">
        <v>204</v>
      </c>
      <c r="O5" s="38">
        <v>14</v>
      </c>
      <c r="P5" s="38">
        <v>31</v>
      </c>
      <c r="Q5" s="73">
        <v>21</v>
      </c>
    </row>
    <row r="6" spans="2:19" x14ac:dyDescent="0.25">
      <c r="B6" s="29"/>
      <c r="C6" s="30"/>
      <c r="D6" s="30"/>
      <c r="E6" s="73"/>
      <c r="F6" s="29" t="s">
        <v>277</v>
      </c>
      <c r="G6" s="38">
        <v>11</v>
      </c>
      <c r="H6" s="30">
        <v>13</v>
      </c>
      <c r="I6" s="73"/>
      <c r="J6" s="29" t="s">
        <v>288</v>
      </c>
      <c r="K6" s="30">
        <v>16</v>
      </c>
      <c r="L6" s="30">
        <v>25</v>
      </c>
      <c r="M6" s="73">
        <v>18</v>
      </c>
      <c r="N6" s="29" t="s">
        <v>174</v>
      </c>
      <c r="O6" s="38">
        <v>13</v>
      </c>
      <c r="P6" s="38">
        <v>38</v>
      </c>
      <c r="Q6" s="73">
        <v>15</v>
      </c>
    </row>
    <row r="7" spans="2:19" x14ac:dyDescent="0.25">
      <c r="B7" s="29"/>
      <c r="C7" s="30"/>
      <c r="D7" s="30"/>
      <c r="E7" s="73"/>
      <c r="F7" s="29" t="s">
        <v>556</v>
      </c>
      <c r="G7" s="38">
        <v>7</v>
      </c>
      <c r="H7" s="38">
        <v>9</v>
      </c>
      <c r="I7" s="73">
        <v>9</v>
      </c>
      <c r="J7" s="29" t="s">
        <v>525</v>
      </c>
      <c r="K7" s="38">
        <v>7</v>
      </c>
      <c r="L7" s="38">
        <v>7</v>
      </c>
      <c r="M7" s="73">
        <v>9</v>
      </c>
      <c r="N7" s="29" t="s">
        <v>463</v>
      </c>
      <c r="O7" s="38">
        <v>13</v>
      </c>
      <c r="P7" s="38">
        <v>28</v>
      </c>
      <c r="Q7" s="73">
        <v>15</v>
      </c>
    </row>
    <row r="8" spans="2:19" x14ac:dyDescent="0.25">
      <c r="B8" s="29"/>
      <c r="C8" s="30"/>
      <c r="D8" s="30"/>
      <c r="E8" s="73"/>
      <c r="F8" s="29" t="s">
        <v>756</v>
      </c>
      <c r="G8" s="38">
        <v>10</v>
      </c>
      <c r="H8" s="38">
        <v>11</v>
      </c>
      <c r="I8" s="73">
        <v>14</v>
      </c>
      <c r="J8" s="29" t="s">
        <v>1029</v>
      </c>
      <c r="K8" s="38">
        <v>7</v>
      </c>
      <c r="L8" s="38">
        <v>7</v>
      </c>
      <c r="M8" s="73">
        <v>8</v>
      </c>
      <c r="N8" s="29" t="s">
        <v>461</v>
      </c>
      <c r="O8" s="38">
        <v>6</v>
      </c>
      <c r="P8" s="38">
        <v>8</v>
      </c>
      <c r="Q8" s="73"/>
    </row>
    <row r="9" spans="2:19" x14ac:dyDescent="0.25">
      <c r="B9" s="29"/>
      <c r="C9" s="30"/>
      <c r="D9" s="30"/>
      <c r="E9" s="73"/>
      <c r="F9" s="29" t="s">
        <v>30</v>
      </c>
      <c r="G9" s="38">
        <v>14</v>
      </c>
      <c r="H9" s="38">
        <v>32</v>
      </c>
      <c r="I9" s="73">
        <v>43</v>
      </c>
      <c r="J9" s="29" t="s">
        <v>851</v>
      </c>
      <c r="K9" s="38">
        <v>15</v>
      </c>
      <c r="L9" s="38">
        <v>20</v>
      </c>
      <c r="M9" s="73">
        <v>16</v>
      </c>
      <c r="N9" s="29"/>
      <c r="O9" s="30"/>
      <c r="P9" s="30"/>
      <c r="Q9" s="73"/>
    </row>
    <row r="10" spans="2:19" ht="15.75" thickBot="1" x14ac:dyDescent="0.3">
      <c r="B10" s="88"/>
      <c r="C10" s="141"/>
      <c r="D10" s="141"/>
      <c r="E10" s="89"/>
      <c r="F10" s="88"/>
      <c r="G10" s="141"/>
      <c r="H10" s="141"/>
      <c r="I10" s="89"/>
      <c r="J10" s="88"/>
      <c r="K10" s="141"/>
      <c r="L10" s="141"/>
      <c r="M10" s="89"/>
      <c r="N10" s="88"/>
      <c r="O10" s="141"/>
      <c r="P10" s="141"/>
      <c r="Q10" s="89"/>
    </row>
    <row r="11" spans="2:19" x14ac:dyDescent="0.25">
      <c r="D11">
        <f>COUNT(E3:E10)</f>
        <v>2</v>
      </c>
      <c r="E11">
        <f>SUM(E3:E10)</f>
        <v>35</v>
      </c>
      <c r="H11">
        <f>COUNT(I3:I10)</f>
        <v>6</v>
      </c>
      <c r="I11">
        <f>SUM(I3:I10)</f>
        <v>94</v>
      </c>
      <c r="L11">
        <f>COUNT(M3:M10)</f>
        <v>7</v>
      </c>
      <c r="M11">
        <f>SUM(M3:M10)</f>
        <v>180</v>
      </c>
      <c r="P11">
        <f>COUNT(Q3:Q10)</f>
        <v>5</v>
      </c>
      <c r="Q11">
        <f>SUM(Q3:Q10)</f>
        <v>191</v>
      </c>
      <c r="R11">
        <f>SUM(Q11,E11,I11,M11,)</f>
        <v>500</v>
      </c>
      <c r="S11">
        <f>500-R11</f>
        <v>0</v>
      </c>
    </row>
    <row r="12" spans="2:19" x14ac:dyDescent="0.25">
      <c r="R12">
        <f>SUM(P11,D11,H11,L11,)</f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</vt:i4>
      </vt:variant>
    </vt:vector>
  </HeadingPairs>
  <TitlesOfParts>
    <vt:vector size="10" baseType="lpstr">
      <vt:lpstr>Achats</vt:lpstr>
      <vt:lpstr>MPG 2016</vt:lpstr>
      <vt:lpstr>Correspondance</vt:lpstr>
      <vt:lpstr>Data</vt:lpstr>
      <vt:lpstr>Mercato</vt:lpstr>
      <vt:lpstr>_DATA</vt:lpstr>
      <vt:lpstr>_EQUIPES</vt:lpstr>
      <vt:lpstr>_JOUEURS</vt:lpstr>
      <vt:lpstr>_MPG</vt:lpstr>
      <vt:lpstr>Achats!_STATS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2016-03-31T11:55:40Z</dcterms:modified>
</cp:coreProperties>
</file>