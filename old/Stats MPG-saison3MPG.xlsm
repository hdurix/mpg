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7650" windowHeight="7680"/>
  </bookViews>
  <sheets>
    <sheet name="Règles" sheetId="12" r:id="rId1"/>
    <sheet name="OM" sheetId="2" r:id="rId2"/>
    <sheet name="OL" sheetId="3" r:id="rId3"/>
    <sheet name="PSG" sheetId="1" r:id="rId4"/>
    <sheet name="OGCN" sheetId="4" r:id="rId5"/>
    <sheet name="ASSE" sheetId="5" r:id="rId6"/>
    <sheet name="Losc" sheetId="6" r:id="rId7"/>
    <sheet name="FCGB" sheetId="7" r:id="rId8"/>
    <sheet name="FCL" sheetId="8" r:id="rId9"/>
    <sheet name="MHSC" sheetId="9" r:id="rId10"/>
    <sheet name="TFC" sheetId="10" r:id="rId11"/>
    <sheet name="SCB" sheetId="13" r:id="rId12"/>
    <sheet name="SRFC" sheetId="14" r:id="rId13"/>
    <sheet name="SR" sheetId="15" r:id="rId14"/>
    <sheet name="FCN" sheetId="19" r:id="rId15"/>
    <sheet name="ASM" sheetId="20" r:id="rId16"/>
    <sheet name="EAG" sheetId="21" r:id="rId17"/>
    <sheet name="SMC" sheetId="23" r:id="rId18"/>
    <sheet name="ESTAC" sheetId="25" r:id="rId19"/>
    <sheet name="GFCA" sheetId="27" r:id="rId20"/>
    <sheet name="SCO" sheetId="28" r:id="rId21"/>
  </sheets>
  <definedNames>
    <definedName name="_xlnm._FilterDatabase" localSheetId="0" hidden="1">Règles!$A$16:$AH$616</definedName>
    <definedName name="_xlnm.Print_Area" localSheetId="2">OL!$A$1:$AG$72</definedName>
  </definedNames>
  <calcPr calcId="145621"/>
</workbook>
</file>

<file path=xl/calcChain.xml><?xml version="1.0" encoding="utf-8"?>
<calcChain xmlns="http://schemas.openxmlformats.org/spreadsheetml/2006/main">
  <c r="Y37" i="3" l="1"/>
  <c r="F16" i="3"/>
  <c r="F22" i="3"/>
  <c r="F35" i="2" l="1"/>
  <c r="F31" i="2"/>
  <c r="F30" i="2"/>
  <c r="F29" i="2"/>
  <c r="F25" i="2"/>
  <c r="F24" i="2"/>
  <c r="F22" i="2"/>
  <c r="F19" i="2"/>
  <c r="F18" i="2"/>
  <c r="F10" i="2"/>
  <c r="F7" i="2"/>
  <c r="Y38" i="2"/>
  <c r="F36" i="7"/>
  <c r="F32" i="7"/>
  <c r="F28" i="7"/>
  <c r="F25" i="7"/>
  <c r="F23" i="7"/>
  <c r="F22" i="7"/>
  <c r="F21" i="7"/>
  <c r="F14" i="7"/>
  <c r="F13" i="7"/>
  <c r="F11" i="7"/>
  <c r="F7" i="7"/>
  <c r="Y40" i="7"/>
  <c r="F36" i="3"/>
  <c r="F33" i="3"/>
  <c r="F25" i="3"/>
  <c r="F24" i="3"/>
  <c r="F23" i="3"/>
  <c r="F20" i="3"/>
  <c r="F17" i="3"/>
  <c r="F11" i="3"/>
  <c r="F10" i="3"/>
  <c r="F7" i="3"/>
  <c r="F28" i="27"/>
  <c r="F27" i="27"/>
  <c r="F23" i="27"/>
  <c r="F21" i="27"/>
  <c r="F20" i="27"/>
  <c r="F17" i="27"/>
  <c r="F16" i="27"/>
  <c r="F15" i="27"/>
  <c r="F13" i="27"/>
  <c r="F12" i="27"/>
  <c r="F8" i="27"/>
  <c r="Y30" i="27"/>
  <c r="F37" i="28"/>
  <c r="F32" i="28"/>
  <c r="F30" i="28"/>
  <c r="F29" i="28"/>
  <c r="F28" i="28"/>
  <c r="F26" i="28"/>
  <c r="F22" i="28"/>
  <c r="F16" i="28"/>
  <c r="F15" i="28"/>
  <c r="F13" i="28"/>
  <c r="F8" i="28"/>
  <c r="Y38" i="28"/>
  <c r="F36" i="5"/>
  <c r="F33" i="5"/>
  <c r="F28" i="5"/>
  <c r="F27" i="5"/>
  <c r="F26" i="5"/>
  <c r="F21" i="5"/>
  <c r="F18" i="5"/>
  <c r="F14" i="5"/>
  <c r="F13" i="5"/>
  <c r="F10" i="5"/>
  <c r="F7" i="5"/>
  <c r="Y37" i="5"/>
  <c r="Y37" i="13" l="1"/>
  <c r="F8" i="13"/>
  <c r="F33" i="13"/>
  <c r="F23" i="13"/>
  <c r="F39" i="6" l="1"/>
  <c r="F30" i="6"/>
  <c r="F27" i="6"/>
  <c r="F26" i="6"/>
  <c r="F25" i="6"/>
  <c r="F22" i="6"/>
  <c r="F19" i="6"/>
  <c r="F15" i="6"/>
  <c r="F13" i="6"/>
  <c r="F12" i="6"/>
  <c r="F9" i="6"/>
  <c r="Y41" i="6"/>
  <c r="F38" i="10"/>
  <c r="F36" i="10"/>
  <c r="F34" i="10"/>
  <c r="F33" i="10"/>
  <c r="F31" i="10"/>
  <c r="F27" i="10"/>
  <c r="F22" i="10"/>
  <c r="F21" i="10"/>
  <c r="F17" i="10"/>
  <c r="F11" i="10"/>
  <c r="F8" i="10"/>
  <c r="Y42" i="10"/>
  <c r="F36" i="15"/>
  <c r="F32" i="15"/>
  <c r="F33" i="15"/>
  <c r="F31" i="15"/>
  <c r="F25" i="15"/>
  <c r="F19" i="15"/>
  <c r="F17" i="15"/>
  <c r="F16" i="15"/>
  <c r="F15" i="15"/>
  <c r="F11" i="15"/>
  <c r="F10" i="15"/>
  <c r="Y37" i="15"/>
  <c r="F32" i="13"/>
  <c r="F29" i="13"/>
  <c r="F28" i="13"/>
  <c r="F27" i="13"/>
  <c r="F25" i="13"/>
  <c r="F20" i="13"/>
  <c r="F19" i="13"/>
  <c r="F17" i="13"/>
  <c r="F16" i="13"/>
  <c r="F11" i="13"/>
  <c r="F33" i="19"/>
  <c r="F31" i="19"/>
  <c r="F29" i="19"/>
  <c r="F25" i="19"/>
  <c r="F20" i="19"/>
  <c r="F19" i="19"/>
  <c r="F18" i="19"/>
  <c r="F15" i="19"/>
  <c r="F12" i="19"/>
  <c r="F10" i="19"/>
  <c r="F9" i="19"/>
  <c r="Y38" i="19"/>
  <c r="F32" i="8"/>
  <c r="F31" i="8"/>
  <c r="F25" i="8"/>
  <c r="F24" i="8"/>
  <c r="F23" i="8"/>
  <c r="F21" i="8"/>
  <c r="F20" i="8"/>
  <c r="F16" i="8"/>
  <c r="F15" i="8"/>
  <c r="F14" i="8"/>
  <c r="F9" i="8"/>
  <c r="Y35" i="8"/>
  <c r="F37" i="20"/>
  <c r="F31" i="20"/>
  <c r="F29" i="20"/>
  <c r="F26" i="20"/>
  <c r="F23" i="20"/>
  <c r="F22" i="20"/>
  <c r="F14" i="20"/>
  <c r="F13" i="20"/>
  <c r="F11" i="20"/>
  <c r="F10" i="20"/>
  <c r="F8" i="20"/>
  <c r="Y40" i="20"/>
  <c r="F38" i="25"/>
  <c r="F34" i="25"/>
  <c r="F33" i="25"/>
  <c r="F32" i="25"/>
  <c r="F30" i="25"/>
  <c r="F27" i="25"/>
  <c r="F20" i="25"/>
  <c r="F18" i="25"/>
  <c r="F12" i="25"/>
  <c r="F10" i="25"/>
  <c r="Y41" i="25"/>
  <c r="F37" i="14"/>
  <c r="F36" i="14"/>
  <c r="F29" i="14"/>
  <c r="F28" i="14"/>
  <c r="F27" i="14"/>
  <c r="F24" i="14"/>
  <c r="F21" i="14"/>
  <c r="F15" i="14"/>
  <c r="F12" i="14"/>
  <c r="F11" i="14"/>
  <c r="F8" i="14"/>
  <c r="Y41" i="14"/>
  <c r="F37" i="21"/>
  <c r="F31" i="21"/>
  <c r="F28" i="21"/>
  <c r="F26" i="21"/>
  <c r="F25" i="21"/>
  <c r="F24" i="21"/>
  <c r="F21" i="21"/>
  <c r="F20" i="21"/>
  <c r="F19" i="21"/>
  <c r="F17" i="21"/>
  <c r="F9" i="21"/>
  <c r="Y40" i="21"/>
  <c r="F28" i="1"/>
  <c r="F25" i="1"/>
  <c r="F24" i="1"/>
  <c r="F20" i="1"/>
  <c r="F19" i="1"/>
  <c r="F18" i="1"/>
  <c r="F15" i="1"/>
  <c r="F14" i="1"/>
  <c r="F12" i="1"/>
  <c r="F10" i="1"/>
  <c r="F9" i="1"/>
  <c r="Y32" i="1"/>
  <c r="F32" i="23"/>
  <c r="F31" i="23"/>
  <c r="F29" i="23"/>
  <c r="F23" i="23"/>
  <c r="F22" i="23"/>
  <c r="F20" i="23"/>
  <c r="F16" i="23"/>
  <c r="F14" i="23"/>
  <c r="F12" i="23"/>
  <c r="F11" i="23"/>
  <c r="F9" i="23"/>
  <c r="Y33" i="23"/>
  <c r="F18" i="9" l="1"/>
  <c r="F15" i="9"/>
  <c r="F35" i="9" l="1"/>
  <c r="F29" i="9"/>
  <c r="F27" i="9"/>
  <c r="F24" i="9"/>
  <c r="F22" i="9"/>
  <c r="F19" i="9"/>
  <c r="F17" i="9"/>
  <c r="F14" i="9"/>
  <c r="F12" i="9"/>
  <c r="F11" i="9"/>
  <c r="F10" i="9"/>
  <c r="Y37" i="9"/>
  <c r="F37" i="4"/>
  <c r="F29" i="4"/>
  <c r="F27" i="4"/>
  <c r="F26" i="4"/>
  <c r="F24" i="4"/>
  <c r="F22" i="4"/>
  <c r="F18" i="4"/>
  <c r="F15" i="4"/>
  <c r="F14" i="4"/>
  <c r="F13" i="4"/>
  <c r="F8" i="4"/>
  <c r="X41" i="4"/>
  <c r="Y41" i="4"/>
  <c r="X37" i="3" l="1"/>
  <c r="F29" i="27" l="1"/>
  <c r="X30" i="27"/>
  <c r="F15" i="3" l="1"/>
  <c r="F26" i="1"/>
  <c r="F21" i="1"/>
  <c r="X32" i="1"/>
  <c r="F28" i="2"/>
  <c r="F21" i="2"/>
  <c r="F13" i="2"/>
  <c r="X38" i="2"/>
  <c r="F39" i="7"/>
  <c r="F24" i="7"/>
  <c r="X40" i="7"/>
  <c r="F19" i="28"/>
  <c r="F10" i="28"/>
  <c r="X38" i="28"/>
  <c r="F31" i="5"/>
  <c r="F30" i="5"/>
  <c r="F22" i="5"/>
  <c r="F17" i="5"/>
  <c r="X37" i="5"/>
  <c r="X40" i="20"/>
  <c r="F27" i="21" l="1"/>
  <c r="X37" i="9"/>
  <c r="F32" i="9"/>
  <c r="F29" i="25" l="1"/>
  <c r="F25" i="25"/>
  <c r="X41" i="25"/>
  <c r="F39" i="21" l="1"/>
  <c r="F29" i="21"/>
  <c r="F23" i="21"/>
  <c r="F22" i="21"/>
  <c r="F12" i="21"/>
  <c r="F11" i="21"/>
  <c r="X40" i="21"/>
  <c r="F34" i="9"/>
  <c r="F30" i="8"/>
  <c r="F13" i="8"/>
  <c r="F12" i="8"/>
  <c r="F10" i="8"/>
  <c r="X35" i="8"/>
  <c r="F17" i="6"/>
  <c r="X41" i="6"/>
  <c r="F37" i="10"/>
  <c r="F28" i="10"/>
  <c r="F12" i="10"/>
  <c r="X42" i="10"/>
  <c r="F27" i="19"/>
  <c r="F17" i="19"/>
  <c r="X38" i="19"/>
  <c r="F36" i="13"/>
  <c r="F30" i="13"/>
  <c r="X37" i="13"/>
  <c r="F40" i="25"/>
  <c r="F39" i="25"/>
  <c r="F21" i="25"/>
  <c r="F17" i="25"/>
  <c r="F30" i="4"/>
  <c r="F28" i="4"/>
  <c r="F29" i="15"/>
  <c r="F26" i="15"/>
  <c r="F24" i="15"/>
  <c r="F14" i="15"/>
  <c r="X37" i="15"/>
  <c r="X33" i="23" l="1"/>
  <c r="F17" i="23"/>
  <c r="F35" i="14" l="1"/>
  <c r="F22" i="14"/>
  <c r="F18" i="14"/>
  <c r="X41" i="14"/>
  <c r="F19" i="14" l="1"/>
  <c r="W41" i="14"/>
  <c r="W37" i="5"/>
  <c r="F36" i="21"/>
  <c r="F14" i="21"/>
  <c r="W40" i="21"/>
  <c r="F34" i="7"/>
  <c r="F18" i="7"/>
  <c r="W40" i="7"/>
  <c r="W37" i="9" l="1"/>
  <c r="F17" i="2"/>
  <c r="W38" i="2"/>
  <c r="F16" i="20" l="1"/>
  <c r="W40" i="20"/>
  <c r="F20" i="20"/>
  <c r="W41" i="6"/>
  <c r="F10" i="23"/>
  <c r="F22" i="25"/>
  <c r="F19" i="25"/>
  <c r="W41" i="25"/>
  <c r="F28" i="8" l="1"/>
  <c r="F18" i="8"/>
  <c r="W35" i="8"/>
  <c r="F20" i="10"/>
  <c r="W42" i="10"/>
  <c r="F21" i="15"/>
  <c r="F20" i="15"/>
  <c r="F8" i="15"/>
  <c r="W37" i="15"/>
  <c r="F23" i="6"/>
  <c r="F18" i="23"/>
  <c r="F13" i="23"/>
  <c r="W33" i="23"/>
  <c r="F28" i="20"/>
  <c r="F21" i="20"/>
  <c r="F17" i="20"/>
  <c r="F9" i="20"/>
  <c r="F15" i="13"/>
  <c r="F12" i="13"/>
  <c r="W37" i="13"/>
  <c r="F34" i="19"/>
  <c r="F16" i="19"/>
  <c r="F8" i="19"/>
  <c r="W38" i="19"/>
  <c r="F22" i="27"/>
  <c r="F9" i="27"/>
  <c r="F26" i="27"/>
  <c r="F24" i="27"/>
  <c r="F11" i="27"/>
  <c r="W30" i="27"/>
  <c r="F18" i="28"/>
  <c r="F11" i="28"/>
  <c r="W38" i="28"/>
  <c r="F34" i="3"/>
  <c r="F30" i="3"/>
  <c r="F28" i="3"/>
  <c r="F26" i="3"/>
  <c r="W37" i="3"/>
  <c r="F23" i="1" l="1"/>
  <c r="F16" i="1"/>
  <c r="F11" i="1"/>
  <c r="W32" i="1"/>
  <c r="F12" i="4"/>
  <c r="W41" i="4"/>
  <c r="F34" i="2" l="1"/>
  <c r="F23" i="2" l="1"/>
  <c r="V38" i="2"/>
  <c r="F38" i="14"/>
  <c r="F31" i="14"/>
  <c r="F20" i="14"/>
  <c r="F16" i="14"/>
  <c r="F13" i="14"/>
  <c r="V41" i="14"/>
  <c r="V40" i="21" l="1"/>
  <c r="V37" i="15"/>
  <c r="F18" i="15"/>
  <c r="F10" i="27"/>
  <c r="F32" i="5" l="1"/>
  <c r="F20" i="5"/>
  <c r="F16" i="5"/>
  <c r="F11" i="5"/>
  <c r="V37" i="5"/>
  <c r="F36" i="6"/>
  <c r="F20" i="6"/>
  <c r="V41" i="6"/>
  <c r="F33" i="7"/>
  <c r="F27" i="7"/>
  <c r="V40" i="7"/>
  <c r="F18" i="13"/>
  <c r="V37" i="13"/>
  <c r="F19" i="27"/>
  <c r="V30" i="27"/>
  <c r="V37" i="9"/>
  <c r="V42" i="10"/>
  <c r="U42" i="10"/>
  <c r="F24" i="25"/>
  <c r="V41" i="25"/>
  <c r="V33" i="23"/>
  <c r="F39" i="20"/>
  <c r="F36" i="20"/>
  <c r="F24" i="20"/>
  <c r="V40" i="20"/>
  <c r="V37" i="3" l="1"/>
  <c r="F8" i="3" l="1"/>
  <c r="F32" i="19"/>
  <c r="F22" i="19"/>
  <c r="V38" i="19"/>
  <c r="F38" i="4"/>
  <c r="F35" i="4"/>
  <c r="F31" i="4"/>
  <c r="F17" i="4"/>
  <c r="V41" i="4"/>
  <c r="F26" i="8"/>
  <c r="V35" i="8"/>
  <c r="V32" i="1"/>
  <c r="V38" i="28"/>
  <c r="F15" i="20" l="1"/>
  <c r="U40" i="20"/>
  <c r="U38" i="2"/>
  <c r="U33" i="23"/>
  <c r="F9" i="7"/>
  <c r="U40" i="7"/>
  <c r="F13" i="21"/>
  <c r="U40" i="21"/>
  <c r="F19" i="5"/>
  <c r="U37" i="5"/>
  <c r="U41" i="4" l="1"/>
  <c r="U41" i="14"/>
  <c r="U37" i="15"/>
  <c r="U35" i="8"/>
  <c r="U30" i="27"/>
  <c r="U37" i="13"/>
  <c r="F13" i="19"/>
  <c r="U38" i="19"/>
  <c r="F38" i="6"/>
  <c r="U41" i="6"/>
  <c r="U38" i="28"/>
  <c r="U41" i="25"/>
  <c r="F17" i="1"/>
  <c r="U32" i="1"/>
  <c r="U37" i="9" l="1"/>
  <c r="F29" i="3"/>
  <c r="F14" i="3"/>
  <c r="U37" i="3"/>
  <c r="T40" i="7" l="1"/>
  <c r="F10" i="7"/>
  <c r="T33" i="23"/>
  <c r="F18" i="27"/>
  <c r="T30" i="27"/>
  <c r="T37" i="13"/>
  <c r="F23" i="5"/>
  <c r="T37" i="5"/>
  <c r="T38" i="2" l="1"/>
  <c r="F35" i="5"/>
  <c r="F34" i="14"/>
  <c r="T41" i="14"/>
  <c r="T38" i="28"/>
  <c r="F22" i="15" l="1"/>
  <c r="T37" i="15"/>
  <c r="T37" i="9"/>
  <c r="F40" i="6"/>
  <c r="F37" i="6"/>
  <c r="T41" i="6"/>
  <c r="F29" i="6"/>
  <c r="F21" i="6"/>
  <c r="F26" i="25"/>
  <c r="T41" i="25"/>
  <c r="F10" i="10"/>
  <c r="T42" i="10"/>
  <c r="T40" i="21"/>
  <c r="F21" i="19"/>
  <c r="T38" i="19"/>
  <c r="T40" i="20"/>
  <c r="F30" i="1"/>
  <c r="F13" i="1"/>
  <c r="T32" i="1"/>
  <c r="T35" i="8"/>
  <c r="F18" i="3" l="1"/>
  <c r="T37" i="3"/>
  <c r="F10" i="4"/>
  <c r="T41" i="4"/>
  <c r="S37" i="5" l="1"/>
  <c r="S37" i="3"/>
  <c r="S40" i="20"/>
  <c r="F8" i="7"/>
  <c r="S40" i="7"/>
  <c r="S41" i="4"/>
  <c r="F32" i="2"/>
  <c r="F11" i="2"/>
  <c r="S38" i="2"/>
  <c r="S30" i="27" l="1"/>
  <c r="F30" i="15"/>
  <c r="S37" i="15"/>
  <c r="F18" i="21"/>
  <c r="S40" i="21"/>
  <c r="S33" i="23"/>
  <c r="S38" i="19"/>
  <c r="F16" i="9"/>
  <c r="S37" i="9"/>
  <c r="F26" i="13"/>
  <c r="S37" i="13"/>
  <c r="F28" i="6"/>
  <c r="S41" i="6"/>
  <c r="S41" i="25"/>
  <c r="S35" i="8"/>
  <c r="F24" i="10"/>
  <c r="F16" i="10"/>
  <c r="S42" i="10"/>
  <c r="S32" i="1"/>
  <c r="S41" i="14" l="1"/>
  <c r="S38" i="28"/>
  <c r="O38" i="19" l="1"/>
  <c r="F26" i="19"/>
  <c r="F19" i="4"/>
  <c r="O41" i="4"/>
  <c r="F13" i="3" l="1"/>
  <c r="R38" i="2"/>
  <c r="R38" i="19"/>
  <c r="R38" i="28"/>
  <c r="F27" i="20"/>
  <c r="R40" i="20"/>
  <c r="R41" i="6"/>
  <c r="R41" i="4"/>
  <c r="R37" i="9" l="1"/>
  <c r="R42" i="10"/>
  <c r="F24" i="23"/>
  <c r="F21" i="23"/>
  <c r="R33" i="23"/>
  <c r="R37" i="13"/>
  <c r="F15" i="7"/>
  <c r="F12" i="7"/>
  <c r="R40" i="7"/>
  <c r="F25" i="27"/>
  <c r="R30" i="27"/>
  <c r="R41" i="25"/>
  <c r="R37" i="3"/>
  <c r="R35" i="8"/>
  <c r="R40" i="21"/>
  <c r="R37" i="15"/>
  <c r="R37" i="5"/>
  <c r="F31" i="1" l="1"/>
  <c r="R32" i="1"/>
  <c r="R41" i="14"/>
  <c r="F34" i="5" l="1"/>
  <c r="F24" i="5"/>
  <c r="Q37" i="5" l="1"/>
  <c r="F9" i="14" l="1"/>
  <c r="Q41" i="14"/>
  <c r="Q35" i="8"/>
  <c r="Q40" i="21"/>
  <c r="F34" i="28"/>
  <c r="Q38" i="28"/>
  <c r="Q37" i="13"/>
  <c r="F36" i="9"/>
  <c r="Q37" i="9"/>
  <c r="Q41" i="4"/>
  <c r="Q30" i="27"/>
  <c r="Q32" i="1"/>
  <c r="Q38" i="2"/>
  <c r="Q41" i="6"/>
  <c r="Q41" i="25"/>
  <c r="Q40" i="7"/>
  <c r="Q40" i="20" l="1"/>
  <c r="F34" i="15"/>
  <c r="P37" i="15"/>
  <c r="Q37" i="15"/>
  <c r="F23" i="10" l="1"/>
  <c r="F13" i="10"/>
  <c r="Q42" i="10"/>
  <c r="Q37" i="3"/>
  <c r="F23" i="19"/>
  <c r="Q38" i="19"/>
  <c r="F25" i="23"/>
  <c r="Q33" i="23"/>
  <c r="F21" i="9" l="1"/>
  <c r="F26" i="23"/>
  <c r="F25" i="4" l="1"/>
  <c r="P41" i="4"/>
  <c r="F16" i="4"/>
  <c r="P41" i="14"/>
  <c r="P37" i="9"/>
  <c r="P40" i="7"/>
  <c r="P35" i="8"/>
  <c r="P38" i="2"/>
  <c r="P38" i="28" l="1"/>
  <c r="P42" i="10"/>
  <c r="P33" i="23"/>
  <c r="F28" i="25"/>
  <c r="F8" i="25"/>
  <c r="P41" i="25"/>
  <c r="P38" i="19"/>
  <c r="F18" i="6"/>
  <c r="P41" i="6"/>
  <c r="P40" i="21"/>
  <c r="F14" i="27"/>
  <c r="P30" i="27"/>
  <c r="P37" i="5"/>
  <c r="F22" i="1"/>
  <c r="F7" i="1"/>
  <c r="P32" i="1"/>
  <c r="P37" i="13"/>
  <c r="F35" i="20" l="1"/>
  <c r="P40" i="20"/>
  <c r="F21" i="3"/>
  <c r="P37" i="3"/>
  <c r="F20" i="2" l="1"/>
  <c r="O38" i="2"/>
  <c r="O32" i="1"/>
  <c r="O37" i="5"/>
  <c r="O33" i="23"/>
  <c r="F37" i="7"/>
  <c r="O40" i="7"/>
  <c r="F17" i="8"/>
  <c r="O35" i="8"/>
  <c r="O41" i="14"/>
  <c r="F25" i="20"/>
  <c r="O40" i="20"/>
  <c r="F30" i="10" l="1"/>
  <c r="O42" i="10"/>
  <c r="O30" i="27"/>
  <c r="O40" i="21"/>
  <c r="O41" i="25"/>
  <c r="O37" i="13"/>
  <c r="O38" i="28"/>
  <c r="O37" i="15"/>
  <c r="O37" i="3"/>
  <c r="F25" i="9" l="1"/>
  <c r="O37" i="9"/>
  <c r="F10" i="6"/>
  <c r="O41" i="6"/>
  <c r="M38" i="19" l="1"/>
  <c r="M41" i="6"/>
  <c r="M41" i="4" l="1"/>
  <c r="N41" i="4"/>
  <c r="N37" i="5"/>
  <c r="F22" i="8"/>
  <c r="N35" i="8"/>
  <c r="F31" i="9"/>
  <c r="N37" i="9"/>
  <c r="N40" i="20"/>
  <c r="N40" i="21"/>
  <c r="N38" i="28"/>
  <c r="F33" i="2"/>
  <c r="N38" i="2"/>
  <c r="N41" i="25" l="1"/>
  <c r="N41" i="14"/>
  <c r="N30" i="27"/>
  <c r="N33" i="23"/>
  <c r="F32" i="10"/>
  <c r="F9" i="10"/>
  <c r="N42" i="10"/>
  <c r="N37" i="13"/>
  <c r="F12" i="3"/>
  <c r="N37" i="3"/>
  <c r="N40" i="7"/>
  <c r="N32" i="1"/>
  <c r="N38" i="19"/>
  <c r="N41" i="6" l="1"/>
  <c r="N37" i="15"/>
  <c r="M40" i="20" l="1"/>
  <c r="F9" i="9"/>
  <c r="M37" i="9"/>
  <c r="M38" i="2" l="1"/>
  <c r="M42" i="10"/>
  <c r="F13" i="13"/>
  <c r="M37" i="13"/>
  <c r="F35" i="3"/>
  <c r="M37" i="3"/>
  <c r="M40" i="7"/>
  <c r="F39" i="4"/>
  <c r="M41" i="14"/>
  <c r="M30" i="27"/>
  <c r="M33" i="23"/>
  <c r="M35" i="8"/>
  <c r="L35" i="8"/>
  <c r="M37" i="5"/>
  <c r="M41" i="25"/>
  <c r="F35" i="21" l="1"/>
  <c r="M40" i="21"/>
  <c r="M32" i="1"/>
  <c r="M37" i="15"/>
  <c r="F33" i="28"/>
  <c r="F27" i="28"/>
  <c r="M38" i="28"/>
  <c r="L37" i="3" l="1"/>
  <c r="L38" i="2"/>
  <c r="L38" i="19" l="1"/>
  <c r="L37" i="5"/>
  <c r="L40" i="20"/>
  <c r="L42" i="10"/>
  <c r="L40" i="7"/>
  <c r="F23" i="9" l="1"/>
  <c r="L37" i="9"/>
  <c r="L33" i="23"/>
  <c r="L41" i="4"/>
  <c r="L37" i="13"/>
  <c r="L30" i="27" l="1"/>
  <c r="L40" i="21"/>
  <c r="F37" i="25"/>
  <c r="L41" i="25"/>
  <c r="L38" i="28"/>
  <c r="K32" i="1"/>
  <c r="L32" i="1"/>
  <c r="L37" i="15"/>
  <c r="L41" i="6" l="1"/>
  <c r="L41" i="14"/>
  <c r="K38" i="19" l="1"/>
  <c r="G30" i="27" l="1"/>
  <c r="F16" i="25"/>
  <c r="G41" i="25"/>
  <c r="F9" i="13" l="1"/>
  <c r="K37" i="13"/>
  <c r="K38" i="2"/>
  <c r="K41" i="14"/>
  <c r="K40" i="20"/>
  <c r="K30" i="27"/>
  <c r="K37" i="15" l="1"/>
  <c r="K42" i="10"/>
  <c r="K40" i="21"/>
  <c r="K41" i="4"/>
  <c r="K37" i="5"/>
  <c r="F30" i="9"/>
  <c r="F28" i="9"/>
  <c r="K37" i="9"/>
  <c r="K38" i="28"/>
  <c r="K35" i="8"/>
  <c r="K33" i="23"/>
  <c r="F31" i="25"/>
  <c r="K41" i="25"/>
  <c r="K41" i="6"/>
  <c r="K37" i="3"/>
  <c r="K40" i="7"/>
  <c r="F19" i="8" l="1"/>
  <c r="F30" i="23"/>
  <c r="F12" i="20"/>
  <c r="F29" i="8"/>
  <c r="G35" i="8"/>
  <c r="F27" i="3"/>
  <c r="G37" i="3"/>
  <c r="F12" i="5"/>
  <c r="G37" i="5"/>
  <c r="G42" i="10"/>
  <c r="G37" i="15"/>
  <c r="F35" i="7"/>
  <c r="G40" i="7"/>
  <c r="G41" i="14"/>
  <c r="F34" i="13"/>
  <c r="G37" i="13"/>
  <c r="G33" i="23"/>
  <c r="F27" i="2"/>
  <c r="G38" i="2"/>
  <c r="G40" i="20"/>
  <c r="F11" i="4"/>
  <c r="G41" i="4"/>
  <c r="G38" i="28"/>
  <c r="F8" i="9"/>
  <c r="G37" i="9"/>
  <c r="G40" i="21"/>
  <c r="G38" i="19"/>
  <c r="G32" i="1"/>
  <c r="G41" i="6"/>
  <c r="F25" i="28" l="1"/>
  <c r="F15" i="21"/>
  <c r="F10" i="21"/>
  <c r="F34" i="20"/>
  <c r="F24" i="19"/>
  <c r="F12" i="15"/>
  <c r="F24" i="13" l="1"/>
  <c r="F8" i="8" l="1"/>
  <c r="F30" i="7"/>
  <c r="F29" i="1" l="1"/>
  <c r="I32" i="1"/>
  <c r="J32" i="1"/>
  <c r="J40" i="20"/>
  <c r="J38" i="19"/>
  <c r="J40" i="7"/>
  <c r="J37" i="13"/>
  <c r="J37" i="5"/>
  <c r="J42" i="10"/>
  <c r="J41" i="14"/>
  <c r="J35" i="8"/>
  <c r="J37" i="15"/>
  <c r="J30" i="27"/>
  <c r="J41" i="6"/>
  <c r="J37" i="9"/>
  <c r="J41" i="25"/>
  <c r="J41" i="4"/>
  <c r="J38" i="28"/>
  <c r="J37" i="3"/>
  <c r="J33" i="23"/>
  <c r="J38" i="2"/>
  <c r="J40" i="21"/>
  <c r="I41" i="25"/>
  <c r="I38" i="2"/>
  <c r="I37" i="5"/>
  <c r="I35" i="8"/>
  <c r="I40" i="7"/>
  <c r="I41" i="6"/>
  <c r="I40" i="20"/>
  <c r="I42" i="10"/>
  <c r="I40" i="21"/>
  <c r="I37" i="13"/>
  <c r="I33" i="23"/>
  <c r="I41" i="4"/>
  <c r="I38" i="28"/>
  <c r="I30" i="27"/>
  <c r="I37" i="15"/>
  <c r="I38" i="19"/>
  <c r="I41" i="14"/>
  <c r="I37" i="3"/>
  <c r="I37" i="9"/>
  <c r="H30" i="27"/>
  <c r="H32" i="1"/>
  <c r="H37" i="13"/>
  <c r="H35" i="8"/>
  <c r="H38" i="2"/>
  <c r="H37" i="15"/>
  <c r="H37" i="9"/>
  <c r="H41" i="14"/>
  <c r="H42" i="10"/>
  <c r="H33" i="23"/>
  <c r="H41" i="4"/>
  <c r="H41" i="25"/>
  <c r="H37" i="3"/>
  <c r="H40" i="21"/>
  <c r="H38" i="19"/>
  <c r="H38" i="28"/>
  <c r="H40" i="7"/>
  <c r="H37" i="5"/>
  <c r="H41" i="6"/>
  <c r="H40" i="20" l="1"/>
</calcChain>
</file>

<file path=xl/sharedStrings.xml><?xml version="1.0" encoding="utf-8"?>
<sst xmlns="http://schemas.openxmlformats.org/spreadsheetml/2006/main" count="5780" uniqueCount="1044">
  <si>
    <t>Paris SG</t>
  </si>
  <si>
    <t>Olympique de Marseille</t>
  </si>
  <si>
    <t>Effectif</t>
  </si>
  <si>
    <t>Poste</t>
  </si>
  <si>
    <t>Nom</t>
  </si>
  <si>
    <t>Buts</t>
  </si>
  <si>
    <t>Moyenne</t>
  </si>
  <si>
    <t>Tit.</t>
  </si>
  <si>
    <t>G</t>
  </si>
  <si>
    <t>Sirigu</t>
  </si>
  <si>
    <t>Douchez</t>
  </si>
  <si>
    <t>D</t>
  </si>
  <si>
    <t>Thiago Silva</t>
  </si>
  <si>
    <t>Marquinhos</t>
  </si>
  <si>
    <t>Maxwell</t>
  </si>
  <si>
    <t>Van der Wiel</t>
  </si>
  <si>
    <t>Jallet</t>
  </si>
  <si>
    <t>Conte</t>
  </si>
  <si>
    <t>T. Motta</t>
  </si>
  <si>
    <t>Bodmer</t>
  </si>
  <si>
    <t>Matuidi</t>
  </si>
  <si>
    <t>Chantôme</t>
  </si>
  <si>
    <t>Verratti</t>
  </si>
  <si>
    <t>Rabiot</t>
  </si>
  <si>
    <t>Pastore</t>
  </si>
  <si>
    <t>Lucas</t>
  </si>
  <si>
    <t>Cavani</t>
  </si>
  <si>
    <t>Ibrahimovic</t>
  </si>
  <si>
    <t>Lavezzi</t>
  </si>
  <si>
    <t>M</t>
  </si>
  <si>
    <t>A</t>
  </si>
  <si>
    <t>Mandanda</t>
  </si>
  <si>
    <t>Samba</t>
  </si>
  <si>
    <t>Nkoulou</t>
  </si>
  <si>
    <t>Morel</t>
  </si>
  <si>
    <t>B. Mendy</t>
  </si>
  <si>
    <t>Abdullah</t>
  </si>
  <si>
    <t>Romao</t>
  </si>
  <si>
    <t>Omrani</t>
  </si>
  <si>
    <t>Olympique lyonnais</t>
  </si>
  <si>
    <t>Lopes</t>
  </si>
  <si>
    <t>Gorgelin</t>
  </si>
  <si>
    <t>Zeffane</t>
  </si>
  <si>
    <t>B. Koné</t>
  </si>
  <si>
    <t>Bisevac</t>
  </si>
  <si>
    <t>S. Umtiti</t>
  </si>
  <si>
    <t>G. Fofana</t>
  </si>
  <si>
    <t>C. Grenier</t>
  </si>
  <si>
    <t>Ghezzal</t>
  </si>
  <si>
    <t>Ferri</t>
  </si>
  <si>
    <t>Malbranque</t>
  </si>
  <si>
    <t>Danic</t>
  </si>
  <si>
    <t>Gonalons</t>
  </si>
  <si>
    <t>Mvuemba</t>
  </si>
  <si>
    <t>Lacazette</t>
  </si>
  <si>
    <t>Gomis</t>
  </si>
  <si>
    <t>Hassen</t>
  </si>
  <si>
    <t>K. Gomis</t>
  </si>
  <si>
    <t>Genevois</t>
  </si>
  <si>
    <t>Ma. Traoré</t>
  </si>
  <si>
    <t>Bauthéac</t>
  </si>
  <si>
    <t>Eysseric</t>
  </si>
  <si>
    <t>Anin</t>
  </si>
  <si>
    <t>N. Mendy</t>
  </si>
  <si>
    <t>Pied</t>
  </si>
  <si>
    <t>Bosetti</t>
  </si>
  <si>
    <t>AS Saint-Etienne</t>
  </si>
  <si>
    <t>Ruffier</t>
  </si>
  <si>
    <t>Moulin</t>
  </si>
  <si>
    <t>Sall</t>
  </si>
  <si>
    <t>Clerc</t>
  </si>
  <si>
    <t>Brison</t>
  </si>
  <si>
    <t>Lille OSC</t>
  </si>
  <si>
    <t>Enyeama</t>
  </si>
  <si>
    <t>Elana</t>
  </si>
  <si>
    <t>Soumaoro</t>
  </si>
  <si>
    <t>Sidibé</t>
  </si>
  <si>
    <t>Béria</t>
  </si>
  <si>
    <t>Basa</t>
  </si>
  <si>
    <t>Balmont</t>
  </si>
  <si>
    <t>Gueye</t>
  </si>
  <si>
    <t>Delaplace</t>
  </si>
  <si>
    <t>Martin</t>
  </si>
  <si>
    <t>Meïté</t>
  </si>
  <si>
    <t>Mavuba</t>
  </si>
  <si>
    <t>Mendes</t>
  </si>
  <si>
    <t>Rodelin</t>
  </si>
  <si>
    <t>Roux</t>
  </si>
  <si>
    <t>Araujo</t>
  </si>
  <si>
    <t>Perrin</t>
  </si>
  <si>
    <t>F. Pogba</t>
  </si>
  <si>
    <t>Bamba</t>
  </si>
  <si>
    <t>Clément</t>
  </si>
  <si>
    <t>Cohade</t>
  </si>
  <si>
    <t>Corgnet</t>
  </si>
  <si>
    <t>Diomandé</t>
  </si>
  <si>
    <t>Hamouma</t>
  </si>
  <si>
    <t>Lemoine</t>
  </si>
  <si>
    <t>Brandao</t>
  </si>
  <si>
    <t>Entrée</t>
  </si>
  <si>
    <t>M. L1</t>
  </si>
  <si>
    <t>L1</t>
  </si>
  <si>
    <t>Carrasso</t>
  </si>
  <si>
    <t>L. Sané</t>
  </si>
  <si>
    <t>Poundjé</t>
  </si>
  <si>
    <t>Sertic</t>
  </si>
  <si>
    <t>B. Poko</t>
  </si>
  <si>
    <t>Plasil</t>
  </si>
  <si>
    <t>M. Belay</t>
  </si>
  <si>
    <t>Traoré</t>
  </si>
  <si>
    <t>Saivet</t>
  </si>
  <si>
    <t>Jussiê</t>
  </si>
  <si>
    <t>Diabaté</t>
  </si>
  <si>
    <t>Rolan</t>
  </si>
  <si>
    <t>FC Lorient</t>
  </si>
  <si>
    <t>Lecomte</t>
  </si>
  <si>
    <t>Gassama</t>
  </si>
  <si>
    <t>Guerreiro</t>
  </si>
  <si>
    <t>L. Koné</t>
  </si>
  <si>
    <t>Lautoa</t>
  </si>
  <si>
    <t>Barthelmé</t>
  </si>
  <si>
    <t>Jouffre</t>
  </si>
  <si>
    <t>Lemina</t>
  </si>
  <si>
    <t>Montpellier Hérault SC</t>
  </si>
  <si>
    <t>Jourdren</t>
  </si>
  <si>
    <t>Ligali</t>
  </si>
  <si>
    <t>Pionnier</t>
  </si>
  <si>
    <t>Congré</t>
  </si>
  <si>
    <t>Hilton</t>
  </si>
  <si>
    <t>J. Martin</t>
  </si>
  <si>
    <t>Marveaux</t>
  </si>
  <si>
    <t>Saihi</t>
  </si>
  <si>
    <t>Sanson</t>
  </si>
  <si>
    <t>Bakar</t>
  </si>
  <si>
    <t>Camara</t>
  </si>
  <si>
    <t>Charbonnier</t>
  </si>
  <si>
    <t>Toulouse FC</t>
  </si>
  <si>
    <t>Ahamada</t>
  </si>
  <si>
    <t>Akpa-Akpro</t>
  </si>
  <si>
    <t>M'Bengue</t>
  </si>
  <si>
    <t>Spajic</t>
  </si>
  <si>
    <t>Aurier</t>
  </si>
  <si>
    <t>Yago</t>
  </si>
  <si>
    <t>Ninkov</t>
  </si>
  <si>
    <t>Didot</t>
  </si>
  <si>
    <t>Sirieix</t>
  </si>
  <si>
    <t>Regattin</t>
  </si>
  <si>
    <t>Trejo</t>
  </si>
  <si>
    <t>Roman</t>
  </si>
  <si>
    <t>Ben Yedder</t>
  </si>
  <si>
    <t>Zaniou</t>
  </si>
  <si>
    <t>Leca</t>
  </si>
  <si>
    <t>Da Silva</t>
  </si>
  <si>
    <t>&lt;</t>
  </si>
  <si>
    <t>entré en cours de match</t>
  </si>
  <si>
    <t>Note &gt; 7</t>
  </si>
  <si>
    <t>Note &lt; 3</t>
  </si>
  <si>
    <t>SC Bastia</t>
  </si>
  <si>
    <t>Vincensini</t>
  </si>
  <si>
    <t>Cioni</t>
  </si>
  <si>
    <t>Djiku</t>
  </si>
  <si>
    <t>Modesto</t>
  </si>
  <si>
    <t>Squillaci</t>
  </si>
  <si>
    <t>André</t>
  </si>
  <si>
    <t>Cahuzac</t>
  </si>
  <si>
    <t>Abd. Keita</t>
  </si>
  <si>
    <t>Khazri</t>
  </si>
  <si>
    <t>Palmieri</t>
  </si>
  <si>
    <t>Achilli</t>
  </si>
  <si>
    <t>Raspentino</t>
  </si>
  <si>
    <t>Stade Rennais FC</t>
  </si>
  <si>
    <t>Costil</t>
  </si>
  <si>
    <t>N'Diaye</t>
  </si>
  <si>
    <t>Armand</t>
  </si>
  <si>
    <t>Danzé</t>
  </si>
  <si>
    <t>Jebbour</t>
  </si>
  <si>
    <t>Kana-Biyik</t>
  </si>
  <si>
    <t>Moreira</t>
  </si>
  <si>
    <t>Alessandrini</t>
  </si>
  <si>
    <t>Doucouré</t>
  </si>
  <si>
    <t>Féret</t>
  </si>
  <si>
    <t>Hunou</t>
  </si>
  <si>
    <t>Ngando</t>
  </si>
  <si>
    <t>Pajot</t>
  </si>
  <si>
    <t>Stade de Reims</t>
  </si>
  <si>
    <t>Agassa</t>
  </si>
  <si>
    <t>Placide</t>
  </si>
  <si>
    <t>Fofana</t>
  </si>
  <si>
    <t>Glombard</t>
  </si>
  <si>
    <t>Mandi</t>
  </si>
  <si>
    <t>Signorino</t>
  </si>
  <si>
    <t>Tacalfred</t>
  </si>
  <si>
    <t>Weber</t>
  </si>
  <si>
    <t>Devaux</t>
  </si>
  <si>
    <t>Fortes</t>
  </si>
  <si>
    <t>Oniangue</t>
  </si>
  <si>
    <t>De Préville</t>
  </si>
  <si>
    <t>Diego</t>
  </si>
  <si>
    <t>Corchia</t>
  </si>
  <si>
    <t>Peybernes</t>
  </si>
  <si>
    <t>Boudebouz</t>
  </si>
  <si>
    <t>Privat</t>
  </si>
  <si>
    <t>Dja Djedje</t>
  </si>
  <si>
    <t>Lasne</t>
  </si>
  <si>
    <t>FC Nantes</t>
  </si>
  <si>
    <t>Dupé</t>
  </si>
  <si>
    <t>Riou</t>
  </si>
  <si>
    <t>Djidji</t>
  </si>
  <si>
    <t>Vizcarrondo</t>
  </si>
  <si>
    <t>Bedoya</t>
  </si>
  <si>
    <t>Deaux</t>
  </si>
  <si>
    <t>Touré</t>
  </si>
  <si>
    <t>Aristeguieta</t>
  </si>
  <si>
    <t>Bangoura</t>
  </si>
  <si>
    <t>Bedimo</t>
  </si>
  <si>
    <t>AS Monaco</t>
  </si>
  <si>
    <t>Subasic</t>
  </si>
  <si>
    <t>Carvalho</t>
  </si>
  <si>
    <t>Fabinho</t>
  </si>
  <si>
    <t>Kurzawa</t>
  </si>
  <si>
    <t>Raggi</t>
  </si>
  <si>
    <t>Dirar</t>
  </si>
  <si>
    <t>Moutinho</t>
  </si>
  <si>
    <t>Ocampos</t>
  </si>
  <si>
    <t>Toulalan</t>
  </si>
  <si>
    <t>Falcao</t>
  </si>
  <si>
    <t>Germain</t>
  </si>
  <si>
    <t>Tolisso</t>
  </si>
  <si>
    <t>Entrées</t>
  </si>
  <si>
    <t>Constant</t>
  </si>
  <si>
    <t>B. Touré</t>
  </si>
  <si>
    <t>A. Touré</t>
  </si>
  <si>
    <t>Bahebeck</t>
  </si>
  <si>
    <t>Samassa</t>
  </si>
  <si>
    <t>Lemaître</t>
  </si>
  <si>
    <t>Lévêque</t>
  </si>
  <si>
    <t>Sankoh</t>
  </si>
  <si>
    <t>Sorbon</t>
  </si>
  <si>
    <t>Beauvue</t>
  </si>
  <si>
    <t>M. Diallo</t>
  </si>
  <si>
    <t>Giresse</t>
  </si>
  <si>
    <t>Kerbrat</t>
  </si>
  <si>
    <t>Mathis</t>
  </si>
  <si>
    <t>Sankharé</t>
  </si>
  <si>
    <t>Alioui</t>
  </si>
  <si>
    <t>En Avant Guingamp</t>
  </si>
  <si>
    <t>Bakayoko</t>
  </si>
  <si>
    <t>Pelé</t>
  </si>
  <si>
    <t>Buteur ou clean sheet</t>
  </si>
  <si>
    <t>Braithwaite</t>
  </si>
  <si>
    <t>Fekir</t>
  </si>
  <si>
    <t>Aguilar</t>
  </si>
  <si>
    <t>Moubandjé</t>
  </si>
  <si>
    <t>Deza</t>
  </si>
  <si>
    <t>Benrahma</t>
  </si>
  <si>
    <t>Pléa</t>
  </si>
  <si>
    <t>Borja Lopez</t>
  </si>
  <si>
    <t>Honorat</t>
  </si>
  <si>
    <t>Chaigneau</t>
  </si>
  <si>
    <t>Dos Santos</t>
  </si>
  <si>
    <t>Audel</t>
  </si>
  <si>
    <t>Pellenard</t>
  </si>
  <si>
    <t>Peuget</t>
  </si>
  <si>
    <t>Toivonen</t>
  </si>
  <si>
    <t>Crivelli</t>
  </si>
  <si>
    <t>Ntep</t>
  </si>
  <si>
    <t>Grosicki</t>
  </si>
  <si>
    <t>Maury</t>
  </si>
  <si>
    <t>Furman</t>
  </si>
  <si>
    <t>Hassani</t>
  </si>
  <si>
    <t>Deplagne</t>
  </si>
  <si>
    <t>Veskovac</t>
  </si>
  <si>
    <t>Alhadhur</t>
  </si>
  <si>
    <t>Kaabouni</t>
  </si>
  <si>
    <t>Y. Koné</t>
  </si>
  <si>
    <t>Rafetraniaina</t>
  </si>
  <si>
    <t>Echiejile</t>
  </si>
  <si>
    <t>P. Puel</t>
  </si>
  <si>
    <t>Batshuayi</t>
  </si>
  <si>
    <t>Jeannot</t>
  </si>
  <si>
    <t>Mesloub</t>
  </si>
  <si>
    <t>David Luiz</t>
  </si>
  <si>
    <t>Hult</t>
  </si>
  <si>
    <t>Vercauteren</t>
  </si>
  <si>
    <t>Monnet-Paquet</t>
  </si>
  <si>
    <t>Sala</t>
  </si>
  <si>
    <t>Pallois</t>
  </si>
  <si>
    <t>Pesic</t>
  </si>
  <si>
    <t>Grigore</t>
  </si>
  <si>
    <t>Spano</t>
  </si>
  <si>
    <t>Maboulou</t>
  </si>
  <si>
    <t>Ayité</t>
  </si>
  <si>
    <t>Kikabidze</t>
  </si>
  <si>
    <t>Mexer</t>
  </si>
  <si>
    <t>Henrique</t>
  </si>
  <si>
    <t>Hosiner</t>
  </si>
  <si>
    <t>Zajkov</t>
  </si>
  <si>
    <t>Sorin</t>
  </si>
  <si>
    <t>Bourillon</t>
  </si>
  <si>
    <t>L. Traoré</t>
  </si>
  <si>
    <t>Schwartz</t>
  </si>
  <si>
    <t>Jacobsen</t>
  </si>
  <si>
    <t>Baca</t>
  </si>
  <si>
    <t>Lössl</t>
  </si>
  <si>
    <t>Cardy</t>
  </si>
  <si>
    <t>SM Caen</t>
  </si>
  <si>
    <t>Reulet</t>
  </si>
  <si>
    <t>Vercoutre</t>
  </si>
  <si>
    <t>Adéoti</t>
  </si>
  <si>
    <t>Appiah</t>
  </si>
  <si>
    <t>Imorou</t>
  </si>
  <si>
    <t>Bazile</t>
  </si>
  <si>
    <t>Beaulieu</t>
  </si>
  <si>
    <t>Raineau</t>
  </si>
  <si>
    <t>Seube</t>
  </si>
  <si>
    <t>Nangis</t>
  </si>
  <si>
    <t>Yahia</t>
  </si>
  <si>
    <t>Le Goff</t>
  </si>
  <si>
    <t>Moukandjo</t>
  </si>
  <si>
    <t>Gissi</t>
  </si>
  <si>
    <t>Brüls</t>
  </si>
  <si>
    <t>Prcic</t>
  </si>
  <si>
    <t>Pouplin</t>
  </si>
  <si>
    <t>Rose</t>
  </si>
  <si>
    <t>Matheus</t>
  </si>
  <si>
    <t>Bodiger</t>
  </si>
  <si>
    <t>Mollo</t>
  </si>
  <si>
    <t>Bammou</t>
  </si>
  <si>
    <t>Kamano</t>
  </si>
  <si>
    <t>Sparagna</t>
  </si>
  <si>
    <t>Berigaud</t>
  </si>
  <si>
    <t>Ribelin</t>
  </si>
  <si>
    <t>Wachter</t>
  </si>
  <si>
    <t>Lavigne</t>
  </si>
  <si>
    <t>G. Fernandes</t>
  </si>
  <si>
    <t>Butez</t>
  </si>
  <si>
    <t>Barrada</t>
  </si>
  <si>
    <t>Fenouche</t>
  </si>
  <si>
    <t>Cardinale</t>
  </si>
  <si>
    <t>Porsan</t>
  </si>
  <si>
    <t>Contento</t>
  </si>
  <si>
    <t>Silva</t>
  </si>
  <si>
    <t>Théophile-Catherine</t>
  </si>
  <si>
    <t>Valette</t>
  </si>
  <si>
    <t>Angoua</t>
  </si>
  <si>
    <t>Diagne</t>
  </si>
  <si>
    <t>Doumbia</t>
  </si>
  <si>
    <t>N'Gog</t>
  </si>
  <si>
    <t>Bellugou</t>
  </si>
  <si>
    <t>Habibou</t>
  </si>
  <si>
    <t>Doria</t>
  </si>
  <si>
    <t>Frey</t>
  </si>
  <si>
    <t>Wallace</t>
  </si>
  <si>
    <t>Marange</t>
  </si>
  <si>
    <t>Garel</t>
  </si>
  <si>
    <t>Achahbar</t>
  </si>
  <si>
    <t>N'Dongala</t>
  </si>
  <si>
    <t>Kimpembé</t>
  </si>
  <si>
    <t>Rongier</t>
  </si>
  <si>
    <t>Yambére</t>
  </si>
  <si>
    <t>Iloki</t>
  </si>
  <si>
    <t>Notes L1 = Mon Petit Gazon</t>
  </si>
  <si>
    <t>Bouanga</t>
  </si>
  <si>
    <t>Koziello</t>
  </si>
  <si>
    <t>Aloé</t>
  </si>
  <si>
    <t>Andonian</t>
  </si>
  <si>
    <t>Mfulu</t>
  </si>
  <si>
    <t>Ben Ali</t>
  </si>
  <si>
    <t>Romain</t>
  </si>
  <si>
    <t>Koné</t>
  </si>
  <si>
    <t>Dabo</t>
  </si>
  <si>
    <t>Diallo</t>
  </si>
  <si>
    <t>Boutobba</t>
  </si>
  <si>
    <t>Salibur</t>
  </si>
  <si>
    <t>Gakpa</t>
  </si>
  <si>
    <t>FC Girondins de Bordeaux</t>
  </si>
  <si>
    <t>Blin</t>
  </si>
  <si>
    <t>Boufal</t>
  </si>
  <si>
    <t>Koubemba</t>
  </si>
  <si>
    <t>Thelin</t>
  </si>
  <si>
    <t>Cornet</t>
  </si>
  <si>
    <t>Pavard</t>
  </si>
  <si>
    <t>Siebatcheu</t>
  </si>
  <si>
    <t>Coco</t>
  </si>
  <si>
    <t>Lenjani</t>
  </si>
  <si>
    <t>Tuiloma</t>
  </si>
  <si>
    <t>Philippoteaux</t>
  </si>
  <si>
    <t>Ndong</t>
  </si>
  <si>
    <t>Niane</t>
  </si>
  <si>
    <t>Karamoko</t>
  </si>
  <si>
    <t>Houri</t>
  </si>
  <si>
    <t>Skhiri</t>
  </si>
  <si>
    <t>OGC Nice</t>
  </si>
  <si>
    <t>Guilbert</t>
  </si>
  <si>
    <t>Kyei</t>
  </si>
  <si>
    <t>Boscagli</t>
  </si>
  <si>
    <t>Dubois</t>
  </si>
  <si>
    <t>Wüthrich</t>
  </si>
  <si>
    <t>Machach</t>
  </si>
  <si>
    <t>Rémy</t>
  </si>
  <si>
    <t>ES Troyes AC</t>
  </si>
  <si>
    <t>Petric</t>
  </si>
  <si>
    <t>Dreyer</t>
  </si>
  <si>
    <t>Grandel</t>
  </si>
  <si>
    <t>Bernardoni</t>
  </si>
  <si>
    <t>Saunier</t>
  </si>
  <si>
    <t>Rincon</t>
  </si>
  <si>
    <t>Lacour</t>
  </si>
  <si>
    <t>Martins-Pereira</t>
  </si>
  <si>
    <t>Sylla</t>
  </si>
  <si>
    <t>Karaboué</t>
  </si>
  <si>
    <t>Ayasse</t>
  </si>
  <si>
    <t>Court</t>
  </si>
  <si>
    <t>Darbion</t>
  </si>
  <si>
    <t>Nivet</t>
  </si>
  <si>
    <t>Thiago</t>
  </si>
  <si>
    <t>Ben Saada</t>
  </si>
  <si>
    <t>Azamoum</t>
  </si>
  <si>
    <t>Othon</t>
  </si>
  <si>
    <t>Hümmet</t>
  </si>
  <si>
    <t>Cabot</t>
  </si>
  <si>
    <t>Jean</t>
  </si>
  <si>
    <t>Bienvenu</t>
  </si>
  <si>
    <t>Gazelec Ajaccio</t>
  </si>
  <si>
    <t>Goda</t>
  </si>
  <si>
    <t>Andreu</t>
  </si>
  <si>
    <t>Filippi</t>
  </si>
  <si>
    <t>Bréchet</t>
  </si>
  <si>
    <t>Ducourtioux</t>
  </si>
  <si>
    <t>Youga</t>
  </si>
  <si>
    <t>Martinez</t>
  </si>
  <si>
    <t>Poggi</t>
  </si>
  <si>
    <t>Larbi</t>
  </si>
  <si>
    <t>Boutaïb</t>
  </si>
  <si>
    <t>Pujol</t>
  </si>
  <si>
    <t>Mayi</t>
  </si>
  <si>
    <t>SCO d'Angers</t>
  </si>
  <si>
    <t>Butelle</t>
  </si>
  <si>
    <t>Letellier</t>
  </si>
  <si>
    <t>Angoula</t>
  </si>
  <si>
    <t>Bouka Moutou</t>
  </si>
  <si>
    <t>Thomas</t>
  </si>
  <si>
    <t>Auriac</t>
  </si>
  <si>
    <t>Diers</t>
  </si>
  <si>
    <t>Eudeline</t>
  </si>
  <si>
    <t>Gomez</t>
  </si>
  <si>
    <t>Manceau</t>
  </si>
  <si>
    <t>Mangani</t>
  </si>
  <si>
    <t>N'Gosso</t>
  </si>
  <si>
    <t>Pessalli</t>
  </si>
  <si>
    <t>Ben Arfa</t>
  </si>
  <si>
    <t>Prior</t>
  </si>
  <si>
    <t>Thomasson</t>
  </si>
  <si>
    <t>Moimbé</t>
  </si>
  <si>
    <t>Seri</t>
  </si>
  <si>
    <t>Sissoko</t>
  </si>
  <si>
    <t>K. Traoré</t>
  </si>
  <si>
    <t>I. Traoré</t>
  </si>
  <si>
    <t>Nkoudou</t>
  </si>
  <si>
    <t>Ketkeophomphone</t>
  </si>
  <si>
    <t>Capelle</t>
  </si>
  <si>
    <t>De Pauw</t>
  </si>
  <si>
    <t>Sunu</t>
  </si>
  <si>
    <t>Le Joncour</t>
  </si>
  <si>
    <t>Rekik</t>
  </si>
  <si>
    <t>Sarr</t>
  </si>
  <si>
    <t>Trapp</t>
  </si>
  <si>
    <t>Sio</t>
  </si>
  <si>
    <t>Le Moigne</t>
  </si>
  <si>
    <t>Règles</t>
  </si>
  <si>
    <t>Stambouli</t>
  </si>
  <si>
    <t>Pedro Mendes</t>
  </si>
  <si>
    <t>Djokovic</t>
  </si>
  <si>
    <t>Pasalic</t>
  </si>
  <si>
    <t>Bahlouli</t>
  </si>
  <si>
    <t>Cavaleiro</t>
  </si>
  <si>
    <t>Carrillo</t>
  </si>
  <si>
    <t>El Shaarawy</t>
  </si>
  <si>
    <t>Maulun</t>
  </si>
  <si>
    <t>Assou-Ekotto</t>
  </si>
  <si>
    <t>Augustin</t>
  </si>
  <si>
    <t>Gajic</t>
  </si>
  <si>
    <t>Amadou</t>
  </si>
  <si>
    <t>Civelli</t>
  </si>
  <si>
    <t>Guirassy</t>
  </si>
  <si>
    <t>Obbadi</t>
  </si>
  <si>
    <t>Tallo</t>
  </si>
  <si>
    <t>Bulot</t>
  </si>
  <si>
    <t>Rafael</t>
  </si>
  <si>
    <t>Goicoechea</t>
  </si>
  <si>
    <t>Tisserand</t>
  </si>
  <si>
    <t>Bensebaini</t>
  </si>
  <si>
    <t>Mounié</t>
  </si>
  <si>
    <t>N'Doye</t>
  </si>
  <si>
    <t>Saïss</t>
  </si>
  <si>
    <t>Adryan</t>
  </si>
  <si>
    <t>Benezet</t>
  </si>
  <si>
    <t>Dembélé</t>
  </si>
  <si>
    <t>Pi</t>
  </si>
  <si>
    <t>Camus</t>
  </si>
  <si>
    <t>Coeff</t>
  </si>
  <si>
    <t>Nkololo</t>
  </si>
  <si>
    <t>Delort</t>
  </si>
  <si>
    <t>Le Marchand</t>
  </si>
  <si>
    <t>Baysse</t>
  </si>
  <si>
    <t>Coulibaly</t>
  </si>
  <si>
    <t>Maupay</t>
  </si>
  <si>
    <t>Bessat</t>
  </si>
  <si>
    <t>Baal</t>
  </si>
  <si>
    <t>Saïd</t>
  </si>
  <si>
    <t>Briand</t>
  </si>
  <si>
    <t>Valbuena</t>
  </si>
  <si>
    <t>Doré</t>
  </si>
  <si>
    <t>Nsamé</t>
  </si>
  <si>
    <t>Kwateng</t>
  </si>
  <si>
    <t>Mavinga</t>
  </si>
  <si>
    <t>Correia</t>
  </si>
  <si>
    <t>Guillaume</t>
  </si>
  <si>
    <t>Zoua</t>
  </si>
  <si>
    <t>Waris</t>
  </si>
  <si>
    <t>Roussillon</t>
  </si>
  <si>
    <t>Yanga-Mbiwa</t>
  </si>
  <si>
    <t>Wallyson</t>
  </si>
  <si>
    <t>A. Mendy</t>
  </si>
  <si>
    <t>Ben Youssef</t>
  </si>
  <si>
    <t>Louis</t>
  </si>
  <si>
    <t>Lemar</t>
  </si>
  <si>
    <t>Kankava</t>
  </si>
  <si>
    <t>Hansen</t>
  </si>
  <si>
    <t>Bègue</t>
  </si>
  <si>
    <t>Karanovic</t>
  </si>
  <si>
    <t>Manquillo</t>
  </si>
  <si>
    <t>Cabella</t>
  </si>
  <si>
    <t>Diarra</t>
  </si>
  <si>
    <t>Perea</t>
  </si>
  <si>
    <t>Polomat</t>
  </si>
  <si>
    <t>Soni</t>
  </si>
  <si>
    <t>Turan</t>
  </si>
  <si>
    <t>Cornette</t>
  </si>
  <si>
    <t>Mangane</t>
  </si>
  <si>
    <t>Dia</t>
  </si>
  <si>
    <t>Darder</t>
  </si>
  <si>
    <t>Di Maria</t>
  </si>
  <si>
    <t>Beric</t>
  </si>
  <si>
    <t>J02(D): LOSC</t>
  </si>
  <si>
    <t>J02(E ): ASM</t>
  </si>
  <si>
    <t>Bl.</t>
  </si>
  <si>
    <t>J02(D): FCGB</t>
  </si>
  <si>
    <t>J02(E ): ASSE</t>
  </si>
  <si>
    <t>J02(D): FCN</t>
  </si>
  <si>
    <t>J02(E ): SCO</t>
  </si>
  <si>
    <t>J02(D): OL</t>
  </si>
  <si>
    <t>J02(E ): EAG</t>
  </si>
  <si>
    <t>J02(D): OGCN</t>
  </si>
  <si>
    <t>Exc.</t>
  </si>
  <si>
    <t>&gt;</t>
  </si>
  <si>
    <t>J02(E ): ESTAC</t>
  </si>
  <si>
    <t>J02(D): TFC</t>
  </si>
  <si>
    <t>J02(E ): SMC</t>
  </si>
  <si>
    <t>Somalia</t>
  </si>
  <si>
    <t>J02(D): MHSC</t>
  </si>
  <si>
    <t>J02(E ): SRFC</t>
  </si>
  <si>
    <t>J02(D): OM</t>
  </si>
  <si>
    <t>J02(E ): SR</t>
  </si>
  <si>
    <t>J02(D): SCB</t>
  </si>
  <si>
    <t>J02(E ): FCL</t>
  </si>
  <si>
    <t>J02(D): GFCA</t>
  </si>
  <si>
    <t>J02(E ): PSG</t>
  </si>
  <si>
    <t>J03(D): PSG</t>
  </si>
  <si>
    <t>J03(E ): MHSC</t>
  </si>
  <si>
    <t>J03(D): SRFC</t>
  </si>
  <si>
    <t>J03(E ): OL</t>
  </si>
  <si>
    <t>J03(D): SR</t>
  </si>
  <si>
    <t>J03(E ): FCN</t>
  </si>
  <si>
    <t>J03(D): SCO</t>
  </si>
  <si>
    <t>J03(E ): GFCA</t>
  </si>
  <si>
    <t>J03(D): SMC</t>
  </si>
  <si>
    <t>J03(E ): OGCN</t>
  </si>
  <si>
    <t>J03(D): EAG</t>
  </si>
  <si>
    <t>J03(E ): SCB</t>
  </si>
  <si>
    <t>J03(D): ASM</t>
  </si>
  <si>
    <t>J03(E ): TFC</t>
  </si>
  <si>
    <t>J03(D): FCGB</t>
  </si>
  <si>
    <t>J03(E ): LOSC</t>
  </si>
  <si>
    <t>J03(D): ASSE</t>
  </si>
  <si>
    <t>J03(E ): FCL</t>
  </si>
  <si>
    <t>J03(D): OM</t>
  </si>
  <si>
    <t>J03(E ): OM</t>
  </si>
  <si>
    <t>J04(D): OM</t>
  </si>
  <si>
    <t>J04(E ): EAG</t>
  </si>
  <si>
    <t>J04(D): OL</t>
  </si>
  <si>
    <t>J04(E ): SMC</t>
  </si>
  <si>
    <t>J04(D): OGCN</t>
  </si>
  <si>
    <t>J04(D ): SCO</t>
  </si>
  <si>
    <t>J04(D): MHSC</t>
  </si>
  <si>
    <t>J04(E ): ESTAC</t>
  </si>
  <si>
    <t>J04(D): GFCA</t>
  </si>
  <si>
    <t>J04(E ): LOSC</t>
  </si>
  <si>
    <t>J04(D): FCL</t>
  </si>
  <si>
    <t>J04(E ): SR</t>
  </si>
  <si>
    <t>J04(D): TFC</t>
  </si>
  <si>
    <t>J04(D): SCB</t>
  </si>
  <si>
    <t>J04(E ): ASSE</t>
  </si>
  <si>
    <t>J04(D): FCN</t>
  </si>
  <si>
    <t>J04(E ): FCGB</t>
  </si>
  <si>
    <t>J04(D): PSG</t>
  </si>
  <si>
    <t>J04(E ): ASM</t>
  </si>
  <si>
    <t>Rolando</t>
  </si>
  <si>
    <t>De Ceglie</t>
  </si>
  <si>
    <t>Isla</t>
  </si>
  <si>
    <t>Lucas Silva</t>
  </si>
  <si>
    <t>Tousart</t>
  </si>
  <si>
    <t>Kemen</t>
  </si>
  <si>
    <t>Benzia</t>
  </si>
  <si>
    <t>Pablo</t>
  </si>
  <si>
    <t>Z. Touré</t>
  </si>
  <si>
    <t>Yatabaré</t>
  </si>
  <si>
    <t>(-1)</t>
  </si>
  <si>
    <t>Cana</t>
  </si>
  <si>
    <t>Sabaly</t>
  </si>
  <si>
    <t>Coentrao</t>
  </si>
  <si>
    <t>J01(D): PSG</t>
  </si>
  <si>
    <t>J01(E ): LOSC</t>
  </si>
  <si>
    <t>J01(D): EAG</t>
  </si>
  <si>
    <t>J01(E ): FCN</t>
  </si>
  <si>
    <t>J01(D): SCO</t>
  </si>
  <si>
    <t>J01(E ): MHSC</t>
  </si>
  <si>
    <t>J01(D): ASM</t>
  </si>
  <si>
    <t>J01(E ): OGCN</t>
  </si>
  <si>
    <t>J01(D): SMC</t>
  </si>
  <si>
    <t>J01(E ): OM</t>
  </si>
  <si>
    <t>J01(D): SRFC</t>
  </si>
  <si>
    <t>J01(E ): SCB</t>
  </si>
  <si>
    <t>J01(D): SR</t>
  </si>
  <si>
    <t>J01(E ): FCGB</t>
  </si>
  <si>
    <t>J01(D): ASSE</t>
  </si>
  <si>
    <t>J01(E ): TFC</t>
  </si>
  <si>
    <t>J01(D): FCL</t>
  </si>
  <si>
    <t>J01(E ): OL</t>
  </si>
  <si>
    <t>Mostefa</t>
  </si>
  <si>
    <t>J01(D): GFCA</t>
  </si>
  <si>
    <t>J01(E ): ESTAC</t>
  </si>
  <si>
    <t>J05(D): FCGB</t>
  </si>
  <si>
    <t>J05(E ): PSG</t>
  </si>
  <si>
    <t>J05(D): LOSC</t>
  </si>
  <si>
    <t>Kalulu</t>
  </si>
  <si>
    <t>J05(E ): OL</t>
  </si>
  <si>
    <t>Sunzu</t>
  </si>
  <si>
    <t>J05(D): SMC</t>
  </si>
  <si>
    <t>J05(E ): ESTAC</t>
  </si>
  <si>
    <t>Leborgne</t>
  </si>
  <si>
    <t>J05(D): SCO</t>
  </si>
  <si>
    <t>J05(E ): FCL</t>
  </si>
  <si>
    <t>J05(D): ASSE</t>
  </si>
  <si>
    <t>J05(E ): MHSC</t>
  </si>
  <si>
    <t>J05(D): EAG</t>
  </si>
  <si>
    <t>Ricardo Pereira</t>
  </si>
  <si>
    <t>Le Bihan</t>
  </si>
  <si>
    <t>J05(E ): OGCN</t>
  </si>
  <si>
    <t>J05(D): SR</t>
  </si>
  <si>
    <t>J05(E ): TFC</t>
  </si>
  <si>
    <t>J05(D): ASM</t>
  </si>
  <si>
    <t>J05(E ): GFCA</t>
  </si>
  <si>
    <t>J05(D): SRFC</t>
  </si>
  <si>
    <t>J05(E ): FCN</t>
  </si>
  <si>
    <t>J05(D): SCB</t>
  </si>
  <si>
    <t>J05(E ): OM</t>
  </si>
  <si>
    <t>Quintero</t>
  </si>
  <si>
    <t>Boga</t>
  </si>
  <si>
    <t>J06(D): LOSC</t>
  </si>
  <si>
    <t>J06(E ): SRFC</t>
  </si>
  <si>
    <t>Maignan</t>
  </si>
  <si>
    <t>J06(D): PSG</t>
  </si>
  <si>
    <t>J06(E ): SR</t>
  </si>
  <si>
    <t>J06(D): ESTAC</t>
  </si>
  <si>
    <t>Serin</t>
  </si>
  <si>
    <t>J06(E ): SCO</t>
  </si>
  <si>
    <t>Ngcongca</t>
  </si>
  <si>
    <t>J06(D): GFCA</t>
  </si>
  <si>
    <t>J06(E ): EAG</t>
  </si>
  <si>
    <t>J06(D): OGCN</t>
  </si>
  <si>
    <t>J06(E ): SCB</t>
  </si>
  <si>
    <t>J06(D): MHSC</t>
  </si>
  <si>
    <t>J06(E ): SMC</t>
  </si>
  <si>
    <t>J06(D): TFC</t>
  </si>
  <si>
    <t>J06(E ): FCGB</t>
  </si>
  <si>
    <t>J06(D): FCL</t>
  </si>
  <si>
    <t>Boschilia</t>
  </si>
  <si>
    <t>J06(E ): ASM</t>
  </si>
  <si>
    <t>J06(D): FCN</t>
  </si>
  <si>
    <t>Malcuit</t>
  </si>
  <si>
    <t>J06(E ): ASSE</t>
  </si>
  <si>
    <t>J06(D): OL</t>
  </si>
  <si>
    <t>Zambo Anguissa</t>
  </si>
  <si>
    <t>J06(E ): OM</t>
  </si>
  <si>
    <t>J07(D): SR</t>
  </si>
  <si>
    <t>J07(E ): SCO</t>
  </si>
  <si>
    <t>J07(D): EAG</t>
  </si>
  <si>
    <t>J07(E ): PSG</t>
  </si>
  <si>
    <t>J07(D): ASSE</t>
  </si>
  <si>
    <t>J07(E ): ESTAC</t>
  </si>
  <si>
    <t>J07(D): SMC</t>
  </si>
  <si>
    <t>J07(E ): FCL</t>
  </si>
  <si>
    <t>J07(D): SRFC</t>
  </si>
  <si>
    <t>J07(E ): GFCA</t>
  </si>
  <si>
    <t>J07(D): FCGB</t>
  </si>
  <si>
    <t>J07(E ): OGCN</t>
  </si>
  <si>
    <t>J07(D): SCB</t>
  </si>
  <si>
    <t>J07(E ): OL</t>
  </si>
  <si>
    <t>J07(D): OM</t>
  </si>
  <si>
    <t>J07(E ): TFC</t>
  </si>
  <si>
    <t>Mocio</t>
  </si>
  <si>
    <t>J07(D): ASM</t>
  </si>
  <si>
    <t>J07(E ): MHSC</t>
  </si>
  <si>
    <t>J07(E ): LOSC</t>
  </si>
  <si>
    <t>J07(D): FCN</t>
  </si>
  <si>
    <t>J08(D): LOSC</t>
  </si>
  <si>
    <t>J08(E ): SR</t>
  </si>
  <si>
    <t>J08(D): PSG</t>
  </si>
  <si>
    <t>J08(E ): FCN</t>
  </si>
  <si>
    <t>J08(D): OL</t>
  </si>
  <si>
    <t>J08(E ): FCGB</t>
  </si>
  <si>
    <t>J08(D): TFC</t>
  </si>
  <si>
    <t>J08(E ): SCB</t>
  </si>
  <si>
    <t>J08(D): GFCA</t>
  </si>
  <si>
    <t>J08(E ): SMC</t>
  </si>
  <si>
    <t>J08(D): ESTAC</t>
  </si>
  <si>
    <t>J08(E ): SRFC</t>
  </si>
  <si>
    <t>J08(D): SCO</t>
  </si>
  <si>
    <t>J08(E ): OM</t>
  </si>
  <si>
    <t>J08(D): ASM</t>
  </si>
  <si>
    <t>J08(E ): EAG</t>
  </si>
  <si>
    <t>J08(D): FCL</t>
  </si>
  <si>
    <t>J08(E ): MHSC</t>
  </si>
  <si>
    <t>Paye</t>
  </si>
  <si>
    <t>J08(D): OGCN</t>
  </si>
  <si>
    <t>J08(E ): ASSE</t>
  </si>
  <si>
    <t>Guivarch</t>
  </si>
  <si>
    <t>J09(D): MHSC</t>
  </si>
  <si>
    <t>J09(E ): LOSC</t>
  </si>
  <si>
    <t>J09(D): SR</t>
  </si>
  <si>
    <t>J09(E ): OL</t>
  </si>
  <si>
    <t>J09(D): SCB</t>
  </si>
  <si>
    <t>J09(E ): SCO</t>
  </si>
  <si>
    <t>J09(D): EAG</t>
  </si>
  <si>
    <t>J09(E ): ESTAC</t>
  </si>
  <si>
    <t>Héry</t>
  </si>
  <si>
    <t>J09(D): TFC</t>
  </si>
  <si>
    <t>J09(E ): GFCA</t>
  </si>
  <si>
    <t>J09(D): SRFC</t>
  </si>
  <si>
    <t>J09(E ): ASM</t>
  </si>
  <si>
    <t>J09(D): FCGB</t>
  </si>
  <si>
    <t>J09(E ): FCL</t>
  </si>
  <si>
    <t>Ounas</t>
  </si>
  <si>
    <t>J09(D): ASSE</t>
  </si>
  <si>
    <t>Ntibazonkiza</t>
  </si>
  <si>
    <t>J09(E ): SMC</t>
  </si>
  <si>
    <t>J09(D): OM</t>
  </si>
  <si>
    <t>J09(E ): PSG</t>
  </si>
  <si>
    <t>J10(E ): ASM</t>
  </si>
  <si>
    <t>J10(D): OL</t>
  </si>
  <si>
    <t>J10(D): PSG</t>
  </si>
  <si>
    <t>J10(E ): SCB</t>
  </si>
  <si>
    <t>J10(D): GFCA</t>
  </si>
  <si>
    <t>J10(E ): ASSE</t>
  </si>
  <si>
    <t>J10(D): LOSC</t>
  </si>
  <si>
    <t>J10(E ): EAG</t>
  </si>
  <si>
    <t>J10(D): ESTAC</t>
  </si>
  <si>
    <t>J09(E ): OGCN</t>
  </si>
  <si>
    <t>J10(E ): FCN</t>
  </si>
  <si>
    <t>J10(D): SMC</t>
  </si>
  <si>
    <t>J10(E ): SR</t>
  </si>
  <si>
    <t>J10(D): SCO</t>
  </si>
  <si>
    <t>J10(E ): TFC</t>
  </si>
  <si>
    <t>J10(D): FCL</t>
  </si>
  <si>
    <t>J10(E ): OM</t>
  </si>
  <si>
    <t>Mulumba</t>
  </si>
  <si>
    <t>J10(D): MHSC</t>
  </si>
  <si>
    <t>J10(E ): FCGB</t>
  </si>
  <si>
    <t>Ninga</t>
  </si>
  <si>
    <t>J10(D): OGCN</t>
  </si>
  <si>
    <t>J10(E ): SRFC</t>
  </si>
  <si>
    <t>J11(D): FCN</t>
  </si>
  <si>
    <t>J11(E ): SMC</t>
  </si>
  <si>
    <t>J11(D): TFC</t>
  </si>
  <si>
    <t>J11(E ): OL</t>
  </si>
  <si>
    <t>J11(D): ASM</t>
  </si>
  <si>
    <t>J11(E ): SR</t>
  </si>
  <si>
    <t>J11(D): ESTAC</t>
  </si>
  <si>
    <t>J11(E ): FCGB</t>
  </si>
  <si>
    <t>J11(D): OM</t>
  </si>
  <si>
    <t>Yeboah</t>
  </si>
  <si>
    <t>J11(E ): LOSC</t>
  </si>
  <si>
    <t>J11(D): ASSE</t>
  </si>
  <si>
    <t>J11(D): OGCN</t>
  </si>
  <si>
    <t>J11(E ): GFCA</t>
  </si>
  <si>
    <t>1 / (-1)</t>
  </si>
  <si>
    <t>J11(D): SCB</t>
  </si>
  <si>
    <t>J11(E ): MHSC</t>
  </si>
  <si>
    <t>J11(D): EAG</t>
  </si>
  <si>
    <t>J11(E ): SCO</t>
  </si>
  <si>
    <t>J11(D): SRFC</t>
  </si>
  <si>
    <t>J11(E ): FCL</t>
  </si>
  <si>
    <t>J11(E ): PSG</t>
  </si>
  <si>
    <t>Pinheiro</t>
  </si>
  <si>
    <t>J12(D): PSG</t>
  </si>
  <si>
    <t>J12(E ): SRFC</t>
  </si>
  <si>
    <t>J12(D): SR</t>
  </si>
  <si>
    <t>J12(E ): ASSE</t>
  </si>
  <si>
    <t>J12(D): FCL</t>
  </si>
  <si>
    <t>J12(E ): EAG</t>
  </si>
  <si>
    <t>J12(D): OL</t>
  </si>
  <si>
    <t>J12(E ): ESTAC</t>
  </si>
  <si>
    <t>J12(D): FCGB</t>
  </si>
  <si>
    <t>J12(E ): GFCA</t>
  </si>
  <si>
    <t>J12(D): SMC</t>
  </si>
  <si>
    <t>J12(E ): SCB</t>
  </si>
  <si>
    <t>J12(D): MHSC</t>
  </si>
  <si>
    <t>J12(E ): TFC</t>
  </si>
  <si>
    <t>J12(D): LOSC</t>
  </si>
  <si>
    <t>J12(E ): OGCN</t>
  </si>
  <si>
    <t>J12(D): SCO</t>
  </si>
  <si>
    <t>Helder Costa</t>
  </si>
  <si>
    <t>J12(E ): ASM</t>
  </si>
  <si>
    <t>J12(D): OM</t>
  </si>
  <si>
    <t>J12(E ): FCN</t>
  </si>
  <si>
    <t>J09(D): FCN</t>
  </si>
  <si>
    <t>Alégué</t>
  </si>
  <si>
    <t>J13(D): SRFC</t>
  </si>
  <si>
    <t>J13(E ): SCO</t>
  </si>
  <si>
    <t>J13(D): TFC</t>
  </si>
  <si>
    <t>J13(E ): PSG</t>
  </si>
  <si>
    <t>J13(D): ESTAC</t>
  </si>
  <si>
    <t>J13(E ): FCL</t>
  </si>
  <si>
    <t>J13(D): SCB</t>
  </si>
  <si>
    <t>J13(E ): LOSC</t>
  </si>
  <si>
    <t>J13(D): FCN</t>
  </si>
  <si>
    <t>J13(E ): MHSC</t>
  </si>
  <si>
    <t>J13(D): EAG</t>
  </si>
  <si>
    <t>J13(E ): SMC</t>
  </si>
  <si>
    <t>J13(D): GFCA</t>
  </si>
  <si>
    <t>J13(E ): SR</t>
  </si>
  <si>
    <t>J13(D): OGCN</t>
  </si>
  <si>
    <t>J13(E ): OM</t>
  </si>
  <si>
    <t>J13(D): ASM</t>
  </si>
  <si>
    <t>J13(E ): FCGB</t>
  </si>
  <si>
    <t>J13(D): ASSE</t>
  </si>
  <si>
    <t>J13(E ): OL</t>
  </si>
  <si>
    <t>Sigthorsson</t>
  </si>
  <si>
    <t>J14(D): OL</t>
  </si>
  <si>
    <t>Raheriharimanana</t>
  </si>
  <si>
    <t>J14(E ): OGCN</t>
  </si>
  <si>
    <t>Del Castillo</t>
  </si>
  <si>
    <t>J14(D): PSG</t>
  </si>
  <si>
    <t>J14(E ): FCL</t>
  </si>
  <si>
    <t>Ongenda</t>
  </si>
  <si>
    <t>J14(D): FCN</t>
  </si>
  <si>
    <t>J14(E ): ASM</t>
  </si>
  <si>
    <t>J14(D): TFC</t>
  </si>
  <si>
    <t>J14(E ): EAG</t>
  </si>
  <si>
    <t>J14(D): LOSC</t>
  </si>
  <si>
    <t>J14(E ): ESTAC</t>
  </si>
  <si>
    <t>Mbemba</t>
  </si>
  <si>
    <t>J14(D): SR</t>
  </si>
  <si>
    <t>J14(E ): MHSC</t>
  </si>
  <si>
    <t>Rodriguez</t>
  </si>
  <si>
    <t>J14(D): GFCA</t>
  </si>
  <si>
    <t>J14(E ): SCB</t>
  </si>
  <si>
    <t>J14(D): SCO</t>
  </si>
  <si>
    <t>J14(E ): SMC</t>
  </si>
  <si>
    <t>J14(D): FCGB</t>
  </si>
  <si>
    <t>J14(E ): SRFC</t>
  </si>
  <si>
    <t>J14(D): OM</t>
  </si>
  <si>
    <t>J14(E ): ASSE</t>
  </si>
  <si>
    <t>J15(D): MHSC</t>
  </si>
  <si>
    <t>J15(E ): OL</t>
  </si>
  <si>
    <t>J15(D): ESTAC</t>
  </si>
  <si>
    <t>J15(E ): PSG</t>
  </si>
  <si>
    <t>Martial</t>
  </si>
  <si>
    <t>J15(D): LOSC</t>
  </si>
  <si>
    <t>J15(E ): SCO</t>
  </si>
  <si>
    <t>J15(D): SCB</t>
  </si>
  <si>
    <t>M'Laab</t>
  </si>
  <si>
    <t>J15(E ): FCN</t>
  </si>
  <si>
    <t>J15(D): FCL</t>
  </si>
  <si>
    <t>J15(E ): GFCA</t>
  </si>
  <si>
    <t>J15(D): SRFC</t>
  </si>
  <si>
    <t>J15(E ): SR</t>
  </si>
  <si>
    <t>J15(D): OGCN</t>
  </si>
  <si>
    <t>Lafont</t>
  </si>
  <si>
    <t>Diop</t>
  </si>
  <si>
    <t>J15(E ): TFC</t>
  </si>
  <si>
    <t>J15(D): EAG</t>
  </si>
  <si>
    <t>Pierre Gabriel</t>
  </si>
  <si>
    <t>J15(E ): ASSE</t>
  </si>
  <si>
    <t>J15(D): SMC</t>
  </si>
  <si>
    <t>J15(E ): FCGB</t>
  </si>
  <si>
    <t>Makengo</t>
  </si>
  <si>
    <t>J15(D): ASM</t>
  </si>
  <si>
    <t>,</t>
  </si>
  <si>
    <t>J15(E ): OM</t>
  </si>
  <si>
    <t>J16(D): PSG</t>
  </si>
  <si>
    <t>J16(E ) :SCO</t>
  </si>
  <si>
    <t>J16(D): OGCN</t>
  </si>
  <si>
    <t>J16(E ): FCL</t>
  </si>
  <si>
    <t>J16(D): OL</t>
  </si>
  <si>
    <t>J16(E ): FCN</t>
  </si>
  <si>
    <t>J16(D): SM Caen</t>
  </si>
  <si>
    <t>Mbappe-Lottin</t>
  </si>
  <si>
    <t>J16(E ): ASM</t>
  </si>
  <si>
    <t>J16(D): SR</t>
  </si>
  <si>
    <t>J16(E ): EAG</t>
  </si>
  <si>
    <t>J16(D): TFC</t>
  </si>
  <si>
    <t>J16(E ): ESTAC</t>
  </si>
  <si>
    <t>J16(D): GFCA</t>
  </si>
  <si>
    <t>J16(E ): MHSC</t>
  </si>
  <si>
    <t>Guerin</t>
  </si>
  <si>
    <t>J16(D): FCGB</t>
  </si>
  <si>
    <t>J16(E ): SCB</t>
  </si>
  <si>
    <t>J16(D): ASSE</t>
  </si>
  <si>
    <t>J16(E ): LOSC</t>
  </si>
  <si>
    <t>J16(D): OM</t>
  </si>
  <si>
    <t>J16(E ): SRFC</t>
  </si>
  <si>
    <t>Tshibumbu</t>
  </si>
  <si>
    <t>J17(D): PSG</t>
  </si>
  <si>
    <t>J17(E ): OGCN</t>
  </si>
  <si>
    <t>J17(D): SCO</t>
  </si>
  <si>
    <t>J17(E ): OL</t>
  </si>
  <si>
    <t>J17(D): FCN</t>
  </si>
  <si>
    <t>J17(E ): GFCA</t>
  </si>
  <si>
    <t>J17(D): ASM</t>
  </si>
  <si>
    <t>J17(E ): SCB</t>
  </si>
  <si>
    <t>J17(D): LOSC</t>
  </si>
  <si>
    <t>J17(E ): SMC</t>
  </si>
  <si>
    <t>J17(D): ESTAC</t>
  </si>
  <si>
    <t>J17(E ): SR</t>
  </si>
  <si>
    <t>J17(D): FCL</t>
  </si>
  <si>
    <t>J17(E ): TFC</t>
  </si>
  <si>
    <t>J17(D): MHSC</t>
  </si>
  <si>
    <t>J17(E ): OM</t>
  </si>
  <si>
    <t>J17(D): EAG</t>
  </si>
  <si>
    <t>J17(E ): FCGB</t>
  </si>
  <si>
    <t>Blas</t>
  </si>
  <si>
    <t>Livolant</t>
  </si>
  <si>
    <t>J17(D): SRFC</t>
  </si>
  <si>
    <t>J17(E ): ASSE</t>
  </si>
  <si>
    <t>J18(D): SMC</t>
  </si>
  <si>
    <t>Janvier</t>
  </si>
  <si>
    <t>J18(E ): SRFC</t>
  </si>
  <si>
    <t>J18(D): OGCN</t>
  </si>
  <si>
    <t>Maanane</t>
  </si>
  <si>
    <t>J18(E ): SR</t>
  </si>
  <si>
    <t>J18(D): SCB</t>
  </si>
  <si>
    <t>J18(E ): ESTAC</t>
  </si>
  <si>
    <t>J18(D): TFC</t>
  </si>
  <si>
    <t>Henry</t>
  </si>
  <si>
    <t>J18(E ): FCN</t>
  </si>
  <si>
    <t>J18(D): FCL</t>
  </si>
  <si>
    <t>J18(E ): FCL</t>
  </si>
  <si>
    <t>J18(D): EAG</t>
  </si>
  <si>
    <t>J18(E ): MHSC</t>
  </si>
  <si>
    <t>J18(D): ASSE</t>
  </si>
  <si>
    <t>Nardi</t>
  </si>
  <si>
    <t>J18(E ): ASM</t>
  </si>
  <si>
    <t>J18(D): FCGB</t>
  </si>
  <si>
    <t>J18(E ): SCO</t>
  </si>
  <si>
    <t>Laborde</t>
  </si>
  <si>
    <t>Vada</t>
  </si>
  <si>
    <t>Ambrose</t>
  </si>
  <si>
    <t>J18(D): GFCA</t>
  </si>
  <si>
    <t>J18(E ): OM</t>
  </si>
  <si>
    <t>J18(D): OL</t>
  </si>
  <si>
    <t>J18(E ): PSG</t>
  </si>
  <si>
    <t>J19(D): MHSC</t>
  </si>
  <si>
    <t>J19(E ): OGCN</t>
  </si>
  <si>
    <t>J19(D): PSG</t>
  </si>
  <si>
    <t>J19(E ): SMC</t>
  </si>
  <si>
    <t>J19(D): SRFC</t>
  </si>
  <si>
    <t>J19(E ): EAG</t>
  </si>
  <si>
    <t>J19(D): ASM</t>
  </si>
  <si>
    <t>J19(E ): ESTAC</t>
  </si>
  <si>
    <t>J19(D): FCN</t>
  </si>
  <si>
    <t>J19(E ): FCL</t>
  </si>
  <si>
    <t>J19(D): SR</t>
  </si>
  <si>
    <t>J19(E ): SCB</t>
  </si>
  <si>
    <t>Kamara</t>
  </si>
  <si>
    <t>J19(D): LOSC</t>
  </si>
  <si>
    <t>J19(E ): TFC</t>
  </si>
  <si>
    <t>J19(D): SCO</t>
  </si>
  <si>
    <t>J19(E ): ASSE</t>
  </si>
  <si>
    <t>J19(D): OL</t>
  </si>
  <si>
    <t>J19(E ): GFCA</t>
  </si>
  <si>
    <t>J19(D): OM</t>
  </si>
  <si>
    <t>J19(E ): FCGB</t>
  </si>
  <si>
    <t>Club</t>
  </si>
  <si>
    <t>Prix</t>
  </si>
  <si>
    <t>Ratio Note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</si>
  <si>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</si>
  <si>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</si>
  <si>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</si>
  <si>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</si>
  <si>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</si>
  <si>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</si>
  <si>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</si>
  <si>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</si>
  <si>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</si>
  <si>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</si>
  <si>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</si>
  <si>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</si>
  <si>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</si>
  <si>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</si>
  <si>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</si>
  <si>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</si>
  <si>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</si>
  <si>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</si>
  <si>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</si>
  <si>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</si>
  <si>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</si>
  <si>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</si>
  <si>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</si>
  <si>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</si>
  <si>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</si>
  <si>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</si>
  <si>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OM</t>
  </si>
  <si>
    <t>OL</t>
  </si>
  <si>
    <t>PSG</t>
  </si>
  <si>
    <t>OGCN</t>
  </si>
  <si>
    <t>ASSE</t>
  </si>
  <si>
    <t>Losc</t>
  </si>
  <si>
    <t>FCGB</t>
  </si>
  <si>
    <t>FCL</t>
  </si>
  <si>
    <t>MHSC</t>
  </si>
  <si>
    <t>TFC</t>
  </si>
  <si>
    <t>SCB</t>
  </si>
  <si>
    <t>SRFC</t>
  </si>
  <si>
    <t>SR</t>
  </si>
  <si>
    <t>FCN</t>
  </si>
  <si>
    <t>ASM</t>
  </si>
  <si>
    <t>EAG</t>
  </si>
  <si>
    <t>SMC</t>
  </si>
  <si>
    <t>ESTAC</t>
  </si>
  <si>
    <t>GFCA</t>
  </si>
  <si>
    <t>SCO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</si>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</sst>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97DC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3" borderId="13" xfId="0" applyFill="1" applyBorder="1"/>
    <xf numFmtId="0" fontId="0" fillId="3" borderId="14" xfId="0" applyFill="1" applyBorder="1"/>
    <xf numFmtId="0" fontId="0" fillId="0" borderId="15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0" xfId="0" applyAlignment="1">
      <alignment textRotation="66"/>
    </xf>
    <xf numFmtId="0" fontId="0" fillId="3" borderId="27" xfId="0" applyFill="1" applyBorder="1"/>
    <xf numFmtId="0" fontId="0" fillId="0" borderId="0" xfId="0" applyFill="1" applyBorder="1" applyAlignment="1">
      <alignment textRotation="66"/>
    </xf>
    <xf numFmtId="0" fontId="0" fillId="3" borderId="21" xfId="0" applyFill="1" applyBorder="1"/>
    <xf numFmtId="0" fontId="0" fillId="4" borderId="0" xfId="0" applyFill="1"/>
    <xf numFmtId="0" fontId="0" fillId="5" borderId="0" xfId="0" applyFill="1"/>
    <xf numFmtId="0" fontId="0" fillId="0" borderId="2" xfId="0" applyBorder="1"/>
    <xf numFmtId="0" fontId="2" fillId="0" borderId="0" xfId="0" applyFont="1"/>
    <xf numFmtId="0" fontId="0" fillId="0" borderId="5" xfId="0" applyBorder="1" applyAlignment="1">
      <alignment textRotation="66"/>
    </xf>
    <xf numFmtId="0" fontId="0" fillId="0" borderId="0" xfId="0" applyFill="1" applyBorder="1"/>
    <xf numFmtId="0" fontId="0" fillId="0" borderId="5" xfId="0" applyFill="1" applyBorder="1" applyAlignment="1">
      <alignment textRotation="66"/>
    </xf>
    <xf numFmtId="0" fontId="0" fillId="0" borderId="35" xfId="0" applyBorder="1"/>
    <xf numFmtId="0" fontId="0" fillId="0" borderId="0" xfId="0" applyFont="1" applyBorder="1"/>
    <xf numFmtId="164" fontId="0" fillId="3" borderId="13" xfId="0" applyNumberFormat="1" applyFill="1" applyBorder="1"/>
    <xf numFmtId="0" fontId="4" fillId="6" borderId="0" xfId="0" applyFont="1" applyFill="1"/>
    <xf numFmtId="0" fontId="4" fillId="6" borderId="0" xfId="0" applyFont="1" applyFill="1" applyBorder="1"/>
    <xf numFmtId="2" fontId="0" fillId="3" borderId="13" xfId="0" applyNumberFormat="1" applyFill="1" applyBorder="1"/>
    <xf numFmtId="2" fontId="0" fillId="3" borderId="14" xfId="0" applyNumberFormat="1" applyFill="1" applyBorder="1"/>
    <xf numFmtId="2" fontId="0" fillId="3" borderId="21" xfId="0" applyNumberFormat="1" applyFill="1" applyBorder="1"/>
    <xf numFmtId="2" fontId="0" fillId="3" borderId="27" xfId="0" applyNumberFormat="1" applyFill="1" applyBorder="1"/>
    <xf numFmtId="164" fontId="4" fillId="6" borderId="0" xfId="0" applyNumberFormat="1" applyFont="1" applyFill="1"/>
    <xf numFmtId="164" fontId="4" fillId="6" borderId="0" xfId="0" applyNumberFormat="1" applyFont="1" applyFill="1" applyBorder="1"/>
    <xf numFmtId="0" fontId="0" fillId="0" borderId="19" xfId="0" applyFill="1" applyBorder="1"/>
    <xf numFmtId="0" fontId="0" fillId="0" borderId="23" xfId="0" applyFill="1" applyBorder="1"/>
    <xf numFmtId="0" fontId="0" fillId="0" borderId="0" xfId="0" applyFont="1" applyFill="1" applyBorder="1"/>
    <xf numFmtId="0" fontId="0" fillId="0" borderId="3" xfId="0" applyBorder="1"/>
    <xf numFmtId="0" fontId="3" fillId="0" borderId="0" xfId="0" applyFont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39" xfId="0" applyBorder="1"/>
    <xf numFmtId="2" fontId="0" fillId="3" borderId="6" xfId="0" applyNumberFormat="1" applyFill="1" applyBorder="1"/>
    <xf numFmtId="0" fontId="0" fillId="0" borderId="0" xfId="0" applyFont="1"/>
    <xf numFmtId="0" fontId="0" fillId="0" borderId="6" xfId="0" applyFill="1" applyBorder="1"/>
    <xf numFmtId="0" fontId="0" fillId="0" borderId="23" xfId="0" applyFont="1" applyFill="1" applyBorder="1"/>
    <xf numFmtId="2" fontId="0" fillId="3" borderId="44" xfId="0" applyNumberFormat="1" applyFill="1" applyBorder="1"/>
    <xf numFmtId="2" fontId="0" fillId="3" borderId="44" xfId="0" applyNumberFormat="1" applyFont="1" applyFill="1" applyBorder="1"/>
    <xf numFmtId="0" fontId="5" fillId="7" borderId="5" xfId="0" applyFont="1" applyFill="1" applyBorder="1"/>
    <xf numFmtId="2" fontId="0" fillId="3" borderId="13" xfId="0" applyNumberFormat="1" applyFont="1" applyFill="1" applyBorder="1"/>
    <xf numFmtId="0" fontId="0" fillId="0" borderId="0" xfId="0" applyFill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0" fillId="0" borderId="0" xfId="0" applyFill="1"/>
    <xf numFmtId="164" fontId="0" fillId="0" borderId="19" xfId="0" applyNumberFormat="1" applyFill="1" applyBorder="1"/>
    <xf numFmtId="164" fontId="0" fillId="0" borderId="0" xfId="0" applyNumberFormat="1" applyFill="1" applyAlignment="1">
      <alignment horizontal="right"/>
    </xf>
    <xf numFmtId="0" fontId="0" fillId="0" borderId="19" xfId="0" applyFont="1" applyFill="1" applyBorder="1" applyAlignment="1">
      <alignment horizontal="right"/>
    </xf>
    <xf numFmtId="0" fontId="0" fillId="0" borderId="19" xfId="0" applyFill="1" applyBorder="1" applyAlignment="1">
      <alignment horizontal="right"/>
    </xf>
    <xf numFmtId="164" fontId="0" fillId="0" borderId="19" xfId="0" applyNumberFormat="1" applyFill="1" applyBorder="1" applyAlignment="1">
      <alignment horizontal="right"/>
    </xf>
    <xf numFmtId="0" fontId="0" fillId="0" borderId="19" xfId="0" applyFont="1" applyFill="1" applyBorder="1"/>
    <xf numFmtId="164" fontId="0" fillId="0" borderId="19" xfId="0" applyNumberFormat="1" applyFont="1" applyFill="1" applyBorder="1"/>
    <xf numFmtId="0" fontId="2" fillId="0" borderId="19" xfId="0" applyFont="1" applyFill="1" applyBorder="1"/>
    <xf numFmtId="0" fontId="2" fillId="0" borderId="19" xfId="0" applyFont="1" applyFill="1" applyBorder="1" applyAlignment="1">
      <alignment horizontal="right"/>
    </xf>
    <xf numFmtId="164" fontId="0" fillId="0" borderId="35" xfId="0" applyNumberFormat="1" applyFill="1" applyBorder="1" applyAlignment="1">
      <alignment horizontal="right"/>
    </xf>
    <xf numFmtId="0" fontId="2" fillId="0" borderId="35" xfId="0" applyFont="1" applyFill="1" applyBorder="1"/>
    <xf numFmtId="0" fontId="0" fillId="0" borderId="35" xfId="0" applyFont="1" applyFill="1" applyBorder="1"/>
    <xf numFmtId="164" fontId="0" fillId="0" borderId="35" xfId="0" applyNumberFormat="1" applyFill="1" applyBorder="1"/>
    <xf numFmtId="0" fontId="0" fillId="0" borderId="23" xfId="0" applyFont="1" applyBorder="1"/>
    <xf numFmtId="0" fontId="0" fillId="0" borderId="0" xfId="0"/>
    <xf numFmtId="0" fontId="0" fillId="0" borderId="5" xfId="0" applyBorder="1"/>
    <xf numFmtId="0" fontId="0" fillId="0" borderId="35" xfId="0" applyBorder="1"/>
    <xf numFmtId="2" fontId="0" fillId="3" borderId="13" xfId="0" applyNumberFormat="1" applyFill="1" applyBorder="1"/>
    <xf numFmtId="0" fontId="3" fillId="0" borderId="0" xfId="0" applyFont="1" applyFill="1" applyBorder="1"/>
    <xf numFmtId="0" fontId="0" fillId="0" borderId="0" xfId="0"/>
    <xf numFmtId="0" fontId="0" fillId="0" borderId="5" xfId="0" applyFill="1" applyBorder="1" applyAlignment="1">
      <alignment textRotation="66"/>
    </xf>
    <xf numFmtId="0" fontId="0" fillId="0" borderId="35" xfId="0" applyBorder="1"/>
    <xf numFmtId="2" fontId="0" fillId="3" borderId="13" xfId="0" applyNumberFormat="1" applyFont="1" applyFill="1" applyBorder="1"/>
    <xf numFmtId="0" fontId="0" fillId="0" borderId="0" xfId="0"/>
    <xf numFmtId="0" fontId="0" fillId="0" borderId="5" xfId="0" applyBorder="1"/>
    <xf numFmtId="0" fontId="0" fillId="0" borderId="5" xfId="0" applyFill="1" applyBorder="1" applyAlignment="1">
      <alignment textRotation="66"/>
    </xf>
    <xf numFmtId="0" fontId="0" fillId="0" borderId="35" xfId="0" applyBorder="1"/>
    <xf numFmtId="2" fontId="0" fillId="3" borderId="13" xfId="0" applyNumberFormat="1" applyFill="1" applyBorder="1"/>
    <xf numFmtId="0" fontId="3" fillId="0" borderId="0" xfId="0" applyFont="1" applyBorder="1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0" xfId="0"/>
    <xf numFmtId="0" fontId="0" fillId="0" borderId="5" xfId="0" applyFill="1" applyBorder="1" applyAlignment="1">
      <alignment textRotation="66"/>
    </xf>
    <xf numFmtId="0" fontId="0" fillId="0" borderId="35" xfId="0" applyBorder="1"/>
    <xf numFmtId="2" fontId="0" fillId="3" borderId="13" xfId="0" applyNumberFormat="1" applyFill="1" applyBorder="1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0" xfId="0" applyFill="1" applyBorder="1"/>
    <xf numFmtId="0" fontId="0" fillId="0" borderId="35" xfId="0" applyBorder="1"/>
    <xf numFmtId="20" fontId="0" fillId="3" borderId="13" xfId="0" applyNumberFormat="1" applyFill="1" applyBorder="1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35" xfId="0" applyFill="1" applyBorder="1" applyAlignment="1">
      <alignment horizontal="right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0" xfId="0"/>
    <xf numFmtId="0" fontId="0" fillId="0" borderId="5" xfId="0" applyFill="1" applyBorder="1" applyAlignment="1">
      <alignment textRotation="66"/>
    </xf>
    <xf numFmtId="0" fontId="0" fillId="0" borderId="0" xfId="0"/>
    <xf numFmtId="0" fontId="0" fillId="3" borderId="13" xfId="0" applyFill="1" applyBorder="1"/>
    <xf numFmtId="0" fontId="0" fillId="0" borderId="35" xfId="0" applyBorder="1"/>
    <xf numFmtId="0" fontId="0" fillId="0" borderId="0" xfId="0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35" xfId="0" applyBorder="1"/>
    <xf numFmtId="20" fontId="0" fillId="0" borderId="0" xfId="0" applyNumberFormat="1"/>
    <xf numFmtId="0" fontId="5" fillId="7" borderId="0" xfId="0" applyFont="1" applyFill="1" applyBorder="1"/>
    <xf numFmtId="0" fontId="0" fillId="0" borderId="28" xfId="0" applyFill="1" applyBorder="1"/>
    <xf numFmtId="0" fontId="0" fillId="0" borderId="0" xfId="0"/>
    <xf numFmtId="0" fontId="0" fillId="0" borderId="28" xfId="0" applyBorder="1"/>
    <xf numFmtId="0" fontId="0" fillId="0" borderId="5" xfId="0" applyFill="1" applyBorder="1" applyAlignment="1">
      <alignment textRotation="66"/>
    </xf>
    <xf numFmtId="0" fontId="0" fillId="0" borderId="35" xfId="0" applyBorder="1"/>
    <xf numFmtId="0" fontId="0" fillId="0" borderId="35" xfId="0" applyFill="1" applyBorder="1"/>
    <xf numFmtId="2" fontId="0" fillId="3" borderId="13" xfId="0" applyNumberFormat="1" applyFill="1" applyBorder="1"/>
    <xf numFmtId="0" fontId="0" fillId="0" borderId="4" xfId="0" applyBorder="1" applyAlignment="1">
      <alignment horizontal="right"/>
    </xf>
    <xf numFmtId="0" fontId="0" fillId="0" borderId="5" xfId="0" applyFill="1" applyBorder="1" applyAlignment="1">
      <alignment textRotation="66"/>
    </xf>
    <xf numFmtId="0" fontId="0" fillId="0" borderId="0" xfId="0" applyFill="1" applyBorder="1"/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0" xfId="0"/>
    <xf numFmtId="0" fontId="4" fillId="6" borderId="0" xfId="0" applyFont="1" applyFill="1"/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5" xfId="0" applyFill="1" applyBorder="1" applyAlignment="1">
      <alignment textRotation="66"/>
    </xf>
    <xf numFmtId="0" fontId="0" fillId="0" borderId="4" xfId="0" applyBorder="1"/>
    <xf numFmtId="0" fontId="0" fillId="0" borderId="29" xfId="0" applyBorder="1"/>
    <xf numFmtId="0" fontId="0" fillId="0" borderId="30" xfId="0" applyBorder="1"/>
    <xf numFmtId="0" fontId="0" fillId="0" borderId="0" xfId="0" applyBorder="1" applyAlignment="1">
      <alignment horizontal="right"/>
    </xf>
    <xf numFmtId="0" fontId="0" fillId="0" borderId="5" xfId="0" applyFill="1" applyBorder="1" applyAlignment="1">
      <alignment textRotation="66"/>
    </xf>
    <xf numFmtId="0" fontId="0" fillId="0" borderId="26" xfId="0" applyBorder="1" applyAlignment="1">
      <alignment horizontal="right"/>
    </xf>
    <xf numFmtId="0" fontId="0" fillId="0" borderId="5" xfId="0" applyFill="1" applyBorder="1" applyAlignment="1">
      <alignment textRotation="66"/>
    </xf>
    <xf numFmtId="164" fontId="4" fillId="6" borderId="0" xfId="0" applyNumberFormat="1" applyFont="1" applyFill="1"/>
    <xf numFmtId="0" fontId="5" fillId="7" borderId="16" xfId="0" applyFont="1" applyFill="1" applyBorder="1"/>
    <xf numFmtId="0" fontId="5" fillId="7" borderId="19" xfId="0" applyFont="1" applyFill="1" applyBorder="1"/>
    <xf numFmtId="0" fontId="5" fillId="7" borderId="6" xfId="0" applyFont="1" applyFill="1" applyBorder="1"/>
    <xf numFmtId="0" fontId="0" fillId="0" borderId="5" xfId="0" applyFill="1" applyBorder="1" applyAlignment="1">
      <alignment textRotation="66"/>
    </xf>
    <xf numFmtId="0" fontId="0" fillId="0" borderId="0" xfId="0" applyBorder="1"/>
    <xf numFmtId="0" fontId="0" fillId="0" borderId="16" xfId="0" applyFont="1" applyBorder="1"/>
    <xf numFmtId="0" fontId="0" fillId="0" borderId="19" xfId="0" applyFont="1" applyBorder="1"/>
    <xf numFmtId="0" fontId="0" fillId="0" borderId="6" xfId="0" applyFont="1" applyBorder="1"/>
    <xf numFmtId="0" fontId="0" fillId="0" borderId="6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5" xfId="0" applyFill="1" applyBorder="1" applyAlignment="1">
      <alignment textRotation="66"/>
    </xf>
    <xf numFmtId="0" fontId="0" fillId="0" borderId="35" xfId="0" applyBorder="1"/>
    <xf numFmtId="0" fontId="0" fillId="0" borderId="19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32" xfId="0" applyBorder="1"/>
    <xf numFmtId="8" fontId="0" fillId="0" borderId="0" xfId="0" applyNumberFormat="1"/>
    <xf numFmtId="0" fontId="0" fillId="0" borderId="0" xfId="0" applyFont="1" applyFill="1"/>
    <xf numFmtId="0" fontId="5" fillId="0" borderId="35" xfId="0" applyFont="1" applyFill="1" applyBorder="1"/>
    <xf numFmtId="0" fontId="5" fillId="0" borderId="19" xfId="0" applyFont="1" applyFill="1" applyBorder="1" applyAlignment="1">
      <alignment horizontal="right"/>
    </xf>
    <xf numFmtId="0" fontId="5" fillId="0" borderId="19" xfId="0" applyFont="1" applyFill="1" applyBorder="1"/>
    <xf numFmtId="0" fontId="5" fillId="0" borderId="0" xfId="0" applyFont="1" applyFill="1"/>
    <xf numFmtId="0" fontId="0" fillId="0" borderId="5" xfId="0" applyFont="1" applyFill="1" applyBorder="1"/>
    <xf numFmtId="0" fontId="0" fillId="0" borderId="16" xfId="0" applyFont="1" applyFill="1" applyBorder="1"/>
    <xf numFmtId="0" fontId="0" fillId="0" borderId="32" xfId="0" applyFont="1" applyFill="1" applyBorder="1"/>
    <xf numFmtId="0" fontId="0" fillId="0" borderId="6" xfId="0" applyFont="1" applyFill="1" applyBorder="1"/>
    <xf numFmtId="0" fontId="5" fillId="0" borderId="26" xfId="0" applyFont="1" applyFill="1" applyBorder="1"/>
    <xf numFmtId="0" fontId="5" fillId="0" borderId="24" xfId="0" applyFont="1" applyFill="1" applyBorder="1"/>
    <xf numFmtId="0" fontId="5" fillId="0" borderId="25" xfId="0" applyFont="1" applyFill="1" applyBorder="1"/>
    <xf numFmtId="0" fontId="0" fillId="0" borderId="5" xfId="0" applyFill="1" applyBorder="1"/>
    <xf numFmtId="0" fontId="5" fillId="0" borderId="35" xfId="0" applyFont="1" applyFill="1" applyBorder="1" applyAlignment="1">
      <alignment horizontal="right"/>
    </xf>
    <xf numFmtId="0" fontId="2" fillId="0" borderId="0" xfId="0" applyFont="1" applyFill="1"/>
    <xf numFmtId="164" fontId="0" fillId="0" borderId="0" xfId="0" applyNumberFormat="1" applyFill="1"/>
    <xf numFmtId="164" fontId="0" fillId="0" borderId="35" xfId="0" applyNumberFormat="1" applyFont="1" applyFill="1" applyBorder="1"/>
    <xf numFmtId="0" fontId="0" fillId="0" borderId="26" xfId="0" applyFont="1" applyBorder="1"/>
    <xf numFmtId="0" fontId="0" fillId="0" borderId="8" xfId="0" applyFont="1" applyBorder="1"/>
    <xf numFmtId="0" fontId="2" fillId="0" borderId="0" xfId="0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0" fillId="0" borderId="8" xfId="0" applyFont="1" applyFill="1" applyBorder="1"/>
    <xf numFmtId="0" fontId="0" fillId="0" borderId="17" xfId="0" applyFont="1" applyFill="1" applyBorder="1"/>
    <xf numFmtId="0" fontId="0" fillId="0" borderId="20" xfId="0" applyFont="1" applyFill="1" applyBorder="1"/>
    <xf numFmtId="0" fontId="0" fillId="0" borderId="9" xfId="0" applyFont="1" applyFill="1" applyBorder="1"/>
    <xf numFmtId="0" fontId="0" fillId="0" borderId="35" xfId="0" applyFont="1" applyFill="1" applyBorder="1" applyAlignment="1">
      <alignment horizontal="right"/>
    </xf>
    <xf numFmtId="0" fontId="0" fillId="0" borderId="26" xfId="0" applyFont="1" applyFill="1" applyBorder="1"/>
    <xf numFmtId="0" fontId="0" fillId="0" borderId="22" xfId="0" applyFont="1" applyFill="1" applyBorder="1"/>
    <xf numFmtId="0" fontId="0" fillId="0" borderId="7" xfId="0" applyFont="1" applyFill="1" applyBorder="1"/>
    <xf numFmtId="0" fontId="2" fillId="0" borderId="28" xfId="0" applyFont="1" applyFill="1" applyBorder="1"/>
    <xf numFmtId="1" fontId="0" fillId="0" borderId="35" xfId="0" applyNumberFormat="1" applyFill="1" applyBorder="1" applyAlignment="1">
      <alignment horizontal="right"/>
    </xf>
    <xf numFmtId="0" fontId="0" fillId="0" borderId="28" xfId="0" applyFill="1" applyBorder="1" applyAlignment="1">
      <alignment horizontal="right"/>
    </xf>
    <xf numFmtId="1" fontId="2" fillId="0" borderId="19" xfId="0" applyNumberFormat="1" applyFont="1" applyFill="1" applyBorder="1"/>
    <xf numFmtId="1" fontId="2" fillId="0" borderId="35" xfId="0" applyNumberFormat="1" applyFont="1" applyFill="1" applyBorder="1"/>
    <xf numFmtId="0" fontId="0" fillId="0" borderId="0" xfId="0" applyFont="1" applyFill="1" applyAlignment="1">
      <alignment horizontal="right"/>
    </xf>
    <xf numFmtId="0" fontId="0" fillId="0" borderId="5" xfId="0" applyFont="1" applyBorder="1"/>
    <xf numFmtId="0" fontId="0" fillId="0" borderId="22" xfId="0" applyFill="1" applyBorder="1"/>
    <xf numFmtId="0" fontId="3" fillId="0" borderId="23" xfId="0" applyFont="1" applyBorder="1"/>
    <xf numFmtId="0" fontId="3" fillId="0" borderId="23" xfId="0" applyFont="1" applyFill="1" applyBorder="1"/>
    <xf numFmtId="0" fontId="3" fillId="0" borderId="6" xfId="0" applyFont="1" applyFill="1" applyBorder="1"/>
    <xf numFmtId="0" fontId="3" fillId="0" borderId="8" xfId="0" applyFont="1" applyBorder="1"/>
    <xf numFmtId="1" fontId="5" fillId="8" borderId="35" xfId="0" applyNumberFormat="1" applyFont="1" applyFill="1" applyBorder="1"/>
    <xf numFmtId="0" fontId="5" fillId="8" borderId="35" xfId="0" applyFont="1" applyFill="1" applyBorder="1"/>
    <xf numFmtId="0" fontId="5" fillId="8" borderId="35" xfId="0" applyFont="1" applyFill="1" applyBorder="1" applyAlignment="1">
      <alignment horizontal="right"/>
    </xf>
    <xf numFmtId="0" fontId="5" fillId="8" borderId="19" xfId="0" applyFont="1" applyFill="1" applyBorder="1"/>
    <xf numFmtId="0" fontId="5" fillId="8" borderId="19" xfId="0" applyFont="1" applyFill="1" applyBorder="1" applyAlignment="1">
      <alignment horizontal="right"/>
    </xf>
    <xf numFmtId="0" fontId="5" fillId="8" borderId="0" xfId="0" applyFont="1" applyFill="1" applyAlignment="1">
      <alignment horizontal="right"/>
    </xf>
    <xf numFmtId="0" fontId="0" fillId="0" borderId="8" xfId="0" applyFill="1" applyBorder="1"/>
    <xf numFmtId="0" fontId="0" fillId="0" borderId="9" xfId="0" applyFill="1" applyBorder="1"/>
    <xf numFmtId="164" fontId="0" fillId="0" borderId="0" xfId="0" applyNumberFormat="1" applyFill="1" applyBorder="1"/>
    <xf numFmtId="0" fontId="5" fillId="8" borderId="0" xfId="0" applyFont="1" applyFill="1" applyBorder="1"/>
    <xf numFmtId="0" fontId="5" fillId="8" borderId="16" xfId="0" applyFont="1" applyFill="1" applyBorder="1"/>
    <xf numFmtId="0" fontId="5" fillId="8" borderId="6" xfId="0" applyFont="1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5" fillId="8" borderId="5" xfId="0" applyFont="1" applyFill="1" applyBorder="1"/>
    <xf numFmtId="0" fontId="2" fillId="8" borderId="0" xfId="0" applyFont="1" applyFill="1" applyBorder="1"/>
    <xf numFmtId="0" fontId="5" fillId="8" borderId="22" xfId="0" applyFont="1" applyFill="1" applyBorder="1"/>
    <xf numFmtId="0" fontId="5" fillId="8" borderId="23" xfId="0" applyFont="1" applyFill="1" applyBorder="1"/>
    <xf numFmtId="0" fontId="5" fillId="8" borderId="24" xfId="0" applyFont="1" applyFill="1" applyBorder="1"/>
    <xf numFmtId="0" fontId="5" fillId="8" borderId="25" xfId="0" applyFont="1" applyFill="1" applyBorder="1"/>
    <xf numFmtId="0" fontId="5" fillId="8" borderId="26" xfId="0" applyFont="1" applyFill="1" applyBorder="1"/>
    <xf numFmtId="0" fontId="0" fillId="3" borderId="4" xfId="0" applyFill="1" applyBorder="1"/>
    <xf numFmtId="2" fontId="0" fillId="3" borderId="26" xfId="0" applyNumberFormat="1" applyFill="1" applyBorder="1"/>
    <xf numFmtId="2" fontId="0" fillId="3" borderId="9" xfId="0" applyNumberFormat="1" applyFill="1" applyBorder="1"/>
    <xf numFmtId="0" fontId="3" fillId="0" borderId="8" xfId="0" applyFont="1" applyFill="1" applyBorder="1"/>
    <xf numFmtId="0" fontId="3" fillId="0" borderId="6" xfId="0" applyFont="1" applyBorder="1"/>
    <xf numFmtId="0" fontId="5" fillId="7" borderId="0" xfId="0" applyFont="1" applyFill="1" applyAlignment="1">
      <alignment horizontal="right"/>
    </xf>
    <xf numFmtId="0" fontId="5" fillId="7" borderId="35" xfId="0" applyFont="1" applyFill="1" applyBorder="1"/>
    <xf numFmtId="0" fontId="5" fillId="7" borderId="35" xfId="0" applyFont="1" applyFill="1" applyBorder="1" applyAlignment="1">
      <alignment horizontal="right"/>
    </xf>
    <xf numFmtId="0" fontId="0" fillId="7" borderId="0" xfId="0" applyFill="1"/>
    <xf numFmtId="0" fontId="0" fillId="7" borderId="19" xfId="0" applyFill="1" applyBorder="1"/>
    <xf numFmtId="0" fontId="0" fillId="7" borderId="0" xfId="0" applyFont="1" applyFill="1"/>
    <xf numFmtId="0" fontId="5" fillId="7" borderId="0" xfId="0" applyFont="1" applyFill="1"/>
    <xf numFmtId="0" fontId="0" fillId="7" borderId="0" xfId="0" applyFill="1" applyAlignment="1">
      <alignment horizontal="right"/>
    </xf>
    <xf numFmtId="0" fontId="0" fillId="7" borderId="35" xfId="0" applyFill="1" applyBorder="1"/>
    <xf numFmtId="0" fontId="0" fillId="7" borderId="35" xfId="0" applyFill="1" applyBorder="1" applyAlignment="1">
      <alignment horizontal="right"/>
    </xf>
    <xf numFmtId="0" fontId="5" fillId="7" borderId="23" xfId="0" applyFont="1" applyFill="1" applyBorder="1"/>
    <xf numFmtId="0" fontId="5" fillId="7" borderId="22" xfId="0" applyFont="1" applyFill="1" applyBorder="1"/>
    <xf numFmtId="0" fontId="5" fillId="7" borderId="25" xfId="0" applyFont="1" applyFill="1" applyBorder="1"/>
    <xf numFmtId="0" fontId="5" fillId="7" borderId="26" xfId="0" applyFont="1" applyFill="1" applyBorder="1"/>
    <xf numFmtId="0" fontId="0" fillId="7" borderId="35" xfId="0" applyFont="1" applyFill="1" applyBorder="1"/>
    <xf numFmtId="0" fontId="5" fillId="7" borderId="32" xfId="0" applyFont="1" applyFill="1" applyBorder="1"/>
    <xf numFmtId="0" fontId="0" fillId="7" borderId="35" xfId="0" applyFont="1" applyFill="1" applyBorder="1" applyAlignment="1">
      <alignment horizontal="right"/>
    </xf>
    <xf numFmtId="0" fontId="0" fillId="7" borderId="19" xfId="0" applyFont="1" applyFill="1" applyBorder="1"/>
    <xf numFmtId="164" fontId="0" fillId="7" borderId="35" xfId="0" applyNumberFormat="1" applyFill="1" applyBorder="1"/>
    <xf numFmtId="0" fontId="2" fillId="7" borderId="35" xfId="0" applyFont="1" applyFill="1" applyBorder="1" applyAlignment="1">
      <alignment horizontal="right"/>
    </xf>
    <xf numFmtId="0" fontId="0" fillId="7" borderId="19" xfId="0" applyFill="1" applyBorder="1" applyAlignment="1">
      <alignment horizontal="right"/>
    </xf>
    <xf numFmtId="0" fontId="2" fillId="7" borderId="35" xfId="0" applyFont="1" applyFill="1" applyBorder="1"/>
    <xf numFmtId="164" fontId="0" fillId="7" borderId="0" xfId="0" applyNumberFormat="1" applyFill="1" applyAlignment="1">
      <alignment horizontal="right"/>
    </xf>
    <xf numFmtId="0" fontId="2" fillId="7" borderId="0" xfId="0" applyFont="1" applyFill="1"/>
    <xf numFmtId="0" fontId="5" fillId="7" borderId="8" xfId="0" applyFont="1" applyFill="1" applyBorder="1"/>
    <xf numFmtId="0" fontId="5" fillId="7" borderId="17" xfId="0" applyFont="1" applyFill="1" applyBorder="1"/>
    <xf numFmtId="0" fontId="5" fillId="7" borderId="20" xfId="0" applyFont="1" applyFill="1" applyBorder="1"/>
    <xf numFmtId="0" fontId="5" fillId="7" borderId="9" xfId="0" applyFont="1" applyFill="1" applyBorder="1" applyAlignment="1">
      <alignment horizontal="right"/>
    </xf>
    <xf numFmtId="0" fontId="0" fillId="7" borderId="28" xfId="0" applyFill="1" applyBorder="1"/>
    <xf numFmtId="0" fontId="5" fillId="7" borderId="19" xfId="0" applyFont="1" applyFill="1" applyBorder="1" applyAlignment="1">
      <alignment horizontal="right"/>
    </xf>
    <xf numFmtId="164" fontId="0" fillId="7" borderId="19" xfId="0" applyNumberFormat="1" applyFill="1" applyBorder="1"/>
    <xf numFmtId="1" fontId="0" fillId="0" borderId="19" xfId="0" applyNumberFormat="1" applyFill="1" applyBorder="1"/>
    <xf numFmtId="1" fontId="0" fillId="0" borderId="35" xfId="0" applyNumberFormat="1" applyFill="1" applyBorder="1"/>
    <xf numFmtId="0" fontId="0" fillId="4" borderId="35" xfId="0" applyFill="1" applyBorder="1"/>
    <xf numFmtId="0" fontId="2" fillId="4" borderId="35" xfId="0" applyFont="1" applyFill="1" applyBorder="1"/>
    <xf numFmtId="164" fontId="4" fillId="9" borderId="0" xfId="0" applyNumberFormat="1" applyFont="1" applyFill="1" applyBorder="1"/>
    <xf numFmtId="164" fontId="4" fillId="9" borderId="0" xfId="0" applyNumberFormat="1" applyFont="1" applyFill="1" applyBorder="1" applyAlignment="1">
      <alignment horizontal="right"/>
    </xf>
    <xf numFmtId="0" fontId="4" fillId="9" borderId="0" xfId="0" applyFont="1" applyFill="1" applyBorder="1"/>
    <xf numFmtId="0" fontId="0" fillId="4" borderId="19" xfId="0" applyFont="1" applyFill="1" applyBorder="1" applyAlignment="1">
      <alignment horizontal="right"/>
    </xf>
    <xf numFmtId="0" fontId="2" fillId="4" borderId="19" xfId="0" applyFont="1" applyFill="1" applyBorder="1" applyAlignment="1">
      <alignment horizontal="right"/>
    </xf>
    <xf numFmtId="1" fontId="0" fillId="0" borderId="19" xfId="0" applyNumberFormat="1" applyFont="1" applyFill="1" applyBorder="1"/>
    <xf numFmtId="0" fontId="0" fillId="4" borderId="35" xfId="0" applyFill="1" applyBorder="1" applyAlignment="1">
      <alignment horizontal="right"/>
    </xf>
    <xf numFmtId="1" fontId="0" fillId="0" borderId="19" xfId="0" applyNumberFormat="1" applyFont="1" applyFill="1" applyBorder="1" applyAlignment="1">
      <alignment horizontal="right"/>
    </xf>
    <xf numFmtId="0" fontId="0" fillId="0" borderId="32" xfId="0" applyBorder="1" applyAlignment="1">
      <alignment horizontal="right"/>
    </xf>
    <xf numFmtId="1" fontId="2" fillId="4" borderId="35" xfId="0" applyNumberFormat="1" applyFont="1" applyFill="1" applyBorder="1"/>
    <xf numFmtId="0" fontId="2" fillId="4" borderId="35" xfId="0" applyFont="1" applyFill="1" applyBorder="1" applyAlignment="1">
      <alignment horizontal="right"/>
    </xf>
    <xf numFmtId="0" fontId="0" fillId="4" borderId="19" xfId="0" applyFill="1" applyBorder="1" applyAlignment="1">
      <alignment horizontal="right"/>
    </xf>
    <xf numFmtId="1" fontId="2" fillId="4" borderId="19" xfId="0" applyNumberFormat="1" applyFont="1" applyFill="1" applyBorder="1" applyAlignment="1">
      <alignment horizontal="right"/>
    </xf>
    <xf numFmtId="1" fontId="0" fillId="0" borderId="19" xfId="0" applyNumberFormat="1" applyFill="1" applyBorder="1" applyAlignment="1">
      <alignment horizontal="right"/>
    </xf>
    <xf numFmtId="0" fontId="0" fillId="4" borderId="35" xfId="0" applyFont="1" applyFill="1" applyBorder="1" applyAlignment="1">
      <alignment horizontal="right"/>
    </xf>
    <xf numFmtId="1" fontId="2" fillId="0" borderId="35" xfId="0" applyNumberFormat="1" applyFont="1" applyFill="1" applyBorder="1" applyAlignment="1">
      <alignment horizontal="right"/>
    </xf>
    <xf numFmtId="1" fontId="0" fillId="4" borderId="35" xfId="0" applyNumberFormat="1" applyFill="1" applyBorder="1" applyAlignment="1">
      <alignment horizontal="right"/>
    </xf>
    <xf numFmtId="1" fontId="2" fillId="4" borderId="35" xfId="0" applyNumberFormat="1" applyFont="1" applyFill="1" applyBorder="1" applyAlignment="1">
      <alignment horizontal="right"/>
    </xf>
    <xf numFmtId="0" fontId="0" fillId="5" borderId="35" xfId="0" applyFill="1" applyBorder="1" applyAlignment="1">
      <alignment horizontal="right"/>
    </xf>
    <xf numFmtId="0" fontId="0" fillId="5" borderId="35" xfId="0" applyFill="1" applyBorder="1"/>
    <xf numFmtId="0" fontId="0" fillId="5" borderId="19" xfId="0" applyFont="1" applyFill="1" applyBorder="1" applyAlignment="1">
      <alignment horizontal="right"/>
    </xf>
    <xf numFmtId="1" fontId="0" fillId="5" borderId="35" xfId="0" applyNumberFormat="1" applyFill="1" applyBorder="1"/>
    <xf numFmtId="0" fontId="5" fillId="7" borderId="24" xfId="0" applyFont="1" applyFill="1" applyBorder="1"/>
    <xf numFmtId="0" fontId="5" fillId="7" borderId="37" xfId="0" applyFont="1" applyFill="1" applyBorder="1"/>
    <xf numFmtId="0" fontId="5" fillId="7" borderId="33" xfId="0" applyFont="1" applyFill="1" applyBorder="1"/>
    <xf numFmtId="0" fontId="2" fillId="7" borderId="0" xfId="0" applyFont="1" applyFill="1" applyBorder="1"/>
    <xf numFmtId="2" fontId="5" fillId="3" borderId="13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164" fontId="0" fillId="0" borderId="0" xfId="0" applyNumberFormat="1" applyFill="1" applyBorder="1" applyAlignment="1">
      <alignment horizontal="right"/>
    </xf>
    <xf numFmtId="0" fontId="0" fillId="0" borderId="27" xfId="0" applyBorder="1"/>
    <xf numFmtId="0" fontId="0" fillId="0" borderId="9" xfId="0" applyFont="1" applyBorder="1"/>
    <xf numFmtId="0" fontId="2" fillId="7" borderId="19" xfId="0" applyFont="1" applyFill="1" applyBorder="1"/>
    <xf numFmtId="164" fontId="0" fillId="7" borderId="35" xfId="0" applyNumberFormat="1" applyFill="1" applyBorder="1" applyAlignment="1">
      <alignment horizontal="right"/>
    </xf>
    <xf numFmtId="0" fontId="0" fillId="0" borderId="24" xfId="0" applyFont="1" applyFill="1" applyBorder="1"/>
    <xf numFmtId="0" fontId="0" fillId="0" borderId="25" xfId="0" applyFont="1" applyFill="1" applyBorder="1"/>
    <xf numFmtId="2" fontId="0" fillId="3" borderId="21" xfId="0" applyNumberFormat="1" applyFont="1" applyFill="1" applyBorder="1"/>
    <xf numFmtId="0" fontId="0" fillId="7" borderId="19" xfId="0" applyFont="1" applyFill="1" applyBorder="1" applyAlignment="1">
      <alignment horizontal="right"/>
    </xf>
    <xf numFmtId="0" fontId="0" fillId="7" borderId="16" xfId="0" applyFont="1" applyFill="1" applyBorder="1"/>
    <xf numFmtId="0" fontId="0" fillId="7" borderId="32" xfId="0" applyFont="1" applyFill="1" applyBorder="1"/>
    <xf numFmtId="1" fontId="0" fillId="0" borderId="0" xfId="0" applyNumberFormat="1" applyFont="1" applyFill="1"/>
    <xf numFmtId="1" fontId="0" fillId="0" borderId="0" xfId="0" applyNumberFormat="1" applyFill="1"/>
    <xf numFmtId="1" fontId="0" fillId="0" borderId="0" xfId="0" applyNumberFormat="1" applyFill="1" applyAlignment="1">
      <alignment horizontal="right"/>
    </xf>
    <xf numFmtId="0" fontId="0" fillId="5" borderId="0" xfId="0" applyFont="1" applyFill="1" applyAlignment="1">
      <alignment horizontal="right"/>
    </xf>
    <xf numFmtId="0" fontId="0" fillId="4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" fillId="4" borderId="0" xfId="0" applyFont="1" applyFill="1" applyBorder="1"/>
    <xf numFmtId="1" fontId="5" fillId="7" borderId="19" xfId="0" applyNumberFormat="1" applyFont="1" applyFill="1" applyBorder="1"/>
    <xf numFmtId="0" fontId="0" fillId="5" borderId="0" xfId="0" applyFill="1" applyAlignment="1">
      <alignment horizontal="right"/>
    </xf>
    <xf numFmtId="1" fontId="0" fillId="4" borderId="0" xfId="0" applyNumberForma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0" fontId="3" fillId="0" borderId="3" xfId="0" applyFont="1" applyBorder="1"/>
    <xf numFmtId="1" fontId="2" fillId="4" borderId="28" xfId="0" applyNumberFormat="1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0" fontId="0" fillId="5" borderId="0" xfId="0" applyFont="1" applyFill="1" applyBorder="1"/>
    <xf numFmtId="0" fontId="2" fillId="4" borderId="0" xfId="0" applyFont="1" applyFill="1"/>
    <xf numFmtId="0" fontId="0" fillId="4" borderId="35" xfId="0" applyFont="1" applyFill="1" applyBorder="1"/>
    <xf numFmtId="1" fontId="0" fillId="5" borderId="35" xfId="0" applyNumberFormat="1" applyFill="1" applyBorder="1" applyAlignment="1">
      <alignment horizontal="right"/>
    </xf>
    <xf numFmtId="1" fontId="0" fillId="0" borderId="35" xfId="0" applyNumberFormat="1" applyFont="1" applyFill="1" applyBorder="1" applyAlignment="1">
      <alignment horizontal="right"/>
    </xf>
    <xf numFmtId="0" fontId="0" fillId="5" borderId="35" xfId="0" applyFont="1" applyFill="1" applyBorder="1"/>
    <xf numFmtId="0" fontId="0" fillId="4" borderId="19" xfId="0" applyFill="1" applyBorder="1"/>
    <xf numFmtId="0" fontId="0" fillId="5" borderId="19" xfId="0" applyFill="1" applyBorder="1"/>
    <xf numFmtId="0" fontId="2" fillId="4" borderId="19" xfId="0" applyFont="1" applyFill="1" applyBorder="1"/>
    <xf numFmtId="0" fontId="0" fillId="5" borderId="35" xfId="0" applyFont="1" applyFill="1" applyBorder="1" applyAlignment="1">
      <alignment horizontal="right"/>
    </xf>
    <xf numFmtId="0" fontId="0" fillId="8" borderId="19" xfId="0" applyFill="1" applyBorder="1"/>
    <xf numFmtId="0" fontId="0" fillId="8" borderId="0" xfId="0" applyFill="1" applyAlignment="1">
      <alignment horizontal="right"/>
    </xf>
    <xf numFmtId="0" fontId="0" fillId="8" borderId="35" xfId="0" applyFill="1" applyBorder="1" applyAlignment="1">
      <alignment horizontal="right"/>
    </xf>
    <xf numFmtId="0" fontId="0" fillId="8" borderId="35" xfId="0" applyFill="1" applyBorder="1"/>
    <xf numFmtId="0" fontId="2" fillId="8" borderId="35" xfId="0" applyFont="1" applyFill="1" applyBorder="1" applyAlignment="1">
      <alignment horizontal="right"/>
    </xf>
    <xf numFmtId="0" fontId="2" fillId="8" borderId="35" xfId="0" applyFont="1" applyFill="1" applyBorder="1"/>
    <xf numFmtId="164" fontId="5" fillId="8" borderId="0" xfId="0" applyNumberFormat="1" applyFont="1" applyFill="1" applyAlignment="1">
      <alignment horizontal="right"/>
    </xf>
    <xf numFmtId="1" fontId="0" fillId="7" borderId="35" xfId="0" applyNumberFormat="1" applyFill="1" applyBorder="1" applyAlignment="1">
      <alignment horizontal="right"/>
    </xf>
    <xf numFmtId="2" fontId="0" fillId="3" borderId="14" xfId="0" applyNumberFormat="1" applyFont="1" applyFill="1" applyBorder="1"/>
    <xf numFmtId="0" fontId="5" fillId="2" borderId="5" xfId="0" applyFont="1" applyFill="1" applyBorder="1"/>
    <xf numFmtId="0" fontId="5" fillId="2" borderId="0" xfId="0" applyFont="1" applyFill="1" applyBorder="1"/>
    <xf numFmtId="0" fontId="5" fillId="2" borderId="16" xfId="0" applyFont="1" applyFill="1" applyBorder="1"/>
    <xf numFmtId="0" fontId="5" fillId="2" borderId="19" xfId="0" applyFont="1" applyFill="1" applyBorder="1"/>
    <xf numFmtId="0" fontId="5" fillId="2" borderId="6" xfId="0" applyFont="1" applyFill="1" applyBorder="1"/>
    <xf numFmtId="0" fontId="5" fillId="2" borderId="0" xfId="0" applyFont="1" applyFill="1" applyAlignment="1">
      <alignment horizontal="right"/>
    </xf>
    <xf numFmtId="0" fontId="5" fillId="2" borderId="35" xfId="0" applyFont="1" applyFill="1" applyBorder="1"/>
    <xf numFmtId="0" fontId="5" fillId="2" borderId="35" xfId="0" applyFont="1" applyFill="1" applyBorder="1" applyAlignment="1">
      <alignment horizontal="right"/>
    </xf>
    <xf numFmtId="0" fontId="0" fillId="2" borderId="35" xfId="0" applyFill="1" applyBorder="1"/>
    <xf numFmtId="0" fontId="2" fillId="2" borderId="35" xfId="0" applyFont="1" applyFill="1" applyBorder="1" applyAlignment="1">
      <alignment horizontal="right"/>
    </xf>
    <xf numFmtId="0" fontId="0" fillId="2" borderId="19" xfId="0" applyFill="1" applyBorder="1"/>
    <xf numFmtId="0" fontId="0" fillId="2" borderId="19" xfId="0" applyFill="1" applyBorder="1" applyAlignment="1">
      <alignment horizontal="right"/>
    </xf>
    <xf numFmtId="0" fontId="0" fillId="2" borderId="35" xfId="0" applyFill="1" applyBorder="1" applyAlignment="1">
      <alignment horizontal="right"/>
    </xf>
    <xf numFmtId="0" fontId="0" fillId="10" borderId="0" xfId="0" applyFill="1"/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BCBCB"/>
      <color rgb="FFFBB6A3"/>
      <color rgb="FFB0B0B0"/>
      <color rgb="FFC9C9C9"/>
      <color rgb="FF397DC7"/>
      <color rgb="FFEC3314"/>
      <color rgb="FFF887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AH616"/>
  <sheetViews>
    <sheetView tabSelected="1" topLeftCell="A135" zoomScale="80" zoomScaleNormal="80" workbookViewId="0">
      <selection activeCell="A446" sqref="A446"/>
    </sheetView>
  </sheetViews>
  <sheetFormatPr baseColWidth="10" defaultRowHeight="15" x14ac:dyDescent="0.25"/>
  <sheetData>
    <row r="1" spans="1:34" x14ac:dyDescent="0.25">
      <c r="A1" t="s">
        <v>469</v>
      </c>
    </row>
    <row r="5" spans="1:34" x14ac:dyDescent="0.25">
      <c r="A5" s="23" t="s">
        <v>248</v>
      </c>
    </row>
    <row r="6" spans="1:34" x14ac:dyDescent="0.25">
      <c r="A6" t="s">
        <v>153</v>
      </c>
      <c r="B6" t="s">
        <v>154</v>
      </c>
    </row>
    <row r="7" spans="1:34" x14ac:dyDescent="0.25">
      <c r="A7" s="20" t="s">
        <v>155</v>
      </c>
    </row>
    <row r="8" spans="1:34" x14ac:dyDescent="0.25">
      <c r="A8" s="21" t="s">
        <v>156</v>
      </c>
    </row>
    <row r="12" spans="1:34" x14ac:dyDescent="0.25">
      <c r="A12" s="91" t="s">
        <v>361</v>
      </c>
    </row>
    <row r="16" spans="1:34" x14ac:dyDescent="0.25">
      <c r="A16" t="s">
        <v>994</v>
      </c>
      <c r="B16" t="s">
        <v>995</v>
      </c>
      <c r="C16" t="s">
        <v>996</v>
      </c>
      <c r="D16" t="s">
        <v>3</v>
      </c>
      <c r="E16" t="s">
        <v>4</v>
      </c>
      <c r="F16" t="s">
        <v>7</v>
      </c>
      <c r="G16" t="s">
        <v>99</v>
      </c>
      <c r="H16" t="s">
        <v>5</v>
      </c>
      <c r="I16" t="s">
        <v>997</v>
      </c>
      <c r="J16" t="s">
        <v>998</v>
      </c>
      <c r="K16" t="s">
        <v>999</v>
      </c>
      <c r="L16" t="s">
        <v>1000</v>
      </c>
      <c r="M16" t="s">
        <v>1001</v>
      </c>
      <c r="N16" t="s">
        <v>1002</v>
      </c>
      <c r="O16" t="s">
        <v>1003</v>
      </c>
      <c r="P16" t="s">
        <v>1004</v>
      </c>
      <c r="Q16" t="s">
        <v>1005</v>
      </c>
      <c r="R16" t="s">
        <v>1006</v>
      </c>
      <c r="S16" t="s">
        <v>1007</v>
      </c>
      <c r="T16" t="s">
        <v>1008</v>
      </c>
      <c r="U16" t="s">
        <v>1009</v>
      </c>
      <c r="V16" t="s">
        <v>1010</v>
      </c>
      <c r="W16" t="s">
        <v>1011</v>
      </c>
      <c r="X16" t="s">
        <v>1012</v>
      </c>
      <c r="Y16" t="s">
        <v>1013</v>
      </c>
      <c r="Z16" t="s">
        <v>1014</v>
      </c>
      <c r="AA16" t="s">
        <v>1015</v>
      </c>
      <c r="AB16" t="s">
        <v>1016</v>
      </c>
      <c r="AC16" t="s">
        <v>1017</v>
      </c>
      <c r="AD16" t="s">
        <v>1018</v>
      </c>
      <c r="AE16" t="s">
        <v>1019</v>
      </c>
      <c r="AF16" t="s">
        <v>1020</v>
      </c>
      <c r="AG16" t="s">
        <v>1021</v>
      </c>
      <c r="AH16" t="s">
        <v>1022</v>
      </c>
    </row>
    <row r="17" spans="1:28" hidden="1" x14ac:dyDescent="0.25">
      <c r="A17" t="s">
        <v>1025</v>
      </c>
      <c r="D17" t="s">
        <v>29</v>
      </c>
      <c r="E17" t="s">
        <v>542</v>
      </c>
      <c r="F17">
        <v>12</v>
      </c>
      <c r="G17">
        <v>2</v>
      </c>
      <c r="H17">
        <v>6</v>
      </c>
      <c r="I17">
        <v>7</v>
      </c>
      <c r="M17" t="s">
        <v>153</v>
      </c>
      <c r="N17">
        <v>5</v>
      </c>
      <c r="O17" t="s">
        <v>153</v>
      </c>
      <c r="P17">
        <v>7</v>
      </c>
      <c r="Q17">
        <v>7</v>
      </c>
      <c r="R17">
        <v>5</v>
      </c>
      <c r="T17">
        <v>8</v>
      </c>
      <c r="U17">
        <v>7</v>
      </c>
      <c r="V17">
        <v>7</v>
      </c>
      <c r="X17">
        <v>9</v>
      </c>
      <c r="Y17">
        <v>6</v>
      </c>
      <c r="Z17">
        <v>7</v>
      </c>
      <c r="AA17">
        <v>8</v>
      </c>
      <c r="AB17">
        <v>8</v>
      </c>
    </row>
    <row r="18" spans="1:28" hidden="1" x14ac:dyDescent="0.25">
      <c r="A18" t="s">
        <v>1023</v>
      </c>
      <c r="D18" t="s">
        <v>8</v>
      </c>
      <c r="E18" t="s">
        <v>247</v>
      </c>
    </row>
    <row r="19" spans="1:28" hidden="1" x14ac:dyDescent="0.25">
      <c r="A19" t="s">
        <v>1023</v>
      </c>
      <c r="D19" t="s">
        <v>8</v>
      </c>
      <c r="E19" t="s">
        <v>32</v>
      </c>
    </row>
    <row r="20" spans="1:28" x14ac:dyDescent="0.25">
      <c r="A20" t="s">
        <v>1025</v>
      </c>
      <c r="D20" t="s">
        <v>30</v>
      </c>
      <c r="E20" t="s">
        <v>27</v>
      </c>
      <c r="F20">
        <v>13</v>
      </c>
      <c r="G20">
        <v>1</v>
      </c>
      <c r="H20">
        <v>15</v>
      </c>
      <c r="I20">
        <v>6.9230769230769234</v>
      </c>
      <c r="M20">
        <v>6</v>
      </c>
      <c r="O20">
        <v>4</v>
      </c>
      <c r="P20">
        <v>7</v>
      </c>
      <c r="Q20">
        <v>7</v>
      </c>
      <c r="R20">
        <v>8</v>
      </c>
      <c r="S20">
        <v>8</v>
      </c>
      <c r="T20">
        <v>7</v>
      </c>
      <c r="V20">
        <v>8</v>
      </c>
      <c r="W20">
        <v>5</v>
      </c>
      <c r="X20">
        <v>7</v>
      </c>
      <c r="Y20" t="s">
        <v>153</v>
      </c>
      <c r="Z20">
        <v>8</v>
      </c>
      <c r="AA20">
        <v>8</v>
      </c>
      <c r="AB20">
        <v>7</v>
      </c>
    </row>
    <row r="21" spans="1:28" hidden="1" x14ac:dyDescent="0.25">
      <c r="A21" t="s">
        <v>1023</v>
      </c>
      <c r="D21" t="s">
        <v>11</v>
      </c>
      <c r="E21" t="s">
        <v>329</v>
      </c>
      <c r="F21">
        <v>2</v>
      </c>
      <c r="G21">
        <v>6</v>
      </c>
      <c r="I21">
        <v>5</v>
      </c>
      <c r="J21">
        <v>6</v>
      </c>
      <c r="K21" t="s">
        <v>153</v>
      </c>
      <c r="L21" t="s">
        <v>153</v>
      </c>
      <c r="M21" t="s">
        <v>153</v>
      </c>
      <c r="T21" t="s">
        <v>153</v>
      </c>
      <c r="U21" t="s">
        <v>153</v>
      </c>
      <c r="V21">
        <v>4</v>
      </c>
      <c r="AB21" t="s">
        <v>153</v>
      </c>
    </row>
    <row r="22" spans="1:28" hidden="1" x14ac:dyDescent="0.25">
      <c r="A22" t="s">
        <v>1023</v>
      </c>
      <c r="D22" t="s">
        <v>11</v>
      </c>
      <c r="E22" t="s">
        <v>350</v>
      </c>
    </row>
    <row r="23" spans="1:28" hidden="1" x14ac:dyDescent="0.25">
      <c r="A23" t="s">
        <v>1023</v>
      </c>
      <c r="D23" t="s">
        <v>11</v>
      </c>
      <c r="E23" t="s">
        <v>202</v>
      </c>
      <c r="F23">
        <v>7</v>
      </c>
      <c r="G23">
        <v>2</v>
      </c>
      <c r="I23">
        <v>5.2857142857142856</v>
      </c>
      <c r="J23">
        <v>5</v>
      </c>
      <c r="K23">
        <v>5</v>
      </c>
      <c r="Q23" t="s">
        <v>153</v>
      </c>
      <c r="R23" t="s">
        <v>153</v>
      </c>
      <c r="W23">
        <v>5</v>
      </c>
      <c r="X23">
        <v>5</v>
      </c>
      <c r="Y23">
        <v>6</v>
      </c>
      <c r="Z23">
        <v>5</v>
      </c>
      <c r="AA23">
        <v>6</v>
      </c>
    </row>
    <row r="24" spans="1:28" hidden="1" x14ac:dyDescent="0.25">
      <c r="A24" t="s">
        <v>1023</v>
      </c>
      <c r="D24" t="s">
        <v>11</v>
      </c>
      <c r="E24" t="s">
        <v>364</v>
      </c>
      <c r="I24" t="s">
        <v>899</v>
      </c>
    </row>
    <row r="25" spans="1:28" hidden="1" x14ac:dyDescent="0.25">
      <c r="A25" t="s">
        <v>1023</v>
      </c>
      <c r="D25" t="s">
        <v>11</v>
      </c>
      <c r="E25" t="s">
        <v>365</v>
      </c>
    </row>
    <row r="26" spans="1:28" hidden="1" x14ac:dyDescent="0.25">
      <c r="A26" t="s">
        <v>1023</v>
      </c>
      <c r="D26" t="s">
        <v>11</v>
      </c>
      <c r="E26" t="s">
        <v>385</v>
      </c>
    </row>
    <row r="27" spans="1:28" hidden="1" x14ac:dyDescent="0.25">
      <c r="A27" t="s">
        <v>1025</v>
      </c>
      <c r="D27" t="s">
        <v>11</v>
      </c>
      <c r="E27" t="s">
        <v>12</v>
      </c>
      <c r="F27">
        <v>18</v>
      </c>
      <c r="G27">
        <v>1</v>
      </c>
      <c r="H27">
        <v>1</v>
      </c>
      <c r="I27">
        <v>5.9444444444444446</v>
      </c>
      <c r="J27">
        <v>6</v>
      </c>
      <c r="K27">
        <v>8</v>
      </c>
      <c r="L27">
        <v>6</v>
      </c>
      <c r="M27">
        <v>6</v>
      </c>
      <c r="N27">
        <v>6</v>
      </c>
      <c r="O27">
        <v>5</v>
      </c>
      <c r="P27" t="s">
        <v>153</v>
      </c>
      <c r="Q27">
        <v>5</v>
      </c>
      <c r="R27">
        <v>5</v>
      </c>
      <c r="S27">
        <v>7</v>
      </c>
      <c r="T27">
        <v>5</v>
      </c>
      <c r="U27">
        <v>6</v>
      </c>
      <c r="V27">
        <v>6</v>
      </c>
      <c r="W27">
        <v>6</v>
      </c>
      <c r="X27">
        <v>6</v>
      </c>
      <c r="Y27">
        <v>6</v>
      </c>
      <c r="Z27">
        <v>6</v>
      </c>
      <c r="AA27">
        <v>6</v>
      </c>
      <c r="AB27">
        <v>6</v>
      </c>
    </row>
    <row r="28" spans="1:28" hidden="1" x14ac:dyDescent="0.25">
      <c r="A28" t="s">
        <v>1025</v>
      </c>
      <c r="D28" t="s">
        <v>11</v>
      </c>
      <c r="E28" t="s">
        <v>141</v>
      </c>
      <c r="F28">
        <v>13</v>
      </c>
      <c r="H28">
        <v>2</v>
      </c>
      <c r="I28">
        <v>5.7692307692307692</v>
      </c>
      <c r="J28">
        <v>6</v>
      </c>
      <c r="K28">
        <v>6</v>
      </c>
      <c r="L28">
        <v>5</v>
      </c>
      <c r="M28">
        <v>6</v>
      </c>
      <c r="N28">
        <v>5</v>
      </c>
      <c r="Q28">
        <v>6</v>
      </c>
      <c r="R28">
        <v>5</v>
      </c>
      <c r="S28">
        <v>7</v>
      </c>
      <c r="U28">
        <v>6</v>
      </c>
      <c r="Y28">
        <v>5</v>
      </c>
      <c r="Z28">
        <v>6</v>
      </c>
      <c r="AA28">
        <v>7</v>
      </c>
      <c r="AB28">
        <v>5</v>
      </c>
    </row>
    <row r="29" spans="1:28" hidden="1" x14ac:dyDescent="0.25">
      <c r="A29" t="s">
        <v>1023</v>
      </c>
      <c r="D29" t="s">
        <v>11</v>
      </c>
      <c r="E29" t="s">
        <v>607</v>
      </c>
      <c r="F29">
        <v>6</v>
      </c>
      <c r="I29">
        <v>5.166666666666667</v>
      </c>
      <c r="Q29">
        <v>5</v>
      </c>
      <c r="R29">
        <v>5</v>
      </c>
      <c r="S29">
        <v>5</v>
      </c>
      <c r="T29">
        <v>6</v>
      </c>
      <c r="AA29">
        <v>5</v>
      </c>
      <c r="AB29">
        <v>5</v>
      </c>
    </row>
    <row r="30" spans="1:28" hidden="1" x14ac:dyDescent="0.25">
      <c r="A30" t="s">
        <v>1023</v>
      </c>
      <c r="D30" t="s">
        <v>11</v>
      </c>
      <c r="E30" t="s">
        <v>608</v>
      </c>
      <c r="F30">
        <v>3</v>
      </c>
      <c r="G30">
        <v>1</v>
      </c>
      <c r="I30">
        <v>4.333333333333333</v>
      </c>
      <c r="N30" t="s">
        <v>153</v>
      </c>
      <c r="P30">
        <v>4</v>
      </c>
      <c r="Q30">
        <v>5</v>
      </c>
      <c r="R30">
        <v>4</v>
      </c>
    </row>
    <row r="31" spans="1:28" hidden="1" x14ac:dyDescent="0.25">
      <c r="A31" t="s">
        <v>1023</v>
      </c>
      <c r="D31" t="s">
        <v>11</v>
      </c>
      <c r="E31" t="s">
        <v>609</v>
      </c>
      <c r="F31">
        <v>6</v>
      </c>
      <c r="G31">
        <v>3</v>
      </c>
      <c r="I31">
        <v>5.333333333333333</v>
      </c>
      <c r="O31" t="s">
        <v>153</v>
      </c>
      <c r="P31">
        <v>5</v>
      </c>
      <c r="T31" t="s">
        <v>153</v>
      </c>
      <c r="V31" t="s">
        <v>153</v>
      </c>
      <c r="W31">
        <v>5</v>
      </c>
      <c r="X31">
        <v>4</v>
      </c>
      <c r="Y31">
        <v>7</v>
      </c>
      <c r="Z31">
        <v>6</v>
      </c>
      <c r="AA31">
        <v>5</v>
      </c>
    </row>
    <row r="32" spans="1:28" hidden="1" x14ac:dyDescent="0.25">
      <c r="A32" t="s">
        <v>1037</v>
      </c>
      <c r="B32">
        <v>31</v>
      </c>
      <c r="D32" t="s">
        <v>11</v>
      </c>
      <c r="E32" t="s">
        <v>218</v>
      </c>
      <c r="F32">
        <v>17</v>
      </c>
      <c r="H32">
        <v>3</v>
      </c>
      <c r="I32">
        <v>5.5294117647058822</v>
      </c>
      <c r="J32">
        <v>5</v>
      </c>
      <c r="K32">
        <v>6</v>
      </c>
      <c r="M32">
        <v>4</v>
      </c>
      <c r="N32">
        <v>7</v>
      </c>
      <c r="O32">
        <v>5</v>
      </c>
      <c r="P32">
        <v>7</v>
      </c>
      <c r="Q32">
        <v>6</v>
      </c>
      <c r="R32">
        <v>5</v>
      </c>
      <c r="S32">
        <v>5</v>
      </c>
      <c r="T32">
        <v>5</v>
      </c>
      <c r="U32">
        <v>6</v>
      </c>
      <c r="V32">
        <v>5</v>
      </c>
      <c r="X32">
        <v>4</v>
      </c>
      <c r="Y32">
        <v>5</v>
      </c>
      <c r="Z32">
        <v>7</v>
      </c>
      <c r="AA32">
        <v>6</v>
      </c>
      <c r="AB32">
        <v>6</v>
      </c>
    </row>
    <row r="33" spans="1:28" hidden="1" x14ac:dyDescent="0.25">
      <c r="A33" t="s">
        <v>1025</v>
      </c>
      <c r="D33" t="s">
        <v>29</v>
      </c>
      <c r="E33" t="s">
        <v>20</v>
      </c>
      <c r="F33">
        <v>14</v>
      </c>
      <c r="G33">
        <v>3</v>
      </c>
      <c r="H33">
        <v>3</v>
      </c>
      <c r="I33">
        <v>5.9285714285714288</v>
      </c>
      <c r="J33">
        <v>7</v>
      </c>
      <c r="K33">
        <v>7</v>
      </c>
      <c r="L33">
        <v>7</v>
      </c>
      <c r="M33">
        <v>7</v>
      </c>
      <c r="N33">
        <v>5</v>
      </c>
      <c r="O33" t="s">
        <v>153</v>
      </c>
      <c r="P33">
        <v>6</v>
      </c>
      <c r="R33">
        <v>6</v>
      </c>
      <c r="T33" t="s">
        <v>153</v>
      </c>
      <c r="U33">
        <v>5</v>
      </c>
      <c r="V33">
        <v>6</v>
      </c>
      <c r="W33">
        <v>7</v>
      </c>
      <c r="X33" t="s">
        <v>153</v>
      </c>
      <c r="Y33">
        <v>5</v>
      </c>
      <c r="Z33">
        <v>5</v>
      </c>
      <c r="AA33">
        <v>5</v>
      </c>
      <c r="AB33">
        <v>5</v>
      </c>
    </row>
    <row r="34" spans="1:28" hidden="1" x14ac:dyDescent="0.25">
      <c r="A34" t="s">
        <v>1029</v>
      </c>
      <c r="B34">
        <v>34</v>
      </c>
      <c r="D34" t="s">
        <v>29</v>
      </c>
      <c r="E34" t="s">
        <v>166</v>
      </c>
      <c r="F34">
        <v>17</v>
      </c>
      <c r="H34">
        <v>5</v>
      </c>
      <c r="I34">
        <v>5.882352941176471</v>
      </c>
      <c r="J34">
        <v>7</v>
      </c>
      <c r="K34">
        <v>5</v>
      </c>
      <c r="M34">
        <v>7</v>
      </c>
      <c r="N34">
        <v>8</v>
      </c>
      <c r="O34">
        <v>7</v>
      </c>
      <c r="P34">
        <v>4</v>
      </c>
      <c r="Q34">
        <v>8</v>
      </c>
      <c r="R34">
        <v>7</v>
      </c>
      <c r="S34">
        <v>5</v>
      </c>
      <c r="T34">
        <v>5</v>
      </c>
      <c r="U34">
        <v>4</v>
      </c>
      <c r="V34">
        <v>5</v>
      </c>
      <c r="W34">
        <v>5</v>
      </c>
      <c r="X34">
        <v>4</v>
      </c>
      <c r="Z34">
        <v>7</v>
      </c>
      <c r="AA34">
        <v>5</v>
      </c>
      <c r="AB34">
        <v>7</v>
      </c>
    </row>
    <row r="35" spans="1:28" hidden="1" x14ac:dyDescent="0.25">
      <c r="A35" t="s">
        <v>1023</v>
      </c>
      <c r="D35" t="s">
        <v>29</v>
      </c>
      <c r="E35" t="s">
        <v>37</v>
      </c>
      <c r="F35">
        <v>5</v>
      </c>
      <c r="G35">
        <v>7</v>
      </c>
      <c r="H35">
        <v>1</v>
      </c>
      <c r="I35">
        <v>5.166666666666667</v>
      </c>
      <c r="J35">
        <v>5</v>
      </c>
      <c r="K35">
        <v>5</v>
      </c>
      <c r="N35" t="s">
        <v>153</v>
      </c>
      <c r="S35" t="s">
        <v>153</v>
      </c>
      <c r="T35" t="s">
        <v>153</v>
      </c>
      <c r="U35" t="s">
        <v>153</v>
      </c>
      <c r="V35">
        <v>5</v>
      </c>
      <c r="W35" t="s">
        <v>153</v>
      </c>
      <c r="Y35">
        <v>5</v>
      </c>
      <c r="Z35">
        <v>5</v>
      </c>
      <c r="AA35" t="s">
        <v>153</v>
      </c>
      <c r="AB35">
        <v>6</v>
      </c>
    </row>
    <row r="36" spans="1:28" hidden="1" x14ac:dyDescent="0.25">
      <c r="A36" t="s">
        <v>1023</v>
      </c>
      <c r="D36" t="s">
        <v>29</v>
      </c>
      <c r="E36" t="s">
        <v>372</v>
      </c>
    </row>
    <row r="37" spans="1:28" hidden="1" x14ac:dyDescent="0.25">
      <c r="A37" t="s">
        <v>1023</v>
      </c>
      <c r="D37" t="s">
        <v>29</v>
      </c>
      <c r="E37" t="s">
        <v>122</v>
      </c>
      <c r="F37">
        <v>4</v>
      </c>
      <c r="I37">
        <v>5</v>
      </c>
      <c r="J37">
        <v>5</v>
      </c>
      <c r="L37">
        <v>5</v>
      </c>
      <c r="M37">
        <v>5</v>
      </c>
    </row>
    <row r="38" spans="1:28" hidden="1" x14ac:dyDescent="0.25">
      <c r="A38" t="s">
        <v>1023</v>
      </c>
      <c r="D38" t="s">
        <v>29</v>
      </c>
      <c r="E38" t="s">
        <v>458</v>
      </c>
      <c r="F38">
        <v>9</v>
      </c>
      <c r="G38">
        <v>4</v>
      </c>
      <c r="H38">
        <v>3</v>
      </c>
      <c r="I38">
        <v>5.3</v>
      </c>
      <c r="J38" t="s">
        <v>153</v>
      </c>
      <c r="K38" t="s">
        <v>153</v>
      </c>
      <c r="O38">
        <v>5</v>
      </c>
      <c r="P38">
        <v>3</v>
      </c>
      <c r="S38" t="s">
        <v>153</v>
      </c>
      <c r="T38">
        <v>4</v>
      </c>
      <c r="U38">
        <v>6</v>
      </c>
      <c r="V38">
        <v>4</v>
      </c>
      <c r="W38">
        <v>8</v>
      </c>
      <c r="X38">
        <v>7</v>
      </c>
      <c r="Y38">
        <v>5</v>
      </c>
      <c r="Z38">
        <v>6</v>
      </c>
      <c r="AA38">
        <v>5</v>
      </c>
    </row>
    <row r="39" spans="1:28" hidden="1" x14ac:dyDescent="0.25">
      <c r="A39" t="s">
        <v>1023</v>
      </c>
      <c r="D39" t="s">
        <v>29</v>
      </c>
      <c r="E39" t="s">
        <v>465</v>
      </c>
      <c r="F39">
        <v>2</v>
      </c>
      <c r="G39">
        <v>9</v>
      </c>
      <c r="H39">
        <v>1</v>
      </c>
      <c r="I39">
        <v>5</v>
      </c>
      <c r="J39" t="s">
        <v>153</v>
      </c>
      <c r="K39" t="s">
        <v>153</v>
      </c>
      <c r="L39" t="s">
        <v>153</v>
      </c>
      <c r="M39" t="s">
        <v>153</v>
      </c>
      <c r="P39" t="s">
        <v>153</v>
      </c>
      <c r="Q39">
        <v>5</v>
      </c>
      <c r="R39" t="s">
        <v>153</v>
      </c>
      <c r="S39" t="s">
        <v>153</v>
      </c>
      <c r="V39" t="s">
        <v>153</v>
      </c>
      <c r="Z39">
        <v>6</v>
      </c>
      <c r="AB39">
        <v>4</v>
      </c>
    </row>
    <row r="40" spans="1:28" hidden="1" x14ac:dyDescent="0.25">
      <c r="A40" t="s">
        <v>1028</v>
      </c>
      <c r="D40" t="s">
        <v>29</v>
      </c>
      <c r="E40" t="s">
        <v>377</v>
      </c>
      <c r="F40">
        <v>15</v>
      </c>
      <c r="H40">
        <v>5</v>
      </c>
      <c r="I40">
        <v>5.8666666666666663</v>
      </c>
      <c r="J40">
        <v>5</v>
      </c>
      <c r="K40">
        <v>5</v>
      </c>
      <c r="L40">
        <v>7</v>
      </c>
      <c r="M40">
        <v>7</v>
      </c>
      <c r="O40">
        <v>7</v>
      </c>
      <c r="P40">
        <v>7</v>
      </c>
      <c r="Q40">
        <v>5</v>
      </c>
      <c r="R40">
        <v>8</v>
      </c>
      <c r="S40">
        <v>6</v>
      </c>
      <c r="T40">
        <v>4</v>
      </c>
      <c r="U40">
        <v>5</v>
      </c>
      <c r="V40">
        <v>4</v>
      </c>
      <c r="Z40">
        <v>4</v>
      </c>
      <c r="AA40">
        <v>7</v>
      </c>
      <c r="AB40">
        <v>7</v>
      </c>
    </row>
    <row r="41" spans="1:28" x14ac:dyDescent="0.25">
      <c r="A41" t="s">
        <v>1023</v>
      </c>
      <c r="D41" t="s">
        <v>30</v>
      </c>
      <c r="E41" t="s">
        <v>278</v>
      </c>
      <c r="F41">
        <v>18</v>
      </c>
      <c r="G41">
        <v>1</v>
      </c>
      <c r="H41">
        <v>11</v>
      </c>
      <c r="I41">
        <v>5.6111111111111107</v>
      </c>
      <c r="J41">
        <v>4</v>
      </c>
      <c r="K41">
        <v>4</v>
      </c>
      <c r="L41">
        <v>8</v>
      </c>
      <c r="M41">
        <v>5</v>
      </c>
      <c r="N41">
        <v>7</v>
      </c>
      <c r="O41">
        <v>5</v>
      </c>
      <c r="P41" t="s">
        <v>153</v>
      </c>
      <c r="Q41">
        <v>6</v>
      </c>
      <c r="R41">
        <v>7</v>
      </c>
      <c r="S41">
        <v>6</v>
      </c>
      <c r="T41">
        <v>6</v>
      </c>
      <c r="U41">
        <v>6</v>
      </c>
      <c r="V41">
        <v>4</v>
      </c>
      <c r="W41">
        <v>7</v>
      </c>
      <c r="X41">
        <v>6</v>
      </c>
      <c r="Y41">
        <v>5</v>
      </c>
      <c r="Z41">
        <v>5</v>
      </c>
      <c r="AA41">
        <v>6</v>
      </c>
      <c r="AB41">
        <v>4</v>
      </c>
    </row>
    <row r="42" spans="1:28" hidden="1" x14ac:dyDescent="0.25">
      <c r="A42" t="s">
        <v>1023</v>
      </c>
      <c r="D42" t="s">
        <v>29</v>
      </c>
      <c r="E42" t="s">
        <v>610</v>
      </c>
      <c r="F42">
        <v>8</v>
      </c>
      <c r="G42">
        <v>6</v>
      </c>
      <c r="I42">
        <v>4.8888888888888893</v>
      </c>
      <c r="N42">
        <v>5</v>
      </c>
      <c r="O42">
        <v>5</v>
      </c>
      <c r="P42">
        <v>5</v>
      </c>
      <c r="Q42">
        <v>5</v>
      </c>
      <c r="R42">
        <v>5</v>
      </c>
      <c r="S42">
        <v>5</v>
      </c>
      <c r="T42">
        <v>5</v>
      </c>
      <c r="U42">
        <v>5</v>
      </c>
      <c r="V42">
        <v>4</v>
      </c>
      <c r="W42" t="s">
        <v>153</v>
      </c>
      <c r="X42" t="s">
        <v>153</v>
      </c>
      <c r="Z42" t="s">
        <v>153</v>
      </c>
      <c r="AA42" t="s">
        <v>153</v>
      </c>
      <c r="AB42" t="s">
        <v>153</v>
      </c>
    </row>
    <row r="43" spans="1:28" hidden="1" x14ac:dyDescent="0.25">
      <c r="A43" t="s">
        <v>1023</v>
      </c>
      <c r="D43" t="s">
        <v>29</v>
      </c>
      <c r="E43" t="s">
        <v>693</v>
      </c>
      <c r="F43">
        <v>1</v>
      </c>
      <c r="G43">
        <v>2</v>
      </c>
      <c r="I43">
        <v>4</v>
      </c>
      <c r="O43" t="s">
        <v>153</v>
      </c>
      <c r="Q43">
        <v>4</v>
      </c>
      <c r="V43" t="s">
        <v>153</v>
      </c>
    </row>
    <row r="44" spans="1:28" hidden="1" x14ac:dyDescent="0.25">
      <c r="A44" t="s">
        <v>1023</v>
      </c>
      <c r="D44" t="s">
        <v>29</v>
      </c>
      <c r="E44" t="s">
        <v>223</v>
      </c>
      <c r="F44">
        <v>5</v>
      </c>
      <c r="G44">
        <v>10</v>
      </c>
      <c r="H44">
        <v>1</v>
      </c>
      <c r="I44">
        <v>4.4285714285714288</v>
      </c>
      <c r="J44">
        <v>4</v>
      </c>
      <c r="K44">
        <v>5</v>
      </c>
      <c r="L44" t="s">
        <v>153</v>
      </c>
      <c r="M44" t="s">
        <v>153</v>
      </c>
      <c r="N44" t="s">
        <v>153</v>
      </c>
      <c r="P44">
        <v>4</v>
      </c>
      <c r="Q44" t="s">
        <v>153</v>
      </c>
      <c r="R44" t="s">
        <v>153</v>
      </c>
      <c r="S44">
        <v>4</v>
      </c>
      <c r="V44">
        <v>5</v>
      </c>
      <c r="W44">
        <v>5</v>
      </c>
      <c r="X44" t="s">
        <v>153</v>
      </c>
      <c r="Y44">
        <v>4</v>
      </c>
      <c r="AA44" t="s">
        <v>153</v>
      </c>
      <c r="AB44" t="s">
        <v>153</v>
      </c>
    </row>
    <row r="45" spans="1:28" hidden="1" x14ac:dyDescent="0.25">
      <c r="A45" t="s">
        <v>1028</v>
      </c>
      <c r="B45">
        <v>24</v>
      </c>
      <c r="D45" t="s">
        <v>11</v>
      </c>
      <c r="E45" t="s">
        <v>76</v>
      </c>
      <c r="F45">
        <v>18</v>
      </c>
      <c r="G45">
        <v>1</v>
      </c>
      <c r="H45">
        <v>3</v>
      </c>
      <c r="I45">
        <v>5.4444444444444446</v>
      </c>
      <c r="J45">
        <v>4</v>
      </c>
      <c r="K45">
        <v>6</v>
      </c>
      <c r="L45">
        <v>6</v>
      </c>
      <c r="M45">
        <v>7</v>
      </c>
      <c r="N45">
        <v>5</v>
      </c>
      <c r="O45">
        <v>5</v>
      </c>
      <c r="P45">
        <v>5</v>
      </c>
      <c r="Q45">
        <v>3</v>
      </c>
      <c r="R45">
        <v>7</v>
      </c>
      <c r="S45">
        <v>5</v>
      </c>
      <c r="T45">
        <v>5</v>
      </c>
      <c r="U45">
        <v>5</v>
      </c>
      <c r="V45" t="s">
        <v>153</v>
      </c>
      <c r="W45">
        <v>6</v>
      </c>
      <c r="X45">
        <v>5</v>
      </c>
      <c r="Y45">
        <v>6</v>
      </c>
      <c r="Z45">
        <v>6</v>
      </c>
      <c r="AA45">
        <v>6</v>
      </c>
      <c r="AB45">
        <v>6</v>
      </c>
    </row>
    <row r="46" spans="1:28" hidden="1" x14ac:dyDescent="0.25">
      <c r="A46" t="s">
        <v>1023</v>
      </c>
      <c r="D46" t="s">
        <v>30</v>
      </c>
      <c r="E46" t="s">
        <v>339</v>
      </c>
    </row>
    <row r="47" spans="1:28" hidden="1" x14ac:dyDescent="0.25">
      <c r="A47" t="s">
        <v>1023</v>
      </c>
      <c r="D47" t="s">
        <v>30</v>
      </c>
      <c r="E47" t="s">
        <v>38</v>
      </c>
    </row>
    <row r="48" spans="1:28" hidden="1" x14ac:dyDescent="0.25">
      <c r="A48" t="s">
        <v>1038</v>
      </c>
      <c r="D48" t="s">
        <v>29</v>
      </c>
      <c r="E48" t="s">
        <v>496</v>
      </c>
      <c r="F48">
        <v>11</v>
      </c>
      <c r="G48">
        <v>5</v>
      </c>
      <c r="H48">
        <v>3</v>
      </c>
      <c r="I48">
        <v>5.7272727272727275</v>
      </c>
      <c r="J48">
        <v>5</v>
      </c>
      <c r="K48">
        <v>7</v>
      </c>
      <c r="M48">
        <v>7</v>
      </c>
      <c r="N48">
        <v>5</v>
      </c>
      <c r="O48">
        <v>6</v>
      </c>
      <c r="P48" t="s">
        <v>153</v>
      </c>
      <c r="Q48">
        <v>10</v>
      </c>
      <c r="S48" t="s">
        <v>153</v>
      </c>
      <c r="T48">
        <v>5</v>
      </c>
      <c r="U48">
        <v>4</v>
      </c>
      <c r="V48">
        <v>5</v>
      </c>
      <c r="X48" t="s">
        <v>153</v>
      </c>
      <c r="Y48">
        <v>5</v>
      </c>
      <c r="Z48">
        <v>4</v>
      </c>
      <c r="AA48" t="s">
        <v>554</v>
      </c>
      <c r="AB48" t="s">
        <v>153</v>
      </c>
    </row>
    <row r="49" spans="1:28" hidden="1" x14ac:dyDescent="0.25">
      <c r="A49" t="s">
        <v>1024</v>
      </c>
      <c r="D49" t="s">
        <v>8</v>
      </c>
      <c r="E49" t="s">
        <v>41</v>
      </c>
      <c r="F49">
        <v>1</v>
      </c>
      <c r="I49">
        <v>7</v>
      </c>
      <c r="Y49">
        <v>7</v>
      </c>
    </row>
    <row r="50" spans="1:28" hidden="1" x14ac:dyDescent="0.25">
      <c r="A50" t="s">
        <v>1024</v>
      </c>
      <c r="D50" t="s">
        <v>8</v>
      </c>
      <c r="E50" t="s">
        <v>711</v>
      </c>
    </row>
    <row r="51" spans="1:28" hidden="1" x14ac:dyDescent="0.25">
      <c r="A51" t="s">
        <v>1024</v>
      </c>
      <c r="D51" t="s">
        <v>11</v>
      </c>
      <c r="E51" t="s">
        <v>43</v>
      </c>
      <c r="F51">
        <v>3</v>
      </c>
      <c r="I51">
        <v>4.666666666666667</v>
      </c>
      <c r="Y51">
        <v>5</v>
      </c>
      <c r="Z51">
        <v>4</v>
      </c>
      <c r="AB51">
        <v>5</v>
      </c>
    </row>
    <row r="52" spans="1:28" hidden="1" x14ac:dyDescent="0.25">
      <c r="A52" t="s">
        <v>1024</v>
      </c>
      <c r="D52" t="s">
        <v>11</v>
      </c>
      <c r="E52" t="s">
        <v>214</v>
      </c>
      <c r="F52">
        <v>8</v>
      </c>
      <c r="G52">
        <v>2</v>
      </c>
      <c r="I52">
        <v>4.7142857142857144</v>
      </c>
      <c r="J52">
        <v>6</v>
      </c>
      <c r="L52">
        <v>5</v>
      </c>
      <c r="N52">
        <v>5</v>
      </c>
      <c r="O52" t="s">
        <v>546</v>
      </c>
      <c r="U52" t="s">
        <v>153</v>
      </c>
      <c r="V52" t="s">
        <v>153</v>
      </c>
      <c r="Y52">
        <v>6</v>
      </c>
      <c r="Z52">
        <v>4</v>
      </c>
      <c r="AA52">
        <v>3</v>
      </c>
      <c r="AB52">
        <v>4</v>
      </c>
    </row>
    <row r="53" spans="1:28" hidden="1" x14ac:dyDescent="0.25">
      <c r="A53" t="s">
        <v>1024</v>
      </c>
      <c r="D53" t="s">
        <v>11</v>
      </c>
      <c r="E53" t="s">
        <v>323</v>
      </c>
      <c r="F53">
        <v>1</v>
      </c>
      <c r="I53">
        <v>5</v>
      </c>
      <c r="Q53">
        <v>5</v>
      </c>
    </row>
    <row r="54" spans="1:28" hidden="1" x14ac:dyDescent="0.25">
      <c r="A54" t="s">
        <v>1024</v>
      </c>
      <c r="D54" t="s">
        <v>11</v>
      </c>
      <c r="E54" t="s">
        <v>16</v>
      </c>
      <c r="F54">
        <v>8</v>
      </c>
      <c r="G54">
        <v>2</v>
      </c>
      <c r="I54">
        <v>5.5</v>
      </c>
      <c r="M54" t="s">
        <v>153</v>
      </c>
      <c r="N54">
        <v>5</v>
      </c>
      <c r="O54">
        <v>5</v>
      </c>
      <c r="P54">
        <v>6</v>
      </c>
      <c r="Q54">
        <v>5</v>
      </c>
      <c r="R54">
        <v>5</v>
      </c>
      <c r="S54">
        <v>5</v>
      </c>
      <c r="T54">
        <v>6</v>
      </c>
      <c r="U54">
        <v>7</v>
      </c>
      <c r="V54" t="s">
        <v>153</v>
      </c>
    </row>
    <row r="55" spans="1:28" hidden="1" x14ac:dyDescent="0.25">
      <c r="A55" t="s">
        <v>1024</v>
      </c>
      <c r="D55" t="s">
        <v>11</v>
      </c>
      <c r="E55" t="s">
        <v>44</v>
      </c>
      <c r="F55">
        <v>6</v>
      </c>
      <c r="I55">
        <v>5.2</v>
      </c>
      <c r="J55">
        <v>6</v>
      </c>
      <c r="K55">
        <v>6</v>
      </c>
      <c r="O55">
        <v>4</v>
      </c>
      <c r="P55">
        <v>5</v>
      </c>
      <c r="R55" t="s">
        <v>546</v>
      </c>
      <c r="X55">
        <v>5</v>
      </c>
    </row>
    <row r="56" spans="1:28" hidden="1" x14ac:dyDescent="0.25">
      <c r="A56" t="s">
        <v>1023</v>
      </c>
      <c r="D56" t="s">
        <v>29</v>
      </c>
      <c r="E56" t="s">
        <v>336</v>
      </c>
      <c r="F56">
        <v>12</v>
      </c>
      <c r="G56">
        <v>3</v>
      </c>
      <c r="H56">
        <v>1</v>
      </c>
      <c r="I56">
        <v>5.6923076923076925</v>
      </c>
      <c r="J56">
        <v>6</v>
      </c>
      <c r="L56">
        <v>8</v>
      </c>
      <c r="M56">
        <v>5</v>
      </c>
      <c r="N56">
        <v>5</v>
      </c>
      <c r="O56">
        <v>6</v>
      </c>
      <c r="P56">
        <v>7</v>
      </c>
      <c r="Q56">
        <v>5</v>
      </c>
      <c r="R56">
        <v>7</v>
      </c>
      <c r="U56">
        <v>5</v>
      </c>
      <c r="V56">
        <v>5</v>
      </c>
      <c r="W56" t="s">
        <v>153</v>
      </c>
      <c r="Y56" t="s">
        <v>153</v>
      </c>
      <c r="Z56">
        <v>5</v>
      </c>
      <c r="AA56">
        <v>4</v>
      </c>
      <c r="AB56">
        <v>6</v>
      </c>
    </row>
    <row r="57" spans="1:28" hidden="1" x14ac:dyDescent="0.25">
      <c r="A57" t="s">
        <v>1024</v>
      </c>
      <c r="D57" t="s">
        <v>11</v>
      </c>
      <c r="E57" t="s">
        <v>488</v>
      </c>
      <c r="F57">
        <v>11</v>
      </c>
      <c r="G57">
        <v>2</v>
      </c>
      <c r="H57">
        <v>1</v>
      </c>
      <c r="I57">
        <v>5</v>
      </c>
      <c r="J57">
        <v>5</v>
      </c>
      <c r="K57">
        <v>5</v>
      </c>
      <c r="L57">
        <v>4</v>
      </c>
      <c r="M57">
        <v>5</v>
      </c>
      <c r="N57" t="s">
        <v>153</v>
      </c>
      <c r="S57">
        <v>6</v>
      </c>
      <c r="U57" t="s">
        <v>153</v>
      </c>
      <c r="V57">
        <v>5</v>
      </c>
      <c r="W57">
        <v>5</v>
      </c>
      <c r="X57">
        <v>5</v>
      </c>
      <c r="Y57" t="s">
        <v>555</v>
      </c>
      <c r="AA57">
        <v>5</v>
      </c>
      <c r="AB57" t="s">
        <v>546</v>
      </c>
    </row>
    <row r="58" spans="1:28" hidden="1" x14ac:dyDescent="0.25">
      <c r="A58" t="s">
        <v>1024</v>
      </c>
      <c r="D58" t="s">
        <v>11</v>
      </c>
      <c r="E58" t="s">
        <v>521</v>
      </c>
      <c r="F58">
        <v>9</v>
      </c>
      <c r="H58" t="s">
        <v>617</v>
      </c>
      <c r="I58">
        <v>4.5555555555555554</v>
      </c>
      <c r="L58">
        <v>4</v>
      </c>
      <c r="M58">
        <v>5</v>
      </c>
      <c r="N58">
        <v>6</v>
      </c>
      <c r="S58">
        <v>4</v>
      </c>
      <c r="U58">
        <v>6</v>
      </c>
      <c r="V58">
        <v>5</v>
      </c>
      <c r="W58">
        <v>4</v>
      </c>
      <c r="AA58">
        <v>2</v>
      </c>
      <c r="AB58">
        <v>5</v>
      </c>
    </row>
    <row r="59" spans="1:28" hidden="1" x14ac:dyDescent="0.25">
      <c r="A59" t="s">
        <v>1023</v>
      </c>
      <c r="D59" t="s">
        <v>29</v>
      </c>
      <c r="E59" t="s">
        <v>533</v>
      </c>
      <c r="F59">
        <v>15</v>
      </c>
      <c r="H59">
        <v>1</v>
      </c>
      <c r="I59">
        <v>5.666666666666667</v>
      </c>
      <c r="L59">
        <v>7</v>
      </c>
      <c r="M59">
        <v>4</v>
      </c>
      <c r="N59">
        <v>7</v>
      </c>
      <c r="O59">
        <v>7</v>
      </c>
      <c r="P59">
        <v>5</v>
      </c>
      <c r="Q59">
        <v>5</v>
      </c>
      <c r="R59">
        <v>7</v>
      </c>
      <c r="S59">
        <v>6</v>
      </c>
      <c r="T59">
        <v>5</v>
      </c>
      <c r="U59">
        <v>4</v>
      </c>
      <c r="W59">
        <v>7</v>
      </c>
      <c r="X59">
        <v>6</v>
      </c>
      <c r="Y59">
        <v>5</v>
      </c>
      <c r="AA59">
        <v>6</v>
      </c>
      <c r="AB59">
        <v>4</v>
      </c>
    </row>
    <row r="60" spans="1:28" hidden="1" x14ac:dyDescent="0.25">
      <c r="A60" t="s">
        <v>1024</v>
      </c>
      <c r="D60" t="s">
        <v>29</v>
      </c>
      <c r="E60" t="s">
        <v>46</v>
      </c>
    </row>
    <row r="61" spans="1:28" hidden="1" x14ac:dyDescent="0.25">
      <c r="A61" t="s">
        <v>1024</v>
      </c>
      <c r="D61" t="s">
        <v>29</v>
      </c>
      <c r="E61" t="s">
        <v>47</v>
      </c>
      <c r="F61">
        <v>2</v>
      </c>
      <c r="G61">
        <v>2</v>
      </c>
      <c r="H61">
        <v>1</v>
      </c>
      <c r="I61">
        <v>5</v>
      </c>
      <c r="X61" t="s">
        <v>153</v>
      </c>
      <c r="Z61" t="s">
        <v>153</v>
      </c>
      <c r="AA61">
        <v>4</v>
      </c>
      <c r="AB61">
        <v>6</v>
      </c>
    </row>
    <row r="62" spans="1:28" hidden="1" x14ac:dyDescent="0.25">
      <c r="A62" t="s">
        <v>1024</v>
      </c>
      <c r="D62" t="s">
        <v>29</v>
      </c>
      <c r="E62" t="s">
        <v>48</v>
      </c>
      <c r="G62">
        <v>11</v>
      </c>
      <c r="H62">
        <v>1</v>
      </c>
      <c r="I62">
        <v>6</v>
      </c>
      <c r="J62" t="s">
        <v>153</v>
      </c>
      <c r="K62" t="s">
        <v>153</v>
      </c>
      <c r="L62" t="s">
        <v>153</v>
      </c>
      <c r="Q62" t="s">
        <v>153</v>
      </c>
      <c r="R62" t="s">
        <v>153</v>
      </c>
      <c r="S62">
        <v>6</v>
      </c>
      <c r="T62" t="s">
        <v>153</v>
      </c>
      <c r="X62" t="s">
        <v>153</v>
      </c>
      <c r="Y62" t="s">
        <v>153</v>
      </c>
      <c r="AA62" t="s">
        <v>153</v>
      </c>
      <c r="AB62" t="s">
        <v>153</v>
      </c>
    </row>
    <row r="63" spans="1:28" hidden="1" x14ac:dyDescent="0.25">
      <c r="A63" t="s">
        <v>1028</v>
      </c>
      <c r="D63" t="s">
        <v>8</v>
      </c>
      <c r="E63" t="s">
        <v>73</v>
      </c>
      <c r="F63">
        <v>16</v>
      </c>
      <c r="I63">
        <v>5.625</v>
      </c>
      <c r="J63">
        <v>5</v>
      </c>
      <c r="K63">
        <v>7</v>
      </c>
      <c r="L63">
        <v>7</v>
      </c>
      <c r="M63">
        <v>7</v>
      </c>
      <c r="N63">
        <v>8</v>
      </c>
      <c r="O63">
        <v>3</v>
      </c>
      <c r="S63">
        <v>5</v>
      </c>
      <c r="T63">
        <v>5</v>
      </c>
      <c r="U63">
        <v>6</v>
      </c>
      <c r="V63">
        <v>5</v>
      </c>
      <c r="W63">
        <v>5</v>
      </c>
      <c r="X63">
        <v>5</v>
      </c>
      <c r="Y63">
        <v>5</v>
      </c>
      <c r="Z63">
        <v>6</v>
      </c>
      <c r="AA63">
        <v>6</v>
      </c>
      <c r="AB63">
        <v>5</v>
      </c>
    </row>
    <row r="64" spans="1:28" hidden="1" x14ac:dyDescent="0.25">
      <c r="A64" t="s">
        <v>1024</v>
      </c>
      <c r="D64" t="s">
        <v>29</v>
      </c>
      <c r="E64" t="s">
        <v>50</v>
      </c>
      <c r="F64">
        <v>5</v>
      </c>
      <c r="G64">
        <v>6</v>
      </c>
      <c r="I64">
        <v>4.8</v>
      </c>
      <c r="J64">
        <v>5</v>
      </c>
      <c r="P64">
        <v>5</v>
      </c>
      <c r="Q64" t="s">
        <v>153</v>
      </c>
      <c r="R64" t="s">
        <v>153</v>
      </c>
      <c r="T64" t="s">
        <v>153</v>
      </c>
      <c r="V64" t="s">
        <v>546</v>
      </c>
      <c r="W64" t="s">
        <v>153</v>
      </c>
      <c r="Y64">
        <v>5</v>
      </c>
      <c r="Z64">
        <v>4</v>
      </c>
      <c r="AA64" t="s">
        <v>153</v>
      </c>
      <c r="AB64">
        <v>5</v>
      </c>
    </row>
    <row r="65" spans="1:28" hidden="1" x14ac:dyDescent="0.25">
      <c r="A65" t="s">
        <v>1033</v>
      </c>
      <c r="B65">
        <v>20</v>
      </c>
      <c r="D65" t="s">
        <v>8</v>
      </c>
      <c r="E65" t="s">
        <v>151</v>
      </c>
      <c r="F65">
        <v>16</v>
      </c>
      <c r="I65">
        <v>5.625</v>
      </c>
      <c r="J65">
        <v>5</v>
      </c>
      <c r="K65">
        <v>6</v>
      </c>
      <c r="O65">
        <v>5</v>
      </c>
      <c r="P65">
        <v>6</v>
      </c>
      <c r="Q65">
        <v>7</v>
      </c>
      <c r="R65">
        <v>7</v>
      </c>
      <c r="S65">
        <v>5</v>
      </c>
      <c r="T65">
        <v>5</v>
      </c>
      <c r="U65">
        <v>7</v>
      </c>
      <c r="V65">
        <v>5</v>
      </c>
      <c r="W65">
        <v>4</v>
      </c>
      <c r="X65">
        <v>6</v>
      </c>
      <c r="Y65">
        <v>6</v>
      </c>
      <c r="Z65">
        <v>4</v>
      </c>
      <c r="AA65">
        <v>6</v>
      </c>
      <c r="AB65">
        <v>6</v>
      </c>
    </row>
    <row r="66" spans="1:28" x14ac:dyDescent="0.25">
      <c r="A66" t="s">
        <v>1030</v>
      </c>
      <c r="B66">
        <v>85</v>
      </c>
      <c r="D66" t="s">
        <v>30</v>
      </c>
      <c r="E66" t="s">
        <v>318</v>
      </c>
      <c r="F66">
        <v>17</v>
      </c>
      <c r="G66">
        <v>2</v>
      </c>
      <c r="H66">
        <v>11</v>
      </c>
      <c r="I66">
        <v>5.2777777777777777</v>
      </c>
      <c r="J66">
        <v>4</v>
      </c>
      <c r="K66">
        <v>6</v>
      </c>
      <c r="L66">
        <v>5</v>
      </c>
      <c r="M66">
        <v>4</v>
      </c>
      <c r="N66">
        <v>4</v>
      </c>
      <c r="O66">
        <v>6</v>
      </c>
      <c r="P66">
        <v>6</v>
      </c>
      <c r="Q66">
        <v>4</v>
      </c>
      <c r="R66">
        <v>6</v>
      </c>
      <c r="S66">
        <v>5</v>
      </c>
      <c r="T66">
        <v>5</v>
      </c>
      <c r="U66">
        <v>7</v>
      </c>
      <c r="V66">
        <v>8</v>
      </c>
      <c r="W66">
        <v>6</v>
      </c>
      <c r="X66">
        <v>6</v>
      </c>
      <c r="Y66">
        <v>4</v>
      </c>
      <c r="Z66" t="s">
        <v>153</v>
      </c>
      <c r="AA66">
        <v>4</v>
      </c>
      <c r="AB66">
        <v>5</v>
      </c>
    </row>
    <row r="67" spans="1:28" hidden="1" x14ac:dyDescent="0.25">
      <c r="A67" t="s">
        <v>1024</v>
      </c>
      <c r="D67" t="s">
        <v>29</v>
      </c>
      <c r="E67" t="s">
        <v>53</v>
      </c>
      <c r="F67">
        <v>3</v>
      </c>
      <c r="G67">
        <v>3</v>
      </c>
      <c r="I67">
        <v>4.666666666666667</v>
      </c>
      <c r="J67" t="s">
        <v>153</v>
      </c>
      <c r="M67" t="s">
        <v>153</v>
      </c>
      <c r="P67" t="s">
        <v>153</v>
      </c>
      <c r="Q67">
        <v>4</v>
      </c>
      <c r="Y67">
        <v>6</v>
      </c>
      <c r="Z67">
        <v>4</v>
      </c>
    </row>
    <row r="68" spans="1:28" hidden="1" x14ac:dyDescent="0.25">
      <c r="A68" t="s">
        <v>1024</v>
      </c>
      <c r="D68" t="s">
        <v>29</v>
      </c>
      <c r="E68" t="s">
        <v>250</v>
      </c>
      <c r="F68">
        <v>4</v>
      </c>
      <c r="H68">
        <v>4</v>
      </c>
      <c r="I68">
        <v>6.75</v>
      </c>
      <c r="J68">
        <v>7</v>
      </c>
      <c r="K68">
        <v>5</v>
      </c>
      <c r="L68">
        <v>6</v>
      </c>
      <c r="M68">
        <v>9</v>
      </c>
    </row>
    <row r="69" spans="1:28" hidden="1" x14ac:dyDescent="0.25">
      <c r="A69" t="s">
        <v>1026</v>
      </c>
      <c r="D69" t="s">
        <v>11</v>
      </c>
      <c r="E69" t="s">
        <v>656</v>
      </c>
      <c r="F69">
        <v>11</v>
      </c>
      <c r="I69">
        <v>5.6</v>
      </c>
      <c r="N69">
        <v>5</v>
      </c>
      <c r="O69">
        <v>7</v>
      </c>
      <c r="P69">
        <v>5</v>
      </c>
      <c r="Q69">
        <v>6</v>
      </c>
      <c r="R69">
        <v>6</v>
      </c>
      <c r="S69">
        <v>5</v>
      </c>
      <c r="T69">
        <v>5</v>
      </c>
      <c r="U69">
        <v>6</v>
      </c>
      <c r="V69">
        <v>6</v>
      </c>
      <c r="X69" t="s">
        <v>555</v>
      </c>
      <c r="Y69">
        <v>5</v>
      </c>
    </row>
    <row r="70" spans="1:28" hidden="1" x14ac:dyDescent="0.25">
      <c r="A70" t="s">
        <v>1024</v>
      </c>
      <c r="D70" t="s">
        <v>29</v>
      </c>
      <c r="E70" t="s">
        <v>541</v>
      </c>
      <c r="F70">
        <v>8</v>
      </c>
      <c r="G70">
        <v>4</v>
      </c>
      <c r="H70">
        <v>1</v>
      </c>
      <c r="I70">
        <v>4.666666666666667</v>
      </c>
      <c r="O70">
        <v>4</v>
      </c>
      <c r="P70">
        <v>5</v>
      </c>
      <c r="R70">
        <v>4</v>
      </c>
      <c r="S70">
        <v>4</v>
      </c>
      <c r="T70">
        <v>6</v>
      </c>
      <c r="U70">
        <v>5</v>
      </c>
      <c r="V70">
        <v>5</v>
      </c>
      <c r="W70">
        <v>4</v>
      </c>
      <c r="X70">
        <v>5</v>
      </c>
      <c r="Z70" t="s">
        <v>153</v>
      </c>
      <c r="AA70" t="s">
        <v>153</v>
      </c>
      <c r="AB70" t="s">
        <v>153</v>
      </c>
    </row>
    <row r="71" spans="1:28" hidden="1" x14ac:dyDescent="0.25">
      <c r="A71" t="s">
        <v>1024</v>
      </c>
      <c r="D71" t="s">
        <v>29</v>
      </c>
      <c r="E71" t="s">
        <v>611</v>
      </c>
      <c r="F71">
        <v>1</v>
      </c>
      <c r="I71">
        <v>5</v>
      </c>
      <c r="Z71">
        <v>5</v>
      </c>
    </row>
    <row r="72" spans="1:28" hidden="1" x14ac:dyDescent="0.25">
      <c r="A72" t="s">
        <v>1024</v>
      </c>
      <c r="D72" t="s">
        <v>29</v>
      </c>
      <c r="E72" t="s">
        <v>612</v>
      </c>
    </row>
    <row r="73" spans="1:28" hidden="1" x14ac:dyDescent="0.25">
      <c r="A73" t="s">
        <v>1024</v>
      </c>
      <c r="D73" t="s">
        <v>29</v>
      </c>
      <c r="E73" t="s">
        <v>852</v>
      </c>
      <c r="G73">
        <v>2</v>
      </c>
      <c r="W73" t="s">
        <v>153</v>
      </c>
      <c r="Y73" t="s">
        <v>153</v>
      </c>
    </row>
    <row r="74" spans="1:28" hidden="1" x14ac:dyDescent="0.25">
      <c r="A74" t="s">
        <v>1024</v>
      </c>
      <c r="D74" t="s">
        <v>29</v>
      </c>
      <c r="E74" t="s">
        <v>238</v>
      </c>
      <c r="F74">
        <v>15</v>
      </c>
      <c r="G74">
        <v>3</v>
      </c>
      <c r="H74">
        <v>4</v>
      </c>
      <c r="I74">
        <v>4.7333333333333334</v>
      </c>
      <c r="J74">
        <v>5</v>
      </c>
      <c r="K74" t="s">
        <v>153</v>
      </c>
      <c r="L74" t="s">
        <v>153</v>
      </c>
      <c r="M74">
        <v>6</v>
      </c>
      <c r="N74">
        <v>4</v>
      </c>
      <c r="O74">
        <v>4</v>
      </c>
      <c r="P74" t="s">
        <v>153</v>
      </c>
      <c r="Q74">
        <v>6</v>
      </c>
      <c r="R74">
        <v>4</v>
      </c>
      <c r="S74">
        <v>4</v>
      </c>
      <c r="T74">
        <v>7</v>
      </c>
      <c r="U74">
        <v>6</v>
      </c>
      <c r="V74">
        <v>4</v>
      </c>
      <c r="W74">
        <v>4</v>
      </c>
      <c r="X74">
        <v>4</v>
      </c>
      <c r="Y74">
        <v>5</v>
      </c>
      <c r="AA74">
        <v>4</v>
      </c>
      <c r="AB74">
        <v>4</v>
      </c>
    </row>
    <row r="75" spans="1:28" hidden="1" x14ac:dyDescent="0.25">
      <c r="A75" t="s">
        <v>1026</v>
      </c>
      <c r="D75" t="s">
        <v>8</v>
      </c>
      <c r="E75" t="s">
        <v>56</v>
      </c>
      <c r="F75">
        <v>12</v>
      </c>
      <c r="G75">
        <v>2</v>
      </c>
      <c r="I75">
        <v>5.583333333333333</v>
      </c>
      <c r="J75">
        <v>5</v>
      </c>
      <c r="K75">
        <v>5</v>
      </c>
      <c r="L75">
        <v>6</v>
      </c>
      <c r="M75">
        <v>5</v>
      </c>
      <c r="N75">
        <v>5</v>
      </c>
      <c r="O75">
        <v>5</v>
      </c>
      <c r="P75">
        <v>6</v>
      </c>
      <c r="Q75">
        <v>5</v>
      </c>
      <c r="R75">
        <v>6</v>
      </c>
      <c r="U75">
        <v>6</v>
      </c>
      <c r="V75">
        <v>7</v>
      </c>
      <c r="W75">
        <v>6</v>
      </c>
      <c r="X75" t="s">
        <v>554</v>
      </c>
      <c r="AA75" t="s">
        <v>153</v>
      </c>
    </row>
    <row r="76" spans="1:28" hidden="1" x14ac:dyDescent="0.25">
      <c r="A76" t="s">
        <v>1024</v>
      </c>
      <c r="D76" t="s">
        <v>30</v>
      </c>
      <c r="E76" t="s">
        <v>645</v>
      </c>
      <c r="F76">
        <v>1</v>
      </c>
      <c r="G76">
        <v>3</v>
      </c>
      <c r="H76">
        <v>1</v>
      </c>
      <c r="I76">
        <v>6</v>
      </c>
      <c r="N76" t="s">
        <v>153</v>
      </c>
      <c r="O76" t="s">
        <v>153</v>
      </c>
      <c r="P76">
        <v>6</v>
      </c>
      <c r="Q76" t="s">
        <v>153</v>
      </c>
    </row>
    <row r="77" spans="1:28" hidden="1" x14ac:dyDescent="0.25">
      <c r="A77" t="s">
        <v>1024</v>
      </c>
      <c r="D77" t="s">
        <v>30</v>
      </c>
      <c r="E77" t="s">
        <v>380</v>
      </c>
      <c r="F77">
        <v>3</v>
      </c>
      <c r="G77">
        <v>11</v>
      </c>
      <c r="H77">
        <v>1</v>
      </c>
      <c r="I77">
        <v>4.25</v>
      </c>
      <c r="K77" t="s">
        <v>153</v>
      </c>
      <c r="L77" t="s">
        <v>153</v>
      </c>
      <c r="M77" t="s">
        <v>153</v>
      </c>
      <c r="N77" t="s">
        <v>153</v>
      </c>
      <c r="P77" t="s">
        <v>153</v>
      </c>
      <c r="Q77">
        <v>4</v>
      </c>
      <c r="S77" t="s">
        <v>153</v>
      </c>
      <c r="T77" t="s">
        <v>153</v>
      </c>
      <c r="U77" t="s">
        <v>153</v>
      </c>
      <c r="W77" t="s">
        <v>153</v>
      </c>
      <c r="X77" t="s">
        <v>153</v>
      </c>
      <c r="Z77">
        <v>4</v>
      </c>
      <c r="AA77">
        <v>4</v>
      </c>
      <c r="AB77">
        <v>5</v>
      </c>
    </row>
    <row r="78" spans="1:28" hidden="1" x14ac:dyDescent="0.25">
      <c r="A78" t="s">
        <v>1025</v>
      </c>
      <c r="D78" t="s">
        <v>8</v>
      </c>
      <c r="E78" t="s">
        <v>9</v>
      </c>
      <c r="F78">
        <v>1</v>
      </c>
      <c r="I78">
        <v>5</v>
      </c>
      <c r="S78">
        <v>5</v>
      </c>
    </row>
    <row r="79" spans="1:28" hidden="1" x14ac:dyDescent="0.25">
      <c r="A79" t="s">
        <v>1025</v>
      </c>
      <c r="D79" t="s">
        <v>8</v>
      </c>
      <c r="E79" t="s">
        <v>10</v>
      </c>
    </row>
    <row r="80" spans="1:28" hidden="1" x14ac:dyDescent="0.25">
      <c r="A80" t="s">
        <v>1042</v>
      </c>
      <c r="D80" t="s">
        <v>8</v>
      </c>
      <c r="E80" t="s">
        <v>437</v>
      </c>
      <c r="F80">
        <v>19</v>
      </c>
      <c r="I80">
        <v>5.5789473684210522</v>
      </c>
      <c r="J80">
        <v>7</v>
      </c>
      <c r="K80">
        <v>6</v>
      </c>
      <c r="L80">
        <v>6</v>
      </c>
      <c r="M80">
        <v>5</v>
      </c>
      <c r="N80">
        <v>5</v>
      </c>
      <c r="O80">
        <v>6</v>
      </c>
      <c r="P80">
        <v>6</v>
      </c>
      <c r="Q80">
        <v>6</v>
      </c>
      <c r="R80">
        <v>6</v>
      </c>
      <c r="S80">
        <v>6</v>
      </c>
      <c r="T80">
        <v>6</v>
      </c>
      <c r="U80">
        <v>5</v>
      </c>
      <c r="V80">
        <v>4</v>
      </c>
      <c r="W80">
        <v>6</v>
      </c>
      <c r="X80">
        <v>5</v>
      </c>
      <c r="Y80">
        <v>7</v>
      </c>
      <c r="Z80">
        <v>5</v>
      </c>
      <c r="AA80">
        <v>5</v>
      </c>
      <c r="AB80">
        <v>4</v>
      </c>
    </row>
    <row r="81" spans="1:28" hidden="1" x14ac:dyDescent="0.25">
      <c r="A81" t="s">
        <v>1036</v>
      </c>
      <c r="D81" t="s">
        <v>8</v>
      </c>
      <c r="E81" t="s">
        <v>206</v>
      </c>
      <c r="F81">
        <v>16</v>
      </c>
      <c r="I81">
        <v>5.5625</v>
      </c>
      <c r="J81">
        <v>6</v>
      </c>
      <c r="K81">
        <v>6</v>
      </c>
      <c r="L81">
        <v>6</v>
      </c>
      <c r="M81">
        <v>5</v>
      </c>
      <c r="O81">
        <v>5</v>
      </c>
      <c r="P81">
        <v>7</v>
      </c>
      <c r="Q81">
        <v>5</v>
      </c>
      <c r="R81">
        <v>5</v>
      </c>
      <c r="S81">
        <v>6</v>
      </c>
      <c r="T81">
        <v>7</v>
      </c>
      <c r="U81">
        <v>5</v>
      </c>
      <c r="V81">
        <v>5</v>
      </c>
      <c r="W81">
        <v>5</v>
      </c>
      <c r="X81">
        <v>6</v>
      </c>
      <c r="AA81">
        <v>4</v>
      </c>
      <c r="AB81">
        <v>6</v>
      </c>
    </row>
    <row r="82" spans="1:28" hidden="1" x14ac:dyDescent="0.25">
      <c r="A82" t="s">
        <v>1025</v>
      </c>
      <c r="D82" t="s">
        <v>11</v>
      </c>
      <c r="E82" t="s">
        <v>13</v>
      </c>
      <c r="F82">
        <v>7</v>
      </c>
      <c r="G82">
        <v>5</v>
      </c>
      <c r="I82">
        <v>5</v>
      </c>
      <c r="M82" t="s">
        <v>153</v>
      </c>
      <c r="N82">
        <v>5</v>
      </c>
      <c r="O82">
        <v>4</v>
      </c>
      <c r="P82">
        <v>6</v>
      </c>
      <c r="Q82">
        <v>5</v>
      </c>
      <c r="R82" t="s">
        <v>153</v>
      </c>
      <c r="S82">
        <v>6</v>
      </c>
      <c r="T82">
        <v>5</v>
      </c>
      <c r="W82">
        <v>4</v>
      </c>
      <c r="Z82">
        <v>5</v>
      </c>
      <c r="AA82" t="s">
        <v>153</v>
      </c>
      <c r="AB82" t="s">
        <v>153</v>
      </c>
    </row>
    <row r="83" spans="1:28" hidden="1" x14ac:dyDescent="0.25">
      <c r="A83" t="s">
        <v>1031</v>
      </c>
      <c r="D83" t="s">
        <v>29</v>
      </c>
      <c r="E83" t="s">
        <v>200</v>
      </c>
      <c r="F83">
        <v>18</v>
      </c>
      <c r="G83">
        <v>1</v>
      </c>
      <c r="H83">
        <v>1</v>
      </c>
      <c r="I83">
        <v>5.5555555555555554</v>
      </c>
      <c r="J83">
        <v>5</v>
      </c>
      <c r="K83" t="s">
        <v>153</v>
      </c>
      <c r="L83">
        <v>5</v>
      </c>
      <c r="M83">
        <v>5</v>
      </c>
      <c r="N83">
        <v>7</v>
      </c>
      <c r="O83">
        <v>5</v>
      </c>
      <c r="P83">
        <v>6</v>
      </c>
      <c r="Q83">
        <v>5</v>
      </c>
      <c r="R83">
        <v>4</v>
      </c>
      <c r="S83">
        <v>5</v>
      </c>
      <c r="T83">
        <v>7</v>
      </c>
      <c r="U83">
        <v>5</v>
      </c>
      <c r="V83">
        <v>6</v>
      </c>
      <c r="W83">
        <v>7</v>
      </c>
      <c r="X83">
        <v>6</v>
      </c>
      <c r="Y83">
        <v>6</v>
      </c>
      <c r="Z83">
        <v>5</v>
      </c>
      <c r="AA83">
        <v>7</v>
      </c>
      <c r="AB83">
        <v>4</v>
      </c>
    </row>
    <row r="84" spans="1:28" hidden="1" x14ac:dyDescent="0.25">
      <c r="A84" t="s">
        <v>1025</v>
      </c>
      <c r="D84" t="s">
        <v>11</v>
      </c>
      <c r="E84" t="s">
        <v>357</v>
      </c>
      <c r="F84">
        <v>1</v>
      </c>
      <c r="I84">
        <v>5</v>
      </c>
      <c r="W84">
        <v>5</v>
      </c>
    </row>
    <row r="85" spans="1:28" hidden="1" x14ac:dyDescent="0.25">
      <c r="A85" t="s">
        <v>1025</v>
      </c>
      <c r="D85" t="s">
        <v>11</v>
      </c>
      <c r="E85" t="s">
        <v>281</v>
      </c>
      <c r="F85">
        <v>11</v>
      </c>
      <c r="I85">
        <v>5.5454545454545459</v>
      </c>
      <c r="J85">
        <v>5</v>
      </c>
      <c r="K85">
        <v>6</v>
      </c>
      <c r="L85">
        <v>6</v>
      </c>
      <c r="M85">
        <v>5</v>
      </c>
      <c r="P85">
        <v>6</v>
      </c>
      <c r="R85">
        <v>5</v>
      </c>
      <c r="V85">
        <v>6</v>
      </c>
      <c r="X85">
        <v>5</v>
      </c>
      <c r="Y85">
        <v>6</v>
      </c>
      <c r="AA85">
        <v>5</v>
      </c>
      <c r="AB85">
        <v>6</v>
      </c>
    </row>
    <row r="86" spans="1:28" hidden="1" x14ac:dyDescent="0.25">
      <c r="A86" t="s">
        <v>1031</v>
      </c>
      <c r="D86" t="s">
        <v>11</v>
      </c>
      <c r="E86" t="s">
        <v>399</v>
      </c>
      <c r="F86">
        <v>11</v>
      </c>
      <c r="G86">
        <v>1</v>
      </c>
      <c r="I86">
        <v>5.5454545454545459</v>
      </c>
      <c r="M86">
        <v>6</v>
      </c>
      <c r="O86" t="s">
        <v>153</v>
      </c>
      <c r="P86">
        <v>6</v>
      </c>
      <c r="Q86">
        <v>5</v>
      </c>
      <c r="R86">
        <v>5</v>
      </c>
      <c r="S86">
        <v>5</v>
      </c>
      <c r="T86">
        <v>7</v>
      </c>
      <c r="W86">
        <v>5</v>
      </c>
      <c r="X86">
        <v>7</v>
      </c>
      <c r="Y86">
        <v>5</v>
      </c>
      <c r="Z86">
        <v>5</v>
      </c>
      <c r="AB86">
        <v>5</v>
      </c>
    </row>
    <row r="87" spans="1:28" hidden="1" x14ac:dyDescent="0.25">
      <c r="A87" t="s">
        <v>1025</v>
      </c>
      <c r="D87" t="s">
        <v>11</v>
      </c>
      <c r="E87" t="s">
        <v>219</v>
      </c>
      <c r="F87">
        <v>6</v>
      </c>
      <c r="G87">
        <v>2</v>
      </c>
      <c r="H87">
        <v>2</v>
      </c>
      <c r="I87">
        <v>5.833333333333333</v>
      </c>
      <c r="N87" t="s">
        <v>153</v>
      </c>
      <c r="O87">
        <v>5</v>
      </c>
      <c r="Q87">
        <v>6</v>
      </c>
      <c r="S87" t="s">
        <v>153</v>
      </c>
      <c r="T87">
        <v>6</v>
      </c>
      <c r="V87">
        <v>5</v>
      </c>
      <c r="X87">
        <v>7</v>
      </c>
      <c r="Z87">
        <v>6</v>
      </c>
    </row>
    <row r="88" spans="1:28" hidden="1" x14ac:dyDescent="0.25">
      <c r="A88" t="s">
        <v>1025</v>
      </c>
      <c r="D88" t="s">
        <v>11</v>
      </c>
      <c r="E88" t="s">
        <v>15</v>
      </c>
      <c r="F88">
        <v>7</v>
      </c>
      <c r="I88">
        <v>5.7142857142857144</v>
      </c>
      <c r="O88">
        <v>5</v>
      </c>
      <c r="P88">
        <v>5</v>
      </c>
      <c r="T88">
        <v>6</v>
      </c>
      <c r="U88">
        <v>6</v>
      </c>
      <c r="V88">
        <v>7</v>
      </c>
      <c r="W88">
        <v>6</v>
      </c>
      <c r="X88">
        <v>5</v>
      </c>
    </row>
    <row r="89" spans="1:28" hidden="1" x14ac:dyDescent="0.25">
      <c r="A89" t="s">
        <v>1025</v>
      </c>
      <c r="D89" t="s">
        <v>29</v>
      </c>
      <c r="E89" t="s">
        <v>25</v>
      </c>
      <c r="F89">
        <v>13</v>
      </c>
      <c r="G89">
        <v>4</v>
      </c>
      <c r="H89">
        <v>4</v>
      </c>
      <c r="I89">
        <v>5.5384615384615383</v>
      </c>
      <c r="J89">
        <v>7</v>
      </c>
      <c r="K89">
        <v>7</v>
      </c>
      <c r="L89">
        <v>6</v>
      </c>
      <c r="M89">
        <v>5</v>
      </c>
      <c r="N89">
        <v>6</v>
      </c>
      <c r="O89">
        <v>5</v>
      </c>
      <c r="Q89">
        <v>4</v>
      </c>
      <c r="S89">
        <v>7</v>
      </c>
      <c r="T89" t="s">
        <v>153</v>
      </c>
      <c r="U89">
        <v>6</v>
      </c>
      <c r="V89" t="s">
        <v>153</v>
      </c>
      <c r="W89">
        <v>5</v>
      </c>
      <c r="X89">
        <v>5</v>
      </c>
      <c r="Y89">
        <v>4</v>
      </c>
      <c r="Z89" t="s">
        <v>153</v>
      </c>
      <c r="AA89" t="s">
        <v>153</v>
      </c>
      <c r="AB89">
        <v>5</v>
      </c>
    </row>
    <row r="90" spans="1:28" hidden="1" x14ac:dyDescent="0.25">
      <c r="A90" t="s">
        <v>1026</v>
      </c>
      <c r="B90" t="s">
        <v>1043</v>
      </c>
      <c r="D90" t="s">
        <v>29</v>
      </c>
      <c r="E90" t="s">
        <v>454</v>
      </c>
      <c r="F90">
        <v>17</v>
      </c>
      <c r="G90">
        <v>2</v>
      </c>
      <c r="H90">
        <v>1</v>
      </c>
      <c r="I90">
        <v>5.5294117647058822</v>
      </c>
      <c r="J90">
        <v>5</v>
      </c>
      <c r="K90">
        <v>5</v>
      </c>
      <c r="L90">
        <v>5</v>
      </c>
      <c r="M90">
        <v>5</v>
      </c>
      <c r="N90">
        <v>6</v>
      </c>
      <c r="O90">
        <v>5</v>
      </c>
      <c r="P90">
        <v>6</v>
      </c>
      <c r="Q90">
        <v>7</v>
      </c>
      <c r="R90">
        <v>5</v>
      </c>
      <c r="S90">
        <v>7</v>
      </c>
      <c r="T90">
        <v>5</v>
      </c>
      <c r="U90">
        <v>5</v>
      </c>
      <c r="V90">
        <v>6</v>
      </c>
      <c r="W90">
        <v>7</v>
      </c>
      <c r="X90">
        <v>5</v>
      </c>
      <c r="Y90" t="s">
        <v>153</v>
      </c>
      <c r="Z90">
        <v>5</v>
      </c>
      <c r="AA90">
        <v>5</v>
      </c>
      <c r="AB90" t="s">
        <v>153</v>
      </c>
    </row>
    <row r="91" spans="1:28" hidden="1" x14ac:dyDescent="0.25">
      <c r="A91" t="s">
        <v>1025</v>
      </c>
      <c r="D91" t="s">
        <v>29</v>
      </c>
      <c r="E91" t="s">
        <v>22</v>
      </c>
      <c r="F91">
        <v>9</v>
      </c>
      <c r="G91">
        <v>3</v>
      </c>
      <c r="H91" t="s">
        <v>617</v>
      </c>
      <c r="I91">
        <v>6.1111111111111107</v>
      </c>
      <c r="J91">
        <v>5</v>
      </c>
      <c r="K91">
        <v>6</v>
      </c>
      <c r="M91">
        <v>6</v>
      </c>
      <c r="N91">
        <v>7</v>
      </c>
      <c r="O91">
        <v>6</v>
      </c>
      <c r="P91" t="s">
        <v>153</v>
      </c>
      <c r="Q91">
        <v>6</v>
      </c>
      <c r="R91">
        <v>6</v>
      </c>
      <c r="T91">
        <v>7</v>
      </c>
      <c r="U91" t="s">
        <v>153</v>
      </c>
      <c r="AA91" t="s">
        <v>153</v>
      </c>
      <c r="AB91">
        <v>6</v>
      </c>
    </row>
    <row r="92" spans="1:28" hidden="1" x14ac:dyDescent="0.25">
      <c r="A92" t="s">
        <v>1025</v>
      </c>
      <c r="D92" t="s">
        <v>29</v>
      </c>
      <c r="E92" t="s">
        <v>23</v>
      </c>
      <c r="F92">
        <v>9</v>
      </c>
      <c r="G92">
        <v>4</v>
      </c>
      <c r="I92">
        <v>5.666666666666667</v>
      </c>
      <c r="J92" t="s">
        <v>554</v>
      </c>
      <c r="L92">
        <v>5</v>
      </c>
      <c r="N92" t="s">
        <v>153</v>
      </c>
      <c r="S92">
        <v>5</v>
      </c>
      <c r="T92">
        <v>5</v>
      </c>
      <c r="U92">
        <v>7</v>
      </c>
      <c r="V92">
        <v>6</v>
      </c>
      <c r="W92">
        <v>6</v>
      </c>
      <c r="X92">
        <v>5</v>
      </c>
      <c r="Y92">
        <v>7</v>
      </c>
      <c r="Z92" t="s">
        <v>153</v>
      </c>
      <c r="AA92">
        <v>5</v>
      </c>
      <c r="AB92" t="s">
        <v>153</v>
      </c>
    </row>
    <row r="93" spans="1:28" hidden="1" x14ac:dyDescent="0.25">
      <c r="A93" t="s">
        <v>1025</v>
      </c>
      <c r="D93" t="s">
        <v>29</v>
      </c>
      <c r="E93" t="s">
        <v>24</v>
      </c>
      <c r="F93">
        <v>6</v>
      </c>
      <c r="G93">
        <v>2</v>
      </c>
      <c r="H93">
        <v>1</v>
      </c>
      <c r="I93">
        <v>6.5</v>
      </c>
      <c r="J93">
        <v>4</v>
      </c>
      <c r="K93" t="s">
        <v>153</v>
      </c>
      <c r="L93" t="s">
        <v>546</v>
      </c>
      <c r="O93">
        <v>6</v>
      </c>
      <c r="P93">
        <v>7</v>
      </c>
      <c r="Q93">
        <v>7</v>
      </c>
      <c r="R93" t="s">
        <v>153</v>
      </c>
      <c r="S93">
        <v>6</v>
      </c>
    </row>
    <row r="94" spans="1:28" hidden="1" x14ac:dyDescent="0.25">
      <c r="A94" t="s">
        <v>1025</v>
      </c>
      <c r="D94" t="s">
        <v>29</v>
      </c>
      <c r="E94" t="s">
        <v>470</v>
      </c>
      <c r="F94">
        <v>6</v>
      </c>
      <c r="G94">
        <v>5</v>
      </c>
      <c r="I94">
        <v>5.333333333333333</v>
      </c>
      <c r="J94" t="s">
        <v>153</v>
      </c>
      <c r="K94" t="s">
        <v>153</v>
      </c>
      <c r="L94" t="s">
        <v>153</v>
      </c>
      <c r="O94">
        <v>5</v>
      </c>
      <c r="Q94">
        <v>6</v>
      </c>
      <c r="S94">
        <v>5</v>
      </c>
      <c r="U94">
        <v>5</v>
      </c>
      <c r="V94" t="s">
        <v>153</v>
      </c>
      <c r="W94" t="s">
        <v>153</v>
      </c>
      <c r="X94">
        <v>6</v>
      </c>
      <c r="Z94">
        <v>5</v>
      </c>
    </row>
    <row r="95" spans="1:28" hidden="1" x14ac:dyDescent="0.25">
      <c r="A95" t="s">
        <v>1027</v>
      </c>
      <c r="D95" t="s">
        <v>11</v>
      </c>
      <c r="E95" t="s">
        <v>89</v>
      </c>
      <c r="F95">
        <v>16</v>
      </c>
      <c r="H95">
        <v>3</v>
      </c>
      <c r="I95">
        <v>5.4375</v>
      </c>
      <c r="J95">
        <v>6</v>
      </c>
      <c r="M95">
        <v>6</v>
      </c>
      <c r="N95">
        <v>6</v>
      </c>
      <c r="O95">
        <v>6</v>
      </c>
      <c r="Q95">
        <v>6</v>
      </c>
      <c r="R95">
        <v>5</v>
      </c>
      <c r="S95">
        <v>5</v>
      </c>
      <c r="T95">
        <v>5</v>
      </c>
      <c r="U95">
        <v>6</v>
      </c>
      <c r="V95">
        <v>5</v>
      </c>
      <c r="W95">
        <v>5</v>
      </c>
      <c r="X95">
        <v>5</v>
      </c>
      <c r="Y95">
        <v>5</v>
      </c>
      <c r="Z95">
        <v>5</v>
      </c>
      <c r="AA95">
        <v>5</v>
      </c>
      <c r="AB95">
        <v>6</v>
      </c>
    </row>
    <row r="96" spans="1:28" hidden="1" x14ac:dyDescent="0.25">
      <c r="A96" t="s">
        <v>1039</v>
      </c>
      <c r="D96" t="s">
        <v>8</v>
      </c>
      <c r="E96" t="s">
        <v>307</v>
      </c>
      <c r="F96">
        <v>19</v>
      </c>
      <c r="I96">
        <v>5.5263157894736841</v>
      </c>
      <c r="J96">
        <v>7</v>
      </c>
      <c r="K96">
        <v>7</v>
      </c>
      <c r="L96">
        <v>4</v>
      </c>
      <c r="M96">
        <v>4</v>
      </c>
      <c r="N96">
        <v>6</v>
      </c>
      <c r="O96">
        <v>5</v>
      </c>
      <c r="P96">
        <v>5</v>
      </c>
      <c r="Q96">
        <v>6</v>
      </c>
      <c r="R96">
        <v>6</v>
      </c>
      <c r="S96">
        <v>6</v>
      </c>
      <c r="T96">
        <v>4</v>
      </c>
      <c r="U96">
        <v>7</v>
      </c>
      <c r="V96">
        <v>6</v>
      </c>
      <c r="W96">
        <v>6</v>
      </c>
      <c r="X96">
        <v>5</v>
      </c>
      <c r="Y96">
        <v>5</v>
      </c>
      <c r="Z96">
        <v>4</v>
      </c>
      <c r="AA96">
        <v>6</v>
      </c>
      <c r="AB96">
        <v>6</v>
      </c>
    </row>
    <row r="97" spans="1:28" hidden="1" x14ac:dyDescent="0.25">
      <c r="A97" t="s">
        <v>1024</v>
      </c>
      <c r="D97" t="s">
        <v>29</v>
      </c>
      <c r="E97" t="s">
        <v>511</v>
      </c>
      <c r="F97">
        <v>14</v>
      </c>
      <c r="H97">
        <v>1</v>
      </c>
      <c r="I97">
        <v>5.5</v>
      </c>
      <c r="K97">
        <v>4</v>
      </c>
      <c r="L97">
        <v>4</v>
      </c>
      <c r="M97">
        <v>6</v>
      </c>
      <c r="N97">
        <v>7</v>
      </c>
      <c r="O97">
        <v>5</v>
      </c>
      <c r="Q97">
        <v>5</v>
      </c>
      <c r="R97">
        <v>5</v>
      </c>
      <c r="S97">
        <v>5</v>
      </c>
      <c r="T97">
        <v>8</v>
      </c>
      <c r="U97">
        <v>7</v>
      </c>
      <c r="V97">
        <v>7</v>
      </c>
      <c r="W97">
        <v>4</v>
      </c>
      <c r="X97">
        <v>5</v>
      </c>
      <c r="Z97">
        <v>5</v>
      </c>
    </row>
    <row r="98" spans="1:28" hidden="1" x14ac:dyDescent="0.25">
      <c r="A98" t="s">
        <v>1025</v>
      </c>
      <c r="D98" t="s">
        <v>30</v>
      </c>
      <c r="E98" t="s">
        <v>232</v>
      </c>
    </row>
    <row r="99" spans="1:28" hidden="1" x14ac:dyDescent="0.25">
      <c r="A99" t="s">
        <v>1025</v>
      </c>
      <c r="D99" t="s">
        <v>8</v>
      </c>
      <c r="E99" t="s">
        <v>466</v>
      </c>
      <c r="F99">
        <v>18</v>
      </c>
      <c r="I99">
        <v>5.5</v>
      </c>
      <c r="J99">
        <v>6</v>
      </c>
      <c r="K99">
        <v>5</v>
      </c>
      <c r="L99">
        <v>6</v>
      </c>
      <c r="M99">
        <v>6</v>
      </c>
      <c r="N99">
        <v>3</v>
      </c>
      <c r="O99">
        <v>5</v>
      </c>
      <c r="P99">
        <v>6</v>
      </c>
      <c r="Q99">
        <v>5</v>
      </c>
      <c r="R99">
        <v>6</v>
      </c>
      <c r="T99">
        <v>6</v>
      </c>
      <c r="U99">
        <v>6</v>
      </c>
      <c r="V99">
        <v>6</v>
      </c>
      <c r="W99">
        <v>6</v>
      </c>
      <c r="X99">
        <v>5</v>
      </c>
      <c r="Y99">
        <v>5</v>
      </c>
      <c r="Z99">
        <v>6</v>
      </c>
      <c r="AA99">
        <v>5</v>
      </c>
      <c r="AB99">
        <v>6</v>
      </c>
    </row>
    <row r="100" spans="1:28" hidden="1" x14ac:dyDescent="0.25">
      <c r="A100" t="s">
        <v>1025</v>
      </c>
      <c r="D100" t="s">
        <v>30</v>
      </c>
      <c r="E100" t="s">
        <v>480</v>
      </c>
      <c r="F100">
        <v>1</v>
      </c>
      <c r="G100">
        <v>5</v>
      </c>
      <c r="H100">
        <v>1</v>
      </c>
      <c r="I100">
        <v>4</v>
      </c>
      <c r="J100" t="s">
        <v>153</v>
      </c>
      <c r="K100">
        <v>4</v>
      </c>
      <c r="L100" t="s">
        <v>153</v>
      </c>
      <c r="U100" t="s">
        <v>153</v>
      </c>
      <c r="W100" t="s">
        <v>153</v>
      </c>
      <c r="X100" t="s">
        <v>153</v>
      </c>
    </row>
    <row r="101" spans="1:28" hidden="1" x14ac:dyDescent="0.25">
      <c r="A101" t="s">
        <v>1025</v>
      </c>
      <c r="D101" t="s">
        <v>30</v>
      </c>
      <c r="E101" t="s">
        <v>855</v>
      </c>
      <c r="F101">
        <v>1</v>
      </c>
      <c r="H101">
        <v>1</v>
      </c>
      <c r="I101">
        <v>7</v>
      </c>
      <c r="W101">
        <v>7</v>
      </c>
    </row>
    <row r="102" spans="1:28" hidden="1" x14ac:dyDescent="0.25">
      <c r="A102" t="s">
        <v>1025</v>
      </c>
      <c r="D102" t="s">
        <v>30</v>
      </c>
      <c r="E102" t="s">
        <v>28</v>
      </c>
      <c r="F102">
        <v>3</v>
      </c>
      <c r="G102">
        <v>12</v>
      </c>
      <c r="H102">
        <v>1</v>
      </c>
      <c r="I102">
        <v>4.333333333333333</v>
      </c>
      <c r="K102" t="s">
        <v>153</v>
      </c>
      <c r="L102">
        <v>4</v>
      </c>
      <c r="M102" t="s">
        <v>153</v>
      </c>
      <c r="N102" t="s">
        <v>153</v>
      </c>
      <c r="O102">
        <v>4</v>
      </c>
      <c r="P102" t="s">
        <v>153</v>
      </c>
      <c r="Q102" t="s">
        <v>153</v>
      </c>
      <c r="R102" t="s">
        <v>153</v>
      </c>
      <c r="S102" t="s">
        <v>153</v>
      </c>
      <c r="T102" t="s">
        <v>153</v>
      </c>
      <c r="U102">
        <v>5</v>
      </c>
      <c r="V102" t="s">
        <v>153</v>
      </c>
      <c r="Y102">
        <v>4</v>
      </c>
      <c r="Z102" t="s">
        <v>153</v>
      </c>
      <c r="AB102" t="s">
        <v>153</v>
      </c>
    </row>
    <row r="103" spans="1:28" hidden="1" x14ac:dyDescent="0.25">
      <c r="A103" t="s">
        <v>1026</v>
      </c>
      <c r="D103" t="s">
        <v>8</v>
      </c>
      <c r="E103" t="s">
        <v>338</v>
      </c>
      <c r="F103">
        <v>6</v>
      </c>
      <c r="G103">
        <v>1</v>
      </c>
      <c r="I103">
        <v>5.5714285714285712</v>
      </c>
      <c r="S103">
        <v>5</v>
      </c>
      <c r="T103">
        <v>5</v>
      </c>
      <c r="X103">
        <v>5</v>
      </c>
      <c r="Y103">
        <v>6</v>
      </c>
      <c r="Z103">
        <v>5</v>
      </c>
      <c r="AA103">
        <v>6</v>
      </c>
      <c r="AB103">
        <v>7</v>
      </c>
    </row>
    <row r="104" spans="1:28" hidden="1" x14ac:dyDescent="0.25">
      <c r="A104" t="s">
        <v>1026</v>
      </c>
      <c r="D104" t="s">
        <v>8</v>
      </c>
      <c r="E104" t="s">
        <v>322</v>
      </c>
      <c r="F104">
        <v>1</v>
      </c>
      <c r="J104" t="s">
        <v>546</v>
      </c>
    </row>
    <row r="105" spans="1:28" hidden="1" x14ac:dyDescent="0.25">
      <c r="A105" t="s">
        <v>1034</v>
      </c>
      <c r="D105" t="s">
        <v>8</v>
      </c>
      <c r="E105" t="s">
        <v>171</v>
      </c>
      <c r="F105">
        <v>12</v>
      </c>
      <c r="I105">
        <v>5.5</v>
      </c>
      <c r="J105">
        <v>4</v>
      </c>
      <c r="K105">
        <v>5</v>
      </c>
      <c r="L105">
        <v>6</v>
      </c>
      <c r="M105">
        <v>6</v>
      </c>
      <c r="U105">
        <v>6</v>
      </c>
      <c r="V105">
        <v>6</v>
      </c>
      <c r="W105">
        <v>5</v>
      </c>
      <c r="X105">
        <v>5</v>
      </c>
      <c r="Y105">
        <v>5</v>
      </c>
      <c r="Z105">
        <v>6</v>
      </c>
      <c r="AA105">
        <v>5</v>
      </c>
      <c r="AB105">
        <v>7</v>
      </c>
    </row>
    <row r="106" spans="1:28" hidden="1" x14ac:dyDescent="0.25">
      <c r="A106" t="s">
        <v>1026</v>
      </c>
      <c r="D106" t="s">
        <v>11</v>
      </c>
      <c r="E106" t="s">
        <v>57</v>
      </c>
      <c r="F106">
        <v>1</v>
      </c>
      <c r="G106">
        <v>2</v>
      </c>
      <c r="I106">
        <v>4.666666666666667</v>
      </c>
      <c r="J106">
        <v>4</v>
      </c>
      <c r="K106">
        <v>5</v>
      </c>
      <c r="L106">
        <v>5</v>
      </c>
    </row>
    <row r="107" spans="1:28" hidden="1" x14ac:dyDescent="0.25">
      <c r="A107" t="s">
        <v>1026</v>
      </c>
      <c r="D107" t="s">
        <v>11</v>
      </c>
      <c r="E107" t="s">
        <v>58</v>
      </c>
      <c r="F107">
        <v>5</v>
      </c>
      <c r="G107">
        <v>1</v>
      </c>
      <c r="H107">
        <v>1</v>
      </c>
      <c r="I107">
        <v>5.2</v>
      </c>
      <c r="R107">
        <v>6</v>
      </c>
      <c r="W107">
        <v>5</v>
      </c>
      <c r="X107">
        <v>5</v>
      </c>
      <c r="Y107">
        <v>6</v>
      </c>
      <c r="Z107">
        <v>4</v>
      </c>
      <c r="AB107" t="s">
        <v>153</v>
      </c>
    </row>
    <row r="108" spans="1:28" hidden="1" x14ac:dyDescent="0.25">
      <c r="A108" t="s">
        <v>1026</v>
      </c>
      <c r="D108" t="s">
        <v>11</v>
      </c>
      <c r="E108" t="s">
        <v>395</v>
      </c>
      <c r="F108">
        <v>8</v>
      </c>
      <c r="G108">
        <v>1</v>
      </c>
      <c r="H108">
        <v>1</v>
      </c>
      <c r="I108">
        <v>5.2857142857142856</v>
      </c>
      <c r="J108" t="s">
        <v>554</v>
      </c>
      <c r="L108">
        <v>5</v>
      </c>
      <c r="M108">
        <v>4</v>
      </c>
      <c r="N108">
        <v>6</v>
      </c>
      <c r="P108">
        <v>5</v>
      </c>
      <c r="T108">
        <v>5</v>
      </c>
      <c r="Z108" t="s">
        <v>153</v>
      </c>
      <c r="AA108">
        <v>6</v>
      </c>
      <c r="AB108">
        <v>6</v>
      </c>
    </row>
    <row r="109" spans="1:28" hidden="1" x14ac:dyDescent="0.25">
      <c r="A109" t="s">
        <v>1037</v>
      </c>
      <c r="D109" t="s">
        <v>29</v>
      </c>
      <c r="E109" t="s">
        <v>224</v>
      </c>
      <c r="F109">
        <v>12</v>
      </c>
      <c r="I109">
        <v>5.5</v>
      </c>
      <c r="J109">
        <v>6</v>
      </c>
      <c r="K109">
        <v>5</v>
      </c>
      <c r="L109">
        <v>5</v>
      </c>
      <c r="M109">
        <v>5</v>
      </c>
      <c r="R109">
        <v>6</v>
      </c>
      <c r="S109">
        <v>5</v>
      </c>
      <c r="T109">
        <v>6</v>
      </c>
      <c r="U109">
        <v>6</v>
      </c>
      <c r="V109">
        <v>6</v>
      </c>
      <c r="W109">
        <v>5</v>
      </c>
      <c r="AA109">
        <v>5</v>
      </c>
      <c r="AB109">
        <v>6</v>
      </c>
    </row>
    <row r="110" spans="1:28" hidden="1" x14ac:dyDescent="0.25">
      <c r="A110" t="s">
        <v>1042</v>
      </c>
      <c r="B110">
        <v>23</v>
      </c>
      <c r="D110" t="s">
        <v>29</v>
      </c>
      <c r="E110" t="s">
        <v>447</v>
      </c>
      <c r="F110">
        <v>19</v>
      </c>
      <c r="H110">
        <v>3</v>
      </c>
      <c r="I110">
        <v>5.5</v>
      </c>
      <c r="J110">
        <v>7</v>
      </c>
      <c r="K110">
        <v>6</v>
      </c>
      <c r="L110">
        <v>5</v>
      </c>
      <c r="M110">
        <v>6</v>
      </c>
      <c r="N110">
        <v>4</v>
      </c>
      <c r="O110">
        <v>7</v>
      </c>
      <c r="P110">
        <v>6</v>
      </c>
      <c r="Q110">
        <v>7</v>
      </c>
      <c r="R110">
        <v>6</v>
      </c>
      <c r="S110">
        <v>5</v>
      </c>
      <c r="T110">
        <v>5</v>
      </c>
      <c r="U110">
        <v>5</v>
      </c>
      <c r="V110">
        <v>6</v>
      </c>
      <c r="W110">
        <v>5</v>
      </c>
      <c r="X110">
        <v>5</v>
      </c>
      <c r="Y110">
        <v>5</v>
      </c>
      <c r="Z110" t="s">
        <v>546</v>
      </c>
      <c r="AA110">
        <v>4</v>
      </c>
      <c r="AB110">
        <v>5</v>
      </c>
    </row>
    <row r="111" spans="1:28" hidden="1" x14ac:dyDescent="0.25">
      <c r="A111" t="s">
        <v>1026</v>
      </c>
      <c r="D111" t="s">
        <v>11</v>
      </c>
      <c r="E111" t="s">
        <v>516</v>
      </c>
      <c r="F111">
        <v>2</v>
      </c>
      <c r="G111">
        <v>2</v>
      </c>
      <c r="I111">
        <v>4.666666666666667</v>
      </c>
      <c r="K111">
        <v>4</v>
      </c>
      <c r="L111">
        <v>5</v>
      </c>
      <c r="M111">
        <v>5</v>
      </c>
      <c r="W111" t="s">
        <v>153</v>
      </c>
    </row>
    <row r="112" spans="1:28" hidden="1" x14ac:dyDescent="0.25">
      <c r="A112" t="s">
        <v>1039</v>
      </c>
      <c r="B112">
        <v>25</v>
      </c>
      <c r="D112" t="s">
        <v>29</v>
      </c>
      <c r="E112" t="s">
        <v>180</v>
      </c>
      <c r="F112">
        <v>19</v>
      </c>
      <c r="H112">
        <v>3</v>
      </c>
      <c r="I112">
        <v>5.4736842105263159</v>
      </c>
      <c r="J112">
        <v>5</v>
      </c>
      <c r="K112">
        <v>6</v>
      </c>
      <c r="L112">
        <v>5</v>
      </c>
      <c r="M112">
        <v>4</v>
      </c>
      <c r="N112">
        <v>7</v>
      </c>
      <c r="O112">
        <v>4</v>
      </c>
      <c r="P112">
        <v>5</v>
      </c>
      <c r="Q112">
        <v>7</v>
      </c>
      <c r="R112">
        <v>5</v>
      </c>
      <c r="S112">
        <v>7</v>
      </c>
      <c r="T112">
        <v>5</v>
      </c>
      <c r="U112">
        <v>5</v>
      </c>
      <c r="V112">
        <v>8</v>
      </c>
      <c r="W112">
        <v>6</v>
      </c>
      <c r="X112">
        <v>5</v>
      </c>
      <c r="Y112">
        <v>6</v>
      </c>
      <c r="Z112">
        <v>5</v>
      </c>
      <c r="AA112">
        <v>5</v>
      </c>
      <c r="AB112">
        <v>4</v>
      </c>
    </row>
    <row r="113" spans="1:28" hidden="1" x14ac:dyDescent="0.25">
      <c r="A113" t="s">
        <v>1030</v>
      </c>
      <c r="B113">
        <v>20</v>
      </c>
      <c r="D113" t="s">
        <v>8</v>
      </c>
      <c r="E113" t="s">
        <v>115</v>
      </c>
      <c r="F113">
        <v>18</v>
      </c>
      <c r="I113">
        <v>5.4705882352941178</v>
      </c>
      <c r="J113">
        <v>7</v>
      </c>
      <c r="K113">
        <v>5</v>
      </c>
      <c r="L113" t="s">
        <v>554</v>
      </c>
      <c r="N113">
        <v>4</v>
      </c>
      <c r="O113">
        <v>5</v>
      </c>
      <c r="P113">
        <v>6</v>
      </c>
      <c r="Q113">
        <v>5</v>
      </c>
      <c r="R113">
        <v>5</v>
      </c>
      <c r="S113">
        <v>7</v>
      </c>
      <c r="T113">
        <v>5</v>
      </c>
      <c r="U113">
        <v>5</v>
      </c>
      <c r="V113">
        <v>6</v>
      </c>
      <c r="W113">
        <v>5</v>
      </c>
      <c r="X113">
        <v>5</v>
      </c>
      <c r="Y113">
        <v>7</v>
      </c>
      <c r="Z113">
        <v>4</v>
      </c>
      <c r="AA113">
        <v>5</v>
      </c>
      <c r="AB113">
        <v>7</v>
      </c>
    </row>
    <row r="114" spans="1:28" hidden="1" x14ac:dyDescent="0.25">
      <c r="A114" t="s">
        <v>1026</v>
      </c>
      <c r="D114" t="s">
        <v>29</v>
      </c>
      <c r="E114" t="s">
        <v>59</v>
      </c>
      <c r="F114">
        <v>2</v>
      </c>
      <c r="G114">
        <v>5</v>
      </c>
      <c r="H114">
        <v>1</v>
      </c>
      <c r="I114">
        <v>5</v>
      </c>
      <c r="K114" t="s">
        <v>546</v>
      </c>
      <c r="P114" t="s">
        <v>153</v>
      </c>
      <c r="Q114" t="s">
        <v>153</v>
      </c>
      <c r="R114">
        <v>5</v>
      </c>
      <c r="S114" t="s">
        <v>153</v>
      </c>
      <c r="U114" t="s">
        <v>153</v>
      </c>
      <c r="V114" t="s">
        <v>153</v>
      </c>
    </row>
    <row r="115" spans="1:28" hidden="1" x14ac:dyDescent="0.25">
      <c r="A115" t="s">
        <v>1026</v>
      </c>
      <c r="D115" t="s">
        <v>29</v>
      </c>
      <c r="E115" t="s">
        <v>61</v>
      </c>
      <c r="G115">
        <v>1</v>
      </c>
      <c r="K115" t="s">
        <v>153</v>
      </c>
    </row>
    <row r="116" spans="1:28" hidden="1" x14ac:dyDescent="0.25">
      <c r="A116" t="s">
        <v>1026</v>
      </c>
      <c r="D116" t="s">
        <v>29</v>
      </c>
      <c r="E116" t="s">
        <v>283</v>
      </c>
    </row>
    <row r="117" spans="1:28" hidden="1" x14ac:dyDescent="0.25">
      <c r="A117" t="s">
        <v>1026</v>
      </c>
      <c r="D117" t="s">
        <v>29</v>
      </c>
      <c r="E117" t="s">
        <v>282</v>
      </c>
      <c r="F117">
        <v>4</v>
      </c>
      <c r="G117">
        <v>1</v>
      </c>
      <c r="I117">
        <v>5.333333333333333</v>
      </c>
      <c r="R117" t="s">
        <v>153</v>
      </c>
      <c r="V117" t="s">
        <v>153</v>
      </c>
      <c r="W117">
        <v>6</v>
      </c>
      <c r="Y117">
        <v>5</v>
      </c>
      <c r="Z117" t="s">
        <v>554</v>
      </c>
      <c r="AB117">
        <v>5</v>
      </c>
    </row>
    <row r="118" spans="1:28" hidden="1" x14ac:dyDescent="0.25">
      <c r="A118" t="s">
        <v>1026</v>
      </c>
      <c r="D118" t="s">
        <v>29</v>
      </c>
      <c r="E118" t="s">
        <v>62</v>
      </c>
    </row>
    <row r="119" spans="1:28" hidden="1" x14ac:dyDescent="0.25">
      <c r="A119" t="s">
        <v>1036</v>
      </c>
      <c r="D119" t="s">
        <v>11</v>
      </c>
      <c r="E119" t="s">
        <v>619</v>
      </c>
      <c r="F119">
        <v>11</v>
      </c>
      <c r="H119">
        <v>1</v>
      </c>
      <c r="I119">
        <v>5.4545454545454541</v>
      </c>
      <c r="N119">
        <v>5</v>
      </c>
      <c r="R119">
        <v>6</v>
      </c>
      <c r="S119">
        <v>7</v>
      </c>
      <c r="T119">
        <v>6</v>
      </c>
      <c r="U119">
        <v>5</v>
      </c>
      <c r="V119">
        <v>5</v>
      </c>
      <c r="W119">
        <v>5</v>
      </c>
      <c r="X119">
        <v>5</v>
      </c>
      <c r="Y119">
        <v>6</v>
      </c>
      <c r="Z119">
        <v>5</v>
      </c>
      <c r="AA119">
        <v>5</v>
      </c>
    </row>
    <row r="120" spans="1:28" hidden="1" x14ac:dyDescent="0.25">
      <c r="A120" t="s">
        <v>1026</v>
      </c>
      <c r="D120" t="s">
        <v>29</v>
      </c>
      <c r="E120" t="s">
        <v>255</v>
      </c>
      <c r="F120">
        <v>6</v>
      </c>
      <c r="H120">
        <v>2</v>
      </c>
      <c r="I120">
        <v>5.166666666666667</v>
      </c>
      <c r="J120">
        <v>5</v>
      </c>
      <c r="K120">
        <v>8</v>
      </c>
      <c r="L120">
        <v>5</v>
      </c>
      <c r="M120">
        <v>5</v>
      </c>
      <c r="N120">
        <v>4</v>
      </c>
      <c r="O120">
        <v>4</v>
      </c>
    </row>
    <row r="121" spans="1:28" hidden="1" x14ac:dyDescent="0.25">
      <c r="A121" t="s">
        <v>1024</v>
      </c>
      <c r="D121" t="s">
        <v>8</v>
      </c>
      <c r="E121" t="s">
        <v>40</v>
      </c>
      <c r="F121">
        <v>18</v>
      </c>
      <c r="I121">
        <v>5.4444444444444446</v>
      </c>
      <c r="J121">
        <v>6</v>
      </c>
      <c r="K121">
        <v>6</v>
      </c>
      <c r="L121">
        <v>5</v>
      </c>
      <c r="M121">
        <v>7</v>
      </c>
      <c r="N121">
        <v>6</v>
      </c>
      <c r="O121">
        <v>5</v>
      </c>
      <c r="P121">
        <v>6</v>
      </c>
      <c r="Q121">
        <v>4</v>
      </c>
      <c r="R121">
        <v>6</v>
      </c>
      <c r="S121">
        <v>4</v>
      </c>
      <c r="T121">
        <v>7</v>
      </c>
      <c r="U121">
        <v>6</v>
      </c>
      <c r="V121">
        <v>5</v>
      </c>
      <c r="W121">
        <v>5</v>
      </c>
      <c r="X121">
        <v>5</v>
      </c>
      <c r="Z121">
        <v>5</v>
      </c>
      <c r="AA121">
        <v>4</v>
      </c>
      <c r="AB121">
        <v>6</v>
      </c>
    </row>
    <row r="122" spans="1:28" hidden="1" x14ac:dyDescent="0.25">
      <c r="A122" t="s">
        <v>1031</v>
      </c>
      <c r="D122" t="s">
        <v>11</v>
      </c>
      <c r="E122" t="s">
        <v>370</v>
      </c>
      <c r="F122">
        <v>17</v>
      </c>
      <c r="G122">
        <v>1</v>
      </c>
      <c r="H122">
        <v>1</v>
      </c>
      <c r="I122">
        <v>5.3888888888888893</v>
      </c>
      <c r="J122">
        <v>5</v>
      </c>
      <c r="K122">
        <v>4</v>
      </c>
      <c r="L122">
        <v>5</v>
      </c>
      <c r="M122">
        <v>5</v>
      </c>
      <c r="N122">
        <v>5</v>
      </c>
      <c r="O122">
        <v>5</v>
      </c>
      <c r="P122">
        <v>7</v>
      </c>
      <c r="Q122">
        <v>5</v>
      </c>
      <c r="R122">
        <v>5</v>
      </c>
      <c r="T122">
        <v>4</v>
      </c>
      <c r="U122">
        <v>6</v>
      </c>
      <c r="V122">
        <v>6</v>
      </c>
      <c r="W122">
        <v>8</v>
      </c>
      <c r="X122">
        <v>6</v>
      </c>
      <c r="Y122">
        <v>5</v>
      </c>
      <c r="Z122">
        <v>4</v>
      </c>
      <c r="AA122">
        <v>7</v>
      </c>
      <c r="AB122">
        <v>5</v>
      </c>
    </row>
    <row r="123" spans="1:28" hidden="1" x14ac:dyDescent="0.25">
      <c r="A123" t="s">
        <v>1023</v>
      </c>
      <c r="B123">
        <v>22</v>
      </c>
      <c r="D123" t="s">
        <v>11</v>
      </c>
      <c r="E123" t="s">
        <v>35</v>
      </c>
      <c r="F123">
        <v>14</v>
      </c>
      <c r="G123">
        <v>2</v>
      </c>
      <c r="H123">
        <v>1</v>
      </c>
      <c r="I123">
        <v>5.333333333333333</v>
      </c>
      <c r="J123">
        <v>5</v>
      </c>
      <c r="K123">
        <v>4</v>
      </c>
      <c r="L123">
        <v>6</v>
      </c>
      <c r="M123">
        <v>5</v>
      </c>
      <c r="N123">
        <v>7</v>
      </c>
      <c r="O123">
        <v>5</v>
      </c>
      <c r="P123" t="s">
        <v>153</v>
      </c>
      <c r="S123">
        <v>6</v>
      </c>
      <c r="T123">
        <v>5</v>
      </c>
      <c r="U123">
        <v>6</v>
      </c>
      <c r="V123">
        <v>5</v>
      </c>
      <c r="X123">
        <v>5</v>
      </c>
      <c r="Y123">
        <v>6</v>
      </c>
      <c r="Z123">
        <v>5</v>
      </c>
      <c r="AA123">
        <v>5</v>
      </c>
      <c r="AB123">
        <v>5</v>
      </c>
    </row>
    <row r="124" spans="1:28" hidden="1" x14ac:dyDescent="0.25">
      <c r="A124" t="s">
        <v>1036</v>
      </c>
      <c r="D124" t="s">
        <v>29</v>
      </c>
      <c r="E124" t="s">
        <v>452</v>
      </c>
      <c r="F124">
        <v>14</v>
      </c>
      <c r="G124">
        <v>2</v>
      </c>
      <c r="H124">
        <v>1</v>
      </c>
      <c r="I124">
        <v>5.4285714285714288</v>
      </c>
      <c r="J124">
        <v>6</v>
      </c>
      <c r="K124">
        <v>6</v>
      </c>
      <c r="L124">
        <v>4</v>
      </c>
      <c r="M124">
        <v>4</v>
      </c>
      <c r="N124">
        <v>5</v>
      </c>
      <c r="O124" t="s">
        <v>153</v>
      </c>
      <c r="P124">
        <v>5</v>
      </c>
      <c r="Q124" t="s">
        <v>153</v>
      </c>
      <c r="R124">
        <v>6</v>
      </c>
      <c r="S124">
        <v>6</v>
      </c>
      <c r="T124">
        <v>7</v>
      </c>
      <c r="U124">
        <v>7</v>
      </c>
      <c r="V124">
        <v>5</v>
      </c>
      <c r="Z124">
        <v>5</v>
      </c>
      <c r="AA124">
        <v>5</v>
      </c>
      <c r="AB124">
        <v>5</v>
      </c>
    </row>
    <row r="125" spans="1:28" hidden="1" x14ac:dyDescent="0.25">
      <c r="A125" t="s">
        <v>1026</v>
      </c>
      <c r="D125" t="s">
        <v>29</v>
      </c>
      <c r="E125" t="s">
        <v>522</v>
      </c>
      <c r="F125">
        <v>7</v>
      </c>
      <c r="G125">
        <v>6</v>
      </c>
      <c r="I125">
        <v>5.1428571428571432</v>
      </c>
      <c r="L125" t="s">
        <v>153</v>
      </c>
      <c r="M125" t="s">
        <v>153</v>
      </c>
      <c r="N125" t="s">
        <v>153</v>
      </c>
      <c r="O125" t="s">
        <v>153</v>
      </c>
      <c r="P125" t="s">
        <v>153</v>
      </c>
      <c r="Q125">
        <v>5</v>
      </c>
      <c r="S125">
        <v>7</v>
      </c>
      <c r="T125">
        <v>5</v>
      </c>
      <c r="U125">
        <v>5</v>
      </c>
      <c r="V125">
        <v>5</v>
      </c>
      <c r="Y125">
        <v>5</v>
      </c>
      <c r="AA125">
        <v>4</v>
      </c>
      <c r="AB125" t="s">
        <v>153</v>
      </c>
    </row>
    <row r="126" spans="1:28" hidden="1" x14ac:dyDescent="0.25">
      <c r="A126" t="s">
        <v>1026</v>
      </c>
      <c r="D126" t="s">
        <v>29</v>
      </c>
      <c r="E126" t="s">
        <v>850</v>
      </c>
      <c r="F126">
        <v>1</v>
      </c>
      <c r="G126">
        <v>2</v>
      </c>
      <c r="I126">
        <v>5</v>
      </c>
      <c r="W126" t="s">
        <v>153</v>
      </c>
      <c r="Y126">
        <v>5</v>
      </c>
      <c r="Z126" t="s">
        <v>153</v>
      </c>
    </row>
    <row r="127" spans="1:28" hidden="1" x14ac:dyDescent="0.25">
      <c r="A127" t="s">
        <v>1026</v>
      </c>
      <c r="D127" t="s">
        <v>29</v>
      </c>
      <c r="E127" t="s">
        <v>275</v>
      </c>
      <c r="G127">
        <v>1</v>
      </c>
      <c r="K127" t="s">
        <v>153</v>
      </c>
    </row>
    <row r="128" spans="1:28" hidden="1" x14ac:dyDescent="0.25">
      <c r="A128" t="s">
        <v>1026</v>
      </c>
      <c r="D128" t="s">
        <v>30</v>
      </c>
      <c r="E128" t="s">
        <v>65</v>
      </c>
    </row>
    <row r="129" spans="1:28" hidden="1" x14ac:dyDescent="0.25">
      <c r="A129" t="s">
        <v>1026</v>
      </c>
      <c r="D129" t="s">
        <v>30</v>
      </c>
      <c r="E129" t="s">
        <v>229</v>
      </c>
    </row>
    <row r="130" spans="1:28" hidden="1" x14ac:dyDescent="0.25">
      <c r="A130" t="s">
        <v>1026</v>
      </c>
      <c r="D130" t="s">
        <v>30</v>
      </c>
      <c r="E130" t="s">
        <v>277</v>
      </c>
      <c r="F130">
        <v>1</v>
      </c>
      <c r="G130">
        <v>7</v>
      </c>
      <c r="I130">
        <v>4</v>
      </c>
      <c r="M130" t="s">
        <v>153</v>
      </c>
      <c r="N130" t="s">
        <v>153</v>
      </c>
      <c r="R130" t="s">
        <v>153</v>
      </c>
      <c r="S130" t="s">
        <v>153</v>
      </c>
      <c r="T130" t="s">
        <v>153</v>
      </c>
      <c r="X130" t="s">
        <v>153</v>
      </c>
      <c r="Y130">
        <v>4</v>
      </c>
      <c r="AA130" t="s">
        <v>153</v>
      </c>
    </row>
    <row r="131" spans="1:28" hidden="1" x14ac:dyDescent="0.25">
      <c r="A131" t="s">
        <v>1026</v>
      </c>
      <c r="D131" t="s">
        <v>30</v>
      </c>
      <c r="E131" t="s">
        <v>257</v>
      </c>
      <c r="G131">
        <v>1</v>
      </c>
      <c r="U131" t="s">
        <v>153</v>
      </c>
    </row>
    <row r="132" spans="1:28" hidden="1" x14ac:dyDescent="0.25">
      <c r="A132" t="s">
        <v>1024</v>
      </c>
      <c r="D132" t="s">
        <v>29</v>
      </c>
      <c r="E132" t="s">
        <v>227</v>
      </c>
      <c r="F132">
        <v>18</v>
      </c>
      <c r="G132">
        <v>1</v>
      </c>
      <c r="H132">
        <v>1</v>
      </c>
      <c r="I132">
        <v>5.4210526315789478</v>
      </c>
      <c r="J132">
        <v>6</v>
      </c>
      <c r="K132">
        <v>5</v>
      </c>
      <c r="L132">
        <v>5</v>
      </c>
      <c r="M132">
        <v>7</v>
      </c>
      <c r="N132">
        <v>6</v>
      </c>
      <c r="O132">
        <v>5</v>
      </c>
      <c r="P132">
        <v>7</v>
      </c>
      <c r="Q132">
        <v>5</v>
      </c>
      <c r="R132">
        <v>6</v>
      </c>
      <c r="S132">
        <v>5</v>
      </c>
      <c r="T132">
        <v>6</v>
      </c>
      <c r="U132">
        <v>6</v>
      </c>
      <c r="V132">
        <v>5</v>
      </c>
      <c r="W132">
        <v>5</v>
      </c>
      <c r="X132">
        <v>5</v>
      </c>
      <c r="Y132">
        <v>5</v>
      </c>
      <c r="Z132">
        <v>5</v>
      </c>
      <c r="AA132">
        <v>4</v>
      </c>
      <c r="AB132">
        <v>5</v>
      </c>
    </row>
    <row r="133" spans="1:28" hidden="1" x14ac:dyDescent="0.25">
      <c r="A133" t="s">
        <v>1026</v>
      </c>
      <c r="D133" t="s">
        <v>30</v>
      </c>
      <c r="E133" t="s">
        <v>523</v>
      </c>
      <c r="F133">
        <v>2</v>
      </c>
      <c r="G133">
        <v>7</v>
      </c>
      <c r="H133">
        <v>1</v>
      </c>
      <c r="I133">
        <v>4</v>
      </c>
      <c r="L133" t="s">
        <v>153</v>
      </c>
      <c r="M133" t="s">
        <v>153</v>
      </c>
      <c r="P133" t="s">
        <v>153</v>
      </c>
      <c r="R133">
        <v>4</v>
      </c>
      <c r="T133" t="s">
        <v>153</v>
      </c>
      <c r="U133" t="s">
        <v>153</v>
      </c>
      <c r="W133" t="s">
        <v>153</v>
      </c>
      <c r="Y133">
        <v>4</v>
      </c>
      <c r="AA133" t="s">
        <v>153</v>
      </c>
    </row>
    <row r="134" spans="1:28" hidden="1" x14ac:dyDescent="0.25">
      <c r="A134" t="s">
        <v>1026</v>
      </c>
      <c r="D134" t="s">
        <v>30</v>
      </c>
      <c r="E134" t="s">
        <v>657</v>
      </c>
      <c r="F134">
        <v>1</v>
      </c>
      <c r="G134">
        <v>2</v>
      </c>
      <c r="H134">
        <v>1</v>
      </c>
      <c r="I134">
        <v>7</v>
      </c>
      <c r="N134" t="s">
        <v>153</v>
      </c>
      <c r="O134" t="s">
        <v>153</v>
      </c>
      <c r="P134">
        <v>7</v>
      </c>
    </row>
    <row r="135" spans="1:28" x14ac:dyDescent="0.25">
      <c r="A135" t="s">
        <v>1025</v>
      </c>
      <c r="B135">
        <v>96</v>
      </c>
      <c r="D135" t="s">
        <v>30</v>
      </c>
      <c r="E135" t="s">
        <v>26</v>
      </c>
      <c r="F135">
        <v>14</v>
      </c>
      <c r="G135">
        <v>2</v>
      </c>
      <c r="H135">
        <v>10</v>
      </c>
      <c r="I135">
        <v>5.7857142857142856</v>
      </c>
      <c r="J135">
        <v>5</v>
      </c>
      <c r="K135">
        <v>5</v>
      </c>
      <c r="L135">
        <v>4</v>
      </c>
      <c r="M135">
        <v>8</v>
      </c>
      <c r="N135">
        <v>8</v>
      </c>
      <c r="O135" t="s">
        <v>153</v>
      </c>
      <c r="P135">
        <v>5</v>
      </c>
      <c r="Q135" t="s">
        <v>153</v>
      </c>
      <c r="R135">
        <v>4</v>
      </c>
      <c r="S135">
        <v>6</v>
      </c>
      <c r="T135">
        <v>7</v>
      </c>
      <c r="V135">
        <v>5</v>
      </c>
      <c r="X135">
        <v>6</v>
      </c>
      <c r="Y135">
        <v>5</v>
      </c>
      <c r="Z135">
        <v>7</v>
      </c>
      <c r="AA135">
        <v>6</v>
      </c>
    </row>
    <row r="136" spans="1:28" x14ac:dyDescent="0.25">
      <c r="A136" t="s">
        <v>1026</v>
      </c>
      <c r="D136" t="s">
        <v>30</v>
      </c>
      <c r="E136" t="s">
        <v>226</v>
      </c>
      <c r="F136">
        <v>18</v>
      </c>
      <c r="G136">
        <v>1</v>
      </c>
      <c r="H136">
        <v>7</v>
      </c>
      <c r="I136">
        <v>5.0555555555555554</v>
      </c>
      <c r="J136">
        <v>7</v>
      </c>
      <c r="K136">
        <v>6</v>
      </c>
      <c r="L136">
        <v>4</v>
      </c>
      <c r="M136">
        <v>6</v>
      </c>
      <c r="N136">
        <v>4</v>
      </c>
      <c r="O136">
        <v>6</v>
      </c>
      <c r="P136">
        <v>6</v>
      </c>
      <c r="Q136">
        <v>5</v>
      </c>
      <c r="R136">
        <v>4</v>
      </c>
      <c r="S136">
        <v>4</v>
      </c>
      <c r="T136">
        <v>4</v>
      </c>
      <c r="U136">
        <v>5</v>
      </c>
      <c r="V136">
        <v>6</v>
      </c>
      <c r="W136">
        <v>6</v>
      </c>
      <c r="X136">
        <v>4</v>
      </c>
      <c r="Y136" t="s">
        <v>153</v>
      </c>
      <c r="Z136">
        <v>4</v>
      </c>
      <c r="AA136">
        <v>6</v>
      </c>
      <c r="AB136">
        <v>4</v>
      </c>
    </row>
    <row r="137" spans="1:28" hidden="1" x14ac:dyDescent="0.25">
      <c r="A137" t="s">
        <v>1027</v>
      </c>
      <c r="D137" t="s">
        <v>8</v>
      </c>
      <c r="E137" t="s">
        <v>68</v>
      </c>
    </row>
    <row r="138" spans="1:28" hidden="1" x14ac:dyDescent="0.25">
      <c r="A138" t="s">
        <v>1027</v>
      </c>
      <c r="D138" t="s">
        <v>8</v>
      </c>
      <c r="E138" t="s">
        <v>343</v>
      </c>
    </row>
    <row r="139" spans="1:28" hidden="1" x14ac:dyDescent="0.25">
      <c r="A139" t="s">
        <v>1027</v>
      </c>
      <c r="D139" t="s">
        <v>11</v>
      </c>
      <c r="E139" t="s">
        <v>69</v>
      </c>
      <c r="F139">
        <v>11</v>
      </c>
      <c r="G139">
        <v>1</v>
      </c>
      <c r="H139">
        <v>1</v>
      </c>
      <c r="I139">
        <v>5</v>
      </c>
      <c r="K139">
        <v>5</v>
      </c>
      <c r="L139">
        <v>5</v>
      </c>
      <c r="N139">
        <v>5</v>
      </c>
      <c r="P139">
        <v>6</v>
      </c>
      <c r="Q139" t="s">
        <v>153</v>
      </c>
      <c r="R139">
        <v>5</v>
      </c>
      <c r="S139">
        <v>5</v>
      </c>
      <c r="T139">
        <v>4</v>
      </c>
      <c r="X139">
        <v>5</v>
      </c>
      <c r="Z139">
        <v>5</v>
      </c>
      <c r="AA139">
        <v>5</v>
      </c>
      <c r="AB139">
        <v>5</v>
      </c>
    </row>
    <row r="140" spans="1:28" hidden="1" x14ac:dyDescent="0.25">
      <c r="A140" t="s">
        <v>1027</v>
      </c>
      <c r="D140" t="s">
        <v>11</v>
      </c>
      <c r="E140" t="s">
        <v>70</v>
      </c>
      <c r="F140">
        <v>10</v>
      </c>
      <c r="I140">
        <v>5</v>
      </c>
      <c r="J140">
        <v>5</v>
      </c>
      <c r="N140">
        <v>4</v>
      </c>
      <c r="P140">
        <v>6</v>
      </c>
      <c r="R140">
        <v>4</v>
      </c>
      <c r="S140">
        <v>5</v>
      </c>
      <c r="T140">
        <v>5</v>
      </c>
      <c r="U140">
        <v>7</v>
      </c>
      <c r="V140">
        <v>5</v>
      </c>
      <c r="W140">
        <v>4</v>
      </c>
      <c r="Y140">
        <v>5</v>
      </c>
    </row>
    <row r="141" spans="1:28" hidden="1" x14ac:dyDescent="0.25">
      <c r="A141" t="s">
        <v>1027</v>
      </c>
      <c r="D141" t="s">
        <v>11</v>
      </c>
      <c r="E141" t="s">
        <v>342</v>
      </c>
      <c r="F141">
        <v>4</v>
      </c>
      <c r="I141">
        <v>4.75</v>
      </c>
      <c r="J141">
        <v>4</v>
      </c>
      <c r="K141">
        <v>5</v>
      </c>
      <c r="L141">
        <v>5</v>
      </c>
      <c r="M141">
        <v>5</v>
      </c>
    </row>
    <row r="142" spans="1:28" hidden="1" x14ac:dyDescent="0.25">
      <c r="A142" t="s">
        <v>1027</v>
      </c>
      <c r="D142" t="s">
        <v>11</v>
      </c>
      <c r="E142" t="s">
        <v>71</v>
      </c>
      <c r="F142">
        <v>3</v>
      </c>
      <c r="G142">
        <v>1</v>
      </c>
      <c r="I142">
        <v>5</v>
      </c>
      <c r="L142" t="s">
        <v>153</v>
      </c>
      <c r="P142">
        <v>5</v>
      </c>
      <c r="R142">
        <v>4</v>
      </c>
      <c r="AB142">
        <v>6</v>
      </c>
    </row>
    <row r="143" spans="1:28" hidden="1" x14ac:dyDescent="0.25">
      <c r="A143" t="s">
        <v>1031</v>
      </c>
      <c r="D143" t="s">
        <v>8</v>
      </c>
      <c r="E143" t="s">
        <v>126</v>
      </c>
      <c r="F143">
        <v>12</v>
      </c>
      <c r="I143">
        <v>5.416666666666667</v>
      </c>
      <c r="Q143">
        <v>6</v>
      </c>
      <c r="R143">
        <v>5</v>
      </c>
      <c r="S143">
        <v>7</v>
      </c>
      <c r="T143">
        <v>5</v>
      </c>
      <c r="U143">
        <v>6</v>
      </c>
      <c r="V143">
        <v>5</v>
      </c>
      <c r="W143">
        <v>5</v>
      </c>
      <c r="X143">
        <v>5</v>
      </c>
      <c r="Y143">
        <v>4</v>
      </c>
      <c r="Z143">
        <v>6</v>
      </c>
      <c r="AA143">
        <v>5</v>
      </c>
      <c r="AB143">
        <v>6</v>
      </c>
    </row>
    <row r="144" spans="1:28" hidden="1" x14ac:dyDescent="0.25">
      <c r="A144" t="s">
        <v>1027</v>
      </c>
      <c r="D144" t="s">
        <v>11</v>
      </c>
      <c r="E144" t="s">
        <v>389</v>
      </c>
    </row>
    <row r="145" spans="1:28" hidden="1" x14ac:dyDescent="0.25">
      <c r="A145" t="s">
        <v>1027</v>
      </c>
      <c r="D145" t="s">
        <v>11</v>
      </c>
      <c r="E145" t="s">
        <v>479</v>
      </c>
      <c r="F145">
        <v>10</v>
      </c>
      <c r="I145">
        <v>5.0999999999999996</v>
      </c>
      <c r="J145">
        <v>5</v>
      </c>
      <c r="K145">
        <v>5</v>
      </c>
      <c r="M145">
        <v>5</v>
      </c>
      <c r="S145">
        <v>6</v>
      </c>
      <c r="T145">
        <v>5</v>
      </c>
      <c r="U145">
        <v>5</v>
      </c>
      <c r="V145">
        <v>5</v>
      </c>
      <c r="W145">
        <v>5</v>
      </c>
      <c r="X145">
        <v>5</v>
      </c>
      <c r="Y145">
        <v>5</v>
      </c>
    </row>
    <row r="146" spans="1:28" hidden="1" x14ac:dyDescent="0.25">
      <c r="A146" t="s">
        <v>1027</v>
      </c>
      <c r="D146" t="s">
        <v>11</v>
      </c>
      <c r="E146" t="s">
        <v>535</v>
      </c>
      <c r="F146">
        <v>7</v>
      </c>
      <c r="G146">
        <v>4</v>
      </c>
      <c r="I146">
        <v>5</v>
      </c>
      <c r="L146">
        <v>6</v>
      </c>
      <c r="N146">
        <v>5</v>
      </c>
      <c r="O146">
        <v>5</v>
      </c>
      <c r="Q146">
        <v>5</v>
      </c>
      <c r="S146" t="s">
        <v>153</v>
      </c>
      <c r="V146" t="s">
        <v>153</v>
      </c>
      <c r="W146">
        <v>5</v>
      </c>
      <c r="X146" t="s">
        <v>153</v>
      </c>
      <c r="Z146">
        <v>4</v>
      </c>
      <c r="AA146">
        <v>5</v>
      </c>
      <c r="AB146" t="s">
        <v>153</v>
      </c>
    </row>
    <row r="147" spans="1:28" hidden="1" x14ac:dyDescent="0.25">
      <c r="A147" t="s">
        <v>1027</v>
      </c>
      <c r="D147" t="s">
        <v>11</v>
      </c>
      <c r="E147" t="s">
        <v>690</v>
      </c>
      <c r="F147">
        <v>5</v>
      </c>
      <c r="I147">
        <v>5.2</v>
      </c>
      <c r="O147">
        <v>5</v>
      </c>
      <c r="Q147">
        <v>5</v>
      </c>
      <c r="Z147">
        <v>5</v>
      </c>
      <c r="AA147">
        <v>5</v>
      </c>
      <c r="AB147">
        <v>6</v>
      </c>
    </row>
    <row r="148" spans="1:28" hidden="1" x14ac:dyDescent="0.25">
      <c r="A148" t="s">
        <v>1027</v>
      </c>
      <c r="D148" t="s">
        <v>11</v>
      </c>
      <c r="E148" t="s">
        <v>893</v>
      </c>
      <c r="F148">
        <v>1</v>
      </c>
      <c r="G148">
        <v>1</v>
      </c>
      <c r="I148">
        <v>4</v>
      </c>
      <c r="X148">
        <v>4</v>
      </c>
      <c r="AA148" t="s">
        <v>153</v>
      </c>
    </row>
    <row r="149" spans="1:28" hidden="1" x14ac:dyDescent="0.25">
      <c r="A149" t="s">
        <v>1027</v>
      </c>
      <c r="D149" t="s">
        <v>11</v>
      </c>
      <c r="E149" t="s">
        <v>90</v>
      </c>
      <c r="F149">
        <v>10</v>
      </c>
      <c r="G149">
        <v>1</v>
      </c>
      <c r="I149">
        <v>5</v>
      </c>
      <c r="J149">
        <v>5</v>
      </c>
      <c r="K149">
        <v>5</v>
      </c>
      <c r="L149">
        <v>6</v>
      </c>
      <c r="M149">
        <v>5</v>
      </c>
      <c r="O149">
        <v>6</v>
      </c>
      <c r="P149">
        <v>5</v>
      </c>
      <c r="Q149">
        <v>4</v>
      </c>
      <c r="T149" t="s">
        <v>153</v>
      </c>
      <c r="U149">
        <v>5</v>
      </c>
      <c r="V149">
        <v>4</v>
      </c>
      <c r="Y149">
        <v>5</v>
      </c>
    </row>
    <row r="150" spans="1:28" hidden="1" x14ac:dyDescent="0.25">
      <c r="A150" t="s">
        <v>1027</v>
      </c>
      <c r="D150" t="s">
        <v>29</v>
      </c>
      <c r="E150" t="s">
        <v>92</v>
      </c>
      <c r="F150">
        <v>12</v>
      </c>
      <c r="I150">
        <v>4.666666666666667</v>
      </c>
      <c r="J150">
        <v>4</v>
      </c>
      <c r="K150">
        <v>4</v>
      </c>
      <c r="L150">
        <v>5</v>
      </c>
      <c r="M150">
        <v>6</v>
      </c>
      <c r="N150">
        <v>5</v>
      </c>
      <c r="O150">
        <v>4</v>
      </c>
      <c r="Q150">
        <v>4</v>
      </c>
      <c r="U150">
        <v>5</v>
      </c>
      <c r="V150">
        <v>4</v>
      </c>
      <c r="X150">
        <v>5</v>
      </c>
      <c r="Y150">
        <v>5</v>
      </c>
      <c r="AB150">
        <v>5</v>
      </c>
    </row>
    <row r="151" spans="1:28" hidden="1" x14ac:dyDescent="0.25">
      <c r="A151" t="s">
        <v>1027</v>
      </c>
      <c r="D151" t="s">
        <v>29</v>
      </c>
      <c r="E151" t="s">
        <v>93</v>
      </c>
      <c r="F151">
        <v>3</v>
      </c>
      <c r="G151">
        <v>2</v>
      </c>
      <c r="I151">
        <v>4.333333333333333</v>
      </c>
      <c r="U151" t="s">
        <v>153</v>
      </c>
      <c r="W151">
        <v>4</v>
      </c>
      <c r="X151" t="s">
        <v>153</v>
      </c>
      <c r="Y151" t="s">
        <v>153</v>
      </c>
      <c r="Z151">
        <v>5</v>
      </c>
      <c r="AA151">
        <v>4</v>
      </c>
    </row>
    <row r="152" spans="1:28" hidden="1" x14ac:dyDescent="0.25">
      <c r="A152" t="s">
        <v>1027</v>
      </c>
      <c r="D152" t="s">
        <v>29</v>
      </c>
      <c r="E152" t="s">
        <v>94</v>
      </c>
      <c r="F152">
        <v>1</v>
      </c>
      <c r="G152">
        <v>7</v>
      </c>
      <c r="H152">
        <v>1</v>
      </c>
      <c r="I152">
        <v>5</v>
      </c>
      <c r="K152" t="s">
        <v>153</v>
      </c>
      <c r="L152" t="s">
        <v>153</v>
      </c>
      <c r="O152" t="s">
        <v>153</v>
      </c>
      <c r="P152">
        <v>6</v>
      </c>
      <c r="W152">
        <v>4</v>
      </c>
      <c r="Z152" t="s">
        <v>153</v>
      </c>
      <c r="AA152" t="s">
        <v>153</v>
      </c>
      <c r="AB152" t="s">
        <v>153</v>
      </c>
    </row>
    <row r="153" spans="1:28" hidden="1" x14ac:dyDescent="0.25">
      <c r="A153" t="s">
        <v>1027</v>
      </c>
      <c r="D153" t="s">
        <v>29</v>
      </c>
      <c r="E153" t="s">
        <v>95</v>
      </c>
      <c r="F153">
        <v>3</v>
      </c>
      <c r="G153">
        <v>4</v>
      </c>
      <c r="I153">
        <v>4.666666666666667</v>
      </c>
      <c r="J153" t="s">
        <v>153</v>
      </c>
      <c r="K153">
        <v>5</v>
      </c>
      <c r="M153" t="s">
        <v>153</v>
      </c>
      <c r="P153" t="s">
        <v>153</v>
      </c>
      <c r="R153">
        <v>4</v>
      </c>
      <c r="S153" t="s">
        <v>153</v>
      </c>
      <c r="T153">
        <v>5</v>
      </c>
    </row>
    <row r="154" spans="1:28" hidden="1" x14ac:dyDescent="0.25">
      <c r="A154" t="s">
        <v>1027</v>
      </c>
      <c r="D154" t="s">
        <v>29</v>
      </c>
      <c r="E154" t="s">
        <v>326</v>
      </c>
      <c r="G154">
        <v>1</v>
      </c>
      <c r="J154" t="s">
        <v>153</v>
      </c>
    </row>
    <row r="155" spans="1:28" hidden="1" x14ac:dyDescent="0.25">
      <c r="A155" t="s">
        <v>1027</v>
      </c>
      <c r="D155" t="s">
        <v>29</v>
      </c>
      <c r="E155" t="s">
        <v>96</v>
      </c>
      <c r="F155">
        <v>16</v>
      </c>
      <c r="G155">
        <v>2</v>
      </c>
      <c r="H155">
        <v>3</v>
      </c>
      <c r="I155">
        <v>5</v>
      </c>
      <c r="J155">
        <v>5</v>
      </c>
      <c r="K155">
        <v>6</v>
      </c>
      <c r="L155">
        <v>7</v>
      </c>
      <c r="M155">
        <v>4</v>
      </c>
      <c r="N155">
        <v>4</v>
      </c>
      <c r="O155">
        <v>5</v>
      </c>
      <c r="P155">
        <v>5</v>
      </c>
      <c r="Q155">
        <v>5</v>
      </c>
      <c r="R155" t="s">
        <v>153</v>
      </c>
      <c r="S155">
        <v>5</v>
      </c>
      <c r="T155">
        <v>4</v>
      </c>
      <c r="V155">
        <v>4</v>
      </c>
      <c r="W155">
        <v>4</v>
      </c>
      <c r="X155">
        <v>7</v>
      </c>
      <c r="Y155" t="s">
        <v>153</v>
      </c>
      <c r="Z155">
        <v>5</v>
      </c>
      <c r="AA155">
        <v>5</v>
      </c>
      <c r="AB155">
        <v>5</v>
      </c>
    </row>
    <row r="156" spans="1:28" hidden="1" x14ac:dyDescent="0.25">
      <c r="A156" t="s">
        <v>1027</v>
      </c>
      <c r="D156" t="s">
        <v>29</v>
      </c>
      <c r="E156" t="s">
        <v>97</v>
      </c>
      <c r="F156">
        <v>14</v>
      </c>
      <c r="G156">
        <v>2</v>
      </c>
      <c r="I156">
        <v>4.8461538461538458</v>
      </c>
      <c r="J156">
        <v>5</v>
      </c>
      <c r="K156">
        <v>6</v>
      </c>
      <c r="L156">
        <v>6</v>
      </c>
      <c r="M156">
        <v>4</v>
      </c>
      <c r="N156" t="s">
        <v>153</v>
      </c>
      <c r="O156" t="s">
        <v>153</v>
      </c>
      <c r="P156">
        <v>5</v>
      </c>
      <c r="Q156">
        <v>5</v>
      </c>
      <c r="R156">
        <v>5</v>
      </c>
      <c r="S156">
        <v>5</v>
      </c>
      <c r="T156">
        <v>4</v>
      </c>
      <c r="V156" t="s">
        <v>546</v>
      </c>
      <c r="X156">
        <v>5</v>
      </c>
      <c r="Z156">
        <v>4</v>
      </c>
      <c r="AA156">
        <v>4</v>
      </c>
      <c r="AB156">
        <v>5</v>
      </c>
    </row>
    <row r="157" spans="1:28" x14ac:dyDescent="0.25">
      <c r="A157" t="s">
        <v>1039</v>
      </c>
      <c r="B157">
        <v>30</v>
      </c>
      <c r="D157" t="s">
        <v>30</v>
      </c>
      <c r="E157" t="s">
        <v>502</v>
      </c>
      <c r="F157">
        <v>18</v>
      </c>
      <c r="G157">
        <v>1</v>
      </c>
      <c r="H157">
        <v>6</v>
      </c>
      <c r="I157">
        <v>5.4210526315789478</v>
      </c>
      <c r="J157">
        <v>6</v>
      </c>
      <c r="K157">
        <v>5</v>
      </c>
      <c r="L157">
        <v>7</v>
      </c>
      <c r="M157">
        <v>5</v>
      </c>
      <c r="N157">
        <v>5</v>
      </c>
      <c r="O157">
        <v>5</v>
      </c>
      <c r="P157">
        <v>4</v>
      </c>
      <c r="Q157">
        <v>6</v>
      </c>
      <c r="R157">
        <v>7</v>
      </c>
      <c r="S157">
        <v>6</v>
      </c>
      <c r="T157">
        <v>5</v>
      </c>
      <c r="U157">
        <v>5</v>
      </c>
      <c r="V157">
        <v>7</v>
      </c>
      <c r="W157">
        <v>5</v>
      </c>
      <c r="X157">
        <v>7</v>
      </c>
      <c r="Y157">
        <v>4</v>
      </c>
      <c r="Z157">
        <v>5</v>
      </c>
      <c r="AA157">
        <v>4</v>
      </c>
      <c r="AB157">
        <v>5</v>
      </c>
    </row>
    <row r="158" spans="1:28" hidden="1" x14ac:dyDescent="0.25">
      <c r="A158" t="s">
        <v>1027</v>
      </c>
      <c r="D158" t="s">
        <v>29</v>
      </c>
      <c r="E158" t="s">
        <v>804</v>
      </c>
      <c r="G158">
        <v>2</v>
      </c>
      <c r="T158" t="s">
        <v>153</v>
      </c>
      <c r="AB158" t="s">
        <v>153</v>
      </c>
    </row>
    <row r="159" spans="1:28" hidden="1" x14ac:dyDescent="0.25">
      <c r="A159" t="s">
        <v>1027</v>
      </c>
      <c r="D159" t="s">
        <v>29</v>
      </c>
      <c r="E159" t="s">
        <v>183</v>
      </c>
      <c r="F159">
        <v>10</v>
      </c>
      <c r="G159">
        <v>4</v>
      </c>
      <c r="I159">
        <v>4.9090909090909092</v>
      </c>
      <c r="K159" t="s">
        <v>153</v>
      </c>
      <c r="N159">
        <v>5</v>
      </c>
      <c r="O159">
        <v>6</v>
      </c>
      <c r="P159">
        <v>5</v>
      </c>
      <c r="Q159">
        <v>4</v>
      </c>
      <c r="R159" t="s">
        <v>153</v>
      </c>
      <c r="S159">
        <v>5</v>
      </c>
      <c r="U159">
        <v>4</v>
      </c>
      <c r="V159">
        <v>5</v>
      </c>
      <c r="W159">
        <v>6</v>
      </c>
      <c r="Y159">
        <v>4</v>
      </c>
      <c r="Z159">
        <v>5</v>
      </c>
      <c r="AA159">
        <v>5</v>
      </c>
    </row>
    <row r="160" spans="1:28" hidden="1" x14ac:dyDescent="0.25">
      <c r="A160" t="s">
        <v>1027</v>
      </c>
      <c r="D160" t="s">
        <v>30</v>
      </c>
      <c r="E160" t="s">
        <v>284</v>
      </c>
      <c r="F160">
        <v>13</v>
      </c>
      <c r="G160">
        <v>3</v>
      </c>
      <c r="H160">
        <v>1</v>
      </c>
      <c r="I160">
        <v>4.8461538461538458</v>
      </c>
      <c r="J160">
        <v>5</v>
      </c>
      <c r="K160" t="s">
        <v>153</v>
      </c>
      <c r="L160">
        <v>5</v>
      </c>
      <c r="M160" t="s">
        <v>153</v>
      </c>
      <c r="N160">
        <v>5</v>
      </c>
      <c r="P160">
        <v>5</v>
      </c>
      <c r="R160">
        <v>4</v>
      </c>
      <c r="S160">
        <v>7</v>
      </c>
      <c r="T160">
        <v>4</v>
      </c>
      <c r="U160">
        <v>5</v>
      </c>
      <c r="V160" t="s">
        <v>153</v>
      </c>
      <c r="W160">
        <v>5</v>
      </c>
      <c r="X160">
        <v>5</v>
      </c>
      <c r="Y160">
        <v>4</v>
      </c>
      <c r="Z160">
        <v>5</v>
      </c>
      <c r="AA160">
        <v>4</v>
      </c>
    </row>
    <row r="161" spans="1:28" hidden="1" x14ac:dyDescent="0.25">
      <c r="A161" t="s">
        <v>1027</v>
      </c>
      <c r="D161" t="s">
        <v>30</v>
      </c>
      <c r="E161" t="s">
        <v>91</v>
      </c>
      <c r="F161">
        <v>4</v>
      </c>
      <c r="G161">
        <v>1</v>
      </c>
      <c r="H161">
        <v>1</v>
      </c>
      <c r="I161">
        <v>4.5</v>
      </c>
      <c r="J161">
        <v>4</v>
      </c>
      <c r="N161" t="s">
        <v>153</v>
      </c>
      <c r="O161">
        <v>7</v>
      </c>
      <c r="Q161">
        <v>3</v>
      </c>
      <c r="Y161">
        <v>4</v>
      </c>
    </row>
    <row r="162" spans="1:28" hidden="1" x14ac:dyDescent="0.25">
      <c r="A162" t="s">
        <v>1027</v>
      </c>
      <c r="D162" t="s">
        <v>30</v>
      </c>
      <c r="E162" t="s">
        <v>506</v>
      </c>
      <c r="F162">
        <v>2</v>
      </c>
      <c r="G162">
        <v>7</v>
      </c>
      <c r="I162">
        <v>4.5</v>
      </c>
      <c r="L162" t="s">
        <v>153</v>
      </c>
      <c r="M162" t="s">
        <v>153</v>
      </c>
      <c r="U162" t="s">
        <v>153</v>
      </c>
      <c r="W162" t="s">
        <v>153</v>
      </c>
      <c r="X162">
        <v>5</v>
      </c>
      <c r="Y162" t="s">
        <v>153</v>
      </c>
      <c r="Z162" t="s">
        <v>153</v>
      </c>
      <c r="AA162" t="s">
        <v>153</v>
      </c>
      <c r="AB162">
        <v>4</v>
      </c>
    </row>
    <row r="163" spans="1:28" hidden="1" x14ac:dyDescent="0.25">
      <c r="A163" t="s">
        <v>1027</v>
      </c>
      <c r="D163" t="s">
        <v>30</v>
      </c>
      <c r="E163" t="s">
        <v>232</v>
      </c>
      <c r="F163">
        <v>3</v>
      </c>
      <c r="G163">
        <v>5</v>
      </c>
      <c r="I163">
        <v>4.25</v>
      </c>
      <c r="K163">
        <v>5</v>
      </c>
      <c r="M163">
        <v>4</v>
      </c>
      <c r="O163" t="s">
        <v>153</v>
      </c>
      <c r="Q163" t="s">
        <v>153</v>
      </c>
      <c r="R163">
        <v>4</v>
      </c>
      <c r="T163">
        <v>4</v>
      </c>
      <c r="U163" t="s">
        <v>153</v>
      </c>
      <c r="W163" t="s">
        <v>153</v>
      </c>
    </row>
    <row r="164" spans="1:28" x14ac:dyDescent="0.25">
      <c r="A164" t="s">
        <v>1031</v>
      </c>
      <c r="D164" t="s">
        <v>30</v>
      </c>
      <c r="E164" t="s">
        <v>779</v>
      </c>
      <c r="F164">
        <v>8</v>
      </c>
      <c r="G164">
        <v>3</v>
      </c>
      <c r="H164">
        <v>6</v>
      </c>
      <c r="I164">
        <v>5.2</v>
      </c>
      <c r="S164">
        <v>4</v>
      </c>
      <c r="T164">
        <v>6</v>
      </c>
      <c r="U164">
        <v>3</v>
      </c>
      <c r="V164">
        <v>5</v>
      </c>
      <c r="W164">
        <v>4</v>
      </c>
      <c r="X164">
        <v>8</v>
      </c>
      <c r="Y164">
        <v>4</v>
      </c>
      <c r="Z164">
        <v>8</v>
      </c>
      <c r="AA164">
        <v>5</v>
      </c>
      <c r="AB164">
        <v>5</v>
      </c>
    </row>
    <row r="165" spans="1:28" x14ac:dyDescent="0.25">
      <c r="A165" t="s">
        <v>1024</v>
      </c>
      <c r="D165" t="s">
        <v>30</v>
      </c>
      <c r="E165" t="s">
        <v>54</v>
      </c>
      <c r="F165">
        <v>15</v>
      </c>
      <c r="H165">
        <v>6</v>
      </c>
      <c r="I165">
        <v>5.1333333333333337</v>
      </c>
      <c r="J165">
        <v>4</v>
      </c>
      <c r="K165">
        <v>4</v>
      </c>
      <c r="L165">
        <v>5</v>
      </c>
      <c r="N165">
        <v>5</v>
      </c>
      <c r="O165">
        <v>6</v>
      </c>
      <c r="P165">
        <v>5</v>
      </c>
      <c r="R165">
        <v>6</v>
      </c>
      <c r="S165">
        <v>5</v>
      </c>
      <c r="T165">
        <v>5</v>
      </c>
      <c r="U165">
        <v>5</v>
      </c>
      <c r="V165">
        <v>9</v>
      </c>
      <c r="W165">
        <v>4</v>
      </c>
      <c r="X165">
        <v>5</v>
      </c>
      <c r="Y165">
        <v>5</v>
      </c>
      <c r="Z165">
        <v>4</v>
      </c>
    </row>
    <row r="166" spans="1:28" hidden="1" x14ac:dyDescent="0.25">
      <c r="A166" t="s">
        <v>1028</v>
      </c>
      <c r="D166" t="s">
        <v>8</v>
      </c>
      <c r="E166" t="s">
        <v>74</v>
      </c>
    </row>
    <row r="167" spans="1:28" hidden="1" x14ac:dyDescent="0.25">
      <c r="A167" t="s">
        <v>1026</v>
      </c>
      <c r="D167" t="s">
        <v>11</v>
      </c>
      <c r="E167" t="s">
        <v>19</v>
      </c>
      <c r="F167">
        <v>11</v>
      </c>
      <c r="H167">
        <v>1</v>
      </c>
      <c r="I167">
        <v>5.4</v>
      </c>
      <c r="J167" t="s">
        <v>546</v>
      </c>
      <c r="O167">
        <v>4</v>
      </c>
      <c r="P167">
        <v>5</v>
      </c>
      <c r="Q167">
        <v>5</v>
      </c>
      <c r="R167">
        <v>7</v>
      </c>
      <c r="S167">
        <v>6</v>
      </c>
      <c r="T167">
        <v>5</v>
      </c>
      <c r="X167">
        <v>5</v>
      </c>
      <c r="Z167">
        <v>5</v>
      </c>
      <c r="AA167">
        <v>6</v>
      </c>
      <c r="AB167">
        <v>6</v>
      </c>
    </row>
    <row r="168" spans="1:28" hidden="1" x14ac:dyDescent="0.25">
      <c r="A168" t="s">
        <v>1028</v>
      </c>
      <c r="D168" t="s">
        <v>8</v>
      </c>
      <c r="E168" t="s">
        <v>671</v>
      </c>
      <c r="F168">
        <v>3</v>
      </c>
      <c r="G168">
        <v>1</v>
      </c>
      <c r="I168">
        <v>5.666666666666667</v>
      </c>
      <c r="O168" t="s">
        <v>153</v>
      </c>
      <c r="P168">
        <v>5</v>
      </c>
      <c r="Q168">
        <v>6</v>
      </c>
      <c r="R168">
        <v>6</v>
      </c>
    </row>
    <row r="169" spans="1:28" hidden="1" x14ac:dyDescent="0.25">
      <c r="A169" t="s">
        <v>1028</v>
      </c>
      <c r="D169" t="s">
        <v>8</v>
      </c>
      <c r="E169" t="s">
        <v>335</v>
      </c>
    </row>
    <row r="170" spans="1:28" hidden="1" x14ac:dyDescent="0.25">
      <c r="A170" t="s">
        <v>1028</v>
      </c>
      <c r="D170" t="s">
        <v>11</v>
      </c>
      <c r="E170" t="s">
        <v>75</v>
      </c>
      <c r="F170">
        <v>11</v>
      </c>
      <c r="G170">
        <v>1</v>
      </c>
      <c r="I170">
        <v>5</v>
      </c>
      <c r="K170">
        <v>5</v>
      </c>
      <c r="N170">
        <v>5</v>
      </c>
      <c r="O170">
        <v>5</v>
      </c>
      <c r="S170">
        <v>5</v>
      </c>
      <c r="T170">
        <v>5</v>
      </c>
      <c r="U170">
        <v>5</v>
      </c>
      <c r="V170">
        <v>4</v>
      </c>
      <c r="X170">
        <v>5</v>
      </c>
      <c r="Y170">
        <v>6</v>
      </c>
      <c r="Z170">
        <v>5</v>
      </c>
      <c r="AA170">
        <v>5</v>
      </c>
      <c r="AB170">
        <v>5</v>
      </c>
    </row>
    <row r="171" spans="1:28" hidden="1" x14ac:dyDescent="0.25">
      <c r="A171" t="s">
        <v>1026</v>
      </c>
      <c r="D171" t="s">
        <v>29</v>
      </c>
      <c r="E171" t="s">
        <v>64</v>
      </c>
      <c r="F171">
        <v>15</v>
      </c>
      <c r="I171">
        <v>5.4</v>
      </c>
      <c r="L171">
        <v>5</v>
      </c>
      <c r="M171">
        <v>5</v>
      </c>
      <c r="N171">
        <v>5</v>
      </c>
      <c r="O171">
        <v>5</v>
      </c>
      <c r="P171">
        <v>6</v>
      </c>
      <c r="Q171">
        <v>5</v>
      </c>
      <c r="R171">
        <v>6</v>
      </c>
      <c r="S171">
        <v>5</v>
      </c>
      <c r="T171">
        <v>5</v>
      </c>
      <c r="U171">
        <v>6</v>
      </c>
      <c r="V171">
        <v>6</v>
      </c>
      <c r="W171">
        <v>7</v>
      </c>
      <c r="X171">
        <v>5</v>
      </c>
      <c r="AA171">
        <v>5</v>
      </c>
      <c r="AB171">
        <v>5</v>
      </c>
    </row>
    <row r="172" spans="1:28" hidden="1" x14ac:dyDescent="0.25">
      <c r="A172" t="s">
        <v>1028</v>
      </c>
      <c r="D172" t="s">
        <v>11</v>
      </c>
      <c r="E172" t="s">
        <v>77</v>
      </c>
    </row>
    <row r="173" spans="1:28" hidden="1" x14ac:dyDescent="0.25">
      <c r="A173" t="s">
        <v>1041</v>
      </c>
      <c r="D173" t="s">
        <v>8</v>
      </c>
      <c r="E173" t="s">
        <v>267</v>
      </c>
      <c r="F173">
        <v>15</v>
      </c>
      <c r="I173">
        <v>5.4</v>
      </c>
      <c r="K173">
        <v>5</v>
      </c>
      <c r="L173">
        <v>5</v>
      </c>
      <c r="M173">
        <v>5</v>
      </c>
      <c r="N173">
        <v>7</v>
      </c>
      <c r="O173">
        <v>4</v>
      </c>
      <c r="P173">
        <v>6</v>
      </c>
      <c r="Q173">
        <v>7</v>
      </c>
      <c r="R173">
        <v>5</v>
      </c>
      <c r="S173">
        <v>5</v>
      </c>
      <c r="T173">
        <v>6</v>
      </c>
      <c r="U173">
        <v>6</v>
      </c>
      <c r="V173">
        <v>5</v>
      </c>
      <c r="W173">
        <v>5</v>
      </c>
      <c r="AA173">
        <v>5</v>
      </c>
      <c r="AB173">
        <v>5</v>
      </c>
    </row>
    <row r="174" spans="1:28" hidden="1" x14ac:dyDescent="0.25">
      <c r="A174" t="s">
        <v>1028</v>
      </c>
      <c r="D174" t="s">
        <v>11</v>
      </c>
      <c r="E174" t="s">
        <v>274</v>
      </c>
      <c r="G174">
        <v>1</v>
      </c>
      <c r="AA174" t="s">
        <v>153</v>
      </c>
    </row>
    <row r="175" spans="1:28" hidden="1" x14ac:dyDescent="0.25">
      <c r="A175" t="s">
        <v>1028</v>
      </c>
      <c r="D175" t="s">
        <v>11</v>
      </c>
      <c r="E175" t="s">
        <v>381</v>
      </c>
      <c r="F175">
        <v>4</v>
      </c>
      <c r="G175">
        <v>3</v>
      </c>
      <c r="I175">
        <v>5</v>
      </c>
      <c r="J175">
        <v>5</v>
      </c>
      <c r="K175">
        <v>5</v>
      </c>
      <c r="L175" t="s">
        <v>153</v>
      </c>
      <c r="R175">
        <v>5</v>
      </c>
      <c r="S175" t="s">
        <v>153</v>
      </c>
      <c r="AA175">
        <v>5</v>
      </c>
      <c r="AB175" t="s">
        <v>153</v>
      </c>
    </row>
    <row r="176" spans="1:28" hidden="1" x14ac:dyDescent="0.25">
      <c r="A176" t="s">
        <v>1028</v>
      </c>
      <c r="D176" t="s">
        <v>11</v>
      </c>
      <c r="E176" t="s">
        <v>482</v>
      </c>
      <c r="F176">
        <v>2</v>
      </c>
      <c r="G176">
        <v>3</v>
      </c>
      <c r="I176">
        <v>5</v>
      </c>
      <c r="J176">
        <v>5</v>
      </c>
      <c r="M176" t="s">
        <v>153</v>
      </c>
      <c r="N176">
        <v>5</v>
      </c>
      <c r="S176">
        <v>5</v>
      </c>
      <c r="Z176" t="s">
        <v>153</v>
      </c>
    </row>
    <row r="177" spans="1:28" hidden="1" x14ac:dyDescent="0.25">
      <c r="A177" t="s">
        <v>1024</v>
      </c>
      <c r="D177" t="s">
        <v>11</v>
      </c>
      <c r="E177" t="s">
        <v>45</v>
      </c>
      <c r="F177">
        <v>12</v>
      </c>
      <c r="I177">
        <v>5.333333333333333</v>
      </c>
      <c r="J177">
        <v>5</v>
      </c>
      <c r="K177">
        <v>6</v>
      </c>
      <c r="L177">
        <v>5</v>
      </c>
      <c r="M177">
        <v>6</v>
      </c>
      <c r="N177">
        <v>6</v>
      </c>
      <c r="O177">
        <v>5</v>
      </c>
      <c r="P177">
        <v>5</v>
      </c>
      <c r="Q177">
        <v>4</v>
      </c>
      <c r="R177">
        <v>6</v>
      </c>
      <c r="S177">
        <v>5</v>
      </c>
      <c r="T177">
        <v>6</v>
      </c>
      <c r="V177">
        <v>5</v>
      </c>
    </row>
    <row r="178" spans="1:28" hidden="1" x14ac:dyDescent="0.25">
      <c r="A178" t="s">
        <v>1028</v>
      </c>
      <c r="D178" t="s">
        <v>11</v>
      </c>
      <c r="E178" t="s">
        <v>647</v>
      </c>
      <c r="F178">
        <v>6</v>
      </c>
      <c r="G178">
        <v>2</v>
      </c>
      <c r="I178">
        <v>4.5</v>
      </c>
      <c r="N178" t="s">
        <v>153</v>
      </c>
      <c r="Q178">
        <v>4</v>
      </c>
      <c r="R178">
        <v>5</v>
      </c>
      <c r="S178">
        <v>3</v>
      </c>
      <c r="U178">
        <v>5</v>
      </c>
      <c r="V178">
        <v>4</v>
      </c>
      <c r="X178" t="s">
        <v>153</v>
      </c>
      <c r="Y178">
        <v>6</v>
      </c>
    </row>
    <row r="179" spans="1:28" hidden="1" x14ac:dyDescent="0.25">
      <c r="A179" t="s">
        <v>1028</v>
      </c>
      <c r="D179" t="s">
        <v>11</v>
      </c>
      <c r="E179" t="s">
        <v>78</v>
      </c>
      <c r="F179">
        <v>8</v>
      </c>
      <c r="I179">
        <v>5.125</v>
      </c>
      <c r="L179">
        <v>6</v>
      </c>
      <c r="M179">
        <v>5</v>
      </c>
      <c r="N179">
        <v>5</v>
      </c>
      <c r="O179">
        <v>5</v>
      </c>
      <c r="P179">
        <v>5</v>
      </c>
      <c r="Q179">
        <v>4</v>
      </c>
      <c r="V179">
        <v>6</v>
      </c>
      <c r="W179">
        <v>5</v>
      </c>
    </row>
    <row r="180" spans="1:28" hidden="1" x14ac:dyDescent="0.25">
      <c r="A180" t="s">
        <v>1028</v>
      </c>
      <c r="D180" t="s">
        <v>29</v>
      </c>
      <c r="E180" t="s">
        <v>79</v>
      </c>
      <c r="F180">
        <v>14</v>
      </c>
      <c r="I180">
        <v>5</v>
      </c>
      <c r="J180">
        <v>5</v>
      </c>
      <c r="K180">
        <v>4</v>
      </c>
      <c r="L180">
        <v>5</v>
      </c>
      <c r="M180">
        <v>5</v>
      </c>
      <c r="N180">
        <v>4</v>
      </c>
      <c r="S180">
        <v>5</v>
      </c>
      <c r="T180">
        <v>4</v>
      </c>
      <c r="U180">
        <v>5</v>
      </c>
      <c r="W180">
        <v>7</v>
      </c>
      <c r="X180">
        <v>5</v>
      </c>
      <c r="Y180">
        <v>6</v>
      </c>
      <c r="Z180" t="s">
        <v>546</v>
      </c>
      <c r="AA180">
        <v>6</v>
      </c>
      <c r="AB180">
        <v>4</v>
      </c>
    </row>
    <row r="181" spans="1:28" hidden="1" x14ac:dyDescent="0.25">
      <c r="A181" t="s">
        <v>1028</v>
      </c>
      <c r="D181" t="s">
        <v>29</v>
      </c>
      <c r="E181" t="s">
        <v>82</v>
      </c>
      <c r="F181">
        <v>4</v>
      </c>
      <c r="G181">
        <v>7</v>
      </c>
      <c r="I181">
        <v>4.75</v>
      </c>
      <c r="P181" t="s">
        <v>153</v>
      </c>
      <c r="S181" t="s">
        <v>153</v>
      </c>
      <c r="T181">
        <v>4</v>
      </c>
      <c r="U181" t="s">
        <v>153</v>
      </c>
      <c r="V181" t="s">
        <v>153</v>
      </c>
      <c r="W181" t="s">
        <v>153</v>
      </c>
      <c r="X181">
        <v>4</v>
      </c>
      <c r="Y181">
        <v>6</v>
      </c>
      <c r="Z181">
        <v>5</v>
      </c>
      <c r="AA181" t="s">
        <v>153</v>
      </c>
      <c r="AB181" t="s">
        <v>153</v>
      </c>
    </row>
    <row r="182" spans="1:28" hidden="1" x14ac:dyDescent="0.25">
      <c r="A182" t="s">
        <v>1028</v>
      </c>
      <c r="D182" t="s">
        <v>29</v>
      </c>
      <c r="E182" t="s">
        <v>83</v>
      </c>
      <c r="G182">
        <v>3</v>
      </c>
      <c r="K182" t="s">
        <v>153</v>
      </c>
      <c r="T182" t="s">
        <v>153</v>
      </c>
      <c r="Y182" t="s">
        <v>153</v>
      </c>
    </row>
    <row r="183" spans="1:28" hidden="1" x14ac:dyDescent="0.25">
      <c r="A183" t="s">
        <v>1026</v>
      </c>
      <c r="D183" t="s">
        <v>29</v>
      </c>
      <c r="E183" t="s">
        <v>450</v>
      </c>
      <c r="F183">
        <v>18</v>
      </c>
      <c r="H183">
        <v>7</v>
      </c>
      <c r="I183">
        <v>5.3888888888888893</v>
      </c>
      <c r="J183">
        <v>4</v>
      </c>
      <c r="K183">
        <v>7</v>
      </c>
      <c r="L183">
        <v>7</v>
      </c>
      <c r="M183">
        <v>6</v>
      </c>
      <c r="N183">
        <v>5</v>
      </c>
      <c r="O183">
        <v>4</v>
      </c>
      <c r="P183">
        <v>7</v>
      </c>
      <c r="Q183">
        <v>8</v>
      </c>
      <c r="R183">
        <v>5</v>
      </c>
      <c r="S183">
        <v>8</v>
      </c>
      <c r="T183">
        <v>4</v>
      </c>
      <c r="U183">
        <v>5</v>
      </c>
      <c r="V183">
        <v>5</v>
      </c>
      <c r="W183">
        <v>5</v>
      </c>
      <c r="X183">
        <v>4</v>
      </c>
      <c r="Z183">
        <v>4</v>
      </c>
      <c r="AA183">
        <v>4</v>
      </c>
      <c r="AB183">
        <v>5</v>
      </c>
    </row>
    <row r="184" spans="1:28" hidden="1" x14ac:dyDescent="0.25">
      <c r="A184" t="s">
        <v>1028</v>
      </c>
      <c r="D184" t="s">
        <v>29</v>
      </c>
      <c r="E184" t="s">
        <v>60</v>
      </c>
      <c r="F184">
        <v>16</v>
      </c>
      <c r="G184">
        <v>1</v>
      </c>
      <c r="H184">
        <v>2</v>
      </c>
      <c r="I184">
        <v>4.75</v>
      </c>
      <c r="J184">
        <v>4</v>
      </c>
      <c r="K184">
        <v>5</v>
      </c>
      <c r="L184">
        <v>5</v>
      </c>
      <c r="M184">
        <v>4</v>
      </c>
      <c r="N184">
        <v>5</v>
      </c>
      <c r="O184">
        <v>4</v>
      </c>
      <c r="P184">
        <v>5</v>
      </c>
      <c r="Q184">
        <v>4</v>
      </c>
      <c r="R184" t="s">
        <v>153</v>
      </c>
      <c r="U184">
        <v>5</v>
      </c>
      <c r="V184">
        <v>4</v>
      </c>
      <c r="W184">
        <v>4</v>
      </c>
      <c r="X184">
        <v>4</v>
      </c>
      <c r="Y184">
        <v>6</v>
      </c>
      <c r="Z184">
        <v>5</v>
      </c>
      <c r="AA184">
        <v>7</v>
      </c>
      <c r="AB184">
        <v>5</v>
      </c>
    </row>
    <row r="185" spans="1:28" hidden="1" x14ac:dyDescent="0.25">
      <c r="A185" t="s">
        <v>1028</v>
      </c>
      <c r="D185" t="s">
        <v>11</v>
      </c>
      <c r="E185" t="s">
        <v>198</v>
      </c>
      <c r="F185">
        <v>14</v>
      </c>
      <c r="G185">
        <v>2</v>
      </c>
      <c r="H185">
        <v>1</v>
      </c>
      <c r="I185">
        <v>5.3076923076923075</v>
      </c>
      <c r="J185">
        <v>5</v>
      </c>
      <c r="K185" t="s">
        <v>546</v>
      </c>
      <c r="L185">
        <v>6</v>
      </c>
      <c r="M185">
        <v>5</v>
      </c>
      <c r="N185">
        <v>5</v>
      </c>
      <c r="O185" t="s">
        <v>153</v>
      </c>
      <c r="P185">
        <v>5</v>
      </c>
      <c r="Q185" t="s">
        <v>153</v>
      </c>
      <c r="R185">
        <v>4</v>
      </c>
      <c r="T185">
        <v>6</v>
      </c>
      <c r="V185">
        <v>5</v>
      </c>
      <c r="W185">
        <v>5</v>
      </c>
      <c r="X185">
        <v>5</v>
      </c>
      <c r="Y185">
        <v>6</v>
      </c>
      <c r="Z185">
        <v>6</v>
      </c>
      <c r="AB185">
        <v>6</v>
      </c>
    </row>
    <row r="186" spans="1:28" hidden="1" x14ac:dyDescent="0.25">
      <c r="A186" t="s">
        <v>1028</v>
      </c>
      <c r="D186" t="s">
        <v>29</v>
      </c>
      <c r="E186" t="s">
        <v>791</v>
      </c>
      <c r="F186">
        <v>1</v>
      </c>
      <c r="G186">
        <v>2</v>
      </c>
      <c r="I186">
        <v>5</v>
      </c>
      <c r="T186" t="s">
        <v>153</v>
      </c>
      <c r="U186" t="s">
        <v>153</v>
      </c>
      <c r="V186">
        <v>5</v>
      </c>
    </row>
    <row r="187" spans="1:28" hidden="1" x14ac:dyDescent="0.25">
      <c r="A187" t="s">
        <v>1028</v>
      </c>
      <c r="D187" t="s">
        <v>29</v>
      </c>
      <c r="E187" t="s">
        <v>862</v>
      </c>
      <c r="F187">
        <v>1</v>
      </c>
      <c r="I187">
        <v>4</v>
      </c>
      <c r="W187">
        <v>4</v>
      </c>
    </row>
    <row r="188" spans="1:28" hidden="1" x14ac:dyDescent="0.25">
      <c r="A188" t="s">
        <v>1031</v>
      </c>
      <c r="D188" t="s">
        <v>29</v>
      </c>
      <c r="E188" t="s">
        <v>129</v>
      </c>
      <c r="F188">
        <v>18</v>
      </c>
      <c r="H188">
        <v>2</v>
      </c>
      <c r="I188">
        <v>5.3888888888888893</v>
      </c>
      <c r="J188">
        <v>6</v>
      </c>
      <c r="K188">
        <v>6</v>
      </c>
      <c r="L188">
        <v>5</v>
      </c>
      <c r="M188">
        <v>6</v>
      </c>
      <c r="O188">
        <v>6</v>
      </c>
      <c r="P188">
        <v>5</v>
      </c>
      <c r="Q188">
        <v>7</v>
      </c>
      <c r="R188">
        <v>4</v>
      </c>
      <c r="S188">
        <v>5</v>
      </c>
      <c r="T188">
        <v>6</v>
      </c>
      <c r="U188">
        <v>7</v>
      </c>
      <c r="V188">
        <v>5</v>
      </c>
      <c r="W188">
        <v>5</v>
      </c>
      <c r="X188">
        <v>5</v>
      </c>
      <c r="Y188">
        <v>5</v>
      </c>
      <c r="Z188">
        <v>4</v>
      </c>
      <c r="AA188">
        <v>5</v>
      </c>
      <c r="AB188">
        <v>5</v>
      </c>
    </row>
    <row r="189" spans="1:28" hidden="1" x14ac:dyDescent="0.25">
      <c r="A189" t="s">
        <v>1028</v>
      </c>
      <c r="D189" t="s">
        <v>30</v>
      </c>
      <c r="E189" t="s">
        <v>351</v>
      </c>
    </row>
    <row r="190" spans="1:28" hidden="1" x14ac:dyDescent="0.25">
      <c r="A190" t="s">
        <v>1028</v>
      </c>
      <c r="D190" t="s">
        <v>30</v>
      </c>
      <c r="E190" t="s">
        <v>85</v>
      </c>
      <c r="G190">
        <v>3</v>
      </c>
      <c r="J190">
        <v>4</v>
      </c>
      <c r="L190" t="s">
        <v>153</v>
      </c>
      <c r="M190" t="s">
        <v>153</v>
      </c>
    </row>
    <row r="191" spans="1:28" hidden="1" x14ac:dyDescent="0.25">
      <c r="A191" t="s">
        <v>1028</v>
      </c>
      <c r="D191" t="s">
        <v>30</v>
      </c>
      <c r="E191" t="s">
        <v>86</v>
      </c>
      <c r="F191">
        <v>1</v>
      </c>
      <c r="M191">
        <v>4</v>
      </c>
    </row>
    <row r="192" spans="1:28" hidden="1" x14ac:dyDescent="0.25">
      <c r="A192" t="s">
        <v>1028</v>
      </c>
      <c r="D192" t="s">
        <v>30</v>
      </c>
      <c r="E192" t="s">
        <v>378</v>
      </c>
    </row>
    <row r="193" spans="1:28" hidden="1" x14ac:dyDescent="0.25">
      <c r="A193" t="s">
        <v>1028</v>
      </c>
      <c r="D193" t="s">
        <v>30</v>
      </c>
      <c r="E193" t="s">
        <v>88</v>
      </c>
      <c r="G193">
        <v>1</v>
      </c>
      <c r="W193" t="s">
        <v>153</v>
      </c>
    </row>
    <row r="194" spans="1:28" hidden="1" x14ac:dyDescent="0.25">
      <c r="A194" t="s">
        <v>1028</v>
      </c>
      <c r="D194" t="s">
        <v>30</v>
      </c>
      <c r="E194" t="s">
        <v>486</v>
      </c>
      <c r="F194">
        <v>8</v>
      </c>
      <c r="G194">
        <v>6</v>
      </c>
      <c r="I194">
        <v>4</v>
      </c>
      <c r="J194" t="s">
        <v>153</v>
      </c>
      <c r="K194" t="s">
        <v>153</v>
      </c>
      <c r="N194">
        <v>4</v>
      </c>
      <c r="O194">
        <v>5</v>
      </c>
      <c r="P194" t="s">
        <v>546</v>
      </c>
      <c r="Q194">
        <v>4</v>
      </c>
      <c r="R194">
        <v>4</v>
      </c>
      <c r="S194">
        <v>4</v>
      </c>
      <c r="V194" t="s">
        <v>153</v>
      </c>
      <c r="X194">
        <v>3</v>
      </c>
      <c r="Y194">
        <v>4</v>
      </c>
      <c r="Z194" t="s">
        <v>153</v>
      </c>
      <c r="AA194" t="s">
        <v>153</v>
      </c>
      <c r="AB194" t="s">
        <v>153</v>
      </c>
    </row>
    <row r="195" spans="1:28" hidden="1" x14ac:dyDescent="0.25">
      <c r="A195" t="s">
        <v>1028</v>
      </c>
      <c r="D195" t="s">
        <v>30</v>
      </c>
      <c r="E195" t="s">
        <v>517</v>
      </c>
      <c r="F195">
        <v>5</v>
      </c>
      <c r="G195">
        <v>5</v>
      </c>
      <c r="I195">
        <v>4.5</v>
      </c>
      <c r="K195">
        <v>5</v>
      </c>
      <c r="L195">
        <v>4</v>
      </c>
      <c r="M195">
        <v>4</v>
      </c>
      <c r="O195" t="s">
        <v>153</v>
      </c>
      <c r="P195">
        <v>4</v>
      </c>
      <c r="S195" t="s">
        <v>153</v>
      </c>
      <c r="T195">
        <v>5</v>
      </c>
      <c r="U195">
        <v>5</v>
      </c>
      <c r="X195" t="s">
        <v>153</v>
      </c>
      <c r="Y195" t="s">
        <v>153</v>
      </c>
    </row>
    <row r="196" spans="1:28" hidden="1" x14ac:dyDescent="0.25">
      <c r="A196" t="s">
        <v>1028</v>
      </c>
      <c r="D196" t="s">
        <v>30</v>
      </c>
      <c r="E196" t="s">
        <v>315</v>
      </c>
      <c r="F196">
        <v>3</v>
      </c>
      <c r="G196">
        <v>5</v>
      </c>
      <c r="I196">
        <v>4</v>
      </c>
      <c r="N196" t="s">
        <v>153</v>
      </c>
      <c r="P196" t="s">
        <v>153</v>
      </c>
      <c r="Q196">
        <v>4</v>
      </c>
      <c r="R196">
        <v>4</v>
      </c>
      <c r="S196">
        <v>4</v>
      </c>
      <c r="W196" t="s">
        <v>153</v>
      </c>
      <c r="X196">
        <v>4</v>
      </c>
      <c r="Y196" t="s">
        <v>153</v>
      </c>
    </row>
    <row r="197" spans="1:28" x14ac:dyDescent="0.25">
      <c r="A197" t="s">
        <v>1032</v>
      </c>
      <c r="B197">
        <v>32</v>
      </c>
      <c r="D197" t="s">
        <v>30</v>
      </c>
      <c r="E197" t="s">
        <v>249</v>
      </c>
      <c r="F197">
        <v>17</v>
      </c>
      <c r="G197">
        <v>1</v>
      </c>
      <c r="H197">
        <v>6</v>
      </c>
      <c r="I197">
        <v>5.0588235294117645</v>
      </c>
      <c r="J197">
        <v>7</v>
      </c>
      <c r="K197">
        <v>5</v>
      </c>
      <c r="L197">
        <v>4</v>
      </c>
      <c r="M197">
        <v>6</v>
      </c>
      <c r="N197">
        <v>7</v>
      </c>
      <c r="O197">
        <v>5</v>
      </c>
      <c r="P197">
        <v>6</v>
      </c>
      <c r="Q197">
        <v>4</v>
      </c>
      <c r="R197">
        <v>6</v>
      </c>
      <c r="S197">
        <v>5</v>
      </c>
      <c r="T197">
        <v>4</v>
      </c>
      <c r="U197">
        <v>4</v>
      </c>
      <c r="V197">
        <v>3</v>
      </c>
      <c r="W197">
        <v>4</v>
      </c>
      <c r="X197">
        <v>7</v>
      </c>
      <c r="Y197">
        <v>4</v>
      </c>
      <c r="Z197" t="s">
        <v>153</v>
      </c>
      <c r="AB197">
        <v>5</v>
      </c>
    </row>
    <row r="198" spans="1:28" hidden="1" x14ac:dyDescent="0.25">
      <c r="A198" t="s">
        <v>1028</v>
      </c>
      <c r="D198" t="s">
        <v>30</v>
      </c>
      <c r="E198" t="s">
        <v>484</v>
      </c>
      <c r="F198">
        <v>3</v>
      </c>
      <c r="G198">
        <v>5</v>
      </c>
      <c r="I198">
        <v>4.666666666666667</v>
      </c>
      <c r="J198">
        <v>4</v>
      </c>
      <c r="L198" t="s">
        <v>153</v>
      </c>
      <c r="Q198" t="s">
        <v>153</v>
      </c>
      <c r="R198" t="s">
        <v>153</v>
      </c>
      <c r="T198" t="s">
        <v>153</v>
      </c>
      <c r="U198" t="s">
        <v>153</v>
      </c>
      <c r="V198">
        <v>5</v>
      </c>
      <c r="W198">
        <v>5</v>
      </c>
    </row>
    <row r="199" spans="1:28" hidden="1" x14ac:dyDescent="0.25">
      <c r="A199" t="s">
        <v>1023</v>
      </c>
      <c r="D199" t="s">
        <v>29</v>
      </c>
      <c r="E199" t="s">
        <v>532</v>
      </c>
      <c r="F199">
        <v>16</v>
      </c>
      <c r="H199">
        <v>2</v>
      </c>
      <c r="I199">
        <v>5.375</v>
      </c>
      <c r="L199">
        <v>6</v>
      </c>
      <c r="M199">
        <v>5</v>
      </c>
      <c r="N199">
        <v>5</v>
      </c>
      <c r="O199">
        <v>4</v>
      </c>
      <c r="P199">
        <v>5</v>
      </c>
      <c r="Q199">
        <v>4</v>
      </c>
      <c r="R199">
        <v>5</v>
      </c>
      <c r="S199">
        <v>6</v>
      </c>
      <c r="T199">
        <v>5</v>
      </c>
      <c r="U199">
        <v>5</v>
      </c>
      <c r="W199">
        <v>7</v>
      </c>
      <c r="X199">
        <v>5</v>
      </c>
      <c r="Y199">
        <v>8</v>
      </c>
      <c r="Z199">
        <v>6</v>
      </c>
      <c r="AA199">
        <v>6</v>
      </c>
      <c r="AB199">
        <v>4</v>
      </c>
    </row>
    <row r="200" spans="1:28" hidden="1" x14ac:dyDescent="0.25">
      <c r="A200" t="s">
        <v>1029</v>
      </c>
      <c r="D200" t="s">
        <v>8</v>
      </c>
      <c r="E200" t="s">
        <v>451</v>
      </c>
      <c r="F200">
        <v>2</v>
      </c>
      <c r="G200">
        <v>1</v>
      </c>
      <c r="I200">
        <v>6</v>
      </c>
      <c r="K200">
        <v>5</v>
      </c>
      <c r="L200">
        <v>7</v>
      </c>
      <c r="V200">
        <v>6</v>
      </c>
    </row>
    <row r="201" spans="1:28" hidden="1" x14ac:dyDescent="0.25">
      <c r="A201" t="s">
        <v>1029</v>
      </c>
      <c r="D201" t="s">
        <v>11</v>
      </c>
      <c r="E201" t="s">
        <v>103</v>
      </c>
      <c r="F201">
        <v>6</v>
      </c>
      <c r="I201">
        <v>5.166666666666667</v>
      </c>
      <c r="S201">
        <v>6</v>
      </c>
      <c r="T201">
        <v>5</v>
      </c>
      <c r="U201">
        <v>5</v>
      </c>
      <c r="V201">
        <v>6</v>
      </c>
      <c r="W201">
        <v>5</v>
      </c>
      <c r="X201">
        <v>4</v>
      </c>
    </row>
    <row r="202" spans="1:28" hidden="1" x14ac:dyDescent="0.25">
      <c r="A202" t="s">
        <v>1031</v>
      </c>
      <c r="D202" t="s">
        <v>11</v>
      </c>
      <c r="E202" t="s">
        <v>127</v>
      </c>
      <c r="F202">
        <v>18</v>
      </c>
      <c r="H202">
        <v>1</v>
      </c>
      <c r="I202">
        <v>5.2777777777777777</v>
      </c>
      <c r="J202">
        <v>5</v>
      </c>
      <c r="K202">
        <v>6</v>
      </c>
      <c r="L202">
        <v>5</v>
      </c>
      <c r="N202">
        <v>5</v>
      </c>
      <c r="O202">
        <v>5</v>
      </c>
      <c r="P202">
        <v>7</v>
      </c>
      <c r="Q202">
        <v>5</v>
      </c>
      <c r="R202">
        <v>5</v>
      </c>
      <c r="S202">
        <v>7</v>
      </c>
      <c r="T202">
        <v>5</v>
      </c>
      <c r="U202">
        <v>5</v>
      </c>
      <c r="V202">
        <v>5</v>
      </c>
      <c r="W202">
        <v>5</v>
      </c>
      <c r="X202">
        <v>6</v>
      </c>
      <c r="Y202">
        <v>4</v>
      </c>
      <c r="Z202">
        <v>5</v>
      </c>
      <c r="AA202">
        <v>5</v>
      </c>
      <c r="AB202">
        <v>5</v>
      </c>
    </row>
    <row r="203" spans="1:28" hidden="1" x14ac:dyDescent="0.25">
      <c r="A203" t="s">
        <v>1029</v>
      </c>
      <c r="D203" t="s">
        <v>11</v>
      </c>
      <c r="E203" t="s">
        <v>340</v>
      </c>
      <c r="F203">
        <v>9</v>
      </c>
      <c r="G203">
        <v>1</v>
      </c>
      <c r="H203">
        <v>1</v>
      </c>
      <c r="I203">
        <v>5.375</v>
      </c>
      <c r="K203">
        <v>5</v>
      </c>
      <c r="N203" t="s">
        <v>153</v>
      </c>
      <c r="O203" t="s">
        <v>546</v>
      </c>
      <c r="V203">
        <v>6</v>
      </c>
      <c r="W203">
        <v>6</v>
      </c>
      <c r="X203">
        <v>5</v>
      </c>
      <c r="Y203">
        <v>6</v>
      </c>
      <c r="Z203">
        <v>5</v>
      </c>
      <c r="AA203">
        <v>5</v>
      </c>
      <c r="AB203">
        <v>5</v>
      </c>
    </row>
    <row r="204" spans="1:28" hidden="1" x14ac:dyDescent="0.25">
      <c r="A204" t="s">
        <v>1029</v>
      </c>
      <c r="D204" t="s">
        <v>11</v>
      </c>
      <c r="E204" t="s">
        <v>104</v>
      </c>
      <c r="F204">
        <v>9</v>
      </c>
      <c r="I204">
        <v>5.1111111111111107</v>
      </c>
      <c r="J204">
        <v>5</v>
      </c>
      <c r="L204">
        <v>6</v>
      </c>
      <c r="M204">
        <v>5</v>
      </c>
      <c r="N204">
        <v>4</v>
      </c>
      <c r="P204">
        <v>5</v>
      </c>
      <c r="Q204">
        <v>5</v>
      </c>
      <c r="R204">
        <v>6</v>
      </c>
      <c r="T204">
        <v>5</v>
      </c>
      <c r="U204">
        <v>5</v>
      </c>
    </row>
    <row r="205" spans="1:28" hidden="1" x14ac:dyDescent="0.25">
      <c r="A205" t="s">
        <v>1027</v>
      </c>
      <c r="D205" t="s">
        <v>8</v>
      </c>
      <c r="E205" t="s">
        <v>67</v>
      </c>
      <c r="F205">
        <v>19</v>
      </c>
      <c r="I205">
        <v>5.3684210526315788</v>
      </c>
      <c r="J205">
        <v>4</v>
      </c>
      <c r="K205">
        <v>5</v>
      </c>
      <c r="L205">
        <v>6</v>
      </c>
      <c r="M205">
        <v>4</v>
      </c>
      <c r="N205">
        <v>7</v>
      </c>
      <c r="O205">
        <v>6</v>
      </c>
      <c r="P205">
        <v>6</v>
      </c>
      <c r="Q205">
        <v>4</v>
      </c>
      <c r="R205">
        <v>6</v>
      </c>
      <c r="S205">
        <v>5</v>
      </c>
      <c r="T205">
        <v>4</v>
      </c>
      <c r="U205">
        <v>7</v>
      </c>
      <c r="V205">
        <v>6</v>
      </c>
      <c r="W205">
        <v>5</v>
      </c>
      <c r="X205">
        <v>6</v>
      </c>
      <c r="Y205">
        <v>6</v>
      </c>
      <c r="Z205">
        <v>4</v>
      </c>
      <c r="AA205">
        <v>5</v>
      </c>
      <c r="AB205">
        <v>6</v>
      </c>
    </row>
    <row r="206" spans="1:28" hidden="1" x14ac:dyDescent="0.25">
      <c r="A206" t="s">
        <v>1031</v>
      </c>
      <c r="D206" t="s">
        <v>11</v>
      </c>
      <c r="E206" t="s">
        <v>128</v>
      </c>
      <c r="F206">
        <v>18</v>
      </c>
      <c r="H206">
        <v>1</v>
      </c>
      <c r="I206">
        <v>5.2777777777777777</v>
      </c>
      <c r="K206">
        <v>5</v>
      </c>
      <c r="L206">
        <v>6</v>
      </c>
      <c r="M206">
        <v>5</v>
      </c>
      <c r="N206">
        <v>6</v>
      </c>
      <c r="O206">
        <v>5</v>
      </c>
      <c r="P206">
        <v>5</v>
      </c>
      <c r="Q206">
        <v>5</v>
      </c>
      <c r="R206">
        <v>5</v>
      </c>
      <c r="S206">
        <v>6</v>
      </c>
      <c r="T206">
        <v>6</v>
      </c>
      <c r="U206">
        <v>6</v>
      </c>
      <c r="V206">
        <v>7</v>
      </c>
      <c r="W206">
        <v>5</v>
      </c>
      <c r="X206">
        <v>4</v>
      </c>
      <c r="Y206">
        <v>4</v>
      </c>
      <c r="Z206">
        <v>5</v>
      </c>
      <c r="AA206">
        <v>5</v>
      </c>
      <c r="AB206">
        <v>5</v>
      </c>
    </row>
    <row r="207" spans="1:28" hidden="1" x14ac:dyDescent="0.25">
      <c r="A207" t="s">
        <v>1029</v>
      </c>
      <c r="D207" t="s">
        <v>11</v>
      </c>
      <c r="E207" t="s">
        <v>481</v>
      </c>
      <c r="F207">
        <v>6</v>
      </c>
      <c r="G207">
        <v>2</v>
      </c>
      <c r="H207">
        <v>1</v>
      </c>
      <c r="I207">
        <v>4.5714285714285712</v>
      </c>
      <c r="L207">
        <v>5</v>
      </c>
      <c r="M207">
        <v>6</v>
      </c>
      <c r="N207">
        <v>4</v>
      </c>
      <c r="O207">
        <v>4</v>
      </c>
      <c r="Q207" t="s">
        <v>555</v>
      </c>
      <c r="R207">
        <v>4</v>
      </c>
      <c r="T207">
        <v>5</v>
      </c>
      <c r="U207">
        <v>4</v>
      </c>
    </row>
    <row r="208" spans="1:28" hidden="1" x14ac:dyDescent="0.25">
      <c r="A208" t="s">
        <v>1029</v>
      </c>
      <c r="D208" t="s">
        <v>11</v>
      </c>
      <c r="E208" t="s">
        <v>269</v>
      </c>
      <c r="G208">
        <v>1</v>
      </c>
      <c r="Y208" t="s">
        <v>153</v>
      </c>
    </row>
    <row r="209" spans="1:28" hidden="1" x14ac:dyDescent="0.25">
      <c r="A209" t="s">
        <v>1029</v>
      </c>
      <c r="D209" t="s">
        <v>11</v>
      </c>
      <c r="E209" t="s">
        <v>968</v>
      </c>
      <c r="G209">
        <v>1</v>
      </c>
      <c r="AA209" t="s">
        <v>153</v>
      </c>
    </row>
    <row r="210" spans="1:28" hidden="1" x14ac:dyDescent="0.25">
      <c r="A210" t="s">
        <v>1029</v>
      </c>
      <c r="D210" t="s">
        <v>11</v>
      </c>
      <c r="E210" t="s">
        <v>614</v>
      </c>
      <c r="F210">
        <v>8</v>
      </c>
      <c r="H210">
        <v>1</v>
      </c>
      <c r="I210">
        <v>4.875</v>
      </c>
      <c r="N210">
        <v>4</v>
      </c>
      <c r="O210">
        <v>5</v>
      </c>
      <c r="P210">
        <v>4</v>
      </c>
      <c r="Q210">
        <v>6</v>
      </c>
      <c r="R210">
        <v>5</v>
      </c>
      <c r="S210">
        <v>6</v>
      </c>
      <c r="T210">
        <v>5</v>
      </c>
      <c r="Z210">
        <v>4</v>
      </c>
    </row>
    <row r="211" spans="1:28" hidden="1" x14ac:dyDescent="0.25">
      <c r="A211" t="s">
        <v>1029</v>
      </c>
      <c r="D211" t="s">
        <v>11</v>
      </c>
      <c r="E211" t="s">
        <v>261</v>
      </c>
    </row>
    <row r="212" spans="1:28" hidden="1" x14ac:dyDescent="0.25">
      <c r="A212" t="s">
        <v>1029</v>
      </c>
      <c r="D212" t="s">
        <v>29</v>
      </c>
      <c r="E212" t="s">
        <v>105</v>
      </c>
      <c r="F212">
        <v>1</v>
      </c>
      <c r="J212" t="s">
        <v>546</v>
      </c>
    </row>
    <row r="213" spans="1:28" hidden="1" x14ac:dyDescent="0.25">
      <c r="A213" t="s">
        <v>1029</v>
      </c>
      <c r="D213" t="s">
        <v>29</v>
      </c>
      <c r="E213" t="s">
        <v>106</v>
      </c>
      <c r="F213">
        <v>10</v>
      </c>
      <c r="G213">
        <v>5</v>
      </c>
      <c r="I213">
        <v>4.5454545454545459</v>
      </c>
      <c r="J213">
        <v>4</v>
      </c>
      <c r="K213">
        <v>4</v>
      </c>
      <c r="L213" t="s">
        <v>153</v>
      </c>
      <c r="M213" t="s">
        <v>153</v>
      </c>
      <c r="N213">
        <v>4</v>
      </c>
      <c r="O213">
        <v>5</v>
      </c>
      <c r="P213" t="s">
        <v>153</v>
      </c>
      <c r="Q213">
        <v>5</v>
      </c>
      <c r="R213">
        <v>4</v>
      </c>
      <c r="U213">
        <v>4</v>
      </c>
      <c r="V213">
        <v>5</v>
      </c>
      <c r="X213">
        <v>4</v>
      </c>
      <c r="Z213" t="s">
        <v>153</v>
      </c>
      <c r="AA213">
        <v>5</v>
      </c>
      <c r="AB213">
        <v>6</v>
      </c>
    </row>
    <row r="214" spans="1:28" hidden="1" x14ac:dyDescent="0.25">
      <c r="A214" t="s">
        <v>1036</v>
      </c>
      <c r="D214" t="s">
        <v>11</v>
      </c>
      <c r="E214" t="s">
        <v>207</v>
      </c>
      <c r="F214">
        <v>11</v>
      </c>
      <c r="G214">
        <v>1</v>
      </c>
      <c r="I214">
        <v>5.3636363636363633</v>
      </c>
      <c r="J214">
        <v>5</v>
      </c>
      <c r="K214">
        <v>7</v>
      </c>
      <c r="L214">
        <v>6</v>
      </c>
      <c r="M214">
        <v>5</v>
      </c>
      <c r="N214">
        <v>5</v>
      </c>
      <c r="O214">
        <v>5</v>
      </c>
      <c r="P214" t="s">
        <v>153</v>
      </c>
      <c r="S214">
        <v>5</v>
      </c>
      <c r="W214">
        <v>5</v>
      </c>
      <c r="Y214">
        <v>6</v>
      </c>
      <c r="AA214">
        <v>5</v>
      </c>
      <c r="AB214">
        <v>5</v>
      </c>
    </row>
    <row r="215" spans="1:28" hidden="1" x14ac:dyDescent="0.25">
      <c r="A215" t="s">
        <v>1024</v>
      </c>
      <c r="D215" t="s">
        <v>29</v>
      </c>
      <c r="E215" t="s">
        <v>49</v>
      </c>
      <c r="F215">
        <v>14</v>
      </c>
      <c r="G215">
        <v>4</v>
      </c>
      <c r="H215">
        <v>1</v>
      </c>
      <c r="I215">
        <v>5.3529411764705879</v>
      </c>
      <c r="J215">
        <v>6</v>
      </c>
      <c r="K215">
        <v>6</v>
      </c>
      <c r="L215">
        <v>4</v>
      </c>
      <c r="M215">
        <v>6</v>
      </c>
      <c r="N215">
        <v>4</v>
      </c>
      <c r="O215" t="s">
        <v>153</v>
      </c>
      <c r="Q215">
        <v>4</v>
      </c>
      <c r="R215">
        <v>5</v>
      </c>
      <c r="S215">
        <v>5</v>
      </c>
      <c r="T215">
        <v>5</v>
      </c>
      <c r="U215">
        <v>6</v>
      </c>
      <c r="V215">
        <v>7</v>
      </c>
      <c r="W215">
        <v>5</v>
      </c>
      <c r="X215">
        <v>6</v>
      </c>
      <c r="Y215">
        <v>6</v>
      </c>
      <c r="Z215">
        <v>6</v>
      </c>
      <c r="AA215">
        <v>5</v>
      </c>
      <c r="AB215">
        <v>5</v>
      </c>
    </row>
    <row r="216" spans="1:28" hidden="1" x14ac:dyDescent="0.25">
      <c r="A216" t="s">
        <v>1037</v>
      </c>
      <c r="D216" t="s">
        <v>8</v>
      </c>
      <c r="E216" t="s">
        <v>216</v>
      </c>
      <c r="F216">
        <v>17</v>
      </c>
      <c r="I216">
        <v>5.3529411764705879</v>
      </c>
      <c r="J216">
        <v>5</v>
      </c>
      <c r="K216">
        <v>6</v>
      </c>
      <c r="L216">
        <v>5</v>
      </c>
      <c r="M216">
        <v>6</v>
      </c>
      <c r="N216">
        <v>7</v>
      </c>
      <c r="O216">
        <v>5</v>
      </c>
      <c r="P216">
        <v>5</v>
      </c>
      <c r="Q216">
        <v>5</v>
      </c>
      <c r="R216">
        <v>5</v>
      </c>
      <c r="S216">
        <v>6</v>
      </c>
      <c r="T216">
        <v>7</v>
      </c>
      <c r="U216">
        <v>6</v>
      </c>
      <c r="V216">
        <v>3</v>
      </c>
      <c r="W216">
        <v>6</v>
      </c>
      <c r="X216">
        <v>4</v>
      </c>
      <c r="Y216">
        <v>5</v>
      </c>
      <c r="Z216">
        <v>5</v>
      </c>
    </row>
    <row r="217" spans="1:28" hidden="1" x14ac:dyDescent="0.25">
      <c r="A217" t="s">
        <v>1029</v>
      </c>
      <c r="D217" t="s">
        <v>29</v>
      </c>
      <c r="E217" t="s">
        <v>109</v>
      </c>
      <c r="F217">
        <v>3</v>
      </c>
      <c r="G217">
        <v>1</v>
      </c>
      <c r="I217">
        <v>4.333333333333333</v>
      </c>
      <c r="N217">
        <v>4</v>
      </c>
      <c r="Z217" t="s">
        <v>153</v>
      </c>
      <c r="AA217">
        <v>4</v>
      </c>
      <c r="AB217">
        <v>5</v>
      </c>
    </row>
    <row r="218" spans="1:28" hidden="1" x14ac:dyDescent="0.25">
      <c r="A218" t="s">
        <v>1029</v>
      </c>
      <c r="D218" t="s">
        <v>29</v>
      </c>
      <c r="E218" t="s">
        <v>478</v>
      </c>
    </row>
    <row r="219" spans="1:28" hidden="1" x14ac:dyDescent="0.25">
      <c r="A219" t="s">
        <v>1039</v>
      </c>
      <c r="D219" t="s">
        <v>11</v>
      </c>
      <c r="E219" t="s">
        <v>152</v>
      </c>
      <c r="F219">
        <v>17</v>
      </c>
      <c r="H219">
        <v>2</v>
      </c>
      <c r="I219">
        <v>5.2352941176470589</v>
      </c>
      <c r="J219">
        <v>6</v>
      </c>
      <c r="K219">
        <v>7</v>
      </c>
      <c r="L219">
        <v>5</v>
      </c>
      <c r="M219">
        <v>5</v>
      </c>
      <c r="P219">
        <v>5</v>
      </c>
      <c r="Q219">
        <v>5</v>
      </c>
      <c r="R219">
        <v>5</v>
      </c>
      <c r="S219">
        <v>5</v>
      </c>
      <c r="T219">
        <v>5</v>
      </c>
      <c r="U219">
        <v>4</v>
      </c>
      <c r="V219">
        <v>5</v>
      </c>
      <c r="W219">
        <v>6</v>
      </c>
      <c r="X219">
        <v>7</v>
      </c>
      <c r="Y219">
        <v>5</v>
      </c>
      <c r="Z219">
        <v>4</v>
      </c>
      <c r="AA219">
        <v>6</v>
      </c>
      <c r="AB219">
        <v>4</v>
      </c>
    </row>
    <row r="220" spans="1:28" hidden="1" x14ac:dyDescent="0.25">
      <c r="A220" t="s">
        <v>1029</v>
      </c>
      <c r="D220" t="s">
        <v>29</v>
      </c>
      <c r="E220" t="s">
        <v>753</v>
      </c>
      <c r="F220">
        <v>3</v>
      </c>
      <c r="G220">
        <v>5</v>
      </c>
      <c r="H220">
        <v>2</v>
      </c>
      <c r="I220">
        <v>5</v>
      </c>
      <c r="R220" t="s">
        <v>153</v>
      </c>
      <c r="S220">
        <v>4</v>
      </c>
      <c r="T220" t="s">
        <v>153</v>
      </c>
      <c r="V220" t="s">
        <v>153</v>
      </c>
      <c r="W220" t="s">
        <v>153</v>
      </c>
      <c r="Y220" t="s">
        <v>153</v>
      </c>
      <c r="Z220">
        <v>6</v>
      </c>
      <c r="AB220">
        <v>5</v>
      </c>
    </row>
    <row r="221" spans="1:28" hidden="1" x14ac:dyDescent="0.25">
      <c r="A221" t="s">
        <v>1029</v>
      </c>
      <c r="D221" t="s">
        <v>29</v>
      </c>
      <c r="E221" t="s">
        <v>967</v>
      </c>
      <c r="G221">
        <v>2</v>
      </c>
      <c r="AA221" t="s">
        <v>153</v>
      </c>
      <c r="AB221" t="s">
        <v>153</v>
      </c>
    </row>
    <row r="222" spans="1:28" hidden="1" x14ac:dyDescent="0.25">
      <c r="A222" t="s">
        <v>1029</v>
      </c>
      <c r="D222" t="s">
        <v>29</v>
      </c>
      <c r="E222" t="s">
        <v>536</v>
      </c>
      <c r="F222">
        <v>1</v>
      </c>
      <c r="G222">
        <v>1</v>
      </c>
      <c r="I222">
        <v>4</v>
      </c>
      <c r="L222">
        <v>4</v>
      </c>
      <c r="Y222" t="s">
        <v>153</v>
      </c>
    </row>
    <row r="223" spans="1:28" hidden="1" x14ac:dyDescent="0.25">
      <c r="A223" t="s">
        <v>1029</v>
      </c>
      <c r="D223" t="s">
        <v>29</v>
      </c>
      <c r="E223" t="s">
        <v>273</v>
      </c>
    </row>
    <row r="224" spans="1:28" hidden="1" x14ac:dyDescent="0.25">
      <c r="A224" t="s">
        <v>1030</v>
      </c>
      <c r="D224" t="s">
        <v>11</v>
      </c>
      <c r="E224" t="s">
        <v>615</v>
      </c>
      <c r="F224">
        <v>13</v>
      </c>
      <c r="H224">
        <v>1</v>
      </c>
      <c r="I224">
        <v>5.2307692307692308</v>
      </c>
      <c r="O224">
        <v>5</v>
      </c>
      <c r="P224">
        <v>6</v>
      </c>
      <c r="R224">
        <v>7</v>
      </c>
      <c r="S224">
        <v>5</v>
      </c>
      <c r="T224">
        <v>5</v>
      </c>
      <c r="U224">
        <v>4</v>
      </c>
      <c r="V224">
        <v>5</v>
      </c>
      <c r="W224">
        <v>5</v>
      </c>
      <c r="X224">
        <v>5</v>
      </c>
      <c r="Y224">
        <v>6</v>
      </c>
      <c r="Z224">
        <v>5</v>
      </c>
      <c r="AA224">
        <v>5</v>
      </c>
      <c r="AB224">
        <v>5</v>
      </c>
    </row>
    <row r="225" spans="1:28" hidden="1" x14ac:dyDescent="0.25">
      <c r="A225" t="s">
        <v>1029</v>
      </c>
      <c r="D225" t="s">
        <v>30</v>
      </c>
      <c r="E225" t="s">
        <v>111</v>
      </c>
      <c r="F225">
        <v>2</v>
      </c>
      <c r="G225">
        <v>8</v>
      </c>
      <c r="I225">
        <v>4.5</v>
      </c>
      <c r="L225" t="s">
        <v>153</v>
      </c>
      <c r="N225" t="s">
        <v>153</v>
      </c>
      <c r="O225" t="s">
        <v>153</v>
      </c>
      <c r="P225" t="s">
        <v>153</v>
      </c>
      <c r="Q225" t="s">
        <v>153</v>
      </c>
      <c r="R225" t="s">
        <v>153</v>
      </c>
      <c r="S225">
        <v>4</v>
      </c>
      <c r="U225" t="s">
        <v>153</v>
      </c>
      <c r="Y225">
        <v>5</v>
      </c>
    </row>
    <row r="226" spans="1:28" hidden="1" x14ac:dyDescent="0.25">
      <c r="A226" t="s">
        <v>1029</v>
      </c>
      <c r="D226" t="s">
        <v>30</v>
      </c>
      <c r="E226" t="s">
        <v>112</v>
      </c>
      <c r="F226">
        <v>4</v>
      </c>
      <c r="G226">
        <v>3</v>
      </c>
      <c r="I226">
        <v>4.25</v>
      </c>
      <c r="J226">
        <v>4</v>
      </c>
      <c r="K226">
        <v>5</v>
      </c>
      <c r="S226" t="s">
        <v>153</v>
      </c>
      <c r="V226" t="s">
        <v>153</v>
      </c>
      <c r="X226">
        <v>4</v>
      </c>
      <c r="Z226">
        <v>4</v>
      </c>
      <c r="AB226" t="s">
        <v>153</v>
      </c>
    </row>
    <row r="227" spans="1:28" hidden="1" x14ac:dyDescent="0.25">
      <c r="A227" t="s">
        <v>1029</v>
      </c>
      <c r="D227" t="s">
        <v>30</v>
      </c>
      <c r="E227" t="s">
        <v>211</v>
      </c>
      <c r="F227">
        <v>3</v>
      </c>
      <c r="G227">
        <v>5</v>
      </c>
      <c r="I227">
        <v>4.666666666666667</v>
      </c>
      <c r="J227">
        <v>4</v>
      </c>
      <c r="K227" t="s">
        <v>153</v>
      </c>
      <c r="L227">
        <v>5</v>
      </c>
      <c r="M227">
        <v>5</v>
      </c>
      <c r="S227" t="s">
        <v>153</v>
      </c>
      <c r="T227" t="s">
        <v>153</v>
      </c>
      <c r="U227" t="s">
        <v>153</v>
      </c>
      <c r="W227" t="s">
        <v>153</v>
      </c>
    </row>
    <row r="228" spans="1:28" x14ac:dyDescent="0.25">
      <c r="A228" t="s">
        <v>1030</v>
      </c>
      <c r="D228" t="s">
        <v>30</v>
      </c>
      <c r="E228" t="s">
        <v>279</v>
      </c>
      <c r="F228">
        <v>7</v>
      </c>
      <c r="G228">
        <v>6</v>
      </c>
      <c r="H228">
        <v>5</v>
      </c>
      <c r="I228">
        <v>4.8571428571428568</v>
      </c>
      <c r="J228">
        <v>4</v>
      </c>
      <c r="K228">
        <v>4</v>
      </c>
      <c r="L228" t="s">
        <v>153</v>
      </c>
      <c r="M228">
        <v>4</v>
      </c>
      <c r="N228" t="s">
        <v>153</v>
      </c>
      <c r="O228" t="s">
        <v>546</v>
      </c>
      <c r="V228">
        <v>6</v>
      </c>
      <c r="W228">
        <v>5</v>
      </c>
      <c r="X228" t="s">
        <v>153</v>
      </c>
      <c r="Y228">
        <v>4</v>
      </c>
      <c r="Z228">
        <v>7</v>
      </c>
      <c r="AA228" t="s">
        <v>153</v>
      </c>
      <c r="AB228" t="s">
        <v>153</v>
      </c>
    </row>
    <row r="229" spans="1:28" hidden="1" x14ac:dyDescent="0.25">
      <c r="A229" t="s">
        <v>1029</v>
      </c>
      <c r="D229" t="s">
        <v>30</v>
      </c>
      <c r="E229" t="s">
        <v>379</v>
      </c>
      <c r="F229">
        <v>2</v>
      </c>
      <c r="G229">
        <v>3</v>
      </c>
      <c r="I229">
        <v>4</v>
      </c>
      <c r="K229" t="s">
        <v>153</v>
      </c>
      <c r="M229" t="s">
        <v>153</v>
      </c>
      <c r="O229">
        <v>4</v>
      </c>
      <c r="Q229" t="s">
        <v>153</v>
      </c>
      <c r="R229">
        <v>4</v>
      </c>
    </row>
    <row r="230" spans="1:28" hidden="1" x14ac:dyDescent="0.25">
      <c r="A230" t="s">
        <v>1029</v>
      </c>
      <c r="D230" t="s">
        <v>30</v>
      </c>
      <c r="E230" t="s">
        <v>966</v>
      </c>
      <c r="G230">
        <v>1</v>
      </c>
      <c r="AA230" t="s">
        <v>153</v>
      </c>
    </row>
    <row r="231" spans="1:28" x14ac:dyDescent="0.25">
      <c r="A231" t="s">
        <v>1034</v>
      </c>
      <c r="D231" t="s">
        <v>30</v>
      </c>
      <c r="E231" t="s">
        <v>266</v>
      </c>
      <c r="F231">
        <v>5</v>
      </c>
      <c r="G231">
        <v>12</v>
      </c>
      <c r="H231">
        <v>5</v>
      </c>
      <c r="I231">
        <v>4.833333333333333</v>
      </c>
      <c r="J231" t="s">
        <v>153</v>
      </c>
      <c r="K231" t="s">
        <v>153</v>
      </c>
      <c r="L231" t="s">
        <v>153</v>
      </c>
      <c r="M231">
        <v>5</v>
      </c>
      <c r="N231" t="s">
        <v>153</v>
      </c>
      <c r="O231" t="s">
        <v>153</v>
      </c>
      <c r="P231" t="s">
        <v>153</v>
      </c>
      <c r="Q231">
        <v>4</v>
      </c>
      <c r="R231" t="s">
        <v>153</v>
      </c>
      <c r="S231" t="s">
        <v>153</v>
      </c>
      <c r="T231" t="s">
        <v>153</v>
      </c>
      <c r="U231" t="s">
        <v>153</v>
      </c>
      <c r="V231">
        <v>3</v>
      </c>
      <c r="W231" t="s">
        <v>153</v>
      </c>
      <c r="X231">
        <v>7</v>
      </c>
      <c r="Y231">
        <v>4</v>
      </c>
      <c r="AA231">
        <v>6</v>
      </c>
    </row>
    <row r="232" spans="1:28" hidden="1" x14ac:dyDescent="0.25">
      <c r="A232" t="s">
        <v>1030</v>
      </c>
      <c r="D232" t="s">
        <v>8</v>
      </c>
      <c r="E232" t="s">
        <v>258</v>
      </c>
      <c r="F232">
        <v>1</v>
      </c>
      <c r="G232">
        <v>1</v>
      </c>
      <c r="I232">
        <v>5</v>
      </c>
      <c r="L232">
        <v>5</v>
      </c>
      <c r="M232">
        <v>5</v>
      </c>
    </row>
    <row r="233" spans="1:28" hidden="1" x14ac:dyDescent="0.25">
      <c r="A233" t="s">
        <v>1038</v>
      </c>
      <c r="D233" t="s">
        <v>8</v>
      </c>
      <c r="E233" t="s">
        <v>303</v>
      </c>
      <c r="F233">
        <v>18</v>
      </c>
      <c r="I233">
        <v>5.333333333333333</v>
      </c>
      <c r="J233">
        <v>5</v>
      </c>
      <c r="L233">
        <v>4</v>
      </c>
      <c r="M233">
        <v>7</v>
      </c>
      <c r="N233">
        <v>6</v>
      </c>
      <c r="O233">
        <v>5</v>
      </c>
      <c r="P233">
        <v>7</v>
      </c>
      <c r="Q233">
        <v>4</v>
      </c>
      <c r="R233">
        <v>6</v>
      </c>
      <c r="S233">
        <v>5</v>
      </c>
      <c r="T233">
        <v>6</v>
      </c>
      <c r="U233">
        <v>5</v>
      </c>
      <c r="V233">
        <v>5</v>
      </c>
      <c r="W233">
        <v>6</v>
      </c>
      <c r="X233">
        <v>5</v>
      </c>
      <c r="Y233">
        <v>5</v>
      </c>
      <c r="Z233">
        <v>5</v>
      </c>
      <c r="AA233">
        <v>5</v>
      </c>
      <c r="AB233">
        <v>5</v>
      </c>
    </row>
    <row r="234" spans="1:28" hidden="1" x14ac:dyDescent="0.25">
      <c r="A234" t="s">
        <v>1034</v>
      </c>
      <c r="D234" t="s">
        <v>11</v>
      </c>
      <c r="E234" t="s">
        <v>508</v>
      </c>
      <c r="F234">
        <v>13</v>
      </c>
      <c r="I234">
        <v>5.2307692307692308</v>
      </c>
      <c r="J234">
        <v>6</v>
      </c>
      <c r="K234">
        <v>7</v>
      </c>
      <c r="L234">
        <v>5</v>
      </c>
      <c r="M234">
        <v>5</v>
      </c>
      <c r="N234">
        <v>5</v>
      </c>
      <c r="Q234">
        <v>5</v>
      </c>
      <c r="R234">
        <v>6</v>
      </c>
      <c r="S234">
        <v>5</v>
      </c>
      <c r="T234">
        <v>6</v>
      </c>
      <c r="U234">
        <v>5</v>
      </c>
      <c r="V234">
        <v>5</v>
      </c>
      <c r="W234">
        <v>4</v>
      </c>
      <c r="Z234">
        <v>4</v>
      </c>
    </row>
    <row r="235" spans="1:28" hidden="1" x14ac:dyDescent="0.25">
      <c r="A235" t="s">
        <v>1030</v>
      </c>
      <c r="D235" t="s">
        <v>11</v>
      </c>
      <c r="E235" t="s">
        <v>332</v>
      </c>
    </row>
    <row r="236" spans="1:28" hidden="1" x14ac:dyDescent="0.25">
      <c r="A236" t="s">
        <v>1024</v>
      </c>
      <c r="D236" t="s">
        <v>11</v>
      </c>
      <c r="E236" t="s">
        <v>34</v>
      </c>
      <c r="F236">
        <v>13</v>
      </c>
      <c r="G236">
        <v>2</v>
      </c>
      <c r="I236">
        <v>5.2142857142857144</v>
      </c>
      <c r="J236" t="s">
        <v>153</v>
      </c>
      <c r="K236">
        <v>5</v>
      </c>
      <c r="M236">
        <v>5</v>
      </c>
      <c r="O236">
        <v>5</v>
      </c>
      <c r="P236">
        <v>6</v>
      </c>
      <c r="Q236">
        <v>5</v>
      </c>
      <c r="R236">
        <v>6</v>
      </c>
      <c r="T236">
        <v>6</v>
      </c>
      <c r="U236">
        <v>5</v>
      </c>
      <c r="V236">
        <v>7</v>
      </c>
      <c r="W236">
        <v>5</v>
      </c>
      <c r="X236">
        <v>3</v>
      </c>
      <c r="Y236">
        <v>6</v>
      </c>
      <c r="Z236">
        <v>4</v>
      </c>
      <c r="AA236">
        <v>5</v>
      </c>
    </row>
    <row r="237" spans="1:28" hidden="1" x14ac:dyDescent="0.25">
      <c r="A237" t="s">
        <v>1035</v>
      </c>
      <c r="B237" t="s">
        <v>1043</v>
      </c>
      <c r="D237" t="s">
        <v>11</v>
      </c>
      <c r="E237" t="s">
        <v>109</v>
      </c>
      <c r="F237">
        <v>16</v>
      </c>
      <c r="H237">
        <v>1</v>
      </c>
      <c r="I237">
        <v>5.1875</v>
      </c>
      <c r="J237">
        <v>6</v>
      </c>
      <c r="K237">
        <v>7</v>
      </c>
      <c r="L237">
        <v>5</v>
      </c>
      <c r="N237">
        <v>5</v>
      </c>
      <c r="O237">
        <v>5</v>
      </c>
      <c r="P237">
        <v>5</v>
      </c>
      <c r="Q237">
        <v>6</v>
      </c>
      <c r="R237">
        <v>5</v>
      </c>
      <c r="T237">
        <v>5</v>
      </c>
      <c r="U237">
        <v>5</v>
      </c>
      <c r="V237">
        <v>5</v>
      </c>
      <c r="W237">
        <v>5</v>
      </c>
      <c r="X237">
        <v>5</v>
      </c>
      <c r="Y237">
        <v>4</v>
      </c>
      <c r="AA237">
        <v>5</v>
      </c>
      <c r="AB237">
        <v>5</v>
      </c>
    </row>
    <row r="238" spans="1:28" hidden="1" x14ac:dyDescent="0.25">
      <c r="A238" t="s">
        <v>1041</v>
      </c>
      <c r="D238" t="s">
        <v>11</v>
      </c>
      <c r="E238" t="s">
        <v>409</v>
      </c>
      <c r="F238">
        <v>14</v>
      </c>
      <c r="G238">
        <v>2</v>
      </c>
      <c r="H238" t="s">
        <v>617</v>
      </c>
      <c r="I238">
        <v>5.1538461538461542</v>
      </c>
      <c r="J238">
        <v>5</v>
      </c>
      <c r="K238">
        <v>5</v>
      </c>
      <c r="L238">
        <v>5</v>
      </c>
      <c r="M238">
        <v>4</v>
      </c>
      <c r="N238">
        <v>5</v>
      </c>
      <c r="O238" t="s">
        <v>554</v>
      </c>
      <c r="Q238">
        <v>5</v>
      </c>
      <c r="R238">
        <v>5</v>
      </c>
      <c r="S238" t="s">
        <v>153</v>
      </c>
      <c r="U238" t="s">
        <v>153</v>
      </c>
      <c r="V238">
        <v>7</v>
      </c>
      <c r="X238">
        <v>5</v>
      </c>
      <c r="Y238">
        <v>6</v>
      </c>
      <c r="Z238">
        <v>5</v>
      </c>
      <c r="AA238">
        <v>4</v>
      </c>
      <c r="AB238">
        <v>6</v>
      </c>
    </row>
    <row r="239" spans="1:28" hidden="1" x14ac:dyDescent="0.25">
      <c r="A239" t="s">
        <v>1038</v>
      </c>
      <c r="D239" t="s">
        <v>29</v>
      </c>
      <c r="E239" t="s">
        <v>243</v>
      </c>
      <c r="F239">
        <v>16</v>
      </c>
      <c r="H239">
        <v>1</v>
      </c>
      <c r="I239">
        <v>5.333333333333333</v>
      </c>
      <c r="J239">
        <v>7</v>
      </c>
      <c r="K239">
        <v>6</v>
      </c>
      <c r="L239">
        <v>5</v>
      </c>
      <c r="M239">
        <v>5</v>
      </c>
      <c r="N239">
        <v>7</v>
      </c>
      <c r="O239">
        <v>5</v>
      </c>
      <c r="P239">
        <v>4</v>
      </c>
      <c r="Q239">
        <v>4</v>
      </c>
      <c r="R239">
        <v>7</v>
      </c>
      <c r="T239">
        <v>4</v>
      </c>
      <c r="U239" t="s">
        <v>554</v>
      </c>
      <c r="W239">
        <v>5</v>
      </c>
      <c r="X239">
        <v>5</v>
      </c>
      <c r="Y239">
        <v>6</v>
      </c>
      <c r="Z239">
        <v>5</v>
      </c>
      <c r="AB239">
        <v>5</v>
      </c>
    </row>
    <row r="240" spans="1:28" hidden="1" x14ac:dyDescent="0.25">
      <c r="A240" t="s">
        <v>1030</v>
      </c>
      <c r="D240" t="s">
        <v>11</v>
      </c>
      <c r="E240" t="s">
        <v>734</v>
      </c>
      <c r="F240">
        <v>3</v>
      </c>
      <c r="G240">
        <v>1</v>
      </c>
      <c r="I240">
        <v>5.333333333333333</v>
      </c>
      <c r="Q240" t="s">
        <v>153</v>
      </c>
      <c r="S240">
        <v>5</v>
      </c>
      <c r="Y240">
        <v>6</v>
      </c>
      <c r="AB240">
        <v>5</v>
      </c>
    </row>
    <row r="241" spans="1:28" hidden="1" x14ac:dyDescent="0.25">
      <c r="A241" t="s">
        <v>1030</v>
      </c>
      <c r="D241" t="s">
        <v>11</v>
      </c>
      <c r="E241" t="s">
        <v>119</v>
      </c>
      <c r="F241">
        <v>8</v>
      </c>
      <c r="G241">
        <v>1</v>
      </c>
      <c r="I241">
        <v>5.25</v>
      </c>
      <c r="J241">
        <v>5</v>
      </c>
      <c r="K241">
        <v>7</v>
      </c>
      <c r="L241">
        <v>5</v>
      </c>
      <c r="M241">
        <v>4</v>
      </c>
      <c r="N241">
        <v>6</v>
      </c>
      <c r="P241">
        <v>5</v>
      </c>
      <c r="Q241">
        <v>5</v>
      </c>
      <c r="R241">
        <v>5</v>
      </c>
      <c r="T241" t="s">
        <v>153</v>
      </c>
    </row>
    <row r="242" spans="1:28" hidden="1" x14ac:dyDescent="0.25">
      <c r="A242" t="s">
        <v>1030</v>
      </c>
      <c r="D242" t="s">
        <v>29</v>
      </c>
      <c r="E242" t="s">
        <v>120</v>
      </c>
      <c r="F242">
        <v>6</v>
      </c>
      <c r="G242">
        <v>2</v>
      </c>
      <c r="I242">
        <v>5.5</v>
      </c>
      <c r="J242" t="s">
        <v>153</v>
      </c>
      <c r="P242">
        <v>6</v>
      </c>
      <c r="Q242">
        <v>7</v>
      </c>
      <c r="R242">
        <v>4</v>
      </c>
      <c r="S242" t="s">
        <v>153</v>
      </c>
      <c r="V242">
        <v>5</v>
      </c>
      <c r="W242">
        <v>5</v>
      </c>
      <c r="Z242">
        <v>6</v>
      </c>
    </row>
    <row r="243" spans="1:28" hidden="1" x14ac:dyDescent="0.25">
      <c r="A243" t="s">
        <v>1030</v>
      </c>
      <c r="D243" t="s">
        <v>29</v>
      </c>
      <c r="E243" t="s">
        <v>639</v>
      </c>
      <c r="F243">
        <v>1</v>
      </c>
      <c r="I243">
        <v>5</v>
      </c>
      <c r="J243">
        <v>5</v>
      </c>
    </row>
    <row r="244" spans="1:28" hidden="1" x14ac:dyDescent="0.25">
      <c r="A244" t="s">
        <v>1030</v>
      </c>
      <c r="D244" t="s">
        <v>29</v>
      </c>
      <c r="E244" t="s">
        <v>280</v>
      </c>
      <c r="F244">
        <v>10</v>
      </c>
      <c r="G244">
        <v>3</v>
      </c>
      <c r="H244">
        <v>1</v>
      </c>
      <c r="I244">
        <v>5.5</v>
      </c>
      <c r="J244">
        <v>6</v>
      </c>
      <c r="K244">
        <v>5</v>
      </c>
      <c r="L244">
        <v>5</v>
      </c>
      <c r="M244">
        <v>5</v>
      </c>
      <c r="N244">
        <v>5</v>
      </c>
      <c r="R244" t="s">
        <v>153</v>
      </c>
      <c r="S244">
        <v>5</v>
      </c>
      <c r="U244">
        <v>5</v>
      </c>
      <c r="V244" t="s">
        <v>153</v>
      </c>
      <c r="X244">
        <v>5</v>
      </c>
      <c r="Z244">
        <v>7</v>
      </c>
      <c r="AA244" t="s">
        <v>153</v>
      </c>
      <c r="AB244">
        <v>7</v>
      </c>
    </row>
    <row r="245" spans="1:28" hidden="1" x14ac:dyDescent="0.25">
      <c r="A245" t="s">
        <v>1042</v>
      </c>
      <c r="B245" s="374">
        <v>36</v>
      </c>
      <c r="D245" t="s">
        <v>29</v>
      </c>
      <c r="E245" t="s">
        <v>493</v>
      </c>
      <c r="F245">
        <v>16</v>
      </c>
      <c r="H245">
        <v>5</v>
      </c>
      <c r="I245">
        <v>5.333333333333333</v>
      </c>
      <c r="J245">
        <v>6</v>
      </c>
      <c r="K245">
        <v>6</v>
      </c>
      <c r="L245">
        <v>8</v>
      </c>
      <c r="M245">
        <v>3</v>
      </c>
      <c r="O245" t="s">
        <v>554</v>
      </c>
      <c r="R245">
        <v>5</v>
      </c>
      <c r="S245">
        <v>6</v>
      </c>
      <c r="T245">
        <v>5</v>
      </c>
      <c r="U245">
        <v>4</v>
      </c>
      <c r="V245">
        <v>4</v>
      </c>
      <c r="W245">
        <v>6</v>
      </c>
      <c r="X245">
        <v>7</v>
      </c>
      <c r="Y245">
        <v>5</v>
      </c>
      <c r="Z245">
        <v>7</v>
      </c>
      <c r="AA245">
        <v>5</v>
      </c>
      <c r="AB245">
        <v>3</v>
      </c>
    </row>
    <row r="246" spans="1:28" hidden="1" x14ac:dyDescent="0.25">
      <c r="A246" t="s">
        <v>1030</v>
      </c>
      <c r="D246" t="s">
        <v>29</v>
      </c>
      <c r="E246" t="s">
        <v>36</v>
      </c>
      <c r="F246">
        <v>2</v>
      </c>
      <c r="G246">
        <v>6</v>
      </c>
      <c r="H246">
        <v>1</v>
      </c>
      <c r="I246">
        <v>5.5</v>
      </c>
      <c r="M246" t="s">
        <v>153</v>
      </c>
      <c r="N246" t="s">
        <v>153</v>
      </c>
      <c r="O246">
        <v>5</v>
      </c>
      <c r="P246" t="s">
        <v>153</v>
      </c>
      <c r="Q246">
        <v>6</v>
      </c>
      <c r="T246" t="s">
        <v>153</v>
      </c>
      <c r="U246" t="s">
        <v>153</v>
      </c>
      <c r="V246" t="s">
        <v>153</v>
      </c>
    </row>
    <row r="247" spans="1:28" hidden="1" x14ac:dyDescent="0.25">
      <c r="A247" t="s">
        <v>1023</v>
      </c>
      <c r="D247" t="s">
        <v>8</v>
      </c>
      <c r="E247" t="s">
        <v>31</v>
      </c>
      <c r="F247">
        <v>19</v>
      </c>
      <c r="I247">
        <v>5.3157894736842106</v>
      </c>
      <c r="J247">
        <v>5</v>
      </c>
      <c r="K247">
        <v>6</v>
      </c>
      <c r="L247">
        <v>6</v>
      </c>
      <c r="M247">
        <v>4</v>
      </c>
      <c r="N247">
        <v>5</v>
      </c>
      <c r="O247">
        <v>5</v>
      </c>
      <c r="P247">
        <v>5</v>
      </c>
      <c r="Q247">
        <v>5</v>
      </c>
      <c r="R247">
        <v>5</v>
      </c>
      <c r="S247">
        <v>5</v>
      </c>
      <c r="T247">
        <v>6</v>
      </c>
      <c r="U247">
        <v>6</v>
      </c>
      <c r="V247">
        <v>6</v>
      </c>
      <c r="W247">
        <v>7</v>
      </c>
      <c r="X247">
        <v>5</v>
      </c>
      <c r="Y247">
        <v>6</v>
      </c>
      <c r="Z247">
        <v>4</v>
      </c>
      <c r="AA247">
        <v>5</v>
      </c>
      <c r="AB247">
        <v>5</v>
      </c>
    </row>
    <row r="248" spans="1:28" hidden="1" x14ac:dyDescent="0.25">
      <c r="A248" t="s">
        <v>1033</v>
      </c>
      <c r="D248" t="s">
        <v>11</v>
      </c>
      <c r="E248" t="s">
        <v>162</v>
      </c>
      <c r="F248">
        <v>14</v>
      </c>
      <c r="G248">
        <v>2</v>
      </c>
      <c r="H248">
        <v>2</v>
      </c>
      <c r="I248">
        <v>5.1333333333333337</v>
      </c>
      <c r="J248">
        <v>5</v>
      </c>
      <c r="K248" t="s">
        <v>153</v>
      </c>
      <c r="L248">
        <v>7</v>
      </c>
      <c r="M248">
        <v>4</v>
      </c>
      <c r="N248">
        <v>4</v>
      </c>
      <c r="O248">
        <v>5</v>
      </c>
      <c r="P248">
        <v>5</v>
      </c>
      <c r="Q248">
        <v>8</v>
      </c>
      <c r="R248">
        <v>5</v>
      </c>
      <c r="S248">
        <v>4</v>
      </c>
      <c r="T248">
        <v>5</v>
      </c>
      <c r="U248">
        <v>5</v>
      </c>
      <c r="V248">
        <v>5</v>
      </c>
      <c r="W248">
        <v>4</v>
      </c>
      <c r="AA248">
        <v>5</v>
      </c>
      <c r="AB248">
        <v>6</v>
      </c>
    </row>
    <row r="249" spans="1:28" hidden="1" x14ac:dyDescent="0.25">
      <c r="A249" t="s">
        <v>1030</v>
      </c>
      <c r="D249" t="s">
        <v>29</v>
      </c>
      <c r="E249" t="s">
        <v>386</v>
      </c>
      <c r="F249">
        <v>6</v>
      </c>
      <c r="G249">
        <v>10</v>
      </c>
      <c r="I249">
        <v>4.666666666666667</v>
      </c>
      <c r="J249" t="s">
        <v>153</v>
      </c>
      <c r="L249" t="s">
        <v>153</v>
      </c>
      <c r="N249" t="s">
        <v>153</v>
      </c>
      <c r="O249">
        <v>7</v>
      </c>
      <c r="P249" t="s">
        <v>153</v>
      </c>
      <c r="Q249">
        <v>4</v>
      </c>
      <c r="R249" t="s">
        <v>153</v>
      </c>
      <c r="S249">
        <v>4</v>
      </c>
      <c r="T249" t="s">
        <v>153</v>
      </c>
      <c r="U249" t="s">
        <v>153</v>
      </c>
      <c r="W249" t="s">
        <v>153</v>
      </c>
      <c r="X249">
        <v>4</v>
      </c>
      <c r="Y249" t="s">
        <v>153</v>
      </c>
      <c r="Z249">
        <v>5</v>
      </c>
      <c r="AA249" t="s">
        <v>153</v>
      </c>
      <c r="AB249">
        <v>4</v>
      </c>
    </row>
    <row r="250" spans="1:28" hidden="1" x14ac:dyDescent="0.25">
      <c r="A250" t="s">
        <v>1030</v>
      </c>
      <c r="D250" t="s">
        <v>29</v>
      </c>
      <c r="E250" t="s">
        <v>776</v>
      </c>
      <c r="F250">
        <v>1</v>
      </c>
      <c r="G250">
        <v>3</v>
      </c>
      <c r="I250">
        <v>5</v>
      </c>
      <c r="S250" t="s">
        <v>153</v>
      </c>
      <c r="W250" t="s">
        <v>153</v>
      </c>
      <c r="Y250">
        <v>5</v>
      </c>
      <c r="Z250" t="s">
        <v>153</v>
      </c>
    </row>
    <row r="251" spans="1:28" hidden="1" x14ac:dyDescent="0.25">
      <c r="A251" t="s">
        <v>1030</v>
      </c>
      <c r="D251" t="s">
        <v>29</v>
      </c>
      <c r="E251" t="s">
        <v>109</v>
      </c>
      <c r="G251">
        <v>1</v>
      </c>
      <c r="J251" t="s">
        <v>153</v>
      </c>
    </row>
    <row r="252" spans="1:28" x14ac:dyDescent="0.25">
      <c r="A252" t="s">
        <v>1034</v>
      </c>
      <c r="D252" t="s">
        <v>30</v>
      </c>
      <c r="E252" t="s">
        <v>467</v>
      </c>
      <c r="F252">
        <v>14</v>
      </c>
      <c r="G252">
        <v>3</v>
      </c>
      <c r="H252">
        <v>5</v>
      </c>
      <c r="I252">
        <v>4.7333333333333334</v>
      </c>
      <c r="J252">
        <v>5</v>
      </c>
      <c r="K252">
        <v>4</v>
      </c>
      <c r="L252" t="s">
        <v>153</v>
      </c>
      <c r="M252">
        <v>6</v>
      </c>
      <c r="N252">
        <v>6</v>
      </c>
      <c r="O252">
        <v>5</v>
      </c>
      <c r="P252">
        <v>6</v>
      </c>
      <c r="Q252">
        <v>5</v>
      </c>
      <c r="S252">
        <v>4</v>
      </c>
      <c r="T252">
        <v>3</v>
      </c>
      <c r="U252">
        <v>4</v>
      </c>
      <c r="V252">
        <v>5</v>
      </c>
      <c r="W252">
        <v>2</v>
      </c>
      <c r="X252" t="s">
        <v>153</v>
      </c>
      <c r="Z252">
        <v>5</v>
      </c>
      <c r="AA252">
        <v>4</v>
      </c>
      <c r="AB252">
        <v>7</v>
      </c>
    </row>
    <row r="253" spans="1:28" hidden="1" x14ac:dyDescent="0.25">
      <c r="A253" t="s">
        <v>1030</v>
      </c>
      <c r="D253" t="s">
        <v>30</v>
      </c>
      <c r="E253" t="s">
        <v>362</v>
      </c>
      <c r="F253">
        <v>3</v>
      </c>
      <c r="G253">
        <v>1</v>
      </c>
      <c r="H253">
        <v>1</v>
      </c>
      <c r="I253">
        <v>5.5</v>
      </c>
      <c r="J253">
        <v>5</v>
      </c>
      <c r="K253" t="s">
        <v>153</v>
      </c>
      <c r="L253" t="s">
        <v>555</v>
      </c>
      <c r="M253">
        <v>6</v>
      </c>
    </row>
    <row r="254" spans="1:28" hidden="1" x14ac:dyDescent="0.25">
      <c r="A254" t="s">
        <v>1030</v>
      </c>
      <c r="D254" t="s">
        <v>30</v>
      </c>
      <c r="E254" t="s">
        <v>333</v>
      </c>
      <c r="F254">
        <v>1</v>
      </c>
      <c r="G254">
        <v>3</v>
      </c>
      <c r="I254">
        <v>4</v>
      </c>
      <c r="X254" t="s">
        <v>153</v>
      </c>
      <c r="Y254" t="s">
        <v>153</v>
      </c>
      <c r="Z254" t="s">
        <v>153</v>
      </c>
      <c r="AA254">
        <v>4</v>
      </c>
    </row>
    <row r="255" spans="1:28" hidden="1" x14ac:dyDescent="0.25">
      <c r="A255" t="s">
        <v>1032</v>
      </c>
      <c r="D255" t="s">
        <v>29</v>
      </c>
      <c r="E255" t="s">
        <v>346</v>
      </c>
      <c r="F255">
        <v>11</v>
      </c>
      <c r="G255">
        <v>2</v>
      </c>
      <c r="H255">
        <v>1</v>
      </c>
      <c r="I255">
        <v>5.3</v>
      </c>
      <c r="J255">
        <v>5</v>
      </c>
      <c r="K255">
        <v>5</v>
      </c>
      <c r="L255">
        <v>7</v>
      </c>
      <c r="N255">
        <v>5</v>
      </c>
      <c r="O255">
        <v>5</v>
      </c>
      <c r="P255">
        <v>5</v>
      </c>
      <c r="Q255">
        <v>5</v>
      </c>
      <c r="R255">
        <v>5</v>
      </c>
      <c r="S255">
        <v>6</v>
      </c>
      <c r="T255" t="s">
        <v>546</v>
      </c>
      <c r="Z255" t="s">
        <v>153</v>
      </c>
      <c r="AA255">
        <v>5</v>
      </c>
      <c r="AB255" t="s">
        <v>153</v>
      </c>
    </row>
    <row r="256" spans="1:28" x14ac:dyDescent="0.25">
      <c r="A256" t="s">
        <v>1038</v>
      </c>
      <c r="D256" t="s">
        <v>30</v>
      </c>
      <c r="E256" t="s">
        <v>201</v>
      </c>
      <c r="F256">
        <v>10</v>
      </c>
      <c r="G256">
        <v>7</v>
      </c>
      <c r="H256">
        <v>5</v>
      </c>
      <c r="I256">
        <v>5.2</v>
      </c>
      <c r="J256" t="s">
        <v>153</v>
      </c>
      <c r="K256">
        <v>4</v>
      </c>
      <c r="L256" t="s">
        <v>153</v>
      </c>
      <c r="M256">
        <v>5</v>
      </c>
      <c r="O256">
        <v>6</v>
      </c>
      <c r="Q256">
        <v>7</v>
      </c>
      <c r="R256">
        <v>5</v>
      </c>
      <c r="S256">
        <v>5</v>
      </c>
      <c r="T256" t="s">
        <v>153</v>
      </c>
      <c r="U256">
        <v>4</v>
      </c>
      <c r="V256" t="s">
        <v>153</v>
      </c>
      <c r="W256">
        <v>6</v>
      </c>
      <c r="X256" t="s">
        <v>153</v>
      </c>
      <c r="Y256">
        <v>4</v>
      </c>
      <c r="Z256" t="s">
        <v>153</v>
      </c>
      <c r="AA256">
        <v>6</v>
      </c>
      <c r="AB256" t="s">
        <v>153</v>
      </c>
    </row>
    <row r="257" spans="1:28" hidden="1" x14ac:dyDescent="0.25">
      <c r="A257" t="s">
        <v>1030</v>
      </c>
      <c r="D257" t="s">
        <v>30</v>
      </c>
      <c r="E257" t="s">
        <v>187</v>
      </c>
      <c r="G257">
        <v>3</v>
      </c>
      <c r="K257" t="s">
        <v>153</v>
      </c>
      <c r="M257" t="s">
        <v>153</v>
      </c>
      <c r="Q257" t="s">
        <v>153</v>
      </c>
    </row>
    <row r="258" spans="1:28" hidden="1" x14ac:dyDescent="0.25">
      <c r="A258" t="s">
        <v>1030</v>
      </c>
      <c r="D258" t="s">
        <v>30</v>
      </c>
      <c r="E258" t="s">
        <v>374</v>
      </c>
      <c r="G258">
        <v>2</v>
      </c>
      <c r="K258" t="s">
        <v>153</v>
      </c>
      <c r="O258" t="s">
        <v>153</v>
      </c>
    </row>
    <row r="259" spans="1:28" hidden="1" x14ac:dyDescent="0.25">
      <c r="A259" t="s">
        <v>1031</v>
      </c>
      <c r="D259" t="s">
        <v>8</v>
      </c>
      <c r="E259" t="s">
        <v>124</v>
      </c>
      <c r="F259">
        <v>2</v>
      </c>
      <c r="I259">
        <v>5.5</v>
      </c>
      <c r="J259">
        <v>6</v>
      </c>
      <c r="K259">
        <v>5</v>
      </c>
    </row>
    <row r="260" spans="1:28" hidden="1" x14ac:dyDescent="0.25">
      <c r="A260" t="s">
        <v>1031</v>
      </c>
      <c r="D260" t="s">
        <v>8</v>
      </c>
      <c r="E260" t="s">
        <v>125</v>
      </c>
      <c r="F260">
        <v>5</v>
      </c>
      <c r="I260">
        <v>5.4</v>
      </c>
      <c r="L260">
        <v>6</v>
      </c>
      <c r="M260">
        <v>6</v>
      </c>
      <c r="N260">
        <v>5</v>
      </c>
      <c r="O260">
        <v>6</v>
      </c>
      <c r="P260">
        <v>4</v>
      </c>
    </row>
    <row r="261" spans="1:28" hidden="1" x14ac:dyDescent="0.25">
      <c r="A261" t="s">
        <v>1025</v>
      </c>
      <c r="D261" t="s">
        <v>29</v>
      </c>
      <c r="E261" t="s">
        <v>18</v>
      </c>
      <c r="F261">
        <v>13</v>
      </c>
      <c r="G261">
        <v>5</v>
      </c>
      <c r="I261">
        <v>5.2857142857142856</v>
      </c>
      <c r="J261">
        <v>5</v>
      </c>
      <c r="K261">
        <v>7</v>
      </c>
      <c r="L261">
        <v>5</v>
      </c>
      <c r="M261">
        <v>6</v>
      </c>
      <c r="N261">
        <v>5</v>
      </c>
      <c r="P261">
        <v>5</v>
      </c>
      <c r="Q261" t="s">
        <v>153</v>
      </c>
      <c r="R261">
        <v>5</v>
      </c>
      <c r="S261" t="s">
        <v>153</v>
      </c>
      <c r="T261">
        <v>5</v>
      </c>
      <c r="U261" t="s">
        <v>153</v>
      </c>
      <c r="V261">
        <v>6</v>
      </c>
      <c r="W261">
        <v>5</v>
      </c>
      <c r="X261" t="s">
        <v>153</v>
      </c>
      <c r="Y261">
        <v>5</v>
      </c>
      <c r="Z261">
        <v>5</v>
      </c>
      <c r="AA261">
        <v>5</v>
      </c>
      <c r="AB261">
        <v>5</v>
      </c>
    </row>
    <row r="262" spans="1:28" hidden="1" x14ac:dyDescent="0.25">
      <c r="A262" t="s">
        <v>1034</v>
      </c>
      <c r="D262" t="s">
        <v>29</v>
      </c>
      <c r="E262" t="s">
        <v>334</v>
      </c>
      <c r="F262">
        <v>15</v>
      </c>
      <c r="H262">
        <v>1</v>
      </c>
      <c r="I262">
        <v>5.2857142857142856</v>
      </c>
      <c r="J262">
        <v>5</v>
      </c>
      <c r="K262">
        <v>6</v>
      </c>
      <c r="L262">
        <v>5</v>
      </c>
      <c r="M262">
        <v>5</v>
      </c>
      <c r="O262">
        <v>5</v>
      </c>
      <c r="P262" t="s">
        <v>546</v>
      </c>
      <c r="S262">
        <v>5</v>
      </c>
      <c r="T262">
        <v>6</v>
      </c>
      <c r="U262">
        <v>5</v>
      </c>
      <c r="V262">
        <v>7</v>
      </c>
      <c r="W262">
        <v>5</v>
      </c>
      <c r="X262">
        <v>4</v>
      </c>
      <c r="Y262">
        <v>5</v>
      </c>
      <c r="Z262">
        <v>5</v>
      </c>
      <c r="AB262">
        <v>6</v>
      </c>
    </row>
    <row r="263" spans="1:28" hidden="1" x14ac:dyDescent="0.25">
      <c r="A263" t="s">
        <v>1041</v>
      </c>
      <c r="B263" t="s">
        <v>1043</v>
      </c>
      <c r="D263" t="s">
        <v>11</v>
      </c>
      <c r="E263" t="s">
        <v>500</v>
      </c>
      <c r="F263">
        <v>15</v>
      </c>
      <c r="G263">
        <v>1</v>
      </c>
      <c r="I263">
        <v>5.1333333333333337</v>
      </c>
      <c r="J263">
        <v>5</v>
      </c>
      <c r="K263">
        <v>4</v>
      </c>
      <c r="L263">
        <v>5</v>
      </c>
      <c r="N263" t="s">
        <v>153</v>
      </c>
      <c r="O263">
        <v>4</v>
      </c>
      <c r="P263">
        <v>5</v>
      </c>
      <c r="Q263">
        <v>5</v>
      </c>
      <c r="R263">
        <v>5</v>
      </c>
      <c r="T263">
        <v>5</v>
      </c>
      <c r="U263">
        <v>6</v>
      </c>
      <c r="W263">
        <v>5</v>
      </c>
      <c r="X263">
        <v>6</v>
      </c>
      <c r="Y263">
        <v>6</v>
      </c>
      <c r="Z263">
        <v>6</v>
      </c>
      <c r="AA263">
        <v>4</v>
      </c>
      <c r="AB263">
        <v>6</v>
      </c>
    </row>
    <row r="264" spans="1:28" hidden="1" x14ac:dyDescent="0.25">
      <c r="A264" t="s">
        <v>1031</v>
      </c>
      <c r="D264" t="s">
        <v>11</v>
      </c>
      <c r="E264" t="s">
        <v>319</v>
      </c>
    </row>
    <row r="265" spans="1:28" x14ac:dyDescent="0.25">
      <c r="A265" t="s">
        <v>1028</v>
      </c>
      <c r="D265" t="s">
        <v>30</v>
      </c>
      <c r="E265" t="s">
        <v>613</v>
      </c>
      <c r="F265">
        <v>10</v>
      </c>
      <c r="G265">
        <v>2</v>
      </c>
      <c r="H265">
        <v>4</v>
      </c>
      <c r="I265">
        <v>5</v>
      </c>
      <c r="N265">
        <v>4</v>
      </c>
      <c r="O265">
        <v>5</v>
      </c>
      <c r="P265">
        <v>4</v>
      </c>
      <c r="Q265">
        <v>4</v>
      </c>
      <c r="R265" t="s">
        <v>153</v>
      </c>
      <c r="T265">
        <v>5</v>
      </c>
      <c r="W265">
        <v>6</v>
      </c>
      <c r="X265" t="s">
        <v>153</v>
      </c>
      <c r="Y265">
        <v>7</v>
      </c>
      <c r="Z265">
        <v>7</v>
      </c>
      <c r="AA265">
        <v>4</v>
      </c>
      <c r="AB265">
        <v>4</v>
      </c>
    </row>
    <row r="266" spans="1:28" x14ac:dyDescent="0.25">
      <c r="A266" t="s">
        <v>1032</v>
      </c>
      <c r="D266" t="s">
        <v>30</v>
      </c>
      <c r="E266" t="s">
        <v>149</v>
      </c>
      <c r="F266">
        <v>15</v>
      </c>
      <c r="G266">
        <v>1</v>
      </c>
      <c r="H266">
        <v>4</v>
      </c>
      <c r="I266">
        <v>5</v>
      </c>
      <c r="J266">
        <v>5</v>
      </c>
      <c r="K266">
        <v>4</v>
      </c>
      <c r="L266">
        <v>4</v>
      </c>
      <c r="N266">
        <v>5</v>
      </c>
      <c r="P266">
        <v>4</v>
      </c>
      <c r="Q266">
        <v>4</v>
      </c>
      <c r="R266" t="s">
        <v>153</v>
      </c>
      <c r="S266">
        <v>6</v>
      </c>
      <c r="T266">
        <v>4</v>
      </c>
      <c r="U266">
        <v>5</v>
      </c>
      <c r="W266">
        <v>5</v>
      </c>
      <c r="X266">
        <v>6</v>
      </c>
      <c r="Y266">
        <v>5</v>
      </c>
      <c r="Z266">
        <v>7</v>
      </c>
      <c r="AA266">
        <v>5</v>
      </c>
      <c r="AB266">
        <v>6</v>
      </c>
    </row>
    <row r="267" spans="1:28" hidden="1" x14ac:dyDescent="0.25">
      <c r="A267" t="s">
        <v>1031</v>
      </c>
      <c r="D267" t="s">
        <v>11</v>
      </c>
      <c r="E267" t="s">
        <v>172</v>
      </c>
      <c r="F267">
        <v>1</v>
      </c>
      <c r="G267">
        <v>4</v>
      </c>
      <c r="I267">
        <v>5</v>
      </c>
      <c r="J267" t="s">
        <v>153</v>
      </c>
      <c r="S267" t="s">
        <v>153</v>
      </c>
      <c r="U267" t="s">
        <v>153</v>
      </c>
      <c r="V267">
        <v>5</v>
      </c>
      <c r="Z267" t="s">
        <v>153</v>
      </c>
    </row>
    <row r="268" spans="1:28" hidden="1" x14ac:dyDescent="0.25">
      <c r="A268" t="s">
        <v>1039</v>
      </c>
      <c r="D268" t="s">
        <v>11</v>
      </c>
      <c r="E268" t="s">
        <v>316</v>
      </c>
      <c r="F268">
        <v>12</v>
      </c>
      <c r="I268">
        <v>5.0909090909090908</v>
      </c>
      <c r="J268">
        <v>5</v>
      </c>
      <c r="K268">
        <v>6</v>
      </c>
      <c r="N268">
        <v>5</v>
      </c>
      <c r="O268">
        <v>5</v>
      </c>
      <c r="Q268">
        <v>5</v>
      </c>
      <c r="R268">
        <v>5</v>
      </c>
      <c r="S268">
        <v>6</v>
      </c>
      <c r="T268">
        <v>5</v>
      </c>
      <c r="U268">
        <v>5</v>
      </c>
      <c r="V268">
        <v>5</v>
      </c>
      <c r="W268" t="s">
        <v>554</v>
      </c>
      <c r="Z268">
        <v>4</v>
      </c>
    </row>
    <row r="269" spans="1:28" hidden="1" x14ac:dyDescent="0.25">
      <c r="A269" t="s">
        <v>1026</v>
      </c>
      <c r="D269" t="s">
        <v>11</v>
      </c>
      <c r="E269" t="s">
        <v>503</v>
      </c>
      <c r="F269">
        <v>12</v>
      </c>
      <c r="H269">
        <v>1</v>
      </c>
      <c r="I269">
        <v>5.083333333333333</v>
      </c>
      <c r="J269">
        <v>5</v>
      </c>
      <c r="K269">
        <v>6</v>
      </c>
      <c r="Q269">
        <v>3</v>
      </c>
      <c r="S269">
        <v>5</v>
      </c>
      <c r="U269">
        <v>5</v>
      </c>
      <c r="V269">
        <v>5</v>
      </c>
      <c r="W269">
        <v>5</v>
      </c>
      <c r="X269">
        <v>5</v>
      </c>
      <c r="Y269">
        <v>6</v>
      </c>
      <c r="Z269">
        <v>5</v>
      </c>
      <c r="AA269">
        <v>6</v>
      </c>
      <c r="AB269">
        <v>5</v>
      </c>
    </row>
    <row r="270" spans="1:28" hidden="1" x14ac:dyDescent="0.25">
      <c r="A270" t="s">
        <v>1041</v>
      </c>
      <c r="D270" t="s">
        <v>11</v>
      </c>
      <c r="E270" t="s">
        <v>539</v>
      </c>
      <c r="F270">
        <v>13</v>
      </c>
      <c r="G270">
        <v>2</v>
      </c>
      <c r="H270">
        <v>1</v>
      </c>
      <c r="I270">
        <v>5.0769230769230766</v>
      </c>
      <c r="M270">
        <v>5</v>
      </c>
      <c r="N270">
        <v>5</v>
      </c>
      <c r="O270">
        <v>6</v>
      </c>
      <c r="P270">
        <v>5</v>
      </c>
      <c r="Q270">
        <v>4</v>
      </c>
      <c r="R270">
        <v>5</v>
      </c>
      <c r="S270">
        <v>4</v>
      </c>
      <c r="T270" t="s">
        <v>153</v>
      </c>
      <c r="U270" t="s">
        <v>153</v>
      </c>
      <c r="V270">
        <v>6</v>
      </c>
      <c r="W270">
        <v>5</v>
      </c>
      <c r="Y270">
        <v>6</v>
      </c>
      <c r="Z270">
        <v>5</v>
      </c>
      <c r="AA270">
        <v>5</v>
      </c>
      <c r="AB270">
        <v>5</v>
      </c>
    </row>
    <row r="271" spans="1:28" hidden="1" x14ac:dyDescent="0.25">
      <c r="A271" t="s">
        <v>1031</v>
      </c>
      <c r="D271" t="s">
        <v>29</v>
      </c>
      <c r="E271" t="s">
        <v>331</v>
      </c>
    </row>
    <row r="272" spans="1:28" hidden="1" x14ac:dyDescent="0.25">
      <c r="A272" t="s">
        <v>1031</v>
      </c>
      <c r="D272" t="s">
        <v>29</v>
      </c>
      <c r="E272" t="s">
        <v>203</v>
      </c>
      <c r="F272">
        <v>6</v>
      </c>
      <c r="G272">
        <v>3</v>
      </c>
      <c r="I272">
        <v>4.5714285714285712</v>
      </c>
      <c r="J272">
        <v>4</v>
      </c>
      <c r="K272">
        <v>5</v>
      </c>
      <c r="L272">
        <v>4</v>
      </c>
      <c r="M272">
        <v>5</v>
      </c>
      <c r="N272">
        <v>5</v>
      </c>
      <c r="O272">
        <v>4</v>
      </c>
      <c r="Q272" t="s">
        <v>153</v>
      </c>
      <c r="R272" t="s">
        <v>153</v>
      </c>
      <c r="S272">
        <v>5</v>
      </c>
    </row>
    <row r="273" spans="1:28" hidden="1" x14ac:dyDescent="0.25">
      <c r="A273" t="s">
        <v>1025</v>
      </c>
      <c r="D273" t="s">
        <v>11</v>
      </c>
      <c r="E273" t="s">
        <v>14</v>
      </c>
      <c r="F273">
        <v>13</v>
      </c>
      <c r="I273">
        <v>5.0769230769230766</v>
      </c>
      <c r="J273">
        <v>5</v>
      </c>
      <c r="K273">
        <v>5</v>
      </c>
      <c r="L273">
        <v>6</v>
      </c>
      <c r="M273">
        <v>6</v>
      </c>
      <c r="N273">
        <v>4</v>
      </c>
      <c r="P273">
        <v>5</v>
      </c>
      <c r="R273">
        <v>5</v>
      </c>
      <c r="S273">
        <v>5</v>
      </c>
      <c r="U273">
        <v>5</v>
      </c>
      <c r="W273">
        <v>4</v>
      </c>
      <c r="Y273">
        <v>5</v>
      </c>
      <c r="AA273">
        <v>5</v>
      </c>
      <c r="AB273">
        <v>6</v>
      </c>
    </row>
    <row r="274" spans="1:28" hidden="1" x14ac:dyDescent="0.25">
      <c r="A274" t="s">
        <v>1031</v>
      </c>
      <c r="D274" t="s">
        <v>29</v>
      </c>
      <c r="E274" t="s">
        <v>130</v>
      </c>
      <c r="F274">
        <v>5</v>
      </c>
      <c r="G274">
        <v>2</v>
      </c>
      <c r="H274">
        <v>1</v>
      </c>
      <c r="I274">
        <v>5.5</v>
      </c>
      <c r="J274">
        <v>5</v>
      </c>
      <c r="L274" t="s">
        <v>153</v>
      </c>
      <c r="M274">
        <v>5</v>
      </c>
      <c r="N274">
        <v>7</v>
      </c>
      <c r="O274">
        <v>5</v>
      </c>
      <c r="Q274" t="s">
        <v>153</v>
      </c>
      <c r="S274" t="s">
        <v>546</v>
      </c>
    </row>
    <row r="275" spans="1:28" hidden="1" x14ac:dyDescent="0.25">
      <c r="A275" t="s">
        <v>1031</v>
      </c>
      <c r="D275" t="s">
        <v>29</v>
      </c>
      <c r="E275" t="s">
        <v>131</v>
      </c>
      <c r="F275">
        <v>1</v>
      </c>
      <c r="G275">
        <v>1</v>
      </c>
      <c r="I275">
        <v>4</v>
      </c>
      <c r="AA275" t="s">
        <v>153</v>
      </c>
      <c r="AB275">
        <v>4</v>
      </c>
    </row>
    <row r="276" spans="1:28" hidden="1" x14ac:dyDescent="0.25">
      <c r="A276" t="s">
        <v>1031</v>
      </c>
      <c r="D276" t="s">
        <v>29</v>
      </c>
      <c r="E276" t="s">
        <v>391</v>
      </c>
      <c r="F276">
        <v>1</v>
      </c>
      <c r="I276">
        <v>5</v>
      </c>
      <c r="R276">
        <v>5</v>
      </c>
    </row>
    <row r="277" spans="1:28" hidden="1" x14ac:dyDescent="0.25">
      <c r="A277" t="s">
        <v>1031</v>
      </c>
      <c r="D277" t="s">
        <v>29</v>
      </c>
      <c r="E277" t="s">
        <v>397</v>
      </c>
    </row>
    <row r="278" spans="1:28" hidden="1" x14ac:dyDescent="0.25">
      <c r="A278" t="s">
        <v>1034</v>
      </c>
      <c r="D278" t="s">
        <v>11</v>
      </c>
      <c r="E278" t="s">
        <v>345</v>
      </c>
      <c r="F278">
        <v>11</v>
      </c>
      <c r="H278">
        <v>1</v>
      </c>
      <c r="I278">
        <v>5.2727272727272725</v>
      </c>
      <c r="L278">
        <v>5</v>
      </c>
      <c r="M278">
        <v>4</v>
      </c>
      <c r="P278">
        <v>5</v>
      </c>
      <c r="Q278">
        <v>7</v>
      </c>
      <c r="R278">
        <v>5</v>
      </c>
      <c r="S278">
        <v>5</v>
      </c>
      <c r="T278">
        <v>5</v>
      </c>
      <c r="U278">
        <v>5</v>
      </c>
      <c r="V278">
        <v>6</v>
      </c>
      <c r="W278">
        <v>5</v>
      </c>
      <c r="AB278">
        <v>6</v>
      </c>
    </row>
    <row r="279" spans="1:28" hidden="1" x14ac:dyDescent="0.25">
      <c r="A279" t="s">
        <v>1031</v>
      </c>
      <c r="D279" t="s">
        <v>29</v>
      </c>
      <c r="E279" t="s">
        <v>538</v>
      </c>
      <c r="F279">
        <v>1</v>
      </c>
      <c r="G279">
        <v>4</v>
      </c>
      <c r="I279">
        <v>5</v>
      </c>
      <c r="M279" t="s">
        <v>153</v>
      </c>
      <c r="N279">
        <v>5</v>
      </c>
      <c r="O279" t="s">
        <v>153</v>
      </c>
      <c r="R279" t="s">
        <v>153</v>
      </c>
      <c r="S279" t="s">
        <v>153</v>
      </c>
    </row>
    <row r="280" spans="1:28" hidden="1" x14ac:dyDescent="0.25">
      <c r="A280" t="s">
        <v>1031</v>
      </c>
      <c r="D280" t="s">
        <v>29</v>
      </c>
      <c r="E280" t="s">
        <v>132</v>
      </c>
      <c r="F280">
        <v>3</v>
      </c>
      <c r="G280">
        <v>3</v>
      </c>
      <c r="I280">
        <v>4.333333333333333</v>
      </c>
      <c r="W280" t="s">
        <v>153</v>
      </c>
      <c r="X280" t="s">
        <v>153</v>
      </c>
      <c r="Y280">
        <v>5</v>
      </c>
      <c r="Z280" t="s">
        <v>153</v>
      </c>
      <c r="AA280">
        <v>4</v>
      </c>
      <c r="AB280">
        <v>4</v>
      </c>
    </row>
    <row r="281" spans="1:28" hidden="1" x14ac:dyDescent="0.25">
      <c r="A281" t="s">
        <v>1031</v>
      </c>
      <c r="D281" t="s">
        <v>30</v>
      </c>
      <c r="E281" t="s">
        <v>133</v>
      </c>
      <c r="F281">
        <v>2</v>
      </c>
      <c r="G281">
        <v>2</v>
      </c>
      <c r="I281">
        <v>3.5</v>
      </c>
      <c r="K281" t="s">
        <v>153</v>
      </c>
      <c r="L281">
        <v>4</v>
      </c>
      <c r="M281" t="s">
        <v>153</v>
      </c>
      <c r="N281">
        <v>3</v>
      </c>
    </row>
    <row r="282" spans="1:28" hidden="1" x14ac:dyDescent="0.25">
      <c r="A282" t="s">
        <v>1031</v>
      </c>
      <c r="D282" t="s">
        <v>30</v>
      </c>
      <c r="E282" t="s">
        <v>330</v>
      </c>
      <c r="F282">
        <v>4</v>
      </c>
      <c r="G282">
        <v>3</v>
      </c>
      <c r="I282">
        <v>4.8</v>
      </c>
      <c r="J282">
        <v>5</v>
      </c>
      <c r="K282">
        <v>4</v>
      </c>
      <c r="M282">
        <v>6</v>
      </c>
      <c r="N282">
        <v>5</v>
      </c>
      <c r="O282" t="s">
        <v>153</v>
      </c>
      <c r="P282">
        <v>4</v>
      </c>
      <c r="Q282" t="s">
        <v>546</v>
      </c>
    </row>
    <row r="283" spans="1:28" x14ac:dyDescent="0.25">
      <c r="A283" t="s">
        <v>1035</v>
      </c>
      <c r="D283" t="s">
        <v>30</v>
      </c>
      <c r="E283" t="s">
        <v>196</v>
      </c>
      <c r="F283">
        <v>16</v>
      </c>
      <c r="G283">
        <v>2</v>
      </c>
      <c r="H283">
        <v>4</v>
      </c>
      <c r="I283">
        <v>5.25</v>
      </c>
      <c r="J283">
        <v>7</v>
      </c>
      <c r="K283">
        <v>5</v>
      </c>
      <c r="L283">
        <v>4</v>
      </c>
      <c r="M283">
        <v>7</v>
      </c>
      <c r="N283">
        <v>4</v>
      </c>
      <c r="O283">
        <v>7</v>
      </c>
      <c r="P283" t="s">
        <v>153</v>
      </c>
      <c r="Q283">
        <v>6</v>
      </c>
      <c r="R283">
        <v>4</v>
      </c>
      <c r="S283">
        <v>5</v>
      </c>
      <c r="T283">
        <v>4</v>
      </c>
      <c r="U283">
        <v>5</v>
      </c>
      <c r="V283">
        <v>4</v>
      </c>
      <c r="W283" t="s">
        <v>153</v>
      </c>
      <c r="X283">
        <v>7</v>
      </c>
      <c r="Y283">
        <v>5</v>
      </c>
      <c r="Z283">
        <v>5</v>
      </c>
      <c r="AB283">
        <v>5</v>
      </c>
    </row>
    <row r="284" spans="1:28" hidden="1" x14ac:dyDescent="0.25">
      <c r="A284" t="s">
        <v>1031</v>
      </c>
      <c r="D284" t="s">
        <v>30</v>
      </c>
      <c r="E284" t="s">
        <v>492</v>
      </c>
      <c r="G284">
        <v>2</v>
      </c>
      <c r="J284" t="s">
        <v>153</v>
      </c>
      <c r="K284" t="s">
        <v>153</v>
      </c>
    </row>
    <row r="285" spans="1:28" hidden="1" x14ac:dyDescent="0.25">
      <c r="A285" t="s">
        <v>1031</v>
      </c>
      <c r="D285" t="s">
        <v>30</v>
      </c>
      <c r="E285" t="s">
        <v>616</v>
      </c>
      <c r="F285">
        <v>6</v>
      </c>
      <c r="G285">
        <v>4</v>
      </c>
      <c r="H285">
        <v>1</v>
      </c>
      <c r="I285">
        <v>4.5714285714285712</v>
      </c>
      <c r="N285">
        <v>4</v>
      </c>
      <c r="O285">
        <v>4</v>
      </c>
      <c r="P285">
        <v>5</v>
      </c>
      <c r="Q285">
        <v>4</v>
      </c>
      <c r="T285" t="s">
        <v>153</v>
      </c>
      <c r="U285" t="s">
        <v>153</v>
      </c>
      <c r="V285" t="s">
        <v>153</v>
      </c>
      <c r="W285">
        <v>6</v>
      </c>
      <c r="X285" t="s">
        <v>153</v>
      </c>
      <c r="Y285">
        <v>4</v>
      </c>
      <c r="AA285">
        <v>5</v>
      </c>
    </row>
    <row r="286" spans="1:28" x14ac:dyDescent="0.25">
      <c r="A286" t="s">
        <v>1036</v>
      </c>
      <c r="D286" t="s">
        <v>30</v>
      </c>
      <c r="E286" t="s">
        <v>327</v>
      </c>
      <c r="F286">
        <v>12</v>
      </c>
      <c r="G286">
        <v>5</v>
      </c>
      <c r="H286">
        <v>4</v>
      </c>
      <c r="I286">
        <v>4.916666666666667</v>
      </c>
      <c r="J286">
        <v>4</v>
      </c>
      <c r="K286">
        <v>4</v>
      </c>
      <c r="L286" t="s">
        <v>153</v>
      </c>
      <c r="M286" t="s">
        <v>153</v>
      </c>
      <c r="N286" t="s">
        <v>153</v>
      </c>
      <c r="O286">
        <v>4</v>
      </c>
      <c r="Q286">
        <v>7</v>
      </c>
      <c r="R286">
        <v>6</v>
      </c>
      <c r="S286">
        <v>6</v>
      </c>
      <c r="T286">
        <v>6</v>
      </c>
      <c r="U286">
        <v>4</v>
      </c>
      <c r="V286">
        <v>5</v>
      </c>
      <c r="W286">
        <v>4</v>
      </c>
      <c r="X286">
        <v>5</v>
      </c>
      <c r="Y286" t="s">
        <v>153</v>
      </c>
      <c r="Z286" t="s">
        <v>153</v>
      </c>
      <c r="AB286">
        <v>4</v>
      </c>
    </row>
    <row r="287" spans="1:28" hidden="1" x14ac:dyDescent="0.25">
      <c r="A287" t="s">
        <v>1031</v>
      </c>
      <c r="D287" t="s">
        <v>30</v>
      </c>
      <c r="E287" t="s">
        <v>253</v>
      </c>
      <c r="F287">
        <v>2</v>
      </c>
      <c r="G287">
        <v>5</v>
      </c>
      <c r="I287">
        <v>4</v>
      </c>
      <c r="P287" t="s">
        <v>153</v>
      </c>
      <c r="R287" t="s">
        <v>153</v>
      </c>
      <c r="S287">
        <v>4</v>
      </c>
      <c r="T287">
        <v>4</v>
      </c>
      <c r="U287" t="s">
        <v>153</v>
      </c>
      <c r="V287" t="s">
        <v>153</v>
      </c>
      <c r="Y287" t="s">
        <v>153</v>
      </c>
    </row>
    <row r="288" spans="1:28" hidden="1" x14ac:dyDescent="0.25">
      <c r="A288" t="s">
        <v>1032</v>
      </c>
      <c r="D288" t="s">
        <v>8</v>
      </c>
      <c r="E288" t="s">
        <v>889</v>
      </c>
      <c r="F288">
        <v>5</v>
      </c>
      <c r="I288">
        <v>5.6</v>
      </c>
      <c r="X288">
        <v>6</v>
      </c>
      <c r="Y288">
        <v>7</v>
      </c>
      <c r="Z288">
        <v>4</v>
      </c>
      <c r="AA288">
        <v>5</v>
      </c>
      <c r="AB288">
        <v>6</v>
      </c>
    </row>
    <row r="289" spans="1:28" hidden="1" x14ac:dyDescent="0.25">
      <c r="A289" t="s">
        <v>1032</v>
      </c>
      <c r="D289" t="s">
        <v>8</v>
      </c>
      <c r="E289" t="s">
        <v>489</v>
      </c>
      <c r="F289">
        <v>8</v>
      </c>
      <c r="I289">
        <v>4.625</v>
      </c>
      <c r="J289">
        <v>5</v>
      </c>
      <c r="K289">
        <v>5</v>
      </c>
      <c r="L289">
        <v>5</v>
      </c>
      <c r="M289">
        <v>3</v>
      </c>
      <c r="N289">
        <v>5</v>
      </c>
      <c r="O289">
        <v>5</v>
      </c>
      <c r="P289">
        <v>5</v>
      </c>
      <c r="Q289">
        <v>4</v>
      </c>
    </row>
    <row r="290" spans="1:28" hidden="1" x14ac:dyDescent="0.25">
      <c r="A290" t="s">
        <v>1032</v>
      </c>
      <c r="D290" t="s">
        <v>8</v>
      </c>
      <c r="E290" t="s">
        <v>137</v>
      </c>
      <c r="F290">
        <v>6</v>
      </c>
      <c r="I290">
        <v>4.5</v>
      </c>
      <c r="R290">
        <v>5</v>
      </c>
      <c r="S290">
        <v>4</v>
      </c>
      <c r="T290">
        <v>5</v>
      </c>
      <c r="U290">
        <v>5</v>
      </c>
      <c r="V290">
        <v>4</v>
      </c>
      <c r="W290">
        <v>4</v>
      </c>
    </row>
    <row r="291" spans="1:28" hidden="1" x14ac:dyDescent="0.25">
      <c r="A291" t="s">
        <v>1026</v>
      </c>
      <c r="D291" t="s">
        <v>29</v>
      </c>
      <c r="E291" t="s">
        <v>63</v>
      </c>
      <c r="F291">
        <v>19</v>
      </c>
      <c r="H291">
        <v>1</v>
      </c>
      <c r="I291">
        <v>5.2631578947368425</v>
      </c>
      <c r="J291">
        <v>5</v>
      </c>
      <c r="K291">
        <v>5</v>
      </c>
      <c r="L291">
        <v>7</v>
      </c>
      <c r="M291">
        <v>6</v>
      </c>
      <c r="N291">
        <v>5</v>
      </c>
      <c r="O291">
        <v>7</v>
      </c>
      <c r="P291">
        <v>5</v>
      </c>
      <c r="Q291">
        <v>4</v>
      </c>
      <c r="R291">
        <v>5</v>
      </c>
      <c r="S291">
        <v>5</v>
      </c>
      <c r="T291">
        <v>5</v>
      </c>
      <c r="U291">
        <v>5</v>
      </c>
      <c r="V291">
        <v>5</v>
      </c>
      <c r="W291">
        <v>6</v>
      </c>
      <c r="X291">
        <v>5</v>
      </c>
      <c r="Y291">
        <v>5</v>
      </c>
      <c r="Z291">
        <v>4</v>
      </c>
      <c r="AA291">
        <v>6</v>
      </c>
      <c r="AB291">
        <v>5</v>
      </c>
    </row>
    <row r="292" spans="1:28" hidden="1" x14ac:dyDescent="0.25">
      <c r="A292" t="s">
        <v>1032</v>
      </c>
      <c r="D292" t="s">
        <v>11</v>
      </c>
      <c r="E292" t="s">
        <v>140</v>
      </c>
      <c r="F292">
        <v>4</v>
      </c>
      <c r="G292">
        <v>3</v>
      </c>
      <c r="I292">
        <v>4.4000000000000004</v>
      </c>
      <c r="J292">
        <v>5</v>
      </c>
      <c r="K292">
        <v>4</v>
      </c>
      <c r="O292">
        <v>4</v>
      </c>
      <c r="P292" t="s">
        <v>153</v>
      </c>
      <c r="Q292">
        <v>4</v>
      </c>
      <c r="Y292" t="s">
        <v>153</v>
      </c>
      <c r="AA292">
        <v>5</v>
      </c>
    </row>
    <row r="293" spans="1:28" hidden="1" x14ac:dyDescent="0.25">
      <c r="A293" t="s">
        <v>1032</v>
      </c>
      <c r="D293" t="s">
        <v>11</v>
      </c>
      <c r="E293" t="s">
        <v>142</v>
      </c>
      <c r="F293">
        <v>8</v>
      </c>
      <c r="G293">
        <v>3</v>
      </c>
      <c r="H293" t="s">
        <v>617</v>
      </c>
      <c r="I293">
        <v>4.625</v>
      </c>
      <c r="L293">
        <v>5</v>
      </c>
      <c r="M293">
        <v>4</v>
      </c>
      <c r="N293">
        <v>4</v>
      </c>
      <c r="O293">
        <v>5</v>
      </c>
      <c r="P293">
        <v>5</v>
      </c>
      <c r="R293">
        <v>5</v>
      </c>
      <c r="S293">
        <v>5</v>
      </c>
      <c r="T293">
        <v>4</v>
      </c>
      <c r="W293" t="s">
        <v>153</v>
      </c>
      <c r="AA293" t="s">
        <v>153</v>
      </c>
      <c r="AB293" t="s">
        <v>153</v>
      </c>
    </row>
    <row r="294" spans="1:28" hidden="1" x14ac:dyDescent="0.25">
      <c r="A294" t="s">
        <v>1032</v>
      </c>
      <c r="D294" t="s">
        <v>11</v>
      </c>
      <c r="E294" t="s">
        <v>289</v>
      </c>
    </row>
    <row r="295" spans="1:28" hidden="1" x14ac:dyDescent="0.25">
      <c r="A295" t="s">
        <v>1032</v>
      </c>
      <c r="D295" t="s">
        <v>11</v>
      </c>
      <c r="E295" t="s">
        <v>288</v>
      </c>
    </row>
    <row r="296" spans="1:28" hidden="1" x14ac:dyDescent="0.25">
      <c r="A296" t="s">
        <v>1032</v>
      </c>
      <c r="D296" t="s">
        <v>11</v>
      </c>
      <c r="E296" t="s">
        <v>143</v>
      </c>
      <c r="F296">
        <v>4</v>
      </c>
      <c r="I296">
        <v>4.75</v>
      </c>
      <c r="K296">
        <v>6</v>
      </c>
      <c r="L296">
        <v>5</v>
      </c>
      <c r="M296">
        <v>4</v>
      </c>
      <c r="V296">
        <v>4</v>
      </c>
    </row>
    <row r="297" spans="1:28" hidden="1" x14ac:dyDescent="0.25">
      <c r="A297" t="s">
        <v>1032</v>
      </c>
      <c r="D297" t="s">
        <v>11</v>
      </c>
      <c r="E297" t="s">
        <v>324</v>
      </c>
      <c r="F297">
        <v>10</v>
      </c>
      <c r="I297">
        <v>5</v>
      </c>
      <c r="J297">
        <v>5</v>
      </c>
      <c r="L297">
        <v>5</v>
      </c>
      <c r="U297">
        <v>5</v>
      </c>
      <c r="V297">
        <v>4</v>
      </c>
      <c r="W297">
        <v>5</v>
      </c>
      <c r="X297">
        <v>5</v>
      </c>
      <c r="Y297">
        <v>6</v>
      </c>
      <c r="Z297">
        <v>5</v>
      </c>
      <c r="AA297">
        <v>4</v>
      </c>
      <c r="AB297">
        <v>6</v>
      </c>
    </row>
    <row r="298" spans="1:28" hidden="1" x14ac:dyDescent="0.25">
      <c r="A298" t="s">
        <v>1032</v>
      </c>
      <c r="D298" t="s">
        <v>11</v>
      </c>
      <c r="E298" t="s">
        <v>267</v>
      </c>
    </row>
    <row r="299" spans="1:28" hidden="1" x14ac:dyDescent="0.25">
      <c r="A299" t="s">
        <v>1032</v>
      </c>
      <c r="D299" t="s">
        <v>11</v>
      </c>
      <c r="E299" t="s">
        <v>271</v>
      </c>
    </row>
    <row r="300" spans="1:28" hidden="1" x14ac:dyDescent="0.25">
      <c r="A300" t="s">
        <v>1041</v>
      </c>
      <c r="D300" t="s">
        <v>11</v>
      </c>
      <c r="E300" t="s">
        <v>427</v>
      </c>
      <c r="F300">
        <v>13</v>
      </c>
      <c r="G300">
        <v>1</v>
      </c>
      <c r="I300">
        <v>5.0769230769230766</v>
      </c>
      <c r="N300">
        <v>5</v>
      </c>
      <c r="O300">
        <v>4</v>
      </c>
      <c r="P300">
        <v>5</v>
      </c>
      <c r="Q300" t="s">
        <v>153</v>
      </c>
      <c r="R300">
        <v>5</v>
      </c>
      <c r="S300">
        <v>5</v>
      </c>
      <c r="T300">
        <v>5</v>
      </c>
      <c r="U300">
        <v>6</v>
      </c>
      <c r="V300">
        <v>5</v>
      </c>
      <c r="W300">
        <v>5</v>
      </c>
      <c r="X300">
        <v>6</v>
      </c>
      <c r="Z300">
        <v>5</v>
      </c>
      <c r="AA300">
        <v>5</v>
      </c>
      <c r="AB300">
        <v>5</v>
      </c>
    </row>
    <row r="301" spans="1:28" hidden="1" x14ac:dyDescent="0.25">
      <c r="A301" t="s">
        <v>1032</v>
      </c>
      <c r="D301" t="s">
        <v>11</v>
      </c>
      <c r="E301" t="s">
        <v>890</v>
      </c>
      <c r="F301">
        <v>5</v>
      </c>
      <c r="H301">
        <v>1</v>
      </c>
      <c r="I301">
        <v>4.8</v>
      </c>
      <c r="X301">
        <v>5</v>
      </c>
      <c r="Y301">
        <v>7</v>
      </c>
      <c r="Z301">
        <v>3</v>
      </c>
      <c r="AA301">
        <v>4</v>
      </c>
      <c r="AB301">
        <v>5</v>
      </c>
    </row>
    <row r="302" spans="1:28" hidden="1" x14ac:dyDescent="0.25">
      <c r="A302" t="s">
        <v>1037</v>
      </c>
      <c r="D302" t="s">
        <v>11</v>
      </c>
      <c r="E302" t="s">
        <v>217</v>
      </c>
      <c r="F302">
        <v>15</v>
      </c>
      <c r="I302">
        <v>5.0666666666666664</v>
      </c>
      <c r="J302">
        <v>5</v>
      </c>
      <c r="K302">
        <v>5</v>
      </c>
      <c r="M302">
        <v>5</v>
      </c>
      <c r="N302">
        <v>6</v>
      </c>
      <c r="O302">
        <v>5</v>
      </c>
      <c r="P302">
        <v>5</v>
      </c>
      <c r="Q302">
        <v>5</v>
      </c>
      <c r="T302">
        <v>6</v>
      </c>
      <c r="U302">
        <v>5</v>
      </c>
      <c r="V302">
        <v>4</v>
      </c>
      <c r="W302">
        <v>5</v>
      </c>
      <c r="Y302">
        <v>5</v>
      </c>
      <c r="Z302">
        <v>5</v>
      </c>
      <c r="AA302">
        <v>5</v>
      </c>
      <c r="AB302">
        <v>5</v>
      </c>
    </row>
    <row r="303" spans="1:28" hidden="1" x14ac:dyDescent="0.25">
      <c r="A303" t="s">
        <v>1032</v>
      </c>
      <c r="D303" t="s">
        <v>11</v>
      </c>
      <c r="E303" t="s">
        <v>252</v>
      </c>
      <c r="F303">
        <v>6</v>
      </c>
      <c r="G303">
        <v>1</v>
      </c>
      <c r="I303">
        <v>4.7142857142857144</v>
      </c>
      <c r="K303">
        <v>4</v>
      </c>
      <c r="M303">
        <v>5</v>
      </c>
      <c r="O303">
        <v>5</v>
      </c>
      <c r="P303">
        <v>5</v>
      </c>
      <c r="R303">
        <v>5</v>
      </c>
      <c r="S303">
        <v>5</v>
      </c>
      <c r="T303">
        <v>4</v>
      </c>
    </row>
    <row r="304" spans="1:28" hidden="1" x14ac:dyDescent="0.25">
      <c r="A304" t="s">
        <v>1032</v>
      </c>
      <c r="D304" t="s">
        <v>29</v>
      </c>
      <c r="E304" t="s">
        <v>144</v>
      </c>
      <c r="F304">
        <v>10</v>
      </c>
      <c r="G304">
        <v>1</v>
      </c>
      <c r="I304">
        <v>4.5</v>
      </c>
      <c r="J304">
        <v>5</v>
      </c>
      <c r="K304">
        <v>5</v>
      </c>
      <c r="L304">
        <v>5</v>
      </c>
      <c r="M304">
        <v>4</v>
      </c>
      <c r="N304">
        <v>5</v>
      </c>
      <c r="P304">
        <v>4</v>
      </c>
      <c r="R304">
        <v>5</v>
      </c>
      <c r="S304">
        <v>5</v>
      </c>
      <c r="U304">
        <v>4</v>
      </c>
      <c r="V304">
        <v>3</v>
      </c>
      <c r="W304" t="s">
        <v>153</v>
      </c>
    </row>
    <row r="305" spans="1:28" hidden="1" x14ac:dyDescent="0.25">
      <c r="A305" t="s">
        <v>1032</v>
      </c>
      <c r="D305" t="s">
        <v>29</v>
      </c>
      <c r="E305" t="s">
        <v>268</v>
      </c>
    </row>
    <row r="306" spans="1:28" hidden="1" x14ac:dyDescent="0.25">
      <c r="A306" t="s">
        <v>1032</v>
      </c>
      <c r="D306" t="s">
        <v>29</v>
      </c>
      <c r="E306" t="s">
        <v>145</v>
      </c>
    </row>
    <row r="307" spans="1:28" hidden="1" x14ac:dyDescent="0.25">
      <c r="A307" t="s">
        <v>1032</v>
      </c>
      <c r="D307" t="s">
        <v>29</v>
      </c>
      <c r="E307" t="s">
        <v>325</v>
      </c>
      <c r="F307">
        <v>10</v>
      </c>
      <c r="G307">
        <v>6</v>
      </c>
      <c r="I307">
        <v>5</v>
      </c>
      <c r="K307" t="s">
        <v>153</v>
      </c>
      <c r="L307" t="s">
        <v>153</v>
      </c>
      <c r="M307" t="s">
        <v>153</v>
      </c>
      <c r="O307">
        <v>5</v>
      </c>
      <c r="P307" t="s">
        <v>153</v>
      </c>
      <c r="Q307">
        <v>5</v>
      </c>
      <c r="R307" t="s">
        <v>153</v>
      </c>
      <c r="S307">
        <v>5</v>
      </c>
      <c r="T307">
        <v>5</v>
      </c>
      <c r="U307" t="s">
        <v>153</v>
      </c>
      <c r="W307">
        <v>5</v>
      </c>
      <c r="X307">
        <v>5</v>
      </c>
      <c r="Y307">
        <v>6</v>
      </c>
      <c r="Z307">
        <v>5</v>
      </c>
      <c r="AA307">
        <v>4</v>
      </c>
      <c r="AB307">
        <v>5</v>
      </c>
    </row>
    <row r="308" spans="1:28" hidden="1" x14ac:dyDescent="0.25">
      <c r="A308" t="s">
        <v>1029</v>
      </c>
      <c r="D308" t="s">
        <v>29</v>
      </c>
      <c r="E308" t="s">
        <v>107</v>
      </c>
      <c r="F308">
        <v>11</v>
      </c>
      <c r="G308">
        <v>2</v>
      </c>
      <c r="H308">
        <v>3</v>
      </c>
      <c r="I308">
        <v>5.25</v>
      </c>
      <c r="P308">
        <v>6</v>
      </c>
      <c r="Q308">
        <v>6</v>
      </c>
      <c r="R308">
        <v>5</v>
      </c>
      <c r="S308">
        <v>5</v>
      </c>
      <c r="T308">
        <v>5</v>
      </c>
      <c r="U308">
        <v>5</v>
      </c>
      <c r="V308">
        <v>6</v>
      </c>
      <c r="W308">
        <v>4</v>
      </c>
      <c r="X308" t="s">
        <v>153</v>
      </c>
      <c r="Y308">
        <v>4</v>
      </c>
      <c r="Z308">
        <v>6</v>
      </c>
      <c r="AA308">
        <v>6</v>
      </c>
      <c r="AB308">
        <v>5</v>
      </c>
    </row>
    <row r="309" spans="1:28" hidden="1" x14ac:dyDescent="0.25">
      <c r="A309" t="s">
        <v>1032</v>
      </c>
      <c r="D309" t="s">
        <v>29</v>
      </c>
      <c r="E309" t="s">
        <v>251</v>
      </c>
    </row>
    <row r="310" spans="1:28" hidden="1" x14ac:dyDescent="0.25">
      <c r="A310" t="s">
        <v>1032</v>
      </c>
      <c r="D310" t="s">
        <v>29</v>
      </c>
      <c r="E310" t="s">
        <v>146</v>
      </c>
      <c r="F310">
        <v>6</v>
      </c>
      <c r="G310">
        <v>10</v>
      </c>
      <c r="H310">
        <v>1</v>
      </c>
      <c r="I310">
        <v>5.833333333333333</v>
      </c>
      <c r="J310">
        <v>5</v>
      </c>
      <c r="K310" t="s">
        <v>153</v>
      </c>
      <c r="L310" t="s">
        <v>153</v>
      </c>
      <c r="M310">
        <v>7</v>
      </c>
      <c r="N310" t="s">
        <v>153</v>
      </c>
      <c r="O310">
        <v>7</v>
      </c>
      <c r="P310">
        <v>6</v>
      </c>
      <c r="Q310">
        <v>6</v>
      </c>
      <c r="R310">
        <v>4</v>
      </c>
      <c r="S310" t="s">
        <v>153</v>
      </c>
      <c r="T310" t="s">
        <v>153</v>
      </c>
      <c r="U310" t="s">
        <v>153</v>
      </c>
      <c r="V310" t="s">
        <v>153</v>
      </c>
      <c r="X310" t="s">
        <v>153</v>
      </c>
      <c r="Z310" t="s">
        <v>153</v>
      </c>
      <c r="AA310" t="s">
        <v>153</v>
      </c>
    </row>
    <row r="311" spans="1:28" hidden="1" x14ac:dyDescent="0.25">
      <c r="A311" t="s">
        <v>1029</v>
      </c>
      <c r="D311" t="s">
        <v>29</v>
      </c>
      <c r="E311" t="s">
        <v>21</v>
      </c>
      <c r="F311">
        <v>12</v>
      </c>
      <c r="I311">
        <v>5.25</v>
      </c>
      <c r="J311">
        <v>6</v>
      </c>
      <c r="K311">
        <v>5</v>
      </c>
      <c r="L311">
        <v>6</v>
      </c>
      <c r="M311">
        <v>6</v>
      </c>
      <c r="O311">
        <v>5</v>
      </c>
      <c r="P311">
        <v>4</v>
      </c>
      <c r="Q311">
        <v>6</v>
      </c>
      <c r="T311">
        <v>6</v>
      </c>
      <c r="U311">
        <v>5</v>
      </c>
      <c r="W311">
        <v>4</v>
      </c>
      <c r="X311">
        <v>5</v>
      </c>
      <c r="Y311">
        <v>5</v>
      </c>
    </row>
    <row r="312" spans="1:28" hidden="1" x14ac:dyDescent="0.25">
      <c r="A312" t="s">
        <v>1032</v>
      </c>
      <c r="D312" t="s">
        <v>29</v>
      </c>
      <c r="E312" t="s">
        <v>376</v>
      </c>
      <c r="F312">
        <v>1</v>
      </c>
      <c r="G312">
        <v>9</v>
      </c>
      <c r="I312">
        <v>5</v>
      </c>
      <c r="J312" t="s">
        <v>153</v>
      </c>
      <c r="N312" t="s">
        <v>153</v>
      </c>
      <c r="P312" t="s">
        <v>153</v>
      </c>
      <c r="Q312">
        <v>5</v>
      </c>
      <c r="R312" t="s">
        <v>153</v>
      </c>
      <c r="V312" t="s">
        <v>153</v>
      </c>
      <c r="X312" t="s">
        <v>153</v>
      </c>
      <c r="Y312" t="s">
        <v>153</v>
      </c>
      <c r="AA312" t="s">
        <v>153</v>
      </c>
      <c r="AB312" t="s">
        <v>153</v>
      </c>
    </row>
    <row r="313" spans="1:28" hidden="1" x14ac:dyDescent="0.25">
      <c r="A313" t="s">
        <v>1032</v>
      </c>
      <c r="D313" t="s">
        <v>29</v>
      </c>
      <c r="E313" t="s">
        <v>398</v>
      </c>
      <c r="F313">
        <v>7</v>
      </c>
      <c r="G313">
        <v>1</v>
      </c>
      <c r="H313">
        <v>1</v>
      </c>
      <c r="I313">
        <v>4.7142857142857144</v>
      </c>
      <c r="S313" t="s">
        <v>153</v>
      </c>
      <c r="U313">
        <v>7</v>
      </c>
      <c r="V313">
        <v>4</v>
      </c>
      <c r="W313">
        <v>5</v>
      </c>
      <c r="X313">
        <v>5</v>
      </c>
      <c r="Y313">
        <v>5</v>
      </c>
      <c r="Z313">
        <v>3</v>
      </c>
      <c r="AB313">
        <v>4</v>
      </c>
    </row>
    <row r="314" spans="1:28" hidden="1" x14ac:dyDescent="0.25">
      <c r="A314" t="s">
        <v>1032</v>
      </c>
      <c r="D314" t="s">
        <v>29</v>
      </c>
      <c r="E314" t="s">
        <v>559</v>
      </c>
      <c r="F314">
        <v>11</v>
      </c>
      <c r="G314">
        <v>3</v>
      </c>
      <c r="I314">
        <v>4.9090909090909092</v>
      </c>
      <c r="K314" t="s">
        <v>153</v>
      </c>
      <c r="L314" t="s">
        <v>153</v>
      </c>
      <c r="M314">
        <v>4</v>
      </c>
      <c r="N314">
        <v>5</v>
      </c>
      <c r="O314" t="s">
        <v>546</v>
      </c>
      <c r="T314">
        <v>5</v>
      </c>
      <c r="U314">
        <v>5</v>
      </c>
      <c r="V314">
        <v>3</v>
      </c>
      <c r="W314">
        <v>6</v>
      </c>
      <c r="X314">
        <v>6</v>
      </c>
      <c r="Y314">
        <v>5</v>
      </c>
      <c r="Z314">
        <v>5</v>
      </c>
      <c r="AA314">
        <v>5</v>
      </c>
      <c r="AB314">
        <v>5</v>
      </c>
    </row>
    <row r="315" spans="1:28" hidden="1" x14ac:dyDescent="0.25">
      <c r="A315" t="s">
        <v>1032</v>
      </c>
      <c r="D315" t="s">
        <v>29</v>
      </c>
      <c r="E315" t="s">
        <v>148</v>
      </c>
    </row>
    <row r="316" spans="1:28" x14ac:dyDescent="0.25">
      <c r="A316" t="s">
        <v>1041</v>
      </c>
      <c r="D316" t="s">
        <v>30</v>
      </c>
      <c r="E316" t="s">
        <v>518</v>
      </c>
      <c r="F316">
        <v>15</v>
      </c>
      <c r="G316">
        <v>1</v>
      </c>
      <c r="H316">
        <v>4</v>
      </c>
      <c r="I316">
        <v>4.8666666666666663</v>
      </c>
      <c r="K316">
        <v>5</v>
      </c>
      <c r="L316">
        <v>4</v>
      </c>
      <c r="M316">
        <v>4</v>
      </c>
      <c r="N316">
        <v>5</v>
      </c>
      <c r="O316">
        <v>4</v>
      </c>
      <c r="P316">
        <v>4</v>
      </c>
      <c r="Q316">
        <v>4</v>
      </c>
      <c r="S316">
        <v>4</v>
      </c>
      <c r="U316">
        <v>5</v>
      </c>
      <c r="V316">
        <v>6</v>
      </c>
      <c r="W316">
        <v>6</v>
      </c>
      <c r="X316">
        <v>5</v>
      </c>
      <c r="Y316">
        <v>6</v>
      </c>
      <c r="Z316" t="s">
        <v>153</v>
      </c>
      <c r="AA316">
        <v>6</v>
      </c>
      <c r="AB316">
        <v>5</v>
      </c>
    </row>
    <row r="317" spans="1:28" x14ac:dyDescent="0.25">
      <c r="A317" t="s">
        <v>1027</v>
      </c>
      <c r="D317" t="s">
        <v>30</v>
      </c>
      <c r="E317" t="s">
        <v>543</v>
      </c>
      <c r="F317">
        <v>7</v>
      </c>
      <c r="G317">
        <v>2</v>
      </c>
      <c r="H317">
        <v>3</v>
      </c>
      <c r="I317">
        <v>5</v>
      </c>
      <c r="N317" t="s">
        <v>153</v>
      </c>
      <c r="O317">
        <v>6</v>
      </c>
      <c r="P317" t="s">
        <v>153</v>
      </c>
      <c r="Q317">
        <v>4</v>
      </c>
      <c r="R317">
        <v>4</v>
      </c>
      <c r="S317">
        <v>6</v>
      </c>
      <c r="T317">
        <v>4</v>
      </c>
      <c r="U317">
        <v>7</v>
      </c>
      <c r="V317">
        <v>4</v>
      </c>
    </row>
    <row r="318" spans="1:28" hidden="1" x14ac:dyDescent="0.25">
      <c r="A318" t="s">
        <v>1030</v>
      </c>
      <c r="D318" t="s">
        <v>29</v>
      </c>
      <c r="E318" t="s">
        <v>121</v>
      </c>
      <c r="F318">
        <v>12</v>
      </c>
      <c r="G318">
        <v>2</v>
      </c>
      <c r="H318">
        <v>1</v>
      </c>
      <c r="I318">
        <v>5.25</v>
      </c>
      <c r="N318">
        <v>7</v>
      </c>
      <c r="O318">
        <v>6</v>
      </c>
      <c r="P318">
        <v>5</v>
      </c>
      <c r="Q318" t="s">
        <v>153</v>
      </c>
      <c r="R318">
        <v>5</v>
      </c>
      <c r="S318">
        <v>4</v>
      </c>
      <c r="T318">
        <v>5</v>
      </c>
      <c r="U318">
        <v>4</v>
      </c>
      <c r="V318">
        <v>7</v>
      </c>
      <c r="W318" t="s">
        <v>153</v>
      </c>
      <c r="X318">
        <v>4</v>
      </c>
      <c r="Y318">
        <v>6</v>
      </c>
      <c r="AA318">
        <v>4</v>
      </c>
      <c r="AB318">
        <v>6</v>
      </c>
    </row>
    <row r="319" spans="1:28" hidden="1" x14ac:dyDescent="0.25">
      <c r="A319" t="s">
        <v>1032</v>
      </c>
      <c r="D319" t="s">
        <v>30</v>
      </c>
      <c r="E319" t="s">
        <v>150</v>
      </c>
    </row>
    <row r="320" spans="1:28" hidden="1" x14ac:dyDescent="0.25">
      <c r="A320" t="s">
        <v>1032</v>
      </c>
      <c r="D320" t="s">
        <v>30</v>
      </c>
      <c r="E320" t="s">
        <v>337</v>
      </c>
    </row>
    <row r="321" spans="1:28" hidden="1" x14ac:dyDescent="0.25">
      <c r="A321" t="s">
        <v>1032</v>
      </c>
      <c r="D321" t="s">
        <v>30</v>
      </c>
      <c r="E321" t="s">
        <v>367</v>
      </c>
      <c r="G321">
        <v>1</v>
      </c>
      <c r="Q321" t="s">
        <v>153</v>
      </c>
    </row>
    <row r="322" spans="1:28" x14ac:dyDescent="0.25">
      <c r="A322" t="s">
        <v>1029</v>
      </c>
      <c r="D322" t="s">
        <v>30</v>
      </c>
      <c r="E322" t="s">
        <v>264</v>
      </c>
      <c r="F322">
        <v>10</v>
      </c>
      <c r="G322">
        <v>4</v>
      </c>
      <c r="H322">
        <v>3</v>
      </c>
      <c r="I322">
        <v>5.0909090909090908</v>
      </c>
      <c r="L322">
        <v>5</v>
      </c>
      <c r="M322">
        <v>6</v>
      </c>
      <c r="N322">
        <v>5</v>
      </c>
      <c r="O322" t="s">
        <v>153</v>
      </c>
      <c r="P322">
        <v>5</v>
      </c>
      <c r="S322" t="s">
        <v>153</v>
      </c>
      <c r="T322">
        <v>5</v>
      </c>
      <c r="U322">
        <v>4</v>
      </c>
      <c r="V322">
        <v>5</v>
      </c>
      <c r="W322">
        <v>7</v>
      </c>
      <c r="X322" t="s">
        <v>153</v>
      </c>
      <c r="Y322">
        <v>4</v>
      </c>
      <c r="AA322">
        <v>5</v>
      </c>
      <c r="AB322">
        <v>5</v>
      </c>
    </row>
    <row r="323" spans="1:28" hidden="1" x14ac:dyDescent="0.25">
      <c r="A323" t="s">
        <v>1033</v>
      </c>
      <c r="D323" t="s">
        <v>8</v>
      </c>
      <c r="E323" t="s">
        <v>528</v>
      </c>
      <c r="F323">
        <v>3</v>
      </c>
      <c r="I323">
        <v>5.666666666666667</v>
      </c>
      <c r="L323">
        <v>7</v>
      </c>
      <c r="M323">
        <v>6</v>
      </c>
      <c r="N323">
        <v>4</v>
      </c>
    </row>
    <row r="324" spans="1:28" hidden="1" x14ac:dyDescent="0.25">
      <c r="A324" t="s">
        <v>1033</v>
      </c>
      <c r="D324" t="s">
        <v>8</v>
      </c>
      <c r="E324" t="s">
        <v>158</v>
      </c>
      <c r="G324">
        <v>1</v>
      </c>
      <c r="K324" t="s">
        <v>153</v>
      </c>
    </row>
    <row r="325" spans="1:28" hidden="1" x14ac:dyDescent="0.25">
      <c r="A325" t="s">
        <v>1034</v>
      </c>
      <c r="D325" t="s">
        <v>11</v>
      </c>
      <c r="E325" t="s">
        <v>173</v>
      </c>
      <c r="F325">
        <v>16</v>
      </c>
      <c r="G325">
        <v>1</v>
      </c>
      <c r="H325">
        <v>1</v>
      </c>
      <c r="I325">
        <v>5.0625</v>
      </c>
      <c r="J325">
        <v>5</v>
      </c>
      <c r="K325">
        <v>5</v>
      </c>
      <c r="L325">
        <v>5</v>
      </c>
      <c r="M325">
        <v>6</v>
      </c>
      <c r="N325">
        <v>6</v>
      </c>
      <c r="O325">
        <v>5</v>
      </c>
      <c r="Q325">
        <v>6</v>
      </c>
      <c r="R325">
        <v>4</v>
      </c>
      <c r="S325">
        <v>5</v>
      </c>
      <c r="U325">
        <v>5</v>
      </c>
      <c r="V325">
        <v>6</v>
      </c>
      <c r="W325">
        <v>4</v>
      </c>
      <c r="X325">
        <v>5</v>
      </c>
      <c r="Y325" t="s">
        <v>153</v>
      </c>
      <c r="Z325">
        <v>4</v>
      </c>
      <c r="AA325">
        <v>5</v>
      </c>
      <c r="AB325">
        <v>5</v>
      </c>
    </row>
    <row r="326" spans="1:28" hidden="1" x14ac:dyDescent="0.25">
      <c r="A326" t="s">
        <v>1033</v>
      </c>
      <c r="D326" t="s">
        <v>11</v>
      </c>
      <c r="E326" t="s">
        <v>353</v>
      </c>
      <c r="F326">
        <v>10</v>
      </c>
      <c r="G326">
        <v>2</v>
      </c>
      <c r="I326">
        <v>5</v>
      </c>
      <c r="K326">
        <v>5</v>
      </c>
      <c r="L326">
        <v>6</v>
      </c>
      <c r="O326" t="s">
        <v>153</v>
      </c>
      <c r="P326">
        <v>5</v>
      </c>
      <c r="Q326">
        <v>5</v>
      </c>
      <c r="R326">
        <v>5</v>
      </c>
      <c r="T326">
        <v>5</v>
      </c>
      <c r="U326">
        <v>4</v>
      </c>
      <c r="W326">
        <v>4</v>
      </c>
      <c r="X326">
        <v>5</v>
      </c>
      <c r="Y326">
        <v>6</v>
      </c>
      <c r="Z326">
        <v>5</v>
      </c>
    </row>
    <row r="327" spans="1:28" hidden="1" x14ac:dyDescent="0.25">
      <c r="A327" t="s">
        <v>1033</v>
      </c>
      <c r="D327" t="s">
        <v>11</v>
      </c>
      <c r="E327" t="s">
        <v>160</v>
      </c>
      <c r="F327">
        <v>5</v>
      </c>
      <c r="I327">
        <v>5</v>
      </c>
      <c r="J327">
        <v>5</v>
      </c>
      <c r="K327">
        <v>6</v>
      </c>
      <c r="L327">
        <v>5</v>
      </c>
      <c r="M327" t="s">
        <v>554</v>
      </c>
      <c r="P327">
        <v>4</v>
      </c>
    </row>
    <row r="328" spans="1:28" hidden="1" x14ac:dyDescent="0.25">
      <c r="A328" t="s">
        <v>1033</v>
      </c>
      <c r="D328" t="s">
        <v>11</v>
      </c>
      <c r="E328" t="s">
        <v>168</v>
      </c>
    </row>
    <row r="329" spans="1:28" hidden="1" x14ac:dyDescent="0.25">
      <c r="A329" t="s">
        <v>1033</v>
      </c>
      <c r="D329" t="s">
        <v>11</v>
      </c>
      <c r="E329" t="s">
        <v>199</v>
      </c>
      <c r="F329">
        <v>9</v>
      </c>
      <c r="G329">
        <v>2</v>
      </c>
      <c r="I329">
        <v>4.8888888888888893</v>
      </c>
      <c r="K329">
        <v>5</v>
      </c>
      <c r="M329">
        <v>5</v>
      </c>
      <c r="Q329">
        <v>5</v>
      </c>
      <c r="R329">
        <v>4</v>
      </c>
      <c r="S329">
        <v>5</v>
      </c>
      <c r="T329">
        <v>5</v>
      </c>
      <c r="V329" t="s">
        <v>153</v>
      </c>
      <c r="X329">
        <v>5</v>
      </c>
      <c r="Y329">
        <v>6</v>
      </c>
      <c r="Z329">
        <v>4</v>
      </c>
      <c r="AA329" t="s">
        <v>153</v>
      </c>
    </row>
    <row r="330" spans="1:28" hidden="1" x14ac:dyDescent="0.25">
      <c r="A330" t="s">
        <v>1033</v>
      </c>
      <c r="D330" t="s">
        <v>11</v>
      </c>
      <c r="E330" t="s">
        <v>167</v>
      </c>
      <c r="F330">
        <v>17</v>
      </c>
      <c r="H330">
        <v>2</v>
      </c>
      <c r="I330">
        <v>5.0588235294117645</v>
      </c>
      <c r="J330">
        <v>5</v>
      </c>
      <c r="L330">
        <v>6</v>
      </c>
      <c r="M330">
        <v>3</v>
      </c>
      <c r="N330">
        <v>6</v>
      </c>
      <c r="O330">
        <v>5</v>
      </c>
      <c r="P330">
        <v>5</v>
      </c>
      <c r="Q330">
        <v>6</v>
      </c>
      <c r="S330">
        <v>4</v>
      </c>
      <c r="T330">
        <v>5</v>
      </c>
      <c r="U330">
        <v>5</v>
      </c>
      <c r="V330">
        <v>5</v>
      </c>
      <c r="W330">
        <v>5</v>
      </c>
      <c r="X330">
        <v>6</v>
      </c>
      <c r="Y330">
        <v>4</v>
      </c>
      <c r="Z330">
        <v>4</v>
      </c>
      <c r="AA330">
        <v>6</v>
      </c>
      <c r="AB330">
        <v>6</v>
      </c>
    </row>
    <row r="331" spans="1:28" hidden="1" x14ac:dyDescent="0.25">
      <c r="A331" t="s">
        <v>1033</v>
      </c>
      <c r="D331" t="s">
        <v>29</v>
      </c>
      <c r="E331" t="s">
        <v>187</v>
      </c>
      <c r="F331">
        <v>17</v>
      </c>
      <c r="G331">
        <v>2</v>
      </c>
      <c r="H331">
        <v>1</v>
      </c>
      <c r="I331">
        <v>5.2352941176470589</v>
      </c>
      <c r="J331">
        <v>5</v>
      </c>
      <c r="K331">
        <v>5</v>
      </c>
      <c r="L331">
        <v>6</v>
      </c>
      <c r="M331">
        <v>5</v>
      </c>
      <c r="N331">
        <v>4</v>
      </c>
      <c r="O331">
        <v>5</v>
      </c>
      <c r="P331">
        <v>6</v>
      </c>
      <c r="Q331">
        <v>5</v>
      </c>
      <c r="R331">
        <v>5</v>
      </c>
      <c r="S331">
        <v>6</v>
      </c>
      <c r="T331">
        <v>5</v>
      </c>
      <c r="U331">
        <v>5</v>
      </c>
      <c r="V331">
        <v>6</v>
      </c>
      <c r="W331">
        <v>4</v>
      </c>
      <c r="X331" t="s">
        <v>153</v>
      </c>
      <c r="Y331">
        <v>6</v>
      </c>
      <c r="Z331" t="s">
        <v>153</v>
      </c>
      <c r="AA331">
        <v>6</v>
      </c>
      <c r="AB331">
        <v>5</v>
      </c>
    </row>
    <row r="332" spans="1:28" hidden="1" x14ac:dyDescent="0.25">
      <c r="A332" t="s">
        <v>1033</v>
      </c>
      <c r="D332" t="s">
        <v>11</v>
      </c>
      <c r="E332" t="s">
        <v>175</v>
      </c>
      <c r="F332">
        <v>2</v>
      </c>
      <c r="G332">
        <v>2</v>
      </c>
      <c r="I332">
        <v>4</v>
      </c>
      <c r="K332" t="s">
        <v>153</v>
      </c>
      <c r="L332" t="s">
        <v>153</v>
      </c>
      <c r="N332">
        <v>3</v>
      </c>
      <c r="Y332">
        <v>5</v>
      </c>
    </row>
    <row r="333" spans="1:28" hidden="1" x14ac:dyDescent="0.25">
      <c r="A333" t="s">
        <v>1023</v>
      </c>
      <c r="D333" t="s">
        <v>11</v>
      </c>
      <c r="E333" t="s">
        <v>33</v>
      </c>
      <c r="F333">
        <v>17</v>
      </c>
      <c r="I333">
        <v>5.0588235294117645</v>
      </c>
      <c r="K333">
        <v>5</v>
      </c>
      <c r="L333">
        <v>6</v>
      </c>
      <c r="M333">
        <v>5</v>
      </c>
      <c r="N333">
        <v>5</v>
      </c>
      <c r="O333">
        <v>5</v>
      </c>
      <c r="P333">
        <v>5</v>
      </c>
      <c r="Q333">
        <v>5</v>
      </c>
      <c r="R333">
        <v>5</v>
      </c>
      <c r="S333">
        <v>5</v>
      </c>
      <c r="T333">
        <v>4</v>
      </c>
      <c r="U333">
        <v>6</v>
      </c>
      <c r="W333">
        <v>6</v>
      </c>
      <c r="X333">
        <v>4</v>
      </c>
      <c r="Y333">
        <v>5</v>
      </c>
      <c r="Z333">
        <v>5</v>
      </c>
      <c r="AA333">
        <v>5</v>
      </c>
      <c r="AB333">
        <v>5</v>
      </c>
    </row>
    <row r="334" spans="1:28" hidden="1" x14ac:dyDescent="0.25">
      <c r="A334" t="s">
        <v>1033</v>
      </c>
      <c r="D334" t="s">
        <v>29</v>
      </c>
      <c r="E334" t="s">
        <v>164</v>
      </c>
      <c r="F334">
        <v>16</v>
      </c>
      <c r="G334">
        <v>1</v>
      </c>
      <c r="I334">
        <v>5</v>
      </c>
      <c r="J334">
        <v>5</v>
      </c>
      <c r="K334">
        <v>5</v>
      </c>
      <c r="L334">
        <v>5</v>
      </c>
      <c r="M334">
        <v>5</v>
      </c>
      <c r="N334">
        <v>5</v>
      </c>
      <c r="O334">
        <v>5</v>
      </c>
      <c r="P334">
        <v>4</v>
      </c>
      <c r="Q334">
        <v>5</v>
      </c>
      <c r="R334" t="s">
        <v>546</v>
      </c>
      <c r="S334">
        <v>5</v>
      </c>
      <c r="T334">
        <v>5</v>
      </c>
      <c r="U334">
        <v>6</v>
      </c>
      <c r="V334">
        <v>5</v>
      </c>
      <c r="W334">
        <v>5</v>
      </c>
      <c r="X334">
        <v>5</v>
      </c>
      <c r="Z334">
        <v>4</v>
      </c>
      <c r="AB334">
        <v>6</v>
      </c>
    </row>
    <row r="335" spans="1:28" hidden="1" x14ac:dyDescent="0.25">
      <c r="A335" t="s">
        <v>1033</v>
      </c>
      <c r="D335" t="s">
        <v>29</v>
      </c>
      <c r="E335" t="s">
        <v>292</v>
      </c>
    </row>
    <row r="336" spans="1:28" hidden="1" x14ac:dyDescent="0.25">
      <c r="A336" t="s">
        <v>1033</v>
      </c>
      <c r="D336" t="s">
        <v>29</v>
      </c>
      <c r="E336" t="s">
        <v>165</v>
      </c>
    </row>
    <row r="337" spans="1:28" hidden="1" x14ac:dyDescent="0.25">
      <c r="A337" t="s">
        <v>1033</v>
      </c>
      <c r="D337" t="s">
        <v>29</v>
      </c>
      <c r="E337" t="s">
        <v>368</v>
      </c>
      <c r="G337">
        <v>3</v>
      </c>
      <c r="H337">
        <v>2</v>
      </c>
      <c r="I337">
        <v>5</v>
      </c>
      <c r="Z337" t="s">
        <v>153</v>
      </c>
      <c r="AA337" t="s">
        <v>153</v>
      </c>
      <c r="AB337">
        <v>5</v>
      </c>
    </row>
    <row r="338" spans="1:28" hidden="1" x14ac:dyDescent="0.25">
      <c r="A338" t="s">
        <v>1033</v>
      </c>
      <c r="D338" t="s">
        <v>29</v>
      </c>
      <c r="E338" t="s">
        <v>290</v>
      </c>
      <c r="F338">
        <v>1</v>
      </c>
      <c r="G338">
        <v>3</v>
      </c>
      <c r="I338">
        <v>4</v>
      </c>
      <c r="J338" t="s">
        <v>153</v>
      </c>
      <c r="K338">
        <v>4</v>
      </c>
      <c r="L338" t="s">
        <v>153</v>
      </c>
      <c r="Q338" t="s">
        <v>153</v>
      </c>
    </row>
    <row r="339" spans="1:28" hidden="1" x14ac:dyDescent="0.25">
      <c r="A339" t="s">
        <v>1027</v>
      </c>
      <c r="D339" t="s">
        <v>29</v>
      </c>
      <c r="E339" t="s">
        <v>61</v>
      </c>
      <c r="F339">
        <v>13</v>
      </c>
      <c r="G339">
        <v>3</v>
      </c>
      <c r="H339">
        <v>4</v>
      </c>
      <c r="I339">
        <v>5.2307692307692308</v>
      </c>
      <c r="L339">
        <v>4</v>
      </c>
      <c r="M339">
        <v>6</v>
      </c>
      <c r="N339">
        <v>5</v>
      </c>
      <c r="O339">
        <v>4</v>
      </c>
      <c r="P339" t="s">
        <v>153</v>
      </c>
      <c r="Q339">
        <v>5</v>
      </c>
      <c r="R339">
        <v>5</v>
      </c>
      <c r="S339">
        <v>7</v>
      </c>
      <c r="T339">
        <v>4</v>
      </c>
      <c r="U339">
        <v>7</v>
      </c>
      <c r="V339">
        <v>4</v>
      </c>
      <c r="W339" t="s">
        <v>546</v>
      </c>
      <c r="X339">
        <v>7</v>
      </c>
      <c r="Y339">
        <v>5</v>
      </c>
      <c r="Z339" t="s">
        <v>153</v>
      </c>
      <c r="AB339">
        <v>5</v>
      </c>
    </row>
    <row r="340" spans="1:28" hidden="1" x14ac:dyDescent="0.25">
      <c r="A340" t="s">
        <v>1033</v>
      </c>
      <c r="D340" t="s">
        <v>29</v>
      </c>
      <c r="E340" t="s">
        <v>371</v>
      </c>
      <c r="F340">
        <v>8</v>
      </c>
      <c r="G340">
        <v>3</v>
      </c>
      <c r="I340">
        <v>5.5714285714285712</v>
      </c>
      <c r="J340">
        <v>6</v>
      </c>
      <c r="M340" t="s">
        <v>153</v>
      </c>
      <c r="N340">
        <v>4</v>
      </c>
      <c r="O340">
        <v>4</v>
      </c>
      <c r="Q340">
        <v>6</v>
      </c>
      <c r="R340" t="s">
        <v>153</v>
      </c>
      <c r="S340">
        <v>6</v>
      </c>
      <c r="T340" t="s">
        <v>153</v>
      </c>
      <c r="U340">
        <v>8</v>
      </c>
      <c r="V340">
        <v>5</v>
      </c>
    </row>
    <row r="341" spans="1:28" hidden="1" x14ac:dyDescent="0.25">
      <c r="A341" t="s">
        <v>1033</v>
      </c>
      <c r="D341" t="s">
        <v>29</v>
      </c>
      <c r="E341" t="s">
        <v>51</v>
      </c>
      <c r="F341">
        <v>16</v>
      </c>
      <c r="G341">
        <v>1</v>
      </c>
      <c r="H341">
        <v>3</v>
      </c>
      <c r="I341">
        <v>4.9333333333333336</v>
      </c>
      <c r="J341" t="s">
        <v>153</v>
      </c>
      <c r="K341">
        <v>7</v>
      </c>
      <c r="L341">
        <v>5</v>
      </c>
      <c r="M341">
        <v>6</v>
      </c>
      <c r="N341">
        <v>3</v>
      </c>
      <c r="O341">
        <v>5</v>
      </c>
      <c r="P341">
        <v>4</v>
      </c>
      <c r="Q341">
        <v>5</v>
      </c>
      <c r="R341">
        <v>5</v>
      </c>
      <c r="S341">
        <v>4</v>
      </c>
      <c r="T341">
        <v>5</v>
      </c>
      <c r="U341">
        <v>6</v>
      </c>
      <c r="V341">
        <v>6</v>
      </c>
      <c r="W341" t="s">
        <v>546</v>
      </c>
      <c r="X341">
        <v>5</v>
      </c>
      <c r="Y341">
        <v>4</v>
      </c>
      <c r="Z341">
        <v>5</v>
      </c>
      <c r="AB341">
        <v>5</v>
      </c>
    </row>
    <row r="342" spans="1:28" hidden="1" x14ac:dyDescent="0.25">
      <c r="A342" t="s">
        <v>1033</v>
      </c>
      <c r="D342" t="s">
        <v>29</v>
      </c>
      <c r="E342" t="s">
        <v>182</v>
      </c>
      <c r="F342">
        <v>5</v>
      </c>
      <c r="G342">
        <v>3</v>
      </c>
      <c r="I342">
        <v>4.2</v>
      </c>
      <c r="N342" t="s">
        <v>153</v>
      </c>
      <c r="S342">
        <v>4</v>
      </c>
      <c r="T342">
        <v>4</v>
      </c>
      <c r="W342">
        <v>4</v>
      </c>
      <c r="Y342" t="s">
        <v>153</v>
      </c>
      <c r="Z342">
        <v>4</v>
      </c>
      <c r="AA342" t="s">
        <v>153</v>
      </c>
      <c r="AB342">
        <v>5</v>
      </c>
    </row>
    <row r="343" spans="1:28" hidden="1" x14ac:dyDescent="0.25">
      <c r="A343" t="s">
        <v>1033</v>
      </c>
      <c r="D343" t="s">
        <v>29</v>
      </c>
      <c r="E343" t="s">
        <v>169</v>
      </c>
      <c r="F343">
        <v>5</v>
      </c>
      <c r="G343">
        <v>5</v>
      </c>
      <c r="H343">
        <v>1</v>
      </c>
      <c r="I343">
        <v>4</v>
      </c>
      <c r="O343" t="s">
        <v>153</v>
      </c>
      <c r="P343" t="s">
        <v>153</v>
      </c>
      <c r="R343" t="s">
        <v>153</v>
      </c>
      <c r="T343" t="s">
        <v>153</v>
      </c>
      <c r="U343" t="s">
        <v>153</v>
      </c>
      <c r="V343">
        <v>4</v>
      </c>
      <c r="X343">
        <v>4</v>
      </c>
      <c r="Y343" t="s">
        <v>153</v>
      </c>
      <c r="Z343">
        <v>4</v>
      </c>
      <c r="AA343">
        <v>4</v>
      </c>
      <c r="AB343">
        <v>4</v>
      </c>
    </row>
    <row r="344" spans="1:28" hidden="1" x14ac:dyDescent="0.25">
      <c r="A344" t="s">
        <v>1033</v>
      </c>
      <c r="D344" t="s">
        <v>29</v>
      </c>
      <c r="E344" t="s">
        <v>639</v>
      </c>
      <c r="F344">
        <v>7</v>
      </c>
      <c r="G344">
        <v>2</v>
      </c>
      <c r="I344">
        <v>4.2857142857142856</v>
      </c>
      <c r="P344">
        <v>4</v>
      </c>
      <c r="Q344">
        <v>5</v>
      </c>
      <c r="R344">
        <v>4</v>
      </c>
      <c r="U344" t="s">
        <v>153</v>
      </c>
      <c r="X344">
        <v>4</v>
      </c>
      <c r="Y344">
        <v>4</v>
      </c>
      <c r="Z344">
        <v>5</v>
      </c>
      <c r="AA344">
        <v>4</v>
      </c>
      <c r="AB344" t="s">
        <v>153</v>
      </c>
    </row>
    <row r="345" spans="1:28" hidden="1" x14ac:dyDescent="0.25">
      <c r="A345" t="s">
        <v>1033</v>
      </c>
      <c r="D345" t="s">
        <v>29</v>
      </c>
      <c r="E345" t="s">
        <v>390</v>
      </c>
      <c r="G345">
        <v>1</v>
      </c>
      <c r="W345" t="s">
        <v>153</v>
      </c>
    </row>
    <row r="346" spans="1:28" x14ac:dyDescent="0.25">
      <c r="A346" t="s">
        <v>1030</v>
      </c>
      <c r="D346" t="s">
        <v>30</v>
      </c>
      <c r="E346" t="s">
        <v>519</v>
      </c>
      <c r="F346">
        <v>9</v>
      </c>
      <c r="H346">
        <v>3</v>
      </c>
      <c r="I346">
        <v>5.125</v>
      </c>
      <c r="K346">
        <v>4</v>
      </c>
      <c r="N346">
        <v>7</v>
      </c>
      <c r="O346">
        <v>4</v>
      </c>
      <c r="P346">
        <v>6</v>
      </c>
      <c r="Q346">
        <v>4</v>
      </c>
      <c r="R346">
        <v>6</v>
      </c>
      <c r="T346">
        <v>6</v>
      </c>
      <c r="U346" t="s">
        <v>554</v>
      </c>
      <c r="AB346">
        <v>4</v>
      </c>
    </row>
    <row r="347" spans="1:28" x14ac:dyDescent="0.25">
      <c r="A347" t="s">
        <v>1039</v>
      </c>
      <c r="B347" t="s">
        <v>1043</v>
      </c>
      <c r="D347" t="s">
        <v>30</v>
      </c>
      <c r="E347" t="s">
        <v>86</v>
      </c>
      <c r="F347">
        <v>14</v>
      </c>
      <c r="G347">
        <v>1</v>
      </c>
      <c r="H347">
        <v>3</v>
      </c>
      <c r="I347">
        <v>5.2857142857142856</v>
      </c>
      <c r="N347">
        <v>6</v>
      </c>
      <c r="O347">
        <v>7</v>
      </c>
      <c r="P347">
        <v>4</v>
      </c>
      <c r="Q347">
        <v>7</v>
      </c>
      <c r="R347">
        <v>5</v>
      </c>
      <c r="S347">
        <v>5</v>
      </c>
      <c r="T347">
        <v>5</v>
      </c>
      <c r="U347" t="s">
        <v>153</v>
      </c>
      <c r="V347">
        <v>4</v>
      </c>
      <c r="W347">
        <v>4</v>
      </c>
      <c r="X347">
        <v>6</v>
      </c>
      <c r="Y347">
        <v>6</v>
      </c>
      <c r="Z347">
        <v>5</v>
      </c>
      <c r="AA347">
        <v>5</v>
      </c>
      <c r="AB347">
        <v>5</v>
      </c>
    </row>
    <row r="348" spans="1:28" hidden="1" x14ac:dyDescent="0.25">
      <c r="A348" t="s">
        <v>1033</v>
      </c>
      <c r="D348" t="s">
        <v>30</v>
      </c>
      <c r="E348" t="s">
        <v>328</v>
      </c>
      <c r="F348">
        <v>5</v>
      </c>
      <c r="H348">
        <v>1</v>
      </c>
      <c r="I348">
        <v>4</v>
      </c>
      <c r="J348">
        <v>5</v>
      </c>
      <c r="K348">
        <v>4</v>
      </c>
      <c r="L348">
        <v>4</v>
      </c>
      <c r="M348">
        <v>3</v>
      </c>
      <c r="P348" t="s">
        <v>554</v>
      </c>
    </row>
    <row r="349" spans="1:28" hidden="1" x14ac:dyDescent="0.25">
      <c r="A349" t="s">
        <v>1033</v>
      </c>
      <c r="D349" t="s">
        <v>30</v>
      </c>
      <c r="E349" t="s">
        <v>369</v>
      </c>
    </row>
    <row r="350" spans="1:28" hidden="1" x14ac:dyDescent="0.25">
      <c r="A350" t="s">
        <v>1033</v>
      </c>
      <c r="D350" t="s">
        <v>30</v>
      </c>
      <c r="E350" t="s">
        <v>505</v>
      </c>
      <c r="F350">
        <v>2</v>
      </c>
      <c r="G350">
        <v>5</v>
      </c>
      <c r="H350">
        <v>1</v>
      </c>
      <c r="I350">
        <v>4.333333333333333</v>
      </c>
      <c r="J350" t="s">
        <v>153</v>
      </c>
      <c r="L350" t="s">
        <v>153</v>
      </c>
      <c r="M350">
        <v>5</v>
      </c>
      <c r="O350" t="s">
        <v>153</v>
      </c>
      <c r="Q350" t="s">
        <v>153</v>
      </c>
      <c r="R350">
        <v>4</v>
      </c>
      <c r="AA350">
        <v>4</v>
      </c>
    </row>
    <row r="351" spans="1:28" hidden="1" x14ac:dyDescent="0.25">
      <c r="A351" t="s">
        <v>1032</v>
      </c>
      <c r="B351" t="s">
        <v>1043</v>
      </c>
      <c r="D351" t="s">
        <v>11</v>
      </c>
      <c r="E351" t="s">
        <v>138</v>
      </c>
      <c r="F351">
        <v>18</v>
      </c>
      <c r="H351">
        <v>1</v>
      </c>
      <c r="I351">
        <v>5.0555555555555554</v>
      </c>
      <c r="J351">
        <v>5</v>
      </c>
      <c r="K351">
        <v>5</v>
      </c>
      <c r="L351">
        <v>6</v>
      </c>
      <c r="M351">
        <v>5</v>
      </c>
      <c r="N351">
        <v>5</v>
      </c>
      <c r="O351">
        <v>5</v>
      </c>
      <c r="P351">
        <v>5</v>
      </c>
      <c r="Q351">
        <v>5</v>
      </c>
      <c r="R351">
        <v>4</v>
      </c>
      <c r="T351">
        <v>4</v>
      </c>
      <c r="U351">
        <v>4</v>
      </c>
      <c r="V351">
        <v>4</v>
      </c>
      <c r="W351">
        <v>4</v>
      </c>
      <c r="X351">
        <v>5</v>
      </c>
      <c r="Y351">
        <v>8</v>
      </c>
      <c r="Z351">
        <v>6</v>
      </c>
      <c r="AA351">
        <v>6</v>
      </c>
      <c r="AB351">
        <v>5</v>
      </c>
    </row>
    <row r="352" spans="1:28" hidden="1" x14ac:dyDescent="0.25">
      <c r="A352" t="s">
        <v>1034</v>
      </c>
      <c r="D352" t="s">
        <v>8</v>
      </c>
      <c r="E352" t="s">
        <v>371</v>
      </c>
      <c r="F352">
        <v>7</v>
      </c>
      <c r="I352">
        <v>5.1428571428571432</v>
      </c>
      <c r="N352">
        <v>6</v>
      </c>
      <c r="O352">
        <v>5</v>
      </c>
      <c r="P352">
        <v>4</v>
      </c>
      <c r="Q352">
        <v>5</v>
      </c>
      <c r="R352">
        <v>6</v>
      </c>
      <c r="S352">
        <v>4</v>
      </c>
      <c r="T352">
        <v>6</v>
      </c>
    </row>
    <row r="353" spans="1:28" hidden="1" x14ac:dyDescent="0.25">
      <c r="A353" t="s">
        <v>1034</v>
      </c>
      <c r="D353" t="s">
        <v>8</v>
      </c>
      <c r="E353" t="s">
        <v>297</v>
      </c>
    </row>
    <row r="354" spans="1:28" hidden="1" x14ac:dyDescent="0.25">
      <c r="A354" t="s">
        <v>1042</v>
      </c>
      <c r="B354" t="s">
        <v>1043</v>
      </c>
      <c r="D354" t="s">
        <v>11</v>
      </c>
      <c r="E354" t="s">
        <v>425</v>
      </c>
      <c r="F354">
        <v>19</v>
      </c>
      <c r="I354">
        <v>5.0526315789473681</v>
      </c>
      <c r="J354">
        <v>6</v>
      </c>
      <c r="K354">
        <v>5</v>
      </c>
      <c r="L354">
        <v>6</v>
      </c>
      <c r="M354">
        <v>4</v>
      </c>
      <c r="N354">
        <v>4</v>
      </c>
      <c r="O354">
        <v>5</v>
      </c>
      <c r="P354">
        <v>6</v>
      </c>
      <c r="Q354">
        <v>5</v>
      </c>
      <c r="R354">
        <v>5</v>
      </c>
      <c r="S354">
        <v>4</v>
      </c>
      <c r="T354">
        <v>5</v>
      </c>
      <c r="U354">
        <v>4</v>
      </c>
      <c r="V354">
        <v>5</v>
      </c>
      <c r="W354">
        <v>6</v>
      </c>
      <c r="X354">
        <v>5</v>
      </c>
      <c r="Y354">
        <v>5</v>
      </c>
      <c r="Z354">
        <v>6</v>
      </c>
      <c r="AA354">
        <v>5</v>
      </c>
      <c r="AB354">
        <v>5</v>
      </c>
    </row>
    <row r="355" spans="1:28" hidden="1" x14ac:dyDescent="0.25">
      <c r="A355" t="s">
        <v>1034</v>
      </c>
      <c r="D355" t="s">
        <v>11</v>
      </c>
      <c r="E355" t="s">
        <v>174</v>
      </c>
      <c r="F355">
        <v>4</v>
      </c>
      <c r="G355">
        <v>2</v>
      </c>
      <c r="I355">
        <v>5.25</v>
      </c>
      <c r="N355" t="s">
        <v>153</v>
      </c>
      <c r="P355">
        <v>6</v>
      </c>
      <c r="R355" t="s">
        <v>153</v>
      </c>
      <c r="Z355">
        <v>5</v>
      </c>
      <c r="AA355">
        <v>5</v>
      </c>
      <c r="AB355">
        <v>5</v>
      </c>
    </row>
    <row r="356" spans="1:28" hidden="1" x14ac:dyDescent="0.25">
      <c r="A356" t="s">
        <v>1034</v>
      </c>
      <c r="D356" t="s">
        <v>11</v>
      </c>
      <c r="E356" t="s">
        <v>293</v>
      </c>
      <c r="F356">
        <v>10</v>
      </c>
      <c r="I356">
        <v>4.7</v>
      </c>
      <c r="J356">
        <v>5</v>
      </c>
      <c r="K356">
        <v>5</v>
      </c>
      <c r="L356">
        <v>4</v>
      </c>
      <c r="M356">
        <v>5</v>
      </c>
      <c r="N356">
        <v>5</v>
      </c>
      <c r="O356">
        <v>5</v>
      </c>
      <c r="P356">
        <v>4</v>
      </c>
      <c r="Q356">
        <v>4</v>
      </c>
      <c r="X356">
        <v>5</v>
      </c>
      <c r="Y356">
        <v>5</v>
      </c>
    </row>
    <row r="357" spans="1:28" hidden="1" x14ac:dyDescent="0.25">
      <c r="A357" t="s">
        <v>1034</v>
      </c>
      <c r="D357" t="s">
        <v>11</v>
      </c>
      <c r="E357" t="s">
        <v>296</v>
      </c>
    </row>
    <row r="358" spans="1:28" hidden="1" x14ac:dyDescent="0.25">
      <c r="A358" t="s">
        <v>1030</v>
      </c>
      <c r="D358" t="s">
        <v>29</v>
      </c>
      <c r="E358" t="s">
        <v>387</v>
      </c>
      <c r="F358">
        <v>18</v>
      </c>
      <c r="H358">
        <v>2</v>
      </c>
      <c r="I358">
        <v>5.2222222222222223</v>
      </c>
      <c r="K358">
        <v>5</v>
      </c>
      <c r="L358">
        <v>3</v>
      </c>
      <c r="M358">
        <v>5</v>
      </c>
      <c r="N358">
        <v>5</v>
      </c>
      <c r="O358">
        <v>7</v>
      </c>
      <c r="P358">
        <v>6</v>
      </c>
      <c r="Q358">
        <v>5</v>
      </c>
      <c r="R358">
        <v>5</v>
      </c>
      <c r="S358">
        <v>4</v>
      </c>
      <c r="T358">
        <v>6</v>
      </c>
      <c r="U358">
        <v>5</v>
      </c>
      <c r="V358">
        <v>7</v>
      </c>
      <c r="W358">
        <v>5</v>
      </c>
      <c r="X358">
        <v>5</v>
      </c>
      <c r="Y358">
        <v>6</v>
      </c>
      <c r="Z358">
        <v>5</v>
      </c>
      <c r="AA358">
        <v>5</v>
      </c>
      <c r="AB358">
        <v>5</v>
      </c>
    </row>
    <row r="359" spans="1:28" hidden="1" x14ac:dyDescent="0.25">
      <c r="A359" t="s">
        <v>1023</v>
      </c>
      <c r="D359" t="s">
        <v>11</v>
      </c>
      <c r="E359" t="s">
        <v>464</v>
      </c>
      <c r="F359">
        <v>13</v>
      </c>
      <c r="H359">
        <v>1</v>
      </c>
      <c r="I359">
        <v>5</v>
      </c>
      <c r="J359">
        <v>5</v>
      </c>
      <c r="K359">
        <v>5</v>
      </c>
      <c r="L359">
        <v>5</v>
      </c>
      <c r="M359">
        <v>5</v>
      </c>
      <c r="N359">
        <v>5</v>
      </c>
      <c r="O359">
        <v>6</v>
      </c>
      <c r="P359">
        <v>4</v>
      </c>
      <c r="U359">
        <v>6</v>
      </c>
      <c r="V359">
        <v>4</v>
      </c>
      <c r="W359">
        <v>5</v>
      </c>
      <c r="X359">
        <v>5</v>
      </c>
      <c r="Y359">
        <v>6</v>
      </c>
      <c r="Z359">
        <v>4</v>
      </c>
    </row>
    <row r="360" spans="1:28" hidden="1" x14ac:dyDescent="0.25">
      <c r="A360" t="s">
        <v>1034</v>
      </c>
      <c r="D360" t="s">
        <v>11</v>
      </c>
      <c r="E360" t="s">
        <v>384</v>
      </c>
      <c r="G360">
        <v>1</v>
      </c>
      <c r="J360">
        <v>4</v>
      </c>
    </row>
    <row r="361" spans="1:28" hidden="1" x14ac:dyDescent="0.25">
      <c r="A361" t="s">
        <v>1023</v>
      </c>
      <c r="D361" t="s">
        <v>11</v>
      </c>
      <c r="E361" t="s">
        <v>531</v>
      </c>
      <c r="F361">
        <v>13</v>
      </c>
      <c r="I361">
        <v>5</v>
      </c>
      <c r="L361">
        <v>5</v>
      </c>
      <c r="M361">
        <v>5</v>
      </c>
      <c r="N361">
        <v>5</v>
      </c>
      <c r="O361">
        <v>5</v>
      </c>
      <c r="Q361">
        <v>5</v>
      </c>
      <c r="R361">
        <v>5</v>
      </c>
      <c r="S361">
        <v>5</v>
      </c>
      <c r="T361">
        <v>5</v>
      </c>
      <c r="U361">
        <v>5</v>
      </c>
      <c r="V361">
        <v>5</v>
      </c>
      <c r="W361">
        <v>6</v>
      </c>
      <c r="Z361">
        <v>4</v>
      </c>
      <c r="AB361">
        <v>5</v>
      </c>
    </row>
    <row r="362" spans="1:28" hidden="1" x14ac:dyDescent="0.25">
      <c r="A362" t="s">
        <v>1029</v>
      </c>
      <c r="D362" t="s">
        <v>11</v>
      </c>
      <c r="E362" t="s">
        <v>393</v>
      </c>
      <c r="F362">
        <v>12</v>
      </c>
      <c r="G362">
        <v>1</v>
      </c>
      <c r="I362">
        <v>5</v>
      </c>
      <c r="J362">
        <v>4</v>
      </c>
      <c r="K362">
        <v>5</v>
      </c>
      <c r="L362" t="s">
        <v>153</v>
      </c>
      <c r="N362">
        <v>5</v>
      </c>
      <c r="P362">
        <v>4</v>
      </c>
      <c r="S362">
        <v>6</v>
      </c>
      <c r="T362" t="s">
        <v>546</v>
      </c>
      <c r="W362">
        <v>5</v>
      </c>
      <c r="X362" t="s">
        <v>555</v>
      </c>
      <c r="Y362">
        <v>6</v>
      </c>
      <c r="Z362">
        <v>5</v>
      </c>
      <c r="AA362">
        <v>5</v>
      </c>
      <c r="AB362">
        <v>5</v>
      </c>
    </row>
    <row r="363" spans="1:28" hidden="1" x14ac:dyDescent="0.25">
      <c r="A363" t="s">
        <v>1034</v>
      </c>
      <c r="D363" t="s">
        <v>11</v>
      </c>
      <c r="E363" t="s">
        <v>42</v>
      </c>
      <c r="F363">
        <v>6</v>
      </c>
      <c r="G363">
        <v>4</v>
      </c>
      <c r="H363">
        <v>1</v>
      </c>
      <c r="I363">
        <v>4.833333333333333</v>
      </c>
      <c r="K363" t="s">
        <v>153</v>
      </c>
      <c r="L363">
        <v>7</v>
      </c>
      <c r="M363">
        <v>4</v>
      </c>
      <c r="N363" t="s">
        <v>153</v>
      </c>
      <c r="O363">
        <v>4</v>
      </c>
      <c r="Q363">
        <v>5</v>
      </c>
      <c r="S363" t="s">
        <v>153</v>
      </c>
      <c r="T363">
        <v>5</v>
      </c>
      <c r="V363" t="s">
        <v>153</v>
      </c>
      <c r="Y363">
        <v>4</v>
      </c>
    </row>
    <row r="364" spans="1:28" hidden="1" x14ac:dyDescent="0.25">
      <c r="A364" t="s">
        <v>1034</v>
      </c>
      <c r="D364" t="s">
        <v>11</v>
      </c>
      <c r="E364" t="s">
        <v>139</v>
      </c>
      <c r="F364">
        <v>9</v>
      </c>
      <c r="G364">
        <v>1</v>
      </c>
      <c r="I364">
        <v>4.8888888888888893</v>
      </c>
      <c r="L364" t="s">
        <v>153</v>
      </c>
      <c r="P364">
        <v>5</v>
      </c>
      <c r="R364">
        <v>5</v>
      </c>
      <c r="T364">
        <v>4</v>
      </c>
      <c r="U364">
        <v>5</v>
      </c>
      <c r="X364">
        <v>4</v>
      </c>
      <c r="Y364">
        <v>5</v>
      </c>
      <c r="Z364">
        <v>5</v>
      </c>
      <c r="AA364">
        <v>5</v>
      </c>
      <c r="AB364">
        <v>6</v>
      </c>
    </row>
    <row r="365" spans="1:28" hidden="1" x14ac:dyDescent="0.25">
      <c r="A365" t="s">
        <v>1034</v>
      </c>
      <c r="D365" t="s">
        <v>29</v>
      </c>
      <c r="E365" t="s">
        <v>179</v>
      </c>
      <c r="F365">
        <v>10</v>
      </c>
      <c r="G365">
        <v>3</v>
      </c>
      <c r="H365">
        <v>2</v>
      </c>
      <c r="I365">
        <v>5.4444444444444446</v>
      </c>
      <c r="J365" t="s">
        <v>546</v>
      </c>
      <c r="N365">
        <v>6</v>
      </c>
      <c r="O365">
        <v>5</v>
      </c>
      <c r="P365">
        <v>4</v>
      </c>
      <c r="Q365" t="s">
        <v>153</v>
      </c>
      <c r="R365">
        <v>6</v>
      </c>
      <c r="S365">
        <v>5</v>
      </c>
      <c r="T365" t="s">
        <v>153</v>
      </c>
      <c r="U365">
        <v>5</v>
      </c>
      <c r="V365">
        <v>7</v>
      </c>
      <c r="W365">
        <v>6</v>
      </c>
      <c r="AA365">
        <v>5</v>
      </c>
      <c r="AB365" t="s">
        <v>153</v>
      </c>
    </row>
    <row r="366" spans="1:28" hidden="1" x14ac:dyDescent="0.25">
      <c r="A366" t="s">
        <v>1034</v>
      </c>
      <c r="D366" t="s">
        <v>29</v>
      </c>
      <c r="E366" t="s">
        <v>181</v>
      </c>
    </row>
    <row r="367" spans="1:28" hidden="1" x14ac:dyDescent="0.25">
      <c r="A367" t="s">
        <v>1034</v>
      </c>
      <c r="D367" t="s">
        <v>29</v>
      </c>
      <c r="E367" t="s">
        <v>163</v>
      </c>
      <c r="F367">
        <v>14</v>
      </c>
      <c r="G367">
        <v>1</v>
      </c>
      <c r="I367">
        <v>5</v>
      </c>
      <c r="K367">
        <v>4</v>
      </c>
      <c r="L367">
        <v>4</v>
      </c>
      <c r="M367" t="s">
        <v>153</v>
      </c>
      <c r="N367">
        <v>6</v>
      </c>
      <c r="P367">
        <v>5</v>
      </c>
      <c r="Q367">
        <v>5</v>
      </c>
      <c r="R367">
        <v>5</v>
      </c>
      <c r="T367">
        <v>5</v>
      </c>
      <c r="V367">
        <v>6</v>
      </c>
      <c r="W367">
        <v>4</v>
      </c>
      <c r="X367">
        <v>6</v>
      </c>
      <c r="Y367">
        <v>5</v>
      </c>
      <c r="Z367">
        <v>5</v>
      </c>
      <c r="AA367">
        <v>5</v>
      </c>
      <c r="AB367">
        <v>5</v>
      </c>
    </row>
    <row r="368" spans="1:28" hidden="1" x14ac:dyDescent="0.25">
      <c r="A368" t="s">
        <v>1034</v>
      </c>
      <c r="D368" t="s">
        <v>29</v>
      </c>
      <c r="E368" t="s">
        <v>321</v>
      </c>
    </row>
    <row r="369" spans="1:28" hidden="1" x14ac:dyDescent="0.25">
      <c r="A369" t="s">
        <v>1034</v>
      </c>
      <c r="D369" t="s">
        <v>29</v>
      </c>
      <c r="E369" t="s">
        <v>320</v>
      </c>
    </row>
    <row r="370" spans="1:28" hidden="1" x14ac:dyDescent="0.25">
      <c r="A370" t="s">
        <v>1029</v>
      </c>
      <c r="D370" t="s">
        <v>29</v>
      </c>
      <c r="E370" t="s">
        <v>108</v>
      </c>
      <c r="F370">
        <v>13</v>
      </c>
      <c r="G370">
        <v>3</v>
      </c>
      <c r="H370">
        <v>1</v>
      </c>
      <c r="I370">
        <v>5.2142857142857144</v>
      </c>
      <c r="J370" t="s">
        <v>153</v>
      </c>
      <c r="K370">
        <v>5</v>
      </c>
      <c r="L370">
        <v>6</v>
      </c>
      <c r="M370">
        <v>6</v>
      </c>
      <c r="N370">
        <v>5</v>
      </c>
      <c r="O370">
        <v>4</v>
      </c>
      <c r="P370">
        <v>5</v>
      </c>
      <c r="Q370">
        <v>4</v>
      </c>
      <c r="R370" t="s">
        <v>153</v>
      </c>
      <c r="S370">
        <v>5</v>
      </c>
      <c r="V370">
        <v>6</v>
      </c>
      <c r="W370">
        <v>5</v>
      </c>
      <c r="X370">
        <v>6</v>
      </c>
      <c r="Y370">
        <v>6</v>
      </c>
      <c r="Z370">
        <v>5</v>
      </c>
      <c r="AA370">
        <v>5</v>
      </c>
    </row>
    <row r="371" spans="1:28" hidden="1" x14ac:dyDescent="0.25">
      <c r="A371" t="s">
        <v>1034</v>
      </c>
      <c r="D371" t="s">
        <v>29</v>
      </c>
      <c r="E371" t="s">
        <v>667</v>
      </c>
      <c r="F371">
        <v>5</v>
      </c>
      <c r="G371">
        <v>3</v>
      </c>
      <c r="H371">
        <v>1</v>
      </c>
      <c r="I371">
        <v>5.166666666666667</v>
      </c>
      <c r="S371" t="s">
        <v>153</v>
      </c>
      <c r="T371">
        <v>5</v>
      </c>
      <c r="U371">
        <v>4</v>
      </c>
      <c r="X371">
        <v>5</v>
      </c>
      <c r="Y371" t="s">
        <v>153</v>
      </c>
      <c r="Z371">
        <v>5</v>
      </c>
      <c r="AA371">
        <v>7</v>
      </c>
      <c r="AB371">
        <v>5</v>
      </c>
    </row>
    <row r="372" spans="1:28" hidden="1" x14ac:dyDescent="0.25">
      <c r="A372" t="s">
        <v>1034</v>
      </c>
      <c r="D372" t="s">
        <v>29</v>
      </c>
      <c r="E372" t="s">
        <v>294</v>
      </c>
      <c r="F372">
        <v>11</v>
      </c>
      <c r="G372">
        <v>4</v>
      </c>
      <c r="H372">
        <v>2</v>
      </c>
      <c r="I372">
        <v>4.9090909090909092</v>
      </c>
      <c r="J372">
        <v>4</v>
      </c>
      <c r="K372">
        <v>5</v>
      </c>
      <c r="L372">
        <v>6</v>
      </c>
      <c r="M372">
        <v>4</v>
      </c>
      <c r="O372" t="s">
        <v>153</v>
      </c>
      <c r="P372">
        <v>4</v>
      </c>
      <c r="Q372" t="s">
        <v>153</v>
      </c>
      <c r="R372">
        <v>5</v>
      </c>
      <c r="S372">
        <v>4</v>
      </c>
      <c r="U372" t="s">
        <v>153</v>
      </c>
      <c r="V372">
        <v>6</v>
      </c>
      <c r="X372">
        <v>4</v>
      </c>
      <c r="Z372">
        <v>7</v>
      </c>
      <c r="AA372" t="s">
        <v>153</v>
      </c>
      <c r="AB372">
        <v>5</v>
      </c>
    </row>
    <row r="373" spans="1:28" hidden="1" x14ac:dyDescent="0.25">
      <c r="A373" t="s">
        <v>1034</v>
      </c>
      <c r="D373" t="s">
        <v>29</v>
      </c>
      <c r="E373" t="s">
        <v>947</v>
      </c>
      <c r="G373">
        <v>2</v>
      </c>
      <c r="AA373" t="s">
        <v>153</v>
      </c>
      <c r="AB373" t="s">
        <v>153</v>
      </c>
    </row>
    <row r="374" spans="1:28" hidden="1" x14ac:dyDescent="0.25">
      <c r="A374" t="s">
        <v>1034</v>
      </c>
      <c r="D374" t="s">
        <v>29</v>
      </c>
      <c r="E374" t="s">
        <v>409</v>
      </c>
      <c r="F374">
        <v>12</v>
      </c>
      <c r="G374">
        <v>2</v>
      </c>
      <c r="I374">
        <v>4.9230769230769234</v>
      </c>
      <c r="J374">
        <v>5</v>
      </c>
      <c r="K374">
        <v>5</v>
      </c>
      <c r="L374">
        <v>6</v>
      </c>
      <c r="M374">
        <v>5</v>
      </c>
      <c r="N374">
        <v>5</v>
      </c>
      <c r="O374">
        <v>4</v>
      </c>
      <c r="P374">
        <v>5</v>
      </c>
      <c r="Q374">
        <v>5</v>
      </c>
      <c r="S374">
        <v>5</v>
      </c>
      <c r="U374">
        <v>6</v>
      </c>
      <c r="W374">
        <v>4</v>
      </c>
      <c r="X374">
        <v>5</v>
      </c>
      <c r="Y374">
        <v>4</v>
      </c>
      <c r="Z374" t="s">
        <v>153</v>
      </c>
    </row>
    <row r="375" spans="1:28" hidden="1" x14ac:dyDescent="0.25">
      <c r="A375" t="s">
        <v>1034</v>
      </c>
      <c r="D375" t="s">
        <v>30</v>
      </c>
      <c r="E375" t="s">
        <v>295</v>
      </c>
    </row>
    <row r="376" spans="1:28" hidden="1" x14ac:dyDescent="0.25">
      <c r="A376" t="s">
        <v>1034</v>
      </c>
      <c r="D376" t="s">
        <v>30</v>
      </c>
      <c r="E376" t="s">
        <v>349</v>
      </c>
      <c r="G376">
        <v>1</v>
      </c>
      <c r="R376" t="s">
        <v>153</v>
      </c>
    </row>
    <row r="377" spans="1:28" x14ac:dyDescent="0.25">
      <c r="A377" t="s">
        <v>1031</v>
      </c>
      <c r="D377" t="s">
        <v>30</v>
      </c>
      <c r="E377" t="s">
        <v>134</v>
      </c>
      <c r="F377">
        <v>8</v>
      </c>
      <c r="G377">
        <v>8</v>
      </c>
      <c r="H377">
        <v>3</v>
      </c>
      <c r="I377">
        <v>4.7777777777777777</v>
      </c>
      <c r="J377">
        <v>4</v>
      </c>
      <c r="K377">
        <v>5</v>
      </c>
      <c r="L377" t="s">
        <v>153</v>
      </c>
      <c r="M377">
        <v>4</v>
      </c>
      <c r="P377" t="s">
        <v>153</v>
      </c>
      <c r="Q377">
        <v>5</v>
      </c>
      <c r="R377">
        <v>4</v>
      </c>
      <c r="T377">
        <v>5</v>
      </c>
      <c r="U377">
        <v>4</v>
      </c>
      <c r="V377">
        <v>5</v>
      </c>
      <c r="W377" t="s">
        <v>153</v>
      </c>
      <c r="X377" t="s">
        <v>153</v>
      </c>
      <c r="Y377" t="s">
        <v>153</v>
      </c>
      <c r="Z377" t="s">
        <v>153</v>
      </c>
      <c r="AA377">
        <v>7</v>
      </c>
      <c r="AB377" t="s">
        <v>153</v>
      </c>
    </row>
    <row r="378" spans="1:28" x14ac:dyDescent="0.25">
      <c r="A378" t="s">
        <v>1033</v>
      </c>
      <c r="D378" t="s">
        <v>30</v>
      </c>
      <c r="E378" t="s">
        <v>291</v>
      </c>
      <c r="F378">
        <v>17</v>
      </c>
      <c r="G378">
        <v>1</v>
      </c>
      <c r="H378">
        <v>3</v>
      </c>
      <c r="I378">
        <v>5</v>
      </c>
      <c r="J378">
        <v>6</v>
      </c>
      <c r="K378">
        <v>7</v>
      </c>
      <c r="L378">
        <v>5</v>
      </c>
      <c r="M378">
        <v>5</v>
      </c>
      <c r="N378">
        <v>4</v>
      </c>
      <c r="O378">
        <v>5</v>
      </c>
      <c r="P378">
        <v>5</v>
      </c>
      <c r="R378">
        <v>4</v>
      </c>
      <c r="S378">
        <v>4</v>
      </c>
      <c r="T378">
        <v>4</v>
      </c>
      <c r="U378">
        <v>5</v>
      </c>
      <c r="V378">
        <v>6</v>
      </c>
      <c r="W378">
        <v>4</v>
      </c>
      <c r="X378">
        <v>5</v>
      </c>
      <c r="Y378">
        <v>5</v>
      </c>
      <c r="Z378" t="s">
        <v>153</v>
      </c>
      <c r="AA378">
        <v>6</v>
      </c>
      <c r="AB378" t="s">
        <v>546</v>
      </c>
    </row>
    <row r="379" spans="1:28" x14ac:dyDescent="0.25">
      <c r="A379" t="s">
        <v>1035</v>
      </c>
      <c r="D379" t="s">
        <v>30</v>
      </c>
      <c r="E379" t="s">
        <v>347</v>
      </c>
      <c r="F379">
        <v>11</v>
      </c>
      <c r="G379">
        <v>1</v>
      </c>
      <c r="H379">
        <v>3</v>
      </c>
      <c r="I379">
        <v>4.4545454545454541</v>
      </c>
      <c r="J379">
        <v>4</v>
      </c>
      <c r="K379">
        <v>4</v>
      </c>
      <c r="L379">
        <v>4</v>
      </c>
      <c r="Q379">
        <v>5</v>
      </c>
      <c r="R379">
        <v>4</v>
      </c>
      <c r="V379" t="s">
        <v>153</v>
      </c>
      <c r="W379">
        <v>4</v>
      </c>
      <c r="X379">
        <v>5</v>
      </c>
      <c r="Y379">
        <v>7</v>
      </c>
      <c r="Z379">
        <v>4</v>
      </c>
      <c r="AA379">
        <v>4</v>
      </c>
      <c r="AB379">
        <v>4</v>
      </c>
    </row>
    <row r="380" spans="1:28" x14ac:dyDescent="0.25">
      <c r="A380" t="s">
        <v>1035</v>
      </c>
      <c r="D380" t="s">
        <v>30</v>
      </c>
      <c r="E380" t="s">
        <v>382</v>
      </c>
      <c r="F380">
        <v>4</v>
      </c>
      <c r="G380">
        <v>14</v>
      </c>
      <c r="H380">
        <v>3</v>
      </c>
      <c r="I380">
        <v>3.75</v>
      </c>
      <c r="J380" t="s">
        <v>153</v>
      </c>
      <c r="K380" t="s">
        <v>153</v>
      </c>
      <c r="M380" t="s">
        <v>153</v>
      </c>
      <c r="N380" t="s">
        <v>153</v>
      </c>
      <c r="O380" t="s">
        <v>153</v>
      </c>
      <c r="P380">
        <v>4</v>
      </c>
      <c r="Q380" t="s">
        <v>153</v>
      </c>
      <c r="R380" t="s">
        <v>153</v>
      </c>
      <c r="S380" t="s">
        <v>153</v>
      </c>
      <c r="T380" t="s">
        <v>153</v>
      </c>
      <c r="U380">
        <v>3</v>
      </c>
      <c r="V380" t="s">
        <v>153</v>
      </c>
      <c r="W380">
        <v>4</v>
      </c>
      <c r="X380" t="s">
        <v>153</v>
      </c>
      <c r="Y380" t="s">
        <v>153</v>
      </c>
      <c r="Z380" t="s">
        <v>153</v>
      </c>
      <c r="AA380" t="s">
        <v>153</v>
      </c>
      <c r="AB380">
        <v>4</v>
      </c>
    </row>
    <row r="381" spans="1:28" hidden="1" x14ac:dyDescent="0.25">
      <c r="A381" t="s">
        <v>1034</v>
      </c>
      <c r="D381" t="s">
        <v>30</v>
      </c>
      <c r="E381" t="s">
        <v>668</v>
      </c>
      <c r="F381">
        <v>2</v>
      </c>
      <c r="G381">
        <v>9</v>
      </c>
      <c r="H381">
        <v>1</v>
      </c>
      <c r="I381">
        <v>5.5</v>
      </c>
      <c r="O381" t="s">
        <v>153</v>
      </c>
      <c r="P381" t="s">
        <v>153</v>
      </c>
      <c r="Q381" t="s">
        <v>153</v>
      </c>
      <c r="T381" t="s">
        <v>153</v>
      </c>
      <c r="U381" t="s">
        <v>153</v>
      </c>
      <c r="V381" t="s">
        <v>153</v>
      </c>
      <c r="W381" t="s">
        <v>153</v>
      </c>
      <c r="X381">
        <v>7</v>
      </c>
      <c r="Y381">
        <v>4</v>
      </c>
      <c r="Z381" t="s">
        <v>153</v>
      </c>
      <c r="AA381" t="s">
        <v>153</v>
      </c>
    </row>
    <row r="382" spans="1:28" hidden="1" x14ac:dyDescent="0.25">
      <c r="A382" t="s">
        <v>1034</v>
      </c>
      <c r="D382" t="s">
        <v>30</v>
      </c>
      <c r="E382" t="s">
        <v>509</v>
      </c>
      <c r="G382">
        <v>1</v>
      </c>
      <c r="K382" t="s">
        <v>153</v>
      </c>
    </row>
    <row r="383" spans="1:28" hidden="1" x14ac:dyDescent="0.25">
      <c r="A383" t="s">
        <v>1034</v>
      </c>
      <c r="D383" t="s">
        <v>30</v>
      </c>
      <c r="E383" t="s">
        <v>263</v>
      </c>
      <c r="G383">
        <v>1</v>
      </c>
      <c r="J383" t="s">
        <v>153</v>
      </c>
    </row>
    <row r="384" spans="1:28" hidden="1" x14ac:dyDescent="0.25">
      <c r="A384" t="s">
        <v>1035</v>
      </c>
      <c r="D384" t="s">
        <v>8</v>
      </c>
      <c r="E384" t="s">
        <v>185</v>
      </c>
      <c r="F384">
        <v>10</v>
      </c>
      <c r="I384">
        <v>4.8888888888888893</v>
      </c>
      <c r="J384">
        <v>5</v>
      </c>
      <c r="K384">
        <v>7</v>
      </c>
      <c r="L384">
        <v>6</v>
      </c>
      <c r="N384">
        <v>4</v>
      </c>
      <c r="O384" t="s">
        <v>546</v>
      </c>
      <c r="V384">
        <v>4</v>
      </c>
      <c r="W384">
        <v>4</v>
      </c>
      <c r="X384">
        <v>5</v>
      </c>
      <c r="Y384">
        <v>4</v>
      </c>
      <c r="Z384">
        <v>5</v>
      </c>
    </row>
    <row r="385" spans="1:28" hidden="1" x14ac:dyDescent="0.25">
      <c r="A385" t="s">
        <v>1035</v>
      </c>
      <c r="D385" t="s">
        <v>8</v>
      </c>
      <c r="E385" t="s">
        <v>354</v>
      </c>
    </row>
    <row r="386" spans="1:28" hidden="1" x14ac:dyDescent="0.25">
      <c r="A386" t="s">
        <v>1035</v>
      </c>
      <c r="D386" t="s">
        <v>8</v>
      </c>
      <c r="E386" t="s">
        <v>186</v>
      </c>
      <c r="F386">
        <v>9</v>
      </c>
      <c r="G386">
        <v>2</v>
      </c>
      <c r="I386">
        <v>5.2</v>
      </c>
      <c r="L386" t="s">
        <v>153</v>
      </c>
      <c r="M386">
        <v>6</v>
      </c>
      <c r="O386">
        <v>5</v>
      </c>
      <c r="P386">
        <v>5</v>
      </c>
      <c r="Q386">
        <v>6</v>
      </c>
      <c r="R386">
        <v>6</v>
      </c>
      <c r="S386">
        <v>5</v>
      </c>
      <c r="T386">
        <v>5</v>
      </c>
      <c r="U386">
        <v>5</v>
      </c>
      <c r="AA386">
        <v>5</v>
      </c>
      <c r="AB386">
        <v>4</v>
      </c>
    </row>
    <row r="387" spans="1:28" hidden="1" x14ac:dyDescent="0.25">
      <c r="A387" t="s">
        <v>1035</v>
      </c>
      <c r="D387" t="s">
        <v>11</v>
      </c>
      <c r="E387" t="s">
        <v>187</v>
      </c>
      <c r="F387">
        <v>6</v>
      </c>
      <c r="G387">
        <v>1</v>
      </c>
      <c r="I387">
        <v>4.666666666666667</v>
      </c>
      <c r="P387">
        <v>5</v>
      </c>
      <c r="R387">
        <v>5</v>
      </c>
      <c r="S387" t="s">
        <v>546</v>
      </c>
      <c r="Y387">
        <v>4</v>
      </c>
      <c r="Z387">
        <v>5</v>
      </c>
      <c r="AA387">
        <v>5</v>
      </c>
      <c r="AB387">
        <v>4</v>
      </c>
    </row>
    <row r="388" spans="1:28" hidden="1" x14ac:dyDescent="0.25">
      <c r="A388" t="s">
        <v>1035</v>
      </c>
      <c r="D388" t="s">
        <v>11</v>
      </c>
      <c r="E388" t="s">
        <v>17</v>
      </c>
      <c r="F388">
        <v>1</v>
      </c>
      <c r="I388">
        <v>5</v>
      </c>
      <c r="M388">
        <v>5</v>
      </c>
    </row>
    <row r="389" spans="1:28" hidden="1" x14ac:dyDescent="0.25">
      <c r="A389" t="s">
        <v>1035</v>
      </c>
      <c r="D389" t="s">
        <v>11</v>
      </c>
      <c r="E389" t="s">
        <v>188</v>
      </c>
    </row>
    <row r="390" spans="1:28" hidden="1" x14ac:dyDescent="0.25">
      <c r="A390" t="s">
        <v>1034</v>
      </c>
      <c r="D390" t="s">
        <v>11</v>
      </c>
      <c r="E390" t="s">
        <v>471</v>
      </c>
      <c r="F390">
        <v>12</v>
      </c>
      <c r="I390">
        <v>5</v>
      </c>
      <c r="J390">
        <v>5</v>
      </c>
      <c r="K390">
        <v>6</v>
      </c>
      <c r="N390">
        <v>5</v>
      </c>
      <c r="O390">
        <v>5</v>
      </c>
      <c r="P390">
        <v>5</v>
      </c>
      <c r="R390">
        <v>4</v>
      </c>
      <c r="S390">
        <v>5</v>
      </c>
      <c r="T390">
        <v>5</v>
      </c>
      <c r="U390">
        <v>5</v>
      </c>
      <c r="Y390">
        <v>5</v>
      </c>
      <c r="Z390">
        <v>5</v>
      </c>
      <c r="AA390">
        <v>5</v>
      </c>
    </row>
    <row r="391" spans="1:28" hidden="1" x14ac:dyDescent="0.25">
      <c r="A391" t="s">
        <v>1035</v>
      </c>
      <c r="D391" t="s">
        <v>11</v>
      </c>
      <c r="E391" t="s">
        <v>192</v>
      </c>
      <c r="F391">
        <v>13</v>
      </c>
      <c r="H391">
        <v>1</v>
      </c>
      <c r="I391">
        <v>5</v>
      </c>
      <c r="J391">
        <v>5</v>
      </c>
      <c r="K391">
        <v>5</v>
      </c>
      <c r="L391">
        <v>5</v>
      </c>
      <c r="M391">
        <v>5</v>
      </c>
      <c r="N391">
        <v>5</v>
      </c>
      <c r="O391">
        <v>4</v>
      </c>
      <c r="Q391">
        <v>5</v>
      </c>
      <c r="T391">
        <v>5</v>
      </c>
      <c r="U391">
        <v>5</v>
      </c>
      <c r="V391">
        <v>5</v>
      </c>
      <c r="W391">
        <v>6</v>
      </c>
      <c r="X391">
        <v>5</v>
      </c>
      <c r="Y391" t="s">
        <v>546</v>
      </c>
    </row>
    <row r="392" spans="1:28" hidden="1" x14ac:dyDescent="0.25">
      <c r="A392" t="s">
        <v>1035</v>
      </c>
      <c r="D392" t="s">
        <v>11</v>
      </c>
      <c r="E392" t="s">
        <v>191</v>
      </c>
      <c r="F392">
        <v>7</v>
      </c>
      <c r="G392">
        <v>1</v>
      </c>
      <c r="I392">
        <v>4.5714285714285712</v>
      </c>
      <c r="P392" t="s">
        <v>153</v>
      </c>
      <c r="Q392">
        <v>5</v>
      </c>
      <c r="R392">
        <v>5</v>
      </c>
      <c r="S392">
        <v>5</v>
      </c>
      <c r="T392">
        <v>4</v>
      </c>
      <c r="U392">
        <v>3</v>
      </c>
      <c r="Z392">
        <v>5</v>
      </c>
      <c r="AB392">
        <v>5</v>
      </c>
    </row>
    <row r="393" spans="1:28" hidden="1" x14ac:dyDescent="0.25">
      <c r="A393" t="s">
        <v>1032</v>
      </c>
      <c r="D393" t="s">
        <v>29</v>
      </c>
      <c r="E393" t="s">
        <v>147</v>
      </c>
      <c r="F393">
        <v>15</v>
      </c>
      <c r="G393">
        <v>1</v>
      </c>
      <c r="H393">
        <v>1</v>
      </c>
      <c r="I393">
        <v>5.2</v>
      </c>
      <c r="J393" t="s">
        <v>153</v>
      </c>
      <c r="K393">
        <v>4</v>
      </c>
      <c r="L393">
        <v>5</v>
      </c>
      <c r="M393">
        <v>5</v>
      </c>
      <c r="N393">
        <v>4</v>
      </c>
      <c r="O393">
        <v>6</v>
      </c>
      <c r="S393">
        <v>8</v>
      </c>
      <c r="T393">
        <v>4</v>
      </c>
      <c r="U393">
        <v>5</v>
      </c>
      <c r="V393">
        <v>2</v>
      </c>
      <c r="W393">
        <v>5</v>
      </c>
      <c r="X393">
        <v>6</v>
      </c>
      <c r="Y393">
        <v>7</v>
      </c>
      <c r="Z393">
        <v>7</v>
      </c>
      <c r="AA393">
        <v>5</v>
      </c>
      <c r="AB393">
        <v>5</v>
      </c>
    </row>
    <row r="394" spans="1:28" hidden="1" x14ac:dyDescent="0.25">
      <c r="A394" t="s">
        <v>1030</v>
      </c>
      <c r="D394" t="s">
        <v>11</v>
      </c>
      <c r="E394" t="s">
        <v>317</v>
      </c>
      <c r="F394">
        <v>15</v>
      </c>
      <c r="G394">
        <v>3</v>
      </c>
      <c r="I394">
        <v>5</v>
      </c>
      <c r="J394">
        <v>6</v>
      </c>
      <c r="K394">
        <v>5</v>
      </c>
      <c r="L394">
        <v>5</v>
      </c>
      <c r="M394">
        <v>5</v>
      </c>
      <c r="N394">
        <v>5</v>
      </c>
      <c r="P394">
        <v>5</v>
      </c>
      <c r="Q394">
        <v>3</v>
      </c>
      <c r="R394">
        <v>5</v>
      </c>
      <c r="S394">
        <v>6</v>
      </c>
      <c r="T394">
        <v>5</v>
      </c>
      <c r="U394">
        <v>4</v>
      </c>
      <c r="V394" t="s">
        <v>153</v>
      </c>
      <c r="W394">
        <v>5</v>
      </c>
      <c r="X394" t="s">
        <v>153</v>
      </c>
      <c r="Y394">
        <v>7</v>
      </c>
      <c r="Z394">
        <v>4</v>
      </c>
      <c r="AA394">
        <v>5</v>
      </c>
      <c r="AB394" t="s">
        <v>153</v>
      </c>
    </row>
    <row r="395" spans="1:28" hidden="1" x14ac:dyDescent="0.25">
      <c r="A395" t="s">
        <v>1035</v>
      </c>
      <c r="D395" t="s">
        <v>29</v>
      </c>
      <c r="E395" t="s">
        <v>193</v>
      </c>
      <c r="F395">
        <v>18</v>
      </c>
      <c r="I395">
        <v>4.8888888888888893</v>
      </c>
      <c r="J395">
        <v>6</v>
      </c>
      <c r="K395">
        <v>6</v>
      </c>
      <c r="L395">
        <v>5</v>
      </c>
      <c r="M395">
        <v>5</v>
      </c>
      <c r="N395">
        <v>5</v>
      </c>
      <c r="O395">
        <v>5</v>
      </c>
      <c r="Q395">
        <v>4</v>
      </c>
      <c r="R395">
        <v>5</v>
      </c>
      <c r="S395">
        <v>5</v>
      </c>
      <c r="T395">
        <v>4</v>
      </c>
      <c r="U395">
        <v>5</v>
      </c>
      <c r="V395">
        <v>5</v>
      </c>
      <c r="W395">
        <v>4</v>
      </c>
      <c r="X395">
        <v>5</v>
      </c>
      <c r="Y395">
        <v>5</v>
      </c>
      <c r="Z395">
        <v>5</v>
      </c>
      <c r="AA395">
        <v>4</v>
      </c>
      <c r="AB395">
        <v>5</v>
      </c>
    </row>
    <row r="396" spans="1:28" hidden="1" x14ac:dyDescent="0.25">
      <c r="A396" t="s">
        <v>1035</v>
      </c>
      <c r="D396" t="s">
        <v>29</v>
      </c>
      <c r="E396" t="s">
        <v>194</v>
      </c>
      <c r="F396">
        <v>4</v>
      </c>
      <c r="G396">
        <v>7</v>
      </c>
      <c r="I396">
        <v>4.25</v>
      </c>
      <c r="P396">
        <v>4</v>
      </c>
      <c r="Q396" t="s">
        <v>153</v>
      </c>
      <c r="S396">
        <v>5</v>
      </c>
      <c r="T396" t="s">
        <v>153</v>
      </c>
      <c r="U396" t="s">
        <v>153</v>
      </c>
      <c r="W396" t="s">
        <v>153</v>
      </c>
      <c r="X396" t="s">
        <v>153</v>
      </c>
      <c r="Y396">
        <v>4</v>
      </c>
      <c r="Z396">
        <v>4</v>
      </c>
      <c r="AA396" t="s">
        <v>153</v>
      </c>
      <c r="AB396" t="s">
        <v>153</v>
      </c>
    </row>
    <row r="397" spans="1:28" hidden="1" x14ac:dyDescent="0.25">
      <c r="A397" t="s">
        <v>1035</v>
      </c>
      <c r="D397" t="s">
        <v>29</v>
      </c>
      <c r="E397" t="s">
        <v>195</v>
      </c>
      <c r="F397">
        <v>13</v>
      </c>
      <c r="H397" t="s">
        <v>617</v>
      </c>
      <c r="I397">
        <v>4.615384615384615</v>
      </c>
      <c r="J397">
        <v>4</v>
      </c>
      <c r="K397">
        <v>5</v>
      </c>
      <c r="L397">
        <v>4</v>
      </c>
      <c r="N397">
        <v>4</v>
      </c>
      <c r="O397">
        <v>4</v>
      </c>
      <c r="Q397">
        <v>5</v>
      </c>
      <c r="R397">
        <v>4</v>
      </c>
      <c r="S397">
        <v>5</v>
      </c>
      <c r="T397">
        <v>6</v>
      </c>
      <c r="U397">
        <v>4</v>
      </c>
      <c r="X397">
        <v>6</v>
      </c>
      <c r="Y397">
        <v>4</v>
      </c>
      <c r="Z397">
        <v>5</v>
      </c>
    </row>
    <row r="398" spans="1:28" hidden="1" x14ac:dyDescent="0.25">
      <c r="A398" t="s">
        <v>1035</v>
      </c>
      <c r="D398" t="s">
        <v>29</v>
      </c>
      <c r="E398" t="s">
        <v>366</v>
      </c>
      <c r="F398">
        <v>2</v>
      </c>
      <c r="G398">
        <v>5</v>
      </c>
      <c r="I398">
        <v>4</v>
      </c>
      <c r="K398" t="s">
        <v>153</v>
      </c>
      <c r="L398" t="s">
        <v>153</v>
      </c>
      <c r="M398" t="s">
        <v>153</v>
      </c>
      <c r="Q398" t="s">
        <v>153</v>
      </c>
      <c r="S398">
        <v>4</v>
      </c>
      <c r="W398">
        <v>4</v>
      </c>
      <c r="Y398" t="s">
        <v>153</v>
      </c>
    </row>
    <row r="399" spans="1:28" hidden="1" x14ac:dyDescent="0.25">
      <c r="A399" t="s">
        <v>1035</v>
      </c>
      <c r="D399" t="s">
        <v>29</v>
      </c>
      <c r="E399" t="s">
        <v>298</v>
      </c>
    </row>
    <row r="400" spans="1:28" hidden="1" x14ac:dyDescent="0.25">
      <c r="A400" t="s">
        <v>1035</v>
      </c>
      <c r="D400" t="s">
        <v>29</v>
      </c>
      <c r="E400" t="s">
        <v>487</v>
      </c>
      <c r="F400">
        <v>11</v>
      </c>
      <c r="G400">
        <v>4</v>
      </c>
      <c r="H400">
        <v>1</v>
      </c>
      <c r="I400">
        <v>4.583333333333333</v>
      </c>
      <c r="J400">
        <v>4</v>
      </c>
      <c r="K400">
        <v>5</v>
      </c>
      <c r="L400">
        <v>4</v>
      </c>
      <c r="M400" t="s">
        <v>153</v>
      </c>
      <c r="N400" t="s">
        <v>153</v>
      </c>
      <c r="O400">
        <v>5</v>
      </c>
      <c r="P400" t="s">
        <v>153</v>
      </c>
      <c r="Q400">
        <v>7</v>
      </c>
      <c r="R400">
        <v>4</v>
      </c>
      <c r="S400">
        <v>5</v>
      </c>
      <c r="T400">
        <v>5</v>
      </c>
      <c r="U400">
        <v>4</v>
      </c>
      <c r="V400">
        <v>4</v>
      </c>
      <c r="Z400">
        <v>4</v>
      </c>
      <c r="AA400">
        <v>4</v>
      </c>
    </row>
    <row r="401" spans="1:28" hidden="1" x14ac:dyDescent="0.25">
      <c r="A401" t="s">
        <v>1035</v>
      </c>
      <c r="D401" t="s">
        <v>29</v>
      </c>
      <c r="E401" t="s">
        <v>527</v>
      </c>
      <c r="F401">
        <v>11</v>
      </c>
      <c r="I401">
        <v>4.7272727272727275</v>
      </c>
      <c r="L401">
        <v>4</v>
      </c>
      <c r="O401">
        <v>4</v>
      </c>
      <c r="P401">
        <v>4</v>
      </c>
      <c r="Q401">
        <v>6</v>
      </c>
      <c r="R401">
        <v>4</v>
      </c>
      <c r="V401">
        <v>5</v>
      </c>
      <c r="W401">
        <v>5</v>
      </c>
      <c r="X401">
        <v>5</v>
      </c>
      <c r="Z401">
        <v>5</v>
      </c>
      <c r="AA401">
        <v>5</v>
      </c>
      <c r="AB401">
        <v>5</v>
      </c>
    </row>
    <row r="402" spans="1:28" hidden="1" x14ac:dyDescent="0.25">
      <c r="A402" t="s">
        <v>1035</v>
      </c>
      <c r="D402" t="s">
        <v>29</v>
      </c>
      <c r="E402" t="s">
        <v>537</v>
      </c>
      <c r="F402">
        <v>4</v>
      </c>
      <c r="G402">
        <v>1</v>
      </c>
      <c r="H402">
        <v>1</v>
      </c>
      <c r="I402">
        <v>4.75</v>
      </c>
      <c r="M402">
        <v>6</v>
      </c>
      <c r="N402">
        <v>4</v>
      </c>
      <c r="P402">
        <v>5</v>
      </c>
      <c r="AA402">
        <v>4</v>
      </c>
      <c r="AB402" t="s">
        <v>153</v>
      </c>
    </row>
    <row r="403" spans="1:28" hidden="1" x14ac:dyDescent="0.25">
      <c r="A403" t="s">
        <v>1035</v>
      </c>
      <c r="D403" t="s">
        <v>29</v>
      </c>
      <c r="E403" t="s">
        <v>865</v>
      </c>
      <c r="G403">
        <v>1</v>
      </c>
      <c r="W403" t="s">
        <v>153</v>
      </c>
    </row>
    <row r="404" spans="1:28" hidden="1" x14ac:dyDescent="0.25">
      <c r="A404" t="s">
        <v>1035</v>
      </c>
      <c r="D404" t="s">
        <v>29</v>
      </c>
      <c r="E404" t="s">
        <v>985</v>
      </c>
      <c r="G404">
        <v>1</v>
      </c>
      <c r="AB404" t="s">
        <v>153</v>
      </c>
    </row>
    <row r="405" spans="1:28" hidden="1" x14ac:dyDescent="0.25">
      <c r="A405" t="s">
        <v>1035</v>
      </c>
      <c r="D405" t="s">
        <v>29</v>
      </c>
      <c r="E405" t="s">
        <v>262</v>
      </c>
      <c r="F405">
        <v>8</v>
      </c>
      <c r="G405">
        <v>3</v>
      </c>
      <c r="I405">
        <v>4.666666666666667</v>
      </c>
      <c r="J405">
        <v>4</v>
      </c>
      <c r="K405">
        <v>5</v>
      </c>
      <c r="M405">
        <v>5</v>
      </c>
      <c r="N405">
        <v>4</v>
      </c>
      <c r="P405">
        <v>5</v>
      </c>
      <c r="S405">
        <v>5</v>
      </c>
      <c r="U405">
        <v>5</v>
      </c>
      <c r="X405" t="s">
        <v>153</v>
      </c>
      <c r="Y405">
        <v>5</v>
      </c>
      <c r="Z405" t="s">
        <v>153</v>
      </c>
      <c r="AA405">
        <v>4</v>
      </c>
    </row>
    <row r="406" spans="1:28" hidden="1" x14ac:dyDescent="0.25">
      <c r="A406" t="s">
        <v>1035</v>
      </c>
      <c r="D406" t="s">
        <v>30</v>
      </c>
      <c r="E406" t="s">
        <v>135</v>
      </c>
      <c r="F406">
        <v>3</v>
      </c>
      <c r="G406">
        <v>3</v>
      </c>
      <c r="H406">
        <v>1</v>
      </c>
      <c r="I406">
        <v>5.666666666666667</v>
      </c>
      <c r="J406" t="s">
        <v>153</v>
      </c>
      <c r="M406">
        <v>7</v>
      </c>
      <c r="N406" t="s">
        <v>153</v>
      </c>
      <c r="P406">
        <v>5</v>
      </c>
      <c r="T406" t="s">
        <v>153</v>
      </c>
      <c r="V406">
        <v>5</v>
      </c>
    </row>
    <row r="407" spans="1:28" x14ac:dyDescent="0.25">
      <c r="A407" t="s">
        <v>1038</v>
      </c>
      <c r="D407" t="s">
        <v>30</v>
      </c>
      <c r="E407" t="s">
        <v>510</v>
      </c>
      <c r="F407">
        <v>14</v>
      </c>
      <c r="G407">
        <v>2</v>
      </c>
      <c r="H407">
        <v>3</v>
      </c>
      <c r="I407">
        <v>5.1538461538461542</v>
      </c>
      <c r="K407" t="s">
        <v>153</v>
      </c>
      <c r="L407">
        <v>5</v>
      </c>
      <c r="M407">
        <v>6</v>
      </c>
      <c r="N407">
        <v>5</v>
      </c>
      <c r="O407">
        <v>7</v>
      </c>
      <c r="P407" t="s">
        <v>153</v>
      </c>
      <c r="Q407">
        <v>5</v>
      </c>
      <c r="R407">
        <v>5</v>
      </c>
      <c r="S407">
        <v>6</v>
      </c>
      <c r="T407">
        <v>5</v>
      </c>
      <c r="U407">
        <v>6</v>
      </c>
      <c r="V407">
        <v>4</v>
      </c>
      <c r="W407">
        <v>4</v>
      </c>
      <c r="X407">
        <v>5</v>
      </c>
      <c r="Y407" t="s">
        <v>546</v>
      </c>
      <c r="AB407">
        <v>4</v>
      </c>
    </row>
    <row r="408" spans="1:28" hidden="1" x14ac:dyDescent="0.25">
      <c r="A408" t="s">
        <v>1040</v>
      </c>
      <c r="D408" t="s">
        <v>11</v>
      </c>
      <c r="E408" t="s">
        <v>408</v>
      </c>
      <c r="F408">
        <v>11</v>
      </c>
      <c r="I408">
        <v>5.2</v>
      </c>
      <c r="J408">
        <v>5</v>
      </c>
      <c r="K408">
        <v>4</v>
      </c>
      <c r="L408">
        <v>3</v>
      </c>
      <c r="M408">
        <v>6</v>
      </c>
      <c r="S408">
        <v>5</v>
      </c>
      <c r="T408">
        <v>5</v>
      </c>
      <c r="U408" t="s">
        <v>546</v>
      </c>
      <c r="W408">
        <v>6</v>
      </c>
      <c r="X408">
        <v>5</v>
      </c>
      <c r="Y408">
        <v>6</v>
      </c>
      <c r="AA408">
        <v>7</v>
      </c>
    </row>
    <row r="409" spans="1:28" x14ac:dyDescent="0.25">
      <c r="A409" t="s">
        <v>1026</v>
      </c>
      <c r="D409" t="s">
        <v>30</v>
      </c>
      <c r="E409" t="s">
        <v>254</v>
      </c>
      <c r="G409">
        <v>9</v>
      </c>
      <c r="H409">
        <v>2</v>
      </c>
      <c r="J409" t="s">
        <v>153</v>
      </c>
      <c r="O409" t="s">
        <v>153</v>
      </c>
      <c r="Q409" t="s">
        <v>153</v>
      </c>
      <c r="R409" t="s">
        <v>153</v>
      </c>
      <c r="S409" t="s">
        <v>153</v>
      </c>
      <c r="T409" t="s">
        <v>153</v>
      </c>
      <c r="V409" t="s">
        <v>153</v>
      </c>
      <c r="X409" t="s">
        <v>153</v>
      </c>
      <c r="Z409" t="s">
        <v>153</v>
      </c>
    </row>
    <row r="410" spans="1:28" x14ac:dyDescent="0.25">
      <c r="A410" t="s">
        <v>1029</v>
      </c>
      <c r="D410" t="s">
        <v>30</v>
      </c>
      <c r="E410" t="s">
        <v>110</v>
      </c>
      <c r="F410">
        <v>17</v>
      </c>
      <c r="H410">
        <v>2</v>
      </c>
      <c r="I410">
        <v>5.4117647058823533</v>
      </c>
      <c r="J410">
        <v>5</v>
      </c>
      <c r="K410">
        <v>7</v>
      </c>
      <c r="L410">
        <v>5</v>
      </c>
      <c r="M410">
        <v>6</v>
      </c>
      <c r="N410">
        <v>6</v>
      </c>
      <c r="P410">
        <v>5</v>
      </c>
      <c r="Q410">
        <v>5</v>
      </c>
      <c r="R410">
        <v>5</v>
      </c>
      <c r="S410">
        <v>6</v>
      </c>
      <c r="T410">
        <v>6</v>
      </c>
      <c r="U410">
        <v>4</v>
      </c>
      <c r="V410">
        <v>5</v>
      </c>
      <c r="W410">
        <v>6</v>
      </c>
      <c r="X410">
        <v>5</v>
      </c>
      <c r="Y410">
        <v>5</v>
      </c>
      <c r="Z410">
        <v>6</v>
      </c>
      <c r="AB410">
        <v>5</v>
      </c>
    </row>
    <row r="411" spans="1:28" hidden="1" x14ac:dyDescent="0.25">
      <c r="A411" t="s">
        <v>1035</v>
      </c>
      <c r="D411" t="s">
        <v>30</v>
      </c>
      <c r="E411" t="s">
        <v>950</v>
      </c>
      <c r="G411">
        <v>1</v>
      </c>
      <c r="AA411" t="s">
        <v>153</v>
      </c>
    </row>
    <row r="412" spans="1:28" hidden="1" x14ac:dyDescent="0.25">
      <c r="A412" t="s">
        <v>1035</v>
      </c>
      <c r="D412" t="s">
        <v>30</v>
      </c>
      <c r="E412" t="s">
        <v>197</v>
      </c>
      <c r="F412">
        <v>7</v>
      </c>
      <c r="G412">
        <v>4</v>
      </c>
      <c r="H412">
        <v>1</v>
      </c>
      <c r="I412">
        <v>5.2857142857142856</v>
      </c>
      <c r="O412" t="s">
        <v>153</v>
      </c>
      <c r="P412">
        <v>4</v>
      </c>
      <c r="R412" t="s">
        <v>153</v>
      </c>
      <c r="S412" t="s">
        <v>153</v>
      </c>
      <c r="T412">
        <v>5</v>
      </c>
      <c r="U412" t="s">
        <v>153</v>
      </c>
      <c r="V412">
        <v>5</v>
      </c>
      <c r="W412">
        <v>5</v>
      </c>
      <c r="X412">
        <v>6</v>
      </c>
      <c r="AA412">
        <v>7</v>
      </c>
      <c r="AB412">
        <v>5</v>
      </c>
    </row>
    <row r="413" spans="1:28" hidden="1" x14ac:dyDescent="0.25">
      <c r="A413" t="s">
        <v>1036</v>
      </c>
      <c r="D413" t="s">
        <v>8</v>
      </c>
      <c r="E413" t="s">
        <v>205</v>
      </c>
      <c r="F413">
        <v>3</v>
      </c>
      <c r="I413">
        <v>6.333333333333333</v>
      </c>
      <c r="N413">
        <v>6</v>
      </c>
      <c r="Y413">
        <v>7</v>
      </c>
      <c r="Z413">
        <v>6</v>
      </c>
    </row>
    <row r="414" spans="1:28" hidden="1" x14ac:dyDescent="0.25">
      <c r="A414" t="s">
        <v>1024</v>
      </c>
      <c r="D414" t="s">
        <v>29</v>
      </c>
      <c r="E414" t="s">
        <v>52</v>
      </c>
      <c r="F414">
        <v>16</v>
      </c>
      <c r="H414" t="s">
        <v>617</v>
      </c>
      <c r="I414">
        <v>5.1875</v>
      </c>
      <c r="K414">
        <v>5</v>
      </c>
      <c r="L414">
        <v>5</v>
      </c>
      <c r="M414">
        <v>5</v>
      </c>
      <c r="N414">
        <v>5</v>
      </c>
      <c r="O414">
        <v>6</v>
      </c>
      <c r="P414">
        <v>6</v>
      </c>
      <c r="R414">
        <v>6</v>
      </c>
      <c r="S414">
        <v>5</v>
      </c>
      <c r="T414">
        <v>6</v>
      </c>
      <c r="U414">
        <v>5</v>
      </c>
      <c r="V414">
        <v>4</v>
      </c>
      <c r="W414">
        <v>5</v>
      </c>
      <c r="X414">
        <v>4</v>
      </c>
      <c r="Y414">
        <v>6</v>
      </c>
      <c r="AA414">
        <v>4</v>
      </c>
      <c r="AB414">
        <v>6</v>
      </c>
    </row>
    <row r="415" spans="1:28" hidden="1" x14ac:dyDescent="0.25">
      <c r="A415" t="s">
        <v>1036</v>
      </c>
      <c r="D415" t="s">
        <v>11</v>
      </c>
      <c r="E415" t="s">
        <v>396</v>
      </c>
      <c r="F415">
        <v>13</v>
      </c>
      <c r="I415">
        <v>5</v>
      </c>
      <c r="J415">
        <v>5</v>
      </c>
      <c r="K415">
        <v>5</v>
      </c>
      <c r="L415">
        <v>7</v>
      </c>
      <c r="M415">
        <v>4</v>
      </c>
      <c r="N415">
        <v>4</v>
      </c>
      <c r="O415">
        <v>5</v>
      </c>
      <c r="P415">
        <v>6</v>
      </c>
      <c r="Q415">
        <v>3</v>
      </c>
      <c r="W415">
        <v>5</v>
      </c>
      <c r="Y415">
        <v>6</v>
      </c>
      <c r="Z415">
        <v>5</v>
      </c>
      <c r="AA415">
        <v>5</v>
      </c>
      <c r="AB415">
        <v>5</v>
      </c>
    </row>
    <row r="416" spans="1:28" hidden="1" x14ac:dyDescent="0.25">
      <c r="A416" t="s">
        <v>1036</v>
      </c>
      <c r="D416" t="s">
        <v>11</v>
      </c>
      <c r="E416" t="s">
        <v>356</v>
      </c>
    </row>
    <row r="417" spans="1:28" hidden="1" x14ac:dyDescent="0.25">
      <c r="A417" t="s">
        <v>1033</v>
      </c>
      <c r="D417" t="s">
        <v>11</v>
      </c>
      <c r="E417" t="s">
        <v>161</v>
      </c>
      <c r="F417">
        <v>14</v>
      </c>
      <c r="G417">
        <v>2</v>
      </c>
      <c r="I417">
        <v>5</v>
      </c>
      <c r="J417">
        <v>5</v>
      </c>
      <c r="K417">
        <v>5</v>
      </c>
      <c r="L417">
        <v>5</v>
      </c>
      <c r="M417" t="s">
        <v>153</v>
      </c>
      <c r="N417">
        <v>5</v>
      </c>
      <c r="O417">
        <v>5</v>
      </c>
      <c r="P417">
        <v>6</v>
      </c>
      <c r="T417" t="s">
        <v>153</v>
      </c>
      <c r="U417">
        <v>5</v>
      </c>
      <c r="V417">
        <v>5</v>
      </c>
      <c r="W417">
        <v>5</v>
      </c>
      <c r="X417">
        <v>5</v>
      </c>
      <c r="Y417">
        <v>6</v>
      </c>
      <c r="Z417">
        <v>4</v>
      </c>
      <c r="AA417">
        <v>4</v>
      </c>
      <c r="AB417">
        <v>5</v>
      </c>
    </row>
    <row r="418" spans="1:28" hidden="1" x14ac:dyDescent="0.25">
      <c r="A418" t="s">
        <v>1036</v>
      </c>
      <c r="D418" t="s">
        <v>11</v>
      </c>
      <c r="E418" t="s">
        <v>453</v>
      </c>
      <c r="F418">
        <v>9</v>
      </c>
      <c r="I418">
        <v>5.333333333333333</v>
      </c>
      <c r="P418">
        <v>5</v>
      </c>
      <c r="Q418">
        <v>5</v>
      </c>
      <c r="R418">
        <v>5</v>
      </c>
      <c r="S418">
        <v>6</v>
      </c>
      <c r="T418">
        <v>7</v>
      </c>
      <c r="U418">
        <v>5</v>
      </c>
      <c r="V418">
        <v>5</v>
      </c>
      <c r="W418">
        <v>5</v>
      </c>
      <c r="X418">
        <v>5</v>
      </c>
    </row>
    <row r="419" spans="1:28" hidden="1" x14ac:dyDescent="0.25">
      <c r="A419" t="s">
        <v>1036</v>
      </c>
      <c r="D419" t="s">
        <v>11</v>
      </c>
      <c r="E419" t="s">
        <v>514</v>
      </c>
      <c r="G419">
        <v>1</v>
      </c>
      <c r="K419" t="s">
        <v>153</v>
      </c>
    </row>
    <row r="420" spans="1:28" hidden="1" x14ac:dyDescent="0.25">
      <c r="A420" t="s">
        <v>1036</v>
      </c>
      <c r="D420" t="s">
        <v>11</v>
      </c>
      <c r="E420" t="s">
        <v>384</v>
      </c>
      <c r="F420">
        <v>8</v>
      </c>
      <c r="G420">
        <v>1</v>
      </c>
      <c r="H420">
        <v>1</v>
      </c>
      <c r="I420">
        <v>4.875</v>
      </c>
      <c r="L420">
        <v>7</v>
      </c>
      <c r="M420">
        <v>3</v>
      </c>
      <c r="O420">
        <v>5</v>
      </c>
      <c r="Q420">
        <v>4</v>
      </c>
      <c r="T420" t="s">
        <v>153</v>
      </c>
      <c r="X420">
        <v>6</v>
      </c>
      <c r="Y420">
        <v>5</v>
      </c>
      <c r="Z420">
        <v>4</v>
      </c>
      <c r="AB420">
        <v>5</v>
      </c>
    </row>
    <row r="421" spans="1:28" hidden="1" x14ac:dyDescent="0.25">
      <c r="A421" t="s">
        <v>1036</v>
      </c>
      <c r="D421" t="s">
        <v>11</v>
      </c>
      <c r="E421" t="s">
        <v>618</v>
      </c>
      <c r="F421">
        <v>11</v>
      </c>
      <c r="I421">
        <v>4.5454545454545459</v>
      </c>
      <c r="N421">
        <v>5</v>
      </c>
      <c r="O421">
        <v>4</v>
      </c>
      <c r="P421">
        <v>3</v>
      </c>
      <c r="Q421">
        <v>5</v>
      </c>
      <c r="R421">
        <v>5</v>
      </c>
      <c r="T421">
        <v>5</v>
      </c>
      <c r="U421">
        <v>5</v>
      </c>
      <c r="V421">
        <v>4</v>
      </c>
      <c r="W421">
        <v>4</v>
      </c>
      <c r="X421">
        <v>5</v>
      </c>
      <c r="Z421">
        <v>5</v>
      </c>
    </row>
    <row r="422" spans="1:28" hidden="1" x14ac:dyDescent="0.25">
      <c r="A422" t="s">
        <v>1023</v>
      </c>
      <c r="D422" t="s">
        <v>29</v>
      </c>
      <c r="E422" t="s">
        <v>178</v>
      </c>
      <c r="F422">
        <v>12</v>
      </c>
      <c r="H422">
        <v>5</v>
      </c>
      <c r="I422">
        <v>5.1818181818181817</v>
      </c>
      <c r="J422">
        <v>4</v>
      </c>
      <c r="K422">
        <v>4</v>
      </c>
      <c r="L422">
        <v>9</v>
      </c>
      <c r="M422">
        <v>4</v>
      </c>
      <c r="N422">
        <v>7</v>
      </c>
      <c r="O422" t="s">
        <v>554</v>
      </c>
      <c r="R422">
        <v>4</v>
      </c>
      <c r="S422">
        <v>5</v>
      </c>
      <c r="T422">
        <v>6</v>
      </c>
      <c r="U422">
        <v>4</v>
      </c>
      <c r="X422">
        <v>6</v>
      </c>
      <c r="Y422">
        <v>4</v>
      </c>
    </row>
    <row r="423" spans="1:28" hidden="1" x14ac:dyDescent="0.25">
      <c r="A423" t="s">
        <v>1036</v>
      </c>
      <c r="D423" t="s">
        <v>11</v>
      </c>
      <c r="E423" t="s">
        <v>208</v>
      </c>
      <c r="F423">
        <v>11</v>
      </c>
      <c r="G423">
        <v>1</v>
      </c>
      <c r="I423">
        <v>4.7272727272727275</v>
      </c>
      <c r="K423" t="s">
        <v>153</v>
      </c>
      <c r="P423">
        <v>5</v>
      </c>
      <c r="Q423">
        <v>4</v>
      </c>
      <c r="R423">
        <v>4</v>
      </c>
      <c r="T423">
        <v>5</v>
      </c>
      <c r="U423">
        <v>5</v>
      </c>
      <c r="V423">
        <v>4</v>
      </c>
      <c r="X423">
        <v>5</v>
      </c>
      <c r="Y423">
        <v>5</v>
      </c>
      <c r="Z423">
        <v>4</v>
      </c>
      <c r="AA423">
        <v>5</v>
      </c>
      <c r="AB423">
        <v>6</v>
      </c>
    </row>
    <row r="424" spans="1:28" hidden="1" x14ac:dyDescent="0.25">
      <c r="A424" t="s">
        <v>1036</v>
      </c>
      <c r="D424" t="s">
        <v>29</v>
      </c>
      <c r="E424" t="s">
        <v>209</v>
      </c>
      <c r="F424">
        <v>8</v>
      </c>
      <c r="G424">
        <v>4</v>
      </c>
      <c r="I424">
        <v>4.5</v>
      </c>
      <c r="J424" t="s">
        <v>153</v>
      </c>
      <c r="L424" t="s">
        <v>153</v>
      </c>
      <c r="M424">
        <v>4</v>
      </c>
      <c r="N424" t="s">
        <v>153</v>
      </c>
      <c r="O424">
        <v>4</v>
      </c>
      <c r="P424">
        <v>4</v>
      </c>
      <c r="Q424">
        <v>4</v>
      </c>
      <c r="W424" t="s">
        <v>153</v>
      </c>
      <c r="X424">
        <v>4</v>
      </c>
      <c r="Z424">
        <v>6</v>
      </c>
      <c r="AA424">
        <v>5</v>
      </c>
      <c r="AB424">
        <v>5</v>
      </c>
    </row>
    <row r="425" spans="1:28" hidden="1" x14ac:dyDescent="0.25">
      <c r="A425" t="s">
        <v>1036</v>
      </c>
      <c r="D425" t="s">
        <v>29</v>
      </c>
      <c r="E425" t="s">
        <v>210</v>
      </c>
      <c r="F425">
        <v>13</v>
      </c>
      <c r="G425">
        <v>3</v>
      </c>
      <c r="I425">
        <v>5</v>
      </c>
      <c r="J425">
        <v>5</v>
      </c>
      <c r="K425">
        <v>5</v>
      </c>
      <c r="L425">
        <v>6</v>
      </c>
      <c r="M425">
        <v>5</v>
      </c>
      <c r="N425">
        <v>4</v>
      </c>
      <c r="O425" t="s">
        <v>153</v>
      </c>
      <c r="P425">
        <v>5</v>
      </c>
      <c r="R425" t="s">
        <v>153</v>
      </c>
      <c r="S425">
        <v>5</v>
      </c>
      <c r="T425" t="s">
        <v>153</v>
      </c>
      <c r="U425">
        <v>5</v>
      </c>
      <c r="X425">
        <v>6</v>
      </c>
      <c r="Y425">
        <v>5</v>
      </c>
      <c r="Z425">
        <v>5</v>
      </c>
      <c r="AA425">
        <v>4</v>
      </c>
      <c r="AB425">
        <v>5</v>
      </c>
    </row>
    <row r="426" spans="1:28" hidden="1" x14ac:dyDescent="0.25">
      <c r="A426" t="s">
        <v>1036</v>
      </c>
      <c r="D426" t="s">
        <v>29</v>
      </c>
      <c r="E426" t="s">
        <v>230</v>
      </c>
      <c r="F426">
        <v>13</v>
      </c>
      <c r="I426">
        <v>5</v>
      </c>
      <c r="J426">
        <v>6</v>
      </c>
      <c r="K426">
        <v>5</v>
      </c>
      <c r="L426">
        <v>6</v>
      </c>
      <c r="M426">
        <v>5</v>
      </c>
      <c r="O426">
        <v>5</v>
      </c>
      <c r="P426">
        <v>5</v>
      </c>
      <c r="Q426">
        <v>4</v>
      </c>
      <c r="R426">
        <v>5</v>
      </c>
      <c r="S426">
        <v>5</v>
      </c>
      <c r="T426">
        <v>5</v>
      </c>
      <c r="U426">
        <v>5</v>
      </c>
      <c r="V426">
        <v>5</v>
      </c>
      <c r="W426">
        <v>4</v>
      </c>
    </row>
    <row r="427" spans="1:28" hidden="1" x14ac:dyDescent="0.25">
      <c r="A427" t="s">
        <v>1036</v>
      </c>
      <c r="D427" t="s">
        <v>29</v>
      </c>
      <c r="E427" t="s">
        <v>231</v>
      </c>
      <c r="F427">
        <v>2</v>
      </c>
      <c r="G427">
        <v>2</v>
      </c>
      <c r="I427">
        <v>5.5</v>
      </c>
      <c r="W427">
        <v>6</v>
      </c>
      <c r="Y427">
        <v>5</v>
      </c>
      <c r="Z427" t="s">
        <v>153</v>
      </c>
      <c r="AA427" t="s">
        <v>153</v>
      </c>
    </row>
    <row r="428" spans="1:28" hidden="1" x14ac:dyDescent="0.25">
      <c r="A428" t="s">
        <v>1036</v>
      </c>
      <c r="D428" t="s">
        <v>29</v>
      </c>
      <c r="E428" t="s">
        <v>358</v>
      </c>
      <c r="F428">
        <v>9</v>
      </c>
      <c r="G428">
        <v>1</v>
      </c>
      <c r="H428">
        <v>1</v>
      </c>
      <c r="I428">
        <v>5.5555555555555554</v>
      </c>
      <c r="J428">
        <v>6</v>
      </c>
      <c r="K428">
        <v>5</v>
      </c>
      <c r="L428">
        <v>6</v>
      </c>
      <c r="M428">
        <v>4</v>
      </c>
      <c r="N428">
        <v>5</v>
      </c>
      <c r="O428">
        <v>6</v>
      </c>
      <c r="P428" t="s">
        <v>153</v>
      </c>
      <c r="Q428">
        <v>6</v>
      </c>
      <c r="S428">
        <v>7</v>
      </c>
      <c r="T428">
        <v>5</v>
      </c>
    </row>
    <row r="429" spans="1:28" hidden="1" x14ac:dyDescent="0.25">
      <c r="A429" t="s">
        <v>1036</v>
      </c>
      <c r="D429" t="s">
        <v>29</v>
      </c>
      <c r="E429" t="s">
        <v>55</v>
      </c>
      <c r="G429">
        <v>3</v>
      </c>
      <c r="I429">
        <v>4</v>
      </c>
      <c r="L429" t="s">
        <v>153</v>
      </c>
      <c r="M429">
        <v>4</v>
      </c>
      <c r="U429" t="s">
        <v>153</v>
      </c>
    </row>
    <row r="430" spans="1:28" hidden="1" x14ac:dyDescent="0.25">
      <c r="A430" t="s">
        <v>1028</v>
      </c>
      <c r="D430" t="s">
        <v>29</v>
      </c>
      <c r="E430" t="s">
        <v>485</v>
      </c>
      <c r="F430">
        <v>11</v>
      </c>
      <c r="G430">
        <v>3</v>
      </c>
      <c r="I430">
        <v>5.166666666666667</v>
      </c>
      <c r="J430" t="s">
        <v>153</v>
      </c>
      <c r="K430">
        <v>4</v>
      </c>
      <c r="L430">
        <v>4</v>
      </c>
      <c r="M430" t="s">
        <v>153</v>
      </c>
      <c r="O430">
        <v>5</v>
      </c>
      <c r="P430">
        <v>5</v>
      </c>
      <c r="Q430">
        <v>5</v>
      </c>
      <c r="R430">
        <v>6</v>
      </c>
      <c r="S430">
        <v>7</v>
      </c>
      <c r="U430">
        <v>4</v>
      </c>
      <c r="V430">
        <v>6</v>
      </c>
      <c r="Z430">
        <v>5</v>
      </c>
      <c r="AA430">
        <v>6</v>
      </c>
      <c r="AB430">
        <v>5</v>
      </c>
    </row>
    <row r="431" spans="1:28" hidden="1" x14ac:dyDescent="0.25">
      <c r="A431" t="s">
        <v>1036</v>
      </c>
      <c r="D431" t="s">
        <v>29</v>
      </c>
      <c r="E431" t="s">
        <v>827</v>
      </c>
      <c r="F431">
        <v>1</v>
      </c>
      <c r="G431">
        <v>2</v>
      </c>
      <c r="H431">
        <v>1</v>
      </c>
      <c r="I431">
        <v>5</v>
      </c>
      <c r="R431">
        <v>5</v>
      </c>
      <c r="V431" t="s">
        <v>153</v>
      </c>
      <c r="W431" t="s">
        <v>153</v>
      </c>
    </row>
    <row r="432" spans="1:28" hidden="1" x14ac:dyDescent="0.25">
      <c r="A432" t="s">
        <v>1036</v>
      </c>
      <c r="D432" t="s">
        <v>29</v>
      </c>
      <c r="E432" t="s">
        <v>495</v>
      </c>
      <c r="F432">
        <v>6</v>
      </c>
      <c r="G432">
        <v>4</v>
      </c>
      <c r="I432">
        <v>4.666666666666667</v>
      </c>
      <c r="J432">
        <v>5</v>
      </c>
      <c r="K432">
        <v>5</v>
      </c>
      <c r="L432">
        <v>5</v>
      </c>
      <c r="N432">
        <v>4</v>
      </c>
      <c r="S432" t="s">
        <v>153</v>
      </c>
      <c r="V432" t="s">
        <v>153</v>
      </c>
      <c r="X432" t="s">
        <v>153</v>
      </c>
      <c r="Y432">
        <v>4</v>
      </c>
      <c r="AA432">
        <v>5</v>
      </c>
      <c r="AB432" t="s">
        <v>153</v>
      </c>
    </row>
    <row r="433" spans="1:28" hidden="1" x14ac:dyDescent="0.25">
      <c r="A433" t="s">
        <v>1036</v>
      </c>
      <c r="D433" t="s">
        <v>30</v>
      </c>
      <c r="E433" t="s">
        <v>212</v>
      </c>
    </row>
    <row r="434" spans="1:28" x14ac:dyDescent="0.25">
      <c r="A434" t="s">
        <v>1027</v>
      </c>
      <c r="D434" t="s">
        <v>30</v>
      </c>
      <c r="E434" t="s">
        <v>87</v>
      </c>
      <c r="F434">
        <v>12</v>
      </c>
      <c r="G434">
        <v>4</v>
      </c>
      <c r="H434">
        <v>2</v>
      </c>
      <c r="I434">
        <v>4.333333333333333</v>
      </c>
      <c r="J434" t="s">
        <v>153</v>
      </c>
      <c r="K434">
        <v>4</v>
      </c>
      <c r="L434">
        <v>3</v>
      </c>
      <c r="M434">
        <v>5</v>
      </c>
      <c r="N434">
        <v>6</v>
      </c>
      <c r="P434">
        <v>4</v>
      </c>
      <c r="R434" t="s">
        <v>153</v>
      </c>
      <c r="S434" t="s">
        <v>153</v>
      </c>
      <c r="U434">
        <v>6</v>
      </c>
      <c r="V434">
        <v>4</v>
      </c>
      <c r="W434">
        <v>4</v>
      </c>
      <c r="X434" t="s">
        <v>153</v>
      </c>
      <c r="Y434">
        <v>4</v>
      </c>
      <c r="Z434">
        <v>4</v>
      </c>
      <c r="AA434">
        <v>4</v>
      </c>
      <c r="AB434">
        <v>4</v>
      </c>
    </row>
    <row r="435" spans="1:28" hidden="1" x14ac:dyDescent="0.25">
      <c r="A435" t="s">
        <v>1036</v>
      </c>
      <c r="D435" t="s">
        <v>30</v>
      </c>
      <c r="E435" t="s">
        <v>213</v>
      </c>
    </row>
    <row r="436" spans="1:28" hidden="1" x14ac:dyDescent="0.25">
      <c r="A436" t="s">
        <v>1036</v>
      </c>
      <c r="D436" t="s">
        <v>30</v>
      </c>
      <c r="E436" t="s">
        <v>260</v>
      </c>
      <c r="F436">
        <v>8</v>
      </c>
      <c r="G436">
        <v>8</v>
      </c>
      <c r="I436">
        <v>4.625</v>
      </c>
      <c r="J436" t="s">
        <v>153</v>
      </c>
      <c r="K436" t="s">
        <v>153</v>
      </c>
      <c r="L436">
        <v>6</v>
      </c>
      <c r="M436">
        <v>5</v>
      </c>
      <c r="N436" t="s">
        <v>153</v>
      </c>
      <c r="O436">
        <v>3</v>
      </c>
      <c r="P436" t="s">
        <v>153</v>
      </c>
      <c r="Q436" t="s">
        <v>153</v>
      </c>
      <c r="R436" t="s">
        <v>153</v>
      </c>
      <c r="S436" t="s">
        <v>153</v>
      </c>
      <c r="T436">
        <v>4</v>
      </c>
      <c r="U436">
        <v>4</v>
      </c>
      <c r="V436">
        <v>5</v>
      </c>
      <c r="Y436" t="s">
        <v>153</v>
      </c>
      <c r="AA436">
        <v>5</v>
      </c>
      <c r="AB436">
        <v>5</v>
      </c>
    </row>
    <row r="437" spans="1:28" hidden="1" x14ac:dyDescent="0.25">
      <c r="A437" t="s">
        <v>1036</v>
      </c>
      <c r="D437" t="s">
        <v>30</v>
      </c>
      <c r="E437" t="s">
        <v>360</v>
      </c>
      <c r="F437">
        <v>8</v>
      </c>
      <c r="G437">
        <v>5</v>
      </c>
      <c r="H437">
        <v>1</v>
      </c>
      <c r="I437">
        <v>4.875</v>
      </c>
      <c r="O437" t="s">
        <v>153</v>
      </c>
      <c r="P437">
        <v>7</v>
      </c>
      <c r="Q437">
        <v>5</v>
      </c>
      <c r="R437">
        <v>4</v>
      </c>
      <c r="S437">
        <v>5</v>
      </c>
      <c r="T437" t="s">
        <v>153</v>
      </c>
      <c r="U437" t="s">
        <v>153</v>
      </c>
      <c r="V437">
        <v>5</v>
      </c>
      <c r="W437">
        <v>4</v>
      </c>
      <c r="X437">
        <v>5</v>
      </c>
      <c r="Y437">
        <v>4</v>
      </c>
      <c r="Z437" t="s">
        <v>153</v>
      </c>
      <c r="AA437" t="s">
        <v>153</v>
      </c>
    </row>
    <row r="438" spans="1:28" x14ac:dyDescent="0.25">
      <c r="A438" t="s">
        <v>1029</v>
      </c>
      <c r="D438" t="s">
        <v>30</v>
      </c>
      <c r="E438" t="s">
        <v>113</v>
      </c>
      <c r="F438">
        <v>7</v>
      </c>
      <c r="G438">
        <v>7</v>
      </c>
      <c r="H438">
        <v>2</v>
      </c>
      <c r="I438">
        <v>4.75</v>
      </c>
      <c r="J438" t="s">
        <v>153</v>
      </c>
      <c r="K438" t="s">
        <v>153</v>
      </c>
      <c r="M438" t="s">
        <v>153</v>
      </c>
      <c r="O438">
        <v>4</v>
      </c>
      <c r="P438" t="s">
        <v>153</v>
      </c>
      <c r="Q438">
        <v>6</v>
      </c>
      <c r="R438">
        <v>6</v>
      </c>
      <c r="T438">
        <v>4</v>
      </c>
      <c r="U438">
        <v>4</v>
      </c>
      <c r="X438">
        <v>4</v>
      </c>
      <c r="Y438">
        <v>4</v>
      </c>
      <c r="Z438" t="s">
        <v>153</v>
      </c>
      <c r="AA438">
        <v>6</v>
      </c>
      <c r="AB438" t="s">
        <v>153</v>
      </c>
    </row>
    <row r="439" spans="1:28" hidden="1" x14ac:dyDescent="0.25">
      <c r="A439" t="s">
        <v>1036</v>
      </c>
      <c r="D439" t="s">
        <v>30</v>
      </c>
      <c r="E439" t="s">
        <v>848</v>
      </c>
      <c r="F439">
        <v>9</v>
      </c>
      <c r="G439">
        <v>5</v>
      </c>
      <c r="H439">
        <v>1</v>
      </c>
      <c r="I439">
        <v>4.5999999999999996</v>
      </c>
      <c r="J439" t="s">
        <v>153</v>
      </c>
      <c r="K439">
        <v>4</v>
      </c>
      <c r="L439">
        <v>4</v>
      </c>
      <c r="M439">
        <v>5</v>
      </c>
      <c r="N439">
        <v>4</v>
      </c>
      <c r="P439">
        <v>5</v>
      </c>
      <c r="R439">
        <v>7</v>
      </c>
      <c r="S439" t="s">
        <v>153</v>
      </c>
      <c r="U439" t="s">
        <v>153</v>
      </c>
      <c r="V439">
        <v>4</v>
      </c>
      <c r="W439">
        <v>4</v>
      </c>
      <c r="X439">
        <v>5</v>
      </c>
      <c r="Y439" t="s">
        <v>153</v>
      </c>
      <c r="Z439">
        <v>4</v>
      </c>
    </row>
    <row r="440" spans="1:28" hidden="1" x14ac:dyDescent="0.25">
      <c r="A440" t="s">
        <v>1036</v>
      </c>
      <c r="D440" t="s">
        <v>30</v>
      </c>
      <c r="E440" t="s">
        <v>882</v>
      </c>
      <c r="G440">
        <v>1</v>
      </c>
      <c r="X440" t="s">
        <v>153</v>
      </c>
    </row>
    <row r="441" spans="1:28" hidden="1" x14ac:dyDescent="0.25">
      <c r="A441" t="s">
        <v>1036</v>
      </c>
      <c r="D441" t="s">
        <v>30</v>
      </c>
      <c r="E441" t="s">
        <v>955</v>
      </c>
      <c r="G441">
        <v>2</v>
      </c>
      <c r="AA441" t="s">
        <v>153</v>
      </c>
      <c r="AB441" t="s">
        <v>153</v>
      </c>
    </row>
    <row r="442" spans="1:28" hidden="1" x14ac:dyDescent="0.25">
      <c r="A442" t="s">
        <v>1036</v>
      </c>
      <c r="D442" t="s">
        <v>30</v>
      </c>
      <c r="E442" t="s">
        <v>388</v>
      </c>
    </row>
    <row r="443" spans="1:28" hidden="1" x14ac:dyDescent="0.25">
      <c r="A443" t="s">
        <v>1037</v>
      </c>
      <c r="D443" t="s">
        <v>8</v>
      </c>
      <c r="E443" t="s">
        <v>962</v>
      </c>
      <c r="F443">
        <v>2</v>
      </c>
      <c r="I443">
        <v>5.5</v>
      </c>
      <c r="AA443">
        <v>5</v>
      </c>
      <c r="AB443">
        <v>6</v>
      </c>
    </row>
    <row r="444" spans="1:28" hidden="1" x14ac:dyDescent="0.25">
      <c r="A444" t="s">
        <v>1037</v>
      </c>
      <c r="D444" t="s">
        <v>29</v>
      </c>
      <c r="E444" t="s">
        <v>222</v>
      </c>
      <c r="F444">
        <v>12</v>
      </c>
      <c r="I444">
        <v>5.166666666666667</v>
      </c>
      <c r="J444">
        <v>6</v>
      </c>
      <c r="K444">
        <v>5</v>
      </c>
      <c r="O444">
        <v>5</v>
      </c>
      <c r="S444">
        <v>5</v>
      </c>
      <c r="T444">
        <v>5</v>
      </c>
      <c r="U444">
        <v>7</v>
      </c>
      <c r="V444">
        <v>4</v>
      </c>
      <c r="W444">
        <v>5</v>
      </c>
      <c r="X444">
        <v>5</v>
      </c>
      <c r="Y444">
        <v>4</v>
      </c>
      <c r="AA444">
        <v>6</v>
      </c>
      <c r="AB444">
        <v>5</v>
      </c>
    </row>
    <row r="445" spans="1:28" hidden="1" x14ac:dyDescent="0.25">
      <c r="A445" t="s">
        <v>1030</v>
      </c>
      <c r="D445" t="s">
        <v>29</v>
      </c>
      <c r="E445" t="s">
        <v>117</v>
      </c>
      <c r="F445">
        <v>13</v>
      </c>
      <c r="G445">
        <v>3</v>
      </c>
      <c r="H445">
        <v>1</v>
      </c>
      <c r="I445">
        <v>5.1538461538461542</v>
      </c>
      <c r="J445">
        <v>5</v>
      </c>
      <c r="K445">
        <v>5</v>
      </c>
      <c r="L445">
        <v>4</v>
      </c>
      <c r="M445">
        <v>5</v>
      </c>
      <c r="N445">
        <v>5</v>
      </c>
      <c r="O445">
        <v>5</v>
      </c>
      <c r="P445" t="s">
        <v>153</v>
      </c>
      <c r="S445" t="s">
        <v>153</v>
      </c>
      <c r="T445">
        <v>6</v>
      </c>
      <c r="U445" t="s">
        <v>153</v>
      </c>
      <c r="V445">
        <v>7</v>
      </c>
      <c r="W445">
        <v>5</v>
      </c>
      <c r="X445">
        <v>5</v>
      </c>
      <c r="Y445">
        <v>4</v>
      </c>
      <c r="AA445">
        <v>5</v>
      </c>
      <c r="AB445">
        <v>6</v>
      </c>
    </row>
    <row r="446" spans="1:28" x14ac:dyDescent="0.25">
      <c r="A446" t="s">
        <v>1032</v>
      </c>
      <c r="D446" t="s">
        <v>30</v>
      </c>
      <c r="E446" t="s">
        <v>287</v>
      </c>
      <c r="F446">
        <v>3</v>
      </c>
      <c r="G446">
        <v>12</v>
      </c>
      <c r="H446">
        <v>2</v>
      </c>
      <c r="I446">
        <v>4.666666666666667</v>
      </c>
      <c r="J446" t="s">
        <v>153</v>
      </c>
      <c r="M446" t="s">
        <v>153</v>
      </c>
      <c r="N446" t="s">
        <v>153</v>
      </c>
      <c r="O446" t="s">
        <v>153</v>
      </c>
      <c r="Q446" t="s">
        <v>153</v>
      </c>
      <c r="R446">
        <v>5</v>
      </c>
      <c r="S446" t="s">
        <v>153</v>
      </c>
      <c r="T446" t="s">
        <v>153</v>
      </c>
      <c r="U446" t="s">
        <v>153</v>
      </c>
      <c r="V446" t="s">
        <v>153</v>
      </c>
      <c r="W446" t="s">
        <v>153</v>
      </c>
      <c r="X446" t="s">
        <v>153</v>
      </c>
      <c r="Y446" t="s">
        <v>153</v>
      </c>
      <c r="Z446">
        <v>4</v>
      </c>
      <c r="AA446">
        <v>5</v>
      </c>
    </row>
    <row r="447" spans="1:28" hidden="1" x14ac:dyDescent="0.25">
      <c r="A447" t="s">
        <v>1037</v>
      </c>
      <c r="D447" t="s">
        <v>11</v>
      </c>
      <c r="E447" t="s">
        <v>219</v>
      </c>
      <c r="F447">
        <v>3</v>
      </c>
      <c r="H447">
        <v>1</v>
      </c>
      <c r="I447">
        <v>5.666666666666667</v>
      </c>
      <c r="J447">
        <v>6</v>
      </c>
      <c r="K447">
        <v>6</v>
      </c>
      <c r="L447">
        <v>5</v>
      </c>
    </row>
    <row r="448" spans="1:28" hidden="1" x14ac:dyDescent="0.25">
      <c r="A448" t="s">
        <v>1037</v>
      </c>
      <c r="D448" t="s">
        <v>11</v>
      </c>
      <c r="E448" t="s">
        <v>276</v>
      </c>
      <c r="F448">
        <v>10</v>
      </c>
      <c r="G448">
        <v>2</v>
      </c>
      <c r="I448">
        <v>5.2</v>
      </c>
      <c r="M448">
        <v>5</v>
      </c>
      <c r="N448">
        <v>5</v>
      </c>
      <c r="S448">
        <v>5</v>
      </c>
      <c r="T448">
        <v>6</v>
      </c>
      <c r="U448">
        <v>6</v>
      </c>
      <c r="V448">
        <v>5</v>
      </c>
      <c r="W448" t="s">
        <v>153</v>
      </c>
      <c r="X448">
        <v>5</v>
      </c>
      <c r="Y448" t="s">
        <v>153</v>
      </c>
      <c r="Z448">
        <v>4</v>
      </c>
      <c r="AA448">
        <v>6</v>
      </c>
      <c r="AB448">
        <v>5</v>
      </c>
    </row>
    <row r="449" spans="1:28" hidden="1" x14ac:dyDescent="0.25">
      <c r="A449" t="s">
        <v>1037</v>
      </c>
      <c r="D449" t="s">
        <v>11</v>
      </c>
      <c r="E449" t="s">
        <v>352</v>
      </c>
      <c r="F449">
        <v>9</v>
      </c>
      <c r="G449">
        <v>1</v>
      </c>
      <c r="H449">
        <v>1</v>
      </c>
      <c r="I449">
        <v>4.8888888888888893</v>
      </c>
      <c r="K449" t="s">
        <v>153</v>
      </c>
      <c r="L449">
        <v>5</v>
      </c>
      <c r="Q449">
        <v>4</v>
      </c>
      <c r="R449">
        <v>6</v>
      </c>
      <c r="S449">
        <v>3</v>
      </c>
      <c r="X449">
        <v>4</v>
      </c>
      <c r="Y449">
        <v>5</v>
      </c>
      <c r="Z449">
        <v>5</v>
      </c>
      <c r="AA449">
        <v>6</v>
      </c>
      <c r="AB449">
        <v>6</v>
      </c>
    </row>
    <row r="450" spans="1:28" hidden="1" x14ac:dyDescent="0.25">
      <c r="A450" t="s">
        <v>1040</v>
      </c>
      <c r="D450" t="s">
        <v>11</v>
      </c>
      <c r="E450" t="s">
        <v>405</v>
      </c>
      <c r="F450">
        <v>15</v>
      </c>
      <c r="I450">
        <v>5</v>
      </c>
      <c r="J450">
        <v>6</v>
      </c>
      <c r="K450">
        <v>4</v>
      </c>
      <c r="L450">
        <v>3</v>
      </c>
      <c r="M450">
        <v>5</v>
      </c>
      <c r="N450">
        <v>5</v>
      </c>
      <c r="O450">
        <v>4</v>
      </c>
      <c r="P450">
        <v>6</v>
      </c>
      <c r="Q450">
        <v>5</v>
      </c>
      <c r="R450" t="s">
        <v>546</v>
      </c>
      <c r="W450">
        <v>5</v>
      </c>
      <c r="X450">
        <v>6</v>
      </c>
      <c r="Y450">
        <v>5</v>
      </c>
      <c r="Z450">
        <v>5</v>
      </c>
      <c r="AA450">
        <v>5</v>
      </c>
      <c r="AB450">
        <v>6</v>
      </c>
    </row>
    <row r="451" spans="1:28" hidden="1" x14ac:dyDescent="0.25">
      <c r="A451" t="s">
        <v>1037</v>
      </c>
      <c r="D451" t="s">
        <v>11</v>
      </c>
      <c r="E451" t="s">
        <v>620</v>
      </c>
      <c r="F451">
        <v>7</v>
      </c>
      <c r="G451">
        <v>1</v>
      </c>
      <c r="H451">
        <v>2</v>
      </c>
      <c r="I451">
        <v>5.666666666666667</v>
      </c>
      <c r="N451" t="s">
        <v>153</v>
      </c>
      <c r="O451">
        <v>4</v>
      </c>
      <c r="P451">
        <v>7</v>
      </c>
      <c r="R451">
        <v>5</v>
      </c>
      <c r="W451">
        <v>6</v>
      </c>
      <c r="X451">
        <v>7</v>
      </c>
      <c r="Y451">
        <v>5</v>
      </c>
      <c r="Z451" t="s">
        <v>546</v>
      </c>
    </row>
    <row r="452" spans="1:28" hidden="1" x14ac:dyDescent="0.25">
      <c r="A452" t="s">
        <v>1037</v>
      </c>
      <c r="D452" t="s">
        <v>11</v>
      </c>
      <c r="E452" t="s">
        <v>211</v>
      </c>
      <c r="F452">
        <v>9</v>
      </c>
      <c r="G452">
        <v>1</v>
      </c>
      <c r="H452">
        <v>3</v>
      </c>
      <c r="I452">
        <v>5.625</v>
      </c>
      <c r="L452">
        <v>5</v>
      </c>
      <c r="N452">
        <v>6</v>
      </c>
      <c r="O452">
        <v>6</v>
      </c>
      <c r="P452">
        <v>4</v>
      </c>
      <c r="Q452" t="s">
        <v>546</v>
      </c>
      <c r="V452" t="s">
        <v>153</v>
      </c>
      <c r="W452">
        <v>6</v>
      </c>
      <c r="X452">
        <v>7</v>
      </c>
      <c r="Y452">
        <v>6</v>
      </c>
      <c r="Z452">
        <v>5</v>
      </c>
    </row>
    <row r="453" spans="1:28" hidden="1" x14ac:dyDescent="0.25">
      <c r="A453" t="s">
        <v>1037</v>
      </c>
      <c r="D453" t="s">
        <v>11</v>
      </c>
      <c r="E453" t="s">
        <v>371</v>
      </c>
    </row>
    <row r="454" spans="1:28" hidden="1" x14ac:dyDescent="0.25">
      <c r="A454" t="s">
        <v>1037</v>
      </c>
      <c r="D454" t="s">
        <v>11</v>
      </c>
      <c r="E454" t="s">
        <v>256</v>
      </c>
    </row>
    <row r="455" spans="1:28" hidden="1" x14ac:dyDescent="0.25">
      <c r="A455" t="s">
        <v>1037</v>
      </c>
      <c r="D455" t="s">
        <v>29</v>
      </c>
      <c r="E455" t="s">
        <v>341</v>
      </c>
      <c r="F455">
        <v>10</v>
      </c>
      <c r="G455">
        <v>8</v>
      </c>
      <c r="H455">
        <v>3</v>
      </c>
      <c r="I455">
        <v>5.2142857142857144</v>
      </c>
      <c r="J455">
        <v>7</v>
      </c>
      <c r="K455">
        <v>5</v>
      </c>
      <c r="L455" t="s">
        <v>153</v>
      </c>
      <c r="M455">
        <v>4</v>
      </c>
      <c r="N455">
        <v>5</v>
      </c>
      <c r="O455">
        <v>4</v>
      </c>
      <c r="P455">
        <v>5</v>
      </c>
      <c r="Q455">
        <v>7</v>
      </c>
      <c r="R455">
        <v>4</v>
      </c>
      <c r="S455">
        <v>6</v>
      </c>
      <c r="T455">
        <v>7</v>
      </c>
      <c r="V455">
        <v>4</v>
      </c>
      <c r="W455">
        <v>5</v>
      </c>
      <c r="X455" t="s">
        <v>153</v>
      </c>
      <c r="Y455">
        <v>5</v>
      </c>
      <c r="Z455">
        <v>5</v>
      </c>
      <c r="AA455" t="s">
        <v>153</v>
      </c>
      <c r="AB455" t="s">
        <v>153</v>
      </c>
    </row>
    <row r="456" spans="1:28" hidden="1" x14ac:dyDescent="0.25">
      <c r="A456" t="s">
        <v>1037</v>
      </c>
      <c r="D456" t="s">
        <v>29</v>
      </c>
      <c r="E456" t="s">
        <v>246</v>
      </c>
      <c r="F456">
        <v>4</v>
      </c>
      <c r="I456">
        <v>5.25</v>
      </c>
      <c r="L456">
        <v>5</v>
      </c>
      <c r="Q456">
        <v>5</v>
      </c>
      <c r="X456">
        <v>6</v>
      </c>
      <c r="Z456">
        <v>5</v>
      </c>
    </row>
    <row r="457" spans="1:28" hidden="1" x14ac:dyDescent="0.25">
      <c r="A457" t="s">
        <v>1037</v>
      </c>
      <c r="D457" t="s">
        <v>29</v>
      </c>
      <c r="E457" t="s">
        <v>221</v>
      </c>
      <c r="F457">
        <v>10</v>
      </c>
      <c r="H457">
        <v>1</v>
      </c>
      <c r="I457">
        <v>6</v>
      </c>
      <c r="J457" t="s">
        <v>555</v>
      </c>
      <c r="K457">
        <v>6</v>
      </c>
      <c r="L457">
        <v>5</v>
      </c>
      <c r="P457">
        <v>7</v>
      </c>
      <c r="Q457">
        <v>7</v>
      </c>
      <c r="R457">
        <v>6</v>
      </c>
      <c r="T457">
        <v>6</v>
      </c>
      <c r="Z457">
        <v>7</v>
      </c>
      <c r="AA457">
        <v>5</v>
      </c>
      <c r="AB457">
        <v>5</v>
      </c>
    </row>
    <row r="458" spans="1:28" hidden="1" x14ac:dyDescent="0.25">
      <c r="A458" t="s">
        <v>1042</v>
      </c>
      <c r="D458" t="s">
        <v>11</v>
      </c>
      <c r="E458" t="s">
        <v>441</v>
      </c>
      <c r="F458">
        <v>18</v>
      </c>
      <c r="H458">
        <v>2</v>
      </c>
      <c r="I458">
        <v>5</v>
      </c>
      <c r="J458">
        <v>5</v>
      </c>
      <c r="K458">
        <v>5</v>
      </c>
      <c r="L458">
        <v>5</v>
      </c>
      <c r="M458">
        <v>5</v>
      </c>
      <c r="N458">
        <v>4</v>
      </c>
      <c r="O458">
        <v>5</v>
      </c>
      <c r="P458">
        <v>5</v>
      </c>
      <c r="Q458">
        <v>6</v>
      </c>
      <c r="R458">
        <v>5</v>
      </c>
      <c r="S458">
        <v>5</v>
      </c>
      <c r="T458">
        <v>5</v>
      </c>
      <c r="U458">
        <v>4</v>
      </c>
      <c r="W458">
        <v>5</v>
      </c>
      <c r="X458">
        <v>5</v>
      </c>
      <c r="Y458">
        <v>6</v>
      </c>
      <c r="Z458">
        <v>5</v>
      </c>
      <c r="AA458">
        <v>6</v>
      </c>
      <c r="AB458">
        <v>4</v>
      </c>
    </row>
    <row r="459" spans="1:28" hidden="1" x14ac:dyDescent="0.25">
      <c r="A459" t="s">
        <v>1037</v>
      </c>
      <c r="D459" t="s">
        <v>29</v>
      </c>
      <c r="E459" t="s">
        <v>473</v>
      </c>
      <c r="F459">
        <v>9</v>
      </c>
      <c r="G459">
        <v>2</v>
      </c>
      <c r="H459">
        <v>3</v>
      </c>
      <c r="I459">
        <v>5.25</v>
      </c>
      <c r="J459" t="s">
        <v>555</v>
      </c>
      <c r="M459" t="s">
        <v>153</v>
      </c>
      <c r="N459">
        <v>5</v>
      </c>
      <c r="P459">
        <v>4</v>
      </c>
      <c r="Q459" t="s">
        <v>153</v>
      </c>
      <c r="R459" t="s">
        <v>153</v>
      </c>
      <c r="S459">
        <v>6</v>
      </c>
      <c r="T459">
        <v>5</v>
      </c>
      <c r="U459">
        <v>7</v>
      </c>
      <c r="V459">
        <v>4</v>
      </c>
      <c r="W459">
        <v>6</v>
      </c>
      <c r="Y459">
        <v>5</v>
      </c>
    </row>
    <row r="460" spans="1:28" hidden="1" x14ac:dyDescent="0.25">
      <c r="A460" t="s">
        <v>1037</v>
      </c>
      <c r="D460" t="s">
        <v>29</v>
      </c>
      <c r="E460" t="s">
        <v>109</v>
      </c>
      <c r="F460">
        <v>4</v>
      </c>
      <c r="G460">
        <v>3</v>
      </c>
      <c r="I460">
        <v>5</v>
      </c>
      <c r="L460">
        <v>5</v>
      </c>
      <c r="M460">
        <v>5</v>
      </c>
      <c r="N460">
        <v>5</v>
      </c>
      <c r="P460" t="s">
        <v>153</v>
      </c>
      <c r="Q460">
        <v>5</v>
      </c>
      <c r="R460">
        <v>5</v>
      </c>
    </row>
    <row r="461" spans="1:28" hidden="1" x14ac:dyDescent="0.25">
      <c r="A461" t="s">
        <v>1037</v>
      </c>
      <c r="D461" t="s">
        <v>29</v>
      </c>
      <c r="E461" t="s">
        <v>526</v>
      </c>
      <c r="F461">
        <v>8</v>
      </c>
      <c r="G461">
        <v>3</v>
      </c>
      <c r="H461">
        <v>3</v>
      </c>
      <c r="I461">
        <v>6.125</v>
      </c>
      <c r="L461" t="s">
        <v>153</v>
      </c>
      <c r="M461">
        <v>4</v>
      </c>
      <c r="N461" t="s">
        <v>153</v>
      </c>
      <c r="O461">
        <v>8</v>
      </c>
      <c r="P461">
        <v>7</v>
      </c>
      <c r="Q461">
        <v>6</v>
      </c>
      <c r="R461">
        <v>6</v>
      </c>
      <c r="S461">
        <v>6</v>
      </c>
      <c r="Z461" t="s">
        <v>153</v>
      </c>
      <c r="AA461">
        <v>5</v>
      </c>
      <c r="AB461">
        <v>7</v>
      </c>
    </row>
    <row r="462" spans="1:28" hidden="1" x14ac:dyDescent="0.25">
      <c r="A462" t="s">
        <v>1037</v>
      </c>
      <c r="D462" t="s">
        <v>29</v>
      </c>
      <c r="E462" t="s">
        <v>40</v>
      </c>
      <c r="F462">
        <v>2</v>
      </c>
      <c r="I462">
        <v>5</v>
      </c>
      <c r="O462" t="s">
        <v>555</v>
      </c>
      <c r="U462">
        <v>5</v>
      </c>
    </row>
    <row r="463" spans="1:28" hidden="1" x14ac:dyDescent="0.25">
      <c r="A463" t="s">
        <v>1037</v>
      </c>
      <c r="D463" t="s">
        <v>29</v>
      </c>
      <c r="E463" t="s">
        <v>687</v>
      </c>
      <c r="F463">
        <v>1</v>
      </c>
      <c r="G463">
        <v>3</v>
      </c>
      <c r="I463">
        <v>4</v>
      </c>
      <c r="O463" t="s">
        <v>153</v>
      </c>
      <c r="R463" t="s">
        <v>153</v>
      </c>
      <c r="U463" t="s">
        <v>153</v>
      </c>
      <c r="V463" t="s">
        <v>153</v>
      </c>
      <c r="Z463">
        <v>4</v>
      </c>
    </row>
    <row r="464" spans="1:28" hidden="1" x14ac:dyDescent="0.25">
      <c r="A464" t="s">
        <v>1038</v>
      </c>
      <c r="B464" t="s">
        <v>1043</v>
      </c>
      <c r="D464" t="s">
        <v>29</v>
      </c>
      <c r="E464" t="s">
        <v>373</v>
      </c>
      <c r="F464">
        <v>14</v>
      </c>
      <c r="G464">
        <v>2</v>
      </c>
      <c r="H464">
        <v>3</v>
      </c>
      <c r="I464">
        <v>5.1428571428571432</v>
      </c>
      <c r="J464">
        <v>5</v>
      </c>
      <c r="K464">
        <v>4</v>
      </c>
      <c r="L464">
        <v>4</v>
      </c>
      <c r="O464" t="s">
        <v>153</v>
      </c>
      <c r="P464">
        <v>4</v>
      </c>
      <c r="Q464" t="s">
        <v>153</v>
      </c>
      <c r="R464">
        <v>5</v>
      </c>
      <c r="S464">
        <v>5</v>
      </c>
      <c r="T464">
        <v>5</v>
      </c>
      <c r="U464">
        <v>7</v>
      </c>
      <c r="V464">
        <v>4</v>
      </c>
      <c r="W464">
        <v>7</v>
      </c>
      <c r="X464">
        <v>5</v>
      </c>
      <c r="Y464">
        <v>6</v>
      </c>
      <c r="AA464">
        <v>6</v>
      </c>
      <c r="AB464">
        <v>5</v>
      </c>
    </row>
    <row r="465" spans="1:28" hidden="1" x14ac:dyDescent="0.25">
      <c r="A465" t="s">
        <v>1037</v>
      </c>
      <c r="D465" t="s">
        <v>30</v>
      </c>
      <c r="E465" t="s">
        <v>225</v>
      </c>
    </row>
    <row r="466" spans="1:28" x14ac:dyDescent="0.25">
      <c r="A466" t="s">
        <v>1033</v>
      </c>
      <c r="D466" t="s">
        <v>30</v>
      </c>
      <c r="E466" t="s">
        <v>98</v>
      </c>
      <c r="F466">
        <v>8</v>
      </c>
      <c r="G466">
        <v>3</v>
      </c>
      <c r="H466">
        <v>2</v>
      </c>
      <c r="I466">
        <v>4.4000000000000004</v>
      </c>
      <c r="J466">
        <v>3</v>
      </c>
      <c r="N466">
        <v>5</v>
      </c>
      <c r="O466">
        <v>4</v>
      </c>
      <c r="Q466">
        <v>5</v>
      </c>
      <c r="R466">
        <v>4</v>
      </c>
      <c r="S466" t="s">
        <v>153</v>
      </c>
      <c r="V466">
        <v>4</v>
      </c>
      <c r="W466">
        <v>5</v>
      </c>
      <c r="Y466">
        <v>4</v>
      </c>
      <c r="AA466">
        <v>5</v>
      </c>
      <c r="AB466">
        <v>5</v>
      </c>
    </row>
    <row r="467" spans="1:28" hidden="1" x14ac:dyDescent="0.25">
      <c r="A467" t="s">
        <v>1037</v>
      </c>
      <c r="D467" t="s">
        <v>30</v>
      </c>
      <c r="E467" t="s">
        <v>226</v>
      </c>
    </row>
    <row r="468" spans="1:28" hidden="1" x14ac:dyDescent="0.25">
      <c r="A468" t="s">
        <v>1037</v>
      </c>
      <c r="D468" t="s">
        <v>30</v>
      </c>
      <c r="E468" t="s">
        <v>324</v>
      </c>
    </row>
    <row r="469" spans="1:28" hidden="1" x14ac:dyDescent="0.25">
      <c r="A469" t="s">
        <v>1037</v>
      </c>
      <c r="D469" t="s">
        <v>30</v>
      </c>
      <c r="E469" t="s">
        <v>474</v>
      </c>
      <c r="F469">
        <v>1</v>
      </c>
      <c r="G469">
        <v>1</v>
      </c>
      <c r="I469">
        <v>5</v>
      </c>
      <c r="L469">
        <v>5</v>
      </c>
      <c r="N469" t="s">
        <v>153</v>
      </c>
    </row>
    <row r="470" spans="1:28" hidden="1" x14ac:dyDescent="0.25">
      <c r="A470" t="s">
        <v>1037</v>
      </c>
      <c r="D470" t="s">
        <v>30</v>
      </c>
      <c r="E470" t="s">
        <v>475</v>
      </c>
      <c r="F470">
        <v>5</v>
      </c>
      <c r="G470">
        <v>3</v>
      </c>
      <c r="I470">
        <v>4.4000000000000004</v>
      </c>
      <c r="J470">
        <v>5</v>
      </c>
      <c r="K470">
        <v>4</v>
      </c>
      <c r="M470" t="s">
        <v>153</v>
      </c>
      <c r="N470">
        <v>4</v>
      </c>
      <c r="O470" t="s">
        <v>153</v>
      </c>
      <c r="P470">
        <v>4</v>
      </c>
      <c r="S470">
        <v>5</v>
      </c>
      <c r="T470" t="s">
        <v>153</v>
      </c>
    </row>
    <row r="471" spans="1:28" hidden="1" x14ac:dyDescent="0.25">
      <c r="A471" t="s">
        <v>1037</v>
      </c>
      <c r="D471" t="s">
        <v>30</v>
      </c>
      <c r="E471" t="s">
        <v>476</v>
      </c>
      <c r="F471">
        <v>10</v>
      </c>
      <c r="G471">
        <v>5</v>
      </c>
      <c r="H471" t="s">
        <v>796</v>
      </c>
      <c r="I471">
        <v>4.0909090909090908</v>
      </c>
      <c r="J471" t="s">
        <v>153</v>
      </c>
      <c r="K471">
        <v>4</v>
      </c>
      <c r="L471">
        <v>4</v>
      </c>
      <c r="M471" t="s">
        <v>153</v>
      </c>
      <c r="N471">
        <v>4</v>
      </c>
      <c r="O471">
        <v>4</v>
      </c>
      <c r="P471">
        <v>2</v>
      </c>
      <c r="R471">
        <v>4</v>
      </c>
      <c r="S471" t="s">
        <v>153</v>
      </c>
      <c r="T471">
        <v>4</v>
      </c>
      <c r="U471" t="s">
        <v>153</v>
      </c>
      <c r="V471">
        <v>4</v>
      </c>
      <c r="W471">
        <v>4</v>
      </c>
      <c r="X471">
        <v>5</v>
      </c>
      <c r="Y471">
        <v>6</v>
      </c>
    </row>
    <row r="472" spans="1:28" hidden="1" x14ac:dyDescent="0.25">
      <c r="A472" t="s">
        <v>1037</v>
      </c>
      <c r="D472" t="s">
        <v>30</v>
      </c>
      <c r="E472" t="s">
        <v>822</v>
      </c>
      <c r="F472">
        <v>5</v>
      </c>
      <c r="G472">
        <v>3</v>
      </c>
      <c r="H472">
        <v>1</v>
      </c>
      <c r="I472">
        <v>5</v>
      </c>
      <c r="U472" t="s">
        <v>153</v>
      </c>
      <c r="V472">
        <v>6</v>
      </c>
      <c r="W472">
        <v>5</v>
      </c>
      <c r="X472">
        <v>5</v>
      </c>
      <c r="Y472" t="s">
        <v>153</v>
      </c>
      <c r="Z472" t="s">
        <v>153</v>
      </c>
      <c r="AA472">
        <v>5</v>
      </c>
      <c r="AB472">
        <v>4</v>
      </c>
    </row>
    <row r="473" spans="1:28" hidden="1" x14ac:dyDescent="0.25">
      <c r="A473" t="s">
        <v>1037</v>
      </c>
      <c r="D473" t="s">
        <v>30</v>
      </c>
      <c r="E473" t="s">
        <v>908</v>
      </c>
      <c r="G473">
        <v>2</v>
      </c>
      <c r="Y473" t="s">
        <v>153</v>
      </c>
      <c r="AA473" t="s">
        <v>153</v>
      </c>
    </row>
    <row r="474" spans="1:28" hidden="1" x14ac:dyDescent="0.25">
      <c r="A474" t="s">
        <v>1037</v>
      </c>
      <c r="D474" t="s">
        <v>30</v>
      </c>
      <c r="E474" t="s">
        <v>477</v>
      </c>
      <c r="F474">
        <v>8</v>
      </c>
      <c r="G474">
        <v>7</v>
      </c>
      <c r="I474">
        <v>4.5</v>
      </c>
      <c r="J474">
        <v>5</v>
      </c>
      <c r="K474" t="s">
        <v>153</v>
      </c>
      <c r="L474">
        <v>5</v>
      </c>
      <c r="M474">
        <v>5</v>
      </c>
      <c r="O474">
        <v>5</v>
      </c>
      <c r="P474" t="s">
        <v>153</v>
      </c>
      <c r="Q474">
        <v>4</v>
      </c>
      <c r="R474">
        <v>4</v>
      </c>
      <c r="S474" t="s">
        <v>153</v>
      </c>
      <c r="U474">
        <v>4</v>
      </c>
      <c r="V474" t="s">
        <v>153</v>
      </c>
      <c r="W474" t="s">
        <v>153</v>
      </c>
      <c r="X474" t="s">
        <v>153</v>
      </c>
      <c r="Y474">
        <v>4</v>
      </c>
      <c r="AB474" t="s">
        <v>153</v>
      </c>
    </row>
    <row r="475" spans="1:28" hidden="1" x14ac:dyDescent="0.25">
      <c r="A475" t="s">
        <v>1038</v>
      </c>
      <c r="D475" t="s">
        <v>8</v>
      </c>
      <c r="E475" t="s">
        <v>737</v>
      </c>
    </row>
    <row r="476" spans="1:28" x14ac:dyDescent="0.25">
      <c r="A476" t="s">
        <v>1034</v>
      </c>
      <c r="D476" t="s">
        <v>30</v>
      </c>
      <c r="E476" t="s">
        <v>265</v>
      </c>
      <c r="F476">
        <v>5</v>
      </c>
      <c r="G476">
        <v>1</v>
      </c>
      <c r="H476">
        <v>2</v>
      </c>
      <c r="I476">
        <v>6.2</v>
      </c>
      <c r="M476" t="s">
        <v>153</v>
      </c>
      <c r="N476">
        <v>7</v>
      </c>
      <c r="O476">
        <v>6</v>
      </c>
      <c r="Q476">
        <v>7</v>
      </c>
      <c r="R476">
        <v>5</v>
      </c>
      <c r="W476">
        <v>6</v>
      </c>
    </row>
    <row r="477" spans="1:28" hidden="1" x14ac:dyDescent="0.25">
      <c r="A477" t="s">
        <v>1038</v>
      </c>
      <c r="D477" t="s">
        <v>8</v>
      </c>
      <c r="E477" t="s">
        <v>233</v>
      </c>
      <c r="F477">
        <v>1</v>
      </c>
      <c r="I477">
        <v>5</v>
      </c>
      <c r="K477">
        <v>5</v>
      </c>
    </row>
    <row r="478" spans="1:28" hidden="1" x14ac:dyDescent="0.25">
      <c r="A478" t="s">
        <v>1038</v>
      </c>
      <c r="D478" t="s">
        <v>11</v>
      </c>
      <c r="E478" t="s">
        <v>234</v>
      </c>
      <c r="F478">
        <v>4</v>
      </c>
      <c r="I478">
        <v>4.75</v>
      </c>
      <c r="M478">
        <v>5</v>
      </c>
      <c r="N478">
        <v>5</v>
      </c>
      <c r="Y478">
        <v>5</v>
      </c>
      <c r="AA478">
        <v>4</v>
      </c>
    </row>
    <row r="479" spans="1:28" hidden="1" x14ac:dyDescent="0.25">
      <c r="A479" t="s">
        <v>1038</v>
      </c>
      <c r="D479" t="s">
        <v>11</v>
      </c>
      <c r="E479" t="s">
        <v>241</v>
      </c>
      <c r="F479">
        <v>12</v>
      </c>
      <c r="I479">
        <v>5</v>
      </c>
      <c r="J479">
        <v>5</v>
      </c>
      <c r="K479">
        <v>5</v>
      </c>
      <c r="L479">
        <v>5</v>
      </c>
      <c r="M479">
        <v>6</v>
      </c>
      <c r="N479">
        <v>5</v>
      </c>
      <c r="O479">
        <v>5</v>
      </c>
      <c r="W479">
        <v>5</v>
      </c>
      <c r="X479">
        <v>5</v>
      </c>
      <c r="Y479">
        <v>5</v>
      </c>
      <c r="Z479">
        <v>4</v>
      </c>
      <c r="AA479">
        <v>5</v>
      </c>
      <c r="AB479">
        <v>5</v>
      </c>
    </row>
    <row r="480" spans="1:28" hidden="1" x14ac:dyDescent="0.25">
      <c r="A480" t="s">
        <v>1038</v>
      </c>
      <c r="D480" t="s">
        <v>11</v>
      </c>
      <c r="E480" t="s">
        <v>235</v>
      </c>
      <c r="F480">
        <v>9</v>
      </c>
      <c r="G480">
        <v>1</v>
      </c>
      <c r="H480">
        <v>1</v>
      </c>
      <c r="I480">
        <v>5.1111111111111107</v>
      </c>
      <c r="J480">
        <v>5</v>
      </c>
      <c r="K480">
        <v>5</v>
      </c>
      <c r="L480">
        <v>5</v>
      </c>
      <c r="S480">
        <v>5</v>
      </c>
      <c r="T480">
        <v>5</v>
      </c>
      <c r="U480">
        <v>5</v>
      </c>
      <c r="V480">
        <v>6</v>
      </c>
      <c r="W480">
        <v>6</v>
      </c>
      <c r="X480">
        <v>4</v>
      </c>
      <c r="Y480" t="s">
        <v>153</v>
      </c>
    </row>
    <row r="481" spans="1:28" hidden="1" x14ac:dyDescent="0.25">
      <c r="A481" t="s">
        <v>1038</v>
      </c>
      <c r="D481" t="s">
        <v>11</v>
      </c>
      <c r="E481" t="s">
        <v>344</v>
      </c>
      <c r="F481">
        <v>10</v>
      </c>
      <c r="G481">
        <v>1</v>
      </c>
      <c r="I481">
        <v>4.7777777777777777</v>
      </c>
      <c r="K481">
        <v>4</v>
      </c>
      <c r="N481" t="s">
        <v>153</v>
      </c>
      <c r="O481">
        <v>5</v>
      </c>
      <c r="P481">
        <v>3</v>
      </c>
      <c r="Q481">
        <v>5</v>
      </c>
      <c r="R481">
        <v>7</v>
      </c>
      <c r="S481">
        <v>5</v>
      </c>
      <c r="T481">
        <v>5</v>
      </c>
      <c r="U481">
        <v>5</v>
      </c>
      <c r="Z481">
        <v>4</v>
      </c>
    </row>
    <row r="482" spans="1:28" hidden="1" x14ac:dyDescent="0.25">
      <c r="A482" t="s">
        <v>1038</v>
      </c>
      <c r="D482" t="s">
        <v>11</v>
      </c>
      <c r="E482" t="s">
        <v>302</v>
      </c>
      <c r="F482">
        <v>1</v>
      </c>
      <c r="H482" t="s">
        <v>617</v>
      </c>
      <c r="I482">
        <v>4</v>
      </c>
      <c r="L482">
        <v>4</v>
      </c>
    </row>
    <row r="483" spans="1:28" hidden="1" x14ac:dyDescent="0.25">
      <c r="A483" t="s">
        <v>1038</v>
      </c>
      <c r="D483" t="s">
        <v>11</v>
      </c>
      <c r="E483" t="s">
        <v>236</v>
      </c>
    </row>
    <row r="484" spans="1:28" hidden="1" x14ac:dyDescent="0.25">
      <c r="A484" t="s">
        <v>1028</v>
      </c>
      <c r="D484" t="s">
        <v>11</v>
      </c>
      <c r="E484" t="s">
        <v>483</v>
      </c>
      <c r="F484">
        <v>17</v>
      </c>
      <c r="I484">
        <v>4.9411764705882355</v>
      </c>
      <c r="J484">
        <v>5</v>
      </c>
      <c r="K484">
        <v>6</v>
      </c>
      <c r="L484">
        <v>5</v>
      </c>
      <c r="M484">
        <v>5</v>
      </c>
      <c r="N484">
        <v>6</v>
      </c>
      <c r="O484">
        <v>5</v>
      </c>
      <c r="P484">
        <v>5</v>
      </c>
      <c r="Q484">
        <v>4</v>
      </c>
      <c r="R484">
        <v>5</v>
      </c>
      <c r="S484">
        <v>5</v>
      </c>
      <c r="T484">
        <v>4</v>
      </c>
      <c r="U484">
        <v>5</v>
      </c>
      <c r="W484">
        <v>5</v>
      </c>
      <c r="X484">
        <v>3</v>
      </c>
      <c r="Z484">
        <v>5</v>
      </c>
      <c r="AA484">
        <v>6</v>
      </c>
      <c r="AB484">
        <v>5</v>
      </c>
    </row>
    <row r="485" spans="1:28" hidden="1" x14ac:dyDescent="0.25">
      <c r="A485" t="s">
        <v>1038</v>
      </c>
      <c r="D485" t="s">
        <v>11</v>
      </c>
      <c r="E485" t="s">
        <v>746</v>
      </c>
      <c r="F485">
        <v>3</v>
      </c>
      <c r="I485">
        <v>5</v>
      </c>
      <c r="R485">
        <v>5</v>
      </c>
      <c r="V485">
        <v>5</v>
      </c>
    </row>
    <row r="486" spans="1:28" hidden="1" x14ac:dyDescent="0.25">
      <c r="A486" t="s">
        <v>1038</v>
      </c>
      <c r="D486" t="s">
        <v>11</v>
      </c>
      <c r="E486" t="s">
        <v>408</v>
      </c>
      <c r="F486">
        <v>1</v>
      </c>
      <c r="I486">
        <v>5</v>
      </c>
      <c r="AB486">
        <v>5</v>
      </c>
    </row>
    <row r="487" spans="1:28" hidden="1" x14ac:dyDescent="0.25">
      <c r="A487" t="s">
        <v>1037</v>
      </c>
      <c r="D487" t="s">
        <v>11</v>
      </c>
      <c r="E487" t="s">
        <v>220</v>
      </c>
      <c r="F487">
        <v>13</v>
      </c>
      <c r="G487">
        <v>1</v>
      </c>
      <c r="H487">
        <v>1</v>
      </c>
      <c r="I487">
        <v>4.9230769230769234</v>
      </c>
      <c r="J487">
        <v>4</v>
      </c>
      <c r="K487">
        <v>6</v>
      </c>
      <c r="M487">
        <v>4</v>
      </c>
      <c r="N487">
        <v>5</v>
      </c>
      <c r="O487">
        <v>5</v>
      </c>
      <c r="P487">
        <v>4</v>
      </c>
      <c r="Q487">
        <v>6</v>
      </c>
      <c r="R487">
        <v>4</v>
      </c>
      <c r="T487">
        <v>6</v>
      </c>
      <c r="U487">
        <v>5</v>
      </c>
      <c r="V487">
        <v>5</v>
      </c>
      <c r="W487">
        <v>6</v>
      </c>
      <c r="X487">
        <v>4</v>
      </c>
      <c r="AB487" t="s">
        <v>153</v>
      </c>
    </row>
    <row r="488" spans="1:28" hidden="1" x14ac:dyDescent="0.25">
      <c r="A488" t="s">
        <v>1038</v>
      </c>
      <c r="D488" t="s">
        <v>29</v>
      </c>
      <c r="E488" t="s">
        <v>239</v>
      </c>
      <c r="F488">
        <v>11</v>
      </c>
      <c r="G488">
        <v>6</v>
      </c>
      <c r="I488">
        <v>4.7692307692307692</v>
      </c>
      <c r="J488">
        <v>5</v>
      </c>
      <c r="K488">
        <v>5</v>
      </c>
      <c r="L488">
        <v>6</v>
      </c>
      <c r="M488">
        <v>4</v>
      </c>
      <c r="N488" t="s">
        <v>153</v>
      </c>
      <c r="O488" t="s">
        <v>153</v>
      </c>
      <c r="P488">
        <v>4</v>
      </c>
      <c r="Q488" t="s">
        <v>153</v>
      </c>
      <c r="R488" t="s">
        <v>153</v>
      </c>
      <c r="S488">
        <v>4</v>
      </c>
      <c r="T488">
        <v>5</v>
      </c>
      <c r="U488">
        <v>5</v>
      </c>
      <c r="V488">
        <v>4</v>
      </c>
      <c r="W488">
        <v>5</v>
      </c>
      <c r="X488">
        <v>5</v>
      </c>
      <c r="Y488">
        <v>5</v>
      </c>
      <c r="AB488">
        <v>5</v>
      </c>
    </row>
    <row r="489" spans="1:28" hidden="1" x14ac:dyDescent="0.25">
      <c r="A489" t="s">
        <v>1038</v>
      </c>
      <c r="D489" t="s">
        <v>29</v>
      </c>
      <c r="E489" t="s">
        <v>304</v>
      </c>
      <c r="F489">
        <v>3</v>
      </c>
      <c r="G489">
        <v>2</v>
      </c>
      <c r="I489">
        <v>4.666666666666667</v>
      </c>
      <c r="S489">
        <v>5</v>
      </c>
      <c r="V489" t="s">
        <v>153</v>
      </c>
      <c r="W489" t="s">
        <v>153</v>
      </c>
      <c r="Z489">
        <v>4</v>
      </c>
      <c r="AA489">
        <v>5</v>
      </c>
    </row>
    <row r="490" spans="1:28" hidden="1" x14ac:dyDescent="0.25">
      <c r="A490" t="s">
        <v>1038</v>
      </c>
      <c r="D490" t="s">
        <v>29</v>
      </c>
      <c r="E490" t="s">
        <v>240</v>
      </c>
      <c r="F490">
        <v>4</v>
      </c>
      <c r="G490">
        <v>3</v>
      </c>
      <c r="I490">
        <v>4.5</v>
      </c>
      <c r="J490">
        <v>5</v>
      </c>
      <c r="K490" t="s">
        <v>153</v>
      </c>
      <c r="L490">
        <v>4</v>
      </c>
      <c r="R490" t="s">
        <v>153</v>
      </c>
      <c r="W490" t="s">
        <v>153</v>
      </c>
      <c r="Z490">
        <v>4</v>
      </c>
      <c r="AA490">
        <v>5</v>
      </c>
    </row>
    <row r="491" spans="1:28" hidden="1" x14ac:dyDescent="0.25">
      <c r="A491" t="s">
        <v>1038</v>
      </c>
      <c r="D491" t="s">
        <v>29</v>
      </c>
      <c r="E491" t="s">
        <v>242</v>
      </c>
      <c r="F491">
        <v>10</v>
      </c>
      <c r="G491">
        <v>1</v>
      </c>
      <c r="I491">
        <v>4.7777777777777777</v>
      </c>
      <c r="J491" t="s">
        <v>546</v>
      </c>
      <c r="M491" t="s">
        <v>153</v>
      </c>
      <c r="N491">
        <v>5</v>
      </c>
      <c r="O491">
        <v>5</v>
      </c>
      <c r="P491">
        <v>5</v>
      </c>
      <c r="Q491">
        <v>3</v>
      </c>
      <c r="R491">
        <v>5</v>
      </c>
      <c r="T491">
        <v>5</v>
      </c>
      <c r="U491">
        <v>5</v>
      </c>
      <c r="V491">
        <v>5</v>
      </c>
      <c r="AB491">
        <v>5</v>
      </c>
    </row>
    <row r="492" spans="1:28" hidden="1" x14ac:dyDescent="0.25">
      <c r="A492" t="s">
        <v>1038</v>
      </c>
      <c r="D492" t="s">
        <v>29</v>
      </c>
      <c r="E492" t="s">
        <v>259</v>
      </c>
      <c r="F492">
        <v>4</v>
      </c>
      <c r="G492">
        <v>2</v>
      </c>
      <c r="I492">
        <v>4.25</v>
      </c>
      <c r="M492" t="s">
        <v>153</v>
      </c>
      <c r="P492">
        <v>4</v>
      </c>
      <c r="Q492">
        <v>4</v>
      </c>
      <c r="S492" t="s">
        <v>153</v>
      </c>
      <c r="U492" t="s">
        <v>153</v>
      </c>
      <c r="Z492">
        <v>4</v>
      </c>
      <c r="AB492">
        <v>5</v>
      </c>
    </row>
    <row r="493" spans="1:28" hidden="1" x14ac:dyDescent="0.25">
      <c r="A493" t="s">
        <v>1029</v>
      </c>
      <c r="D493" t="s">
        <v>11</v>
      </c>
      <c r="E493" t="s">
        <v>286</v>
      </c>
      <c r="F493">
        <v>13</v>
      </c>
      <c r="H493" t="s">
        <v>617</v>
      </c>
      <c r="I493">
        <v>4.916666666666667</v>
      </c>
      <c r="J493">
        <v>5</v>
      </c>
      <c r="K493">
        <v>5</v>
      </c>
      <c r="L493">
        <v>5</v>
      </c>
      <c r="M493">
        <v>6</v>
      </c>
      <c r="N493">
        <v>5</v>
      </c>
      <c r="O493">
        <v>5</v>
      </c>
      <c r="P493">
        <v>3</v>
      </c>
      <c r="Q493">
        <v>5</v>
      </c>
      <c r="R493">
        <v>5</v>
      </c>
      <c r="S493">
        <v>5</v>
      </c>
      <c r="U493">
        <v>5</v>
      </c>
      <c r="V493">
        <v>5</v>
      </c>
      <c r="W493" t="s">
        <v>546</v>
      </c>
    </row>
    <row r="494" spans="1:28" hidden="1" x14ac:dyDescent="0.25">
      <c r="A494" t="s">
        <v>1031</v>
      </c>
      <c r="D494" t="s">
        <v>11</v>
      </c>
      <c r="E494" t="s">
        <v>491</v>
      </c>
      <c r="F494">
        <v>12</v>
      </c>
      <c r="G494">
        <v>2</v>
      </c>
      <c r="H494">
        <v>1</v>
      </c>
      <c r="I494">
        <v>4.916666666666667</v>
      </c>
      <c r="J494">
        <v>4</v>
      </c>
      <c r="K494">
        <v>5</v>
      </c>
      <c r="L494">
        <v>5</v>
      </c>
      <c r="N494">
        <v>5</v>
      </c>
      <c r="P494" t="s">
        <v>153</v>
      </c>
      <c r="Q494">
        <v>6</v>
      </c>
      <c r="R494">
        <v>5</v>
      </c>
      <c r="T494" t="s">
        <v>153</v>
      </c>
      <c r="U494">
        <v>5</v>
      </c>
      <c r="V494">
        <v>5</v>
      </c>
      <c r="W494">
        <v>4</v>
      </c>
      <c r="X494">
        <v>5</v>
      </c>
      <c r="Z494">
        <v>5</v>
      </c>
      <c r="AA494" t="s">
        <v>153</v>
      </c>
      <c r="AB494">
        <v>5</v>
      </c>
    </row>
    <row r="495" spans="1:28" hidden="1" x14ac:dyDescent="0.25">
      <c r="A495" t="s">
        <v>1038</v>
      </c>
      <c r="D495" t="s">
        <v>29</v>
      </c>
      <c r="E495" t="s">
        <v>383</v>
      </c>
      <c r="F495">
        <v>12</v>
      </c>
      <c r="G495">
        <v>2</v>
      </c>
      <c r="I495">
        <v>4.333333333333333</v>
      </c>
      <c r="M495">
        <v>5</v>
      </c>
      <c r="N495">
        <v>4</v>
      </c>
      <c r="O495">
        <v>4</v>
      </c>
      <c r="P495">
        <v>4</v>
      </c>
      <c r="Q495">
        <v>5</v>
      </c>
      <c r="R495">
        <v>4</v>
      </c>
      <c r="S495">
        <v>4</v>
      </c>
      <c r="T495" t="s">
        <v>153</v>
      </c>
      <c r="V495">
        <v>5</v>
      </c>
      <c r="W495">
        <v>5</v>
      </c>
      <c r="X495">
        <v>5</v>
      </c>
      <c r="Y495">
        <v>3</v>
      </c>
      <c r="AA495" t="s">
        <v>153</v>
      </c>
      <c r="AB495">
        <v>4</v>
      </c>
    </row>
    <row r="496" spans="1:28" hidden="1" x14ac:dyDescent="0.25">
      <c r="A496" t="s">
        <v>1038</v>
      </c>
      <c r="D496" t="s">
        <v>29</v>
      </c>
      <c r="E496" t="s">
        <v>942</v>
      </c>
      <c r="F496">
        <v>2</v>
      </c>
      <c r="I496">
        <v>4.5</v>
      </c>
      <c r="Z496">
        <v>4</v>
      </c>
      <c r="AA496">
        <v>5</v>
      </c>
    </row>
    <row r="497" spans="1:28" hidden="1" x14ac:dyDescent="0.25">
      <c r="A497" t="s">
        <v>1038</v>
      </c>
      <c r="D497" t="s">
        <v>29</v>
      </c>
      <c r="E497" t="s">
        <v>943</v>
      </c>
      <c r="G497">
        <v>1</v>
      </c>
      <c r="Z497" t="s">
        <v>153</v>
      </c>
    </row>
    <row r="498" spans="1:28" hidden="1" x14ac:dyDescent="0.25">
      <c r="A498" t="s">
        <v>1042</v>
      </c>
      <c r="D498" t="s">
        <v>29</v>
      </c>
      <c r="E498" t="s">
        <v>494</v>
      </c>
      <c r="F498">
        <v>18</v>
      </c>
      <c r="H498">
        <v>1</v>
      </c>
      <c r="I498">
        <v>5.1111111111111107</v>
      </c>
      <c r="J498">
        <v>5</v>
      </c>
      <c r="K498">
        <v>5</v>
      </c>
      <c r="L498">
        <v>5</v>
      </c>
      <c r="M498">
        <v>4</v>
      </c>
      <c r="N498">
        <v>7</v>
      </c>
      <c r="O498">
        <v>5</v>
      </c>
      <c r="P498">
        <v>5</v>
      </c>
      <c r="Q498">
        <v>4</v>
      </c>
      <c r="R498">
        <v>5</v>
      </c>
      <c r="T498">
        <v>6</v>
      </c>
      <c r="U498">
        <v>5</v>
      </c>
      <c r="V498">
        <v>5</v>
      </c>
      <c r="W498">
        <v>6</v>
      </c>
      <c r="X498">
        <v>6</v>
      </c>
      <c r="Y498">
        <v>5</v>
      </c>
      <c r="Z498">
        <v>5</v>
      </c>
      <c r="AA498">
        <v>5</v>
      </c>
      <c r="AB498">
        <v>4</v>
      </c>
    </row>
    <row r="499" spans="1:28" hidden="1" x14ac:dyDescent="0.25">
      <c r="A499" t="s">
        <v>1038</v>
      </c>
      <c r="D499" t="s">
        <v>30</v>
      </c>
      <c r="E499" t="s">
        <v>244</v>
      </c>
    </row>
    <row r="500" spans="1:28" hidden="1" x14ac:dyDescent="0.25">
      <c r="A500" t="s">
        <v>1038</v>
      </c>
      <c r="D500" t="s">
        <v>30</v>
      </c>
      <c r="E500" t="s">
        <v>355</v>
      </c>
    </row>
    <row r="501" spans="1:28" hidden="1" x14ac:dyDescent="0.25">
      <c r="A501" t="s">
        <v>1038</v>
      </c>
      <c r="D501" t="s">
        <v>30</v>
      </c>
      <c r="E501" t="s">
        <v>300</v>
      </c>
    </row>
    <row r="502" spans="1:28" hidden="1" x14ac:dyDescent="0.25">
      <c r="A502" t="s">
        <v>1038</v>
      </c>
      <c r="D502" t="s">
        <v>30</v>
      </c>
      <c r="E502" t="s">
        <v>461</v>
      </c>
      <c r="F502">
        <v>3</v>
      </c>
      <c r="G502">
        <v>8</v>
      </c>
      <c r="I502">
        <v>4.333333333333333</v>
      </c>
      <c r="J502">
        <v>4</v>
      </c>
      <c r="K502">
        <v>4</v>
      </c>
      <c r="L502" t="s">
        <v>153</v>
      </c>
      <c r="M502" t="s">
        <v>153</v>
      </c>
      <c r="N502" t="s">
        <v>153</v>
      </c>
      <c r="O502" t="s">
        <v>153</v>
      </c>
      <c r="P502">
        <v>5</v>
      </c>
      <c r="U502" t="s">
        <v>153</v>
      </c>
      <c r="X502" t="s">
        <v>153</v>
      </c>
      <c r="Z502" t="s">
        <v>153</v>
      </c>
      <c r="AA502" t="s">
        <v>153</v>
      </c>
    </row>
    <row r="503" spans="1:28" hidden="1" x14ac:dyDescent="0.25">
      <c r="A503" t="s">
        <v>1038</v>
      </c>
      <c r="D503" t="s">
        <v>30</v>
      </c>
      <c r="E503" t="s">
        <v>497</v>
      </c>
      <c r="F503">
        <v>4</v>
      </c>
      <c r="G503">
        <v>7</v>
      </c>
      <c r="I503">
        <v>4</v>
      </c>
      <c r="J503" t="s">
        <v>153</v>
      </c>
      <c r="K503" t="s">
        <v>153</v>
      </c>
      <c r="L503">
        <v>4</v>
      </c>
      <c r="M503" t="s">
        <v>153</v>
      </c>
      <c r="N503">
        <v>4</v>
      </c>
      <c r="P503" t="s">
        <v>153</v>
      </c>
      <c r="W503" t="s">
        <v>153</v>
      </c>
      <c r="X503">
        <v>4</v>
      </c>
      <c r="Y503" t="s">
        <v>153</v>
      </c>
      <c r="Z503">
        <v>4</v>
      </c>
      <c r="AA503" t="s">
        <v>153</v>
      </c>
    </row>
    <row r="504" spans="1:28" hidden="1" x14ac:dyDescent="0.25">
      <c r="A504" t="s">
        <v>1035</v>
      </c>
      <c r="D504" t="s">
        <v>11</v>
      </c>
      <c r="E504" t="s">
        <v>190</v>
      </c>
      <c r="F504">
        <v>17</v>
      </c>
      <c r="I504">
        <v>4.882352941176471</v>
      </c>
      <c r="J504">
        <v>5</v>
      </c>
      <c r="K504">
        <v>6</v>
      </c>
      <c r="L504">
        <v>5</v>
      </c>
      <c r="M504">
        <v>5</v>
      </c>
      <c r="N504">
        <v>4</v>
      </c>
      <c r="O504">
        <v>5</v>
      </c>
      <c r="Q504">
        <v>6</v>
      </c>
      <c r="R504">
        <v>5</v>
      </c>
      <c r="S504">
        <v>5</v>
      </c>
      <c r="T504">
        <v>5</v>
      </c>
      <c r="U504">
        <v>5</v>
      </c>
      <c r="V504">
        <v>4</v>
      </c>
      <c r="W504">
        <v>5</v>
      </c>
      <c r="X504">
        <v>4</v>
      </c>
      <c r="Y504">
        <v>5</v>
      </c>
      <c r="Z504">
        <v>5</v>
      </c>
      <c r="AB504">
        <v>4</v>
      </c>
    </row>
    <row r="505" spans="1:28" hidden="1" x14ac:dyDescent="0.25">
      <c r="A505" t="s">
        <v>1038</v>
      </c>
      <c r="D505" t="s">
        <v>30</v>
      </c>
      <c r="E505" t="s">
        <v>529</v>
      </c>
      <c r="G505">
        <v>3</v>
      </c>
      <c r="L505" t="s">
        <v>153</v>
      </c>
      <c r="Q505" t="s">
        <v>153</v>
      </c>
      <c r="R505" t="s">
        <v>153</v>
      </c>
    </row>
    <row r="506" spans="1:28" x14ac:dyDescent="0.25">
      <c r="A506" t="s">
        <v>1034</v>
      </c>
      <c r="D506" t="s">
        <v>30</v>
      </c>
      <c r="E506" t="s">
        <v>497</v>
      </c>
      <c r="F506">
        <v>4</v>
      </c>
      <c r="G506">
        <v>3</v>
      </c>
      <c r="H506">
        <v>2</v>
      </c>
      <c r="I506">
        <v>6.25</v>
      </c>
      <c r="V506" t="s">
        <v>153</v>
      </c>
      <c r="W506">
        <v>7</v>
      </c>
      <c r="X506" t="s">
        <v>153</v>
      </c>
      <c r="Y506">
        <v>4</v>
      </c>
      <c r="Z506" t="s">
        <v>153</v>
      </c>
      <c r="AA506">
        <v>6</v>
      </c>
      <c r="AB506">
        <v>8</v>
      </c>
    </row>
    <row r="507" spans="1:28" hidden="1" x14ac:dyDescent="0.25">
      <c r="A507" t="s">
        <v>1039</v>
      </c>
      <c r="D507" t="s">
        <v>8</v>
      </c>
      <c r="E507" t="s">
        <v>306</v>
      </c>
    </row>
    <row r="508" spans="1:28" hidden="1" x14ac:dyDescent="0.25">
      <c r="A508" t="s">
        <v>1029</v>
      </c>
      <c r="D508" t="s">
        <v>11</v>
      </c>
      <c r="E508" t="s">
        <v>359</v>
      </c>
      <c r="F508">
        <v>11</v>
      </c>
      <c r="G508">
        <v>1</v>
      </c>
      <c r="H508">
        <v>2</v>
      </c>
      <c r="I508">
        <v>5.083333333333333</v>
      </c>
      <c r="J508">
        <v>4</v>
      </c>
      <c r="K508">
        <v>5</v>
      </c>
      <c r="L508">
        <v>5</v>
      </c>
      <c r="M508">
        <v>5</v>
      </c>
      <c r="O508">
        <v>5</v>
      </c>
      <c r="V508">
        <v>6</v>
      </c>
      <c r="W508">
        <v>5</v>
      </c>
      <c r="X508">
        <v>5</v>
      </c>
      <c r="Y508">
        <v>5</v>
      </c>
      <c r="Z508">
        <v>7</v>
      </c>
      <c r="AA508">
        <v>4</v>
      </c>
      <c r="AB508">
        <v>5</v>
      </c>
    </row>
    <row r="509" spans="1:28" hidden="1" x14ac:dyDescent="0.25">
      <c r="A509" t="s">
        <v>1039</v>
      </c>
      <c r="D509" t="s">
        <v>11</v>
      </c>
      <c r="E509" t="s">
        <v>308</v>
      </c>
      <c r="F509">
        <v>8</v>
      </c>
      <c r="G509">
        <v>9</v>
      </c>
      <c r="I509">
        <v>4.333333333333333</v>
      </c>
      <c r="J509">
        <v>5</v>
      </c>
      <c r="K509">
        <v>5</v>
      </c>
      <c r="L509" t="s">
        <v>153</v>
      </c>
      <c r="M509">
        <v>4</v>
      </c>
      <c r="N509">
        <v>4</v>
      </c>
      <c r="O509">
        <v>4</v>
      </c>
      <c r="P509">
        <v>5</v>
      </c>
      <c r="Q509" t="s">
        <v>153</v>
      </c>
      <c r="R509" t="s">
        <v>153</v>
      </c>
      <c r="S509">
        <v>5</v>
      </c>
      <c r="T509" t="s">
        <v>153</v>
      </c>
      <c r="U509">
        <v>3</v>
      </c>
      <c r="W509" t="s">
        <v>153</v>
      </c>
      <c r="X509" t="s">
        <v>153</v>
      </c>
      <c r="Z509">
        <v>4</v>
      </c>
      <c r="AA509" t="s">
        <v>153</v>
      </c>
      <c r="AB509" t="s">
        <v>153</v>
      </c>
    </row>
    <row r="510" spans="1:28" hidden="1" x14ac:dyDescent="0.25">
      <c r="A510" t="s">
        <v>1030</v>
      </c>
      <c r="D510" t="s">
        <v>11</v>
      </c>
      <c r="E510" t="s">
        <v>116</v>
      </c>
      <c r="F510">
        <v>16</v>
      </c>
      <c r="I510">
        <v>4.875</v>
      </c>
      <c r="J510">
        <v>6</v>
      </c>
      <c r="K510">
        <v>5</v>
      </c>
      <c r="L510">
        <v>6</v>
      </c>
      <c r="M510">
        <v>4</v>
      </c>
      <c r="N510">
        <v>6</v>
      </c>
      <c r="O510">
        <v>5</v>
      </c>
      <c r="P510">
        <v>6</v>
      </c>
      <c r="Q510">
        <v>3</v>
      </c>
      <c r="R510">
        <v>5</v>
      </c>
      <c r="T510">
        <v>5</v>
      </c>
      <c r="U510">
        <v>4</v>
      </c>
      <c r="V510">
        <v>4</v>
      </c>
      <c r="W510">
        <v>5</v>
      </c>
      <c r="X510">
        <v>5</v>
      </c>
      <c r="Z510">
        <v>5</v>
      </c>
      <c r="AA510">
        <v>4</v>
      </c>
    </row>
    <row r="511" spans="1:28" hidden="1" x14ac:dyDescent="0.25">
      <c r="A511" t="s">
        <v>1030</v>
      </c>
      <c r="D511" t="s">
        <v>11</v>
      </c>
      <c r="E511" t="s">
        <v>118</v>
      </c>
      <c r="F511">
        <v>15</v>
      </c>
      <c r="G511">
        <v>1</v>
      </c>
      <c r="I511">
        <v>4.875</v>
      </c>
      <c r="L511">
        <v>5</v>
      </c>
      <c r="M511">
        <v>6</v>
      </c>
      <c r="N511">
        <v>5</v>
      </c>
      <c r="O511">
        <v>4</v>
      </c>
      <c r="Q511">
        <v>4</v>
      </c>
      <c r="R511">
        <v>4</v>
      </c>
      <c r="S511">
        <v>5</v>
      </c>
      <c r="T511">
        <v>3</v>
      </c>
      <c r="U511">
        <v>5</v>
      </c>
      <c r="V511">
        <v>5</v>
      </c>
      <c r="W511">
        <v>5</v>
      </c>
      <c r="X511">
        <v>5</v>
      </c>
      <c r="Y511">
        <v>5</v>
      </c>
      <c r="Z511">
        <v>5</v>
      </c>
      <c r="AA511">
        <v>5</v>
      </c>
      <c r="AB511">
        <v>7</v>
      </c>
    </row>
    <row r="512" spans="1:28" hidden="1" x14ac:dyDescent="0.25">
      <c r="A512" t="s">
        <v>1026</v>
      </c>
      <c r="D512" t="s">
        <v>11</v>
      </c>
      <c r="E512" t="s">
        <v>504</v>
      </c>
      <c r="F512">
        <v>11</v>
      </c>
      <c r="G512">
        <v>1</v>
      </c>
      <c r="I512">
        <v>5.083333333333333</v>
      </c>
      <c r="J512">
        <v>4</v>
      </c>
      <c r="K512">
        <v>4</v>
      </c>
      <c r="L512">
        <v>4</v>
      </c>
      <c r="M512">
        <v>4</v>
      </c>
      <c r="N512">
        <v>5</v>
      </c>
      <c r="O512">
        <v>5</v>
      </c>
      <c r="Q512" t="s">
        <v>153</v>
      </c>
      <c r="U512">
        <v>7</v>
      </c>
      <c r="V512">
        <v>6</v>
      </c>
      <c r="W512">
        <v>5</v>
      </c>
      <c r="Y512">
        <v>6</v>
      </c>
      <c r="Z512">
        <v>5</v>
      </c>
      <c r="AB512">
        <v>6</v>
      </c>
    </row>
    <row r="513" spans="1:28" hidden="1" x14ac:dyDescent="0.25">
      <c r="A513" t="s">
        <v>1039</v>
      </c>
      <c r="D513" t="s">
        <v>11</v>
      </c>
      <c r="E513" t="s">
        <v>272</v>
      </c>
      <c r="F513">
        <v>7</v>
      </c>
      <c r="G513">
        <v>2</v>
      </c>
      <c r="I513">
        <v>5</v>
      </c>
      <c r="K513" t="s">
        <v>153</v>
      </c>
      <c r="L513">
        <v>5</v>
      </c>
      <c r="M513">
        <v>5</v>
      </c>
      <c r="V513">
        <v>5</v>
      </c>
      <c r="W513">
        <v>5</v>
      </c>
      <c r="X513">
        <v>5</v>
      </c>
      <c r="Y513">
        <v>5</v>
      </c>
      <c r="AA513">
        <v>5</v>
      </c>
      <c r="AB513">
        <v>5</v>
      </c>
    </row>
    <row r="514" spans="1:28" hidden="1" x14ac:dyDescent="0.25">
      <c r="A514" t="s">
        <v>1039</v>
      </c>
      <c r="D514" t="s">
        <v>11</v>
      </c>
      <c r="E514" t="s">
        <v>463</v>
      </c>
    </row>
    <row r="515" spans="1:28" hidden="1" x14ac:dyDescent="0.25">
      <c r="A515" t="s">
        <v>1039</v>
      </c>
      <c r="D515" t="s">
        <v>11</v>
      </c>
      <c r="E515" t="s">
        <v>524</v>
      </c>
      <c r="F515">
        <v>8</v>
      </c>
      <c r="G515">
        <v>2</v>
      </c>
      <c r="H515">
        <v>3</v>
      </c>
      <c r="I515">
        <v>5.2222222222222223</v>
      </c>
      <c r="L515">
        <v>5</v>
      </c>
      <c r="M515">
        <v>5</v>
      </c>
      <c r="N515">
        <v>5</v>
      </c>
      <c r="P515">
        <v>4</v>
      </c>
      <c r="V515" t="s">
        <v>153</v>
      </c>
      <c r="W515">
        <v>5</v>
      </c>
      <c r="X515">
        <v>7</v>
      </c>
      <c r="Y515">
        <v>5</v>
      </c>
      <c r="AA515">
        <v>6</v>
      </c>
      <c r="AB515">
        <v>5</v>
      </c>
    </row>
    <row r="516" spans="1:28" hidden="1" x14ac:dyDescent="0.25">
      <c r="A516" t="s">
        <v>1039</v>
      </c>
      <c r="D516" t="s">
        <v>11</v>
      </c>
      <c r="E516" t="s">
        <v>310</v>
      </c>
      <c r="F516">
        <v>10</v>
      </c>
      <c r="H516">
        <v>1</v>
      </c>
      <c r="I516">
        <v>5.333333333333333</v>
      </c>
      <c r="J516">
        <v>7</v>
      </c>
      <c r="K516">
        <v>5</v>
      </c>
      <c r="N516">
        <v>5</v>
      </c>
      <c r="O516">
        <v>5</v>
      </c>
      <c r="P516">
        <v>4</v>
      </c>
      <c r="Q516">
        <v>7</v>
      </c>
      <c r="R516">
        <v>5</v>
      </c>
      <c r="T516">
        <v>5</v>
      </c>
      <c r="Z516">
        <v>5</v>
      </c>
      <c r="AA516" t="s">
        <v>554</v>
      </c>
    </row>
    <row r="517" spans="1:28" hidden="1" x14ac:dyDescent="0.25">
      <c r="A517" t="s">
        <v>1039</v>
      </c>
      <c r="D517" t="s">
        <v>29</v>
      </c>
      <c r="E517" t="s">
        <v>311</v>
      </c>
      <c r="F517">
        <v>4</v>
      </c>
      <c r="G517">
        <v>10</v>
      </c>
      <c r="I517">
        <v>4.5</v>
      </c>
      <c r="J517" t="s">
        <v>153</v>
      </c>
      <c r="K517">
        <v>4</v>
      </c>
      <c r="L517" t="s">
        <v>153</v>
      </c>
      <c r="M517" t="s">
        <v>153</v>
      </c>
      <c r="N517">
        <v>4</v>
      </c>
      <c r="O517">
        <v>6</v>
      </c>
      <c r="P517">
        <v>5</v>
      </c>
      <c r="Q517" t="s">
        <v>153</v>
      </c>
      <c r="R517" t="s">
        <v>153</v>
      </c>
      <c r="U517">
        <v>4</v>
      </c>
      <c r="W517" t="s">
        <v>153</v>
      </c>
      <c r="X517" t="s">
        <v>153</v>
      </c>
      <c r="Y517" t="s">
        <v>153</v>
      </c>
      <c r="Z517">
        <v>4</v>
      </c>
      <c r="AB517" t="s">
        <v>153</v>
      </c>
    </row>
    <row r="518" spans="1:28" hidden="1" x14ac:dyDescent="0.25">
      <c r="A518" t="s">
        <v>1039</v>
      </c>
      <c r="D518" t="s">
        <v>29</v>
      </c>
      <c r="E518" t="s">
        <v>312</v>
      </c>
    </row>
    <row r="519" spans="1:28" hidden="1" x14ac:dyDescent="0.25">
      <c r="A519" t="s">
        <v>1031</v>
      </c>
      <c r="D519" t="s">
        <v>11</v>
      </c>
      <c r="E519" t="s">
        <v>520</v>
      </c>
      <c r="F519">
        <v>15</v>
      </c>
      <c r="G519">
        <v>2</v>
      </c>
      <c r="H519">
        <v>2</v>
      </c>
      <c r="I519">
        <v>4.875</v>
      </c>
      <c r="L519">
        <v>4</v>
      </c>
      <c r="M519">
        <v>5</v>
      </c>
      <c r="N519" t="s">
        <v>153</v>
      </c>
      <c r="O519">
        <v>5</v>
      </c>
      <c r="P519">
        <v>5</v>
      </c>
      <c r="Q519">
        <v>6</v>
      </c>
      <c r="R519">
        <v>5</v>
      </c>
      <c r="S519">
        <v>5</v>
      </c>
      <c r="T519">
        <v>5</v>
      </c>
      <c r="U519">
        <v>5</v>
      </c>
      <c r="V519">
        <v>6</v>
      </c>
      <c r="W519">
        <v>4</v>
      </c>
      <c r="X519">
        <v>5</v>
      </c>
      <c r="Y519">
        <v>6</v>
      </c>
      <c r="Z519">
        <v>4</v>
      </c>
      <c r="AA519">
        <v>4</v>
      </c>
      <c r="AB519">
        <v>4</v>
      </c>
    </row>
    <row r="520" spans="1:28" hidden="1" x14ac:dyDescent="0.25">
      <c r="A520" t="s">
        <v>1039</v>
      </c>
      <c r="D520" t="s">
        <v>29</v>
      </c>
      <c r="E520" t="s">
        <v>313</v>
      </c>
      <c r="F520">
        <v>1</v>
      </c>
      <c r="G520">
        <v>1</v>
      </c>
      <c r="I520">
        <v>4.5</v>
      </c>
      <c r="S520">
        <v>4</v>
      </c>
      <c r="U520">
        <v>5</v>
      </c>
    </row>
    <row r="521" spans="1:28" hidden="1" x14ac:dyDescent="0.25">
      <c r="A521" t="s">
        <v>1039</v>
      </c>
      <c r="D521" t="s">
        <v>29</v>
      </c>
      <c r="E521" t="s">
        <v>81</v>
      </c>
      <c r="F521">
        <v>12</v>
      </c>
      <c r="G521">
        <v>1</v>
      </c>
      <c r="I521">
        <v>4.333333333333333</v>
      </c>
      <c r="J521">
        <v>4</v>
      </c>
      <c r="K521">
        <v>5</v>
      </c>
      <c r="L521">
        <v>5</v>
      </c>
      <c r="M521">
        <v>4</v>
      </c>
      <c r="N521" t="s">
        <v>546</v>
      </c>
      <c r="U521" t="s">
        <v>153</v>
      </c>
      <c r="V521">
        <v>4</v>
      </c>
      <c r="W521" t="s">
        <v>555</v>
      </c>
      <c r="X521">
        <v>5</v>
      </c>
      <c r="Y521">
        <v>4</v>
      </c>
      <c r="Z521">
        <v>4</v>
      </c>
      <c r="AA521" t="s">
        <v>555</v>
      </c>
      <c r="AB521">
        <v>4</v>
      </c>
    </row>
    <row r="522" spans="1:28" hidden="1" x14ac:dyDescent="0.25">
      <c r="A522" t="s">
        <v>1039</v>
      </c>
      <c r="D522" t="s">
        <v>29</v>
      </c>
      <c r="E522" t="s">
        <v>507</v>
      </c>
      <c r="F522">
        <v>18</v>
      </c>
      <c r="G522">
        <v>1</v>
      </c>
      <c r="H522">
        <v>1</v>
      </c>
      <c r="I522">
        <v>4.5555555555555554</v>
      </c>
      <c r="J522">
        <v>4</v>
      </c>
      <c r="K522">
        <v>5</v>
      </c>
      <c r="L522">
        <v>4</v>
      </c>
      <c r="M522">
        <v>5</v>
      </c>
      <c r="N522">
        <v>6</v>
      </c>
      <c r="O522">
        <v>4</v>
      </c>
      <c r="P522">
        <v>4</v>
      </c>
      <c r="Q522">
        <v>7</v>
      </c>
      <c r="R522">
        <v>6</v>
      </c>
      <c r="S522">
        <v>4</v>
      </c>
      <c r="T522">
        <v>4</v>
      </c>
      <c r="U522">
        <v>4</v>
      </c>
      <c r="V522">
        <v>5</v>
      </c>
      <c r="W522">
        <v>5</v>
      </c>
      <c r="X522">
        <v>5</v>
      </c>
      <c r="Y522">
        <v>3</v>
      </c>
      <c r="Z522" t="s">
        <v>153</v>
      </c>
      <c r="AA522">
        <v>4</v>
      </c>
      <c r="AB522">
        <v>3</v>
      </c>
    </row>
    <row r="523" spans="1:28" hidden="1" x14ac:dyDescent="0.25">
      <c r="A523" t="s">
        <v>1039</v>
      </c>
      <c r="D523" t="s">
        <v>29</v>
      </c>
      <c r="E523" t="s">
        <v>501</v>
      </c>
      <c r="F523">
        <v>1</v>
      </c>
      <c r="G523">
        <v>4</v>
      </c>
      <c r="I523">
        <v>4</v>
      </c>
      <c r="J523" t="s">
        <v>153</v>
      </c>
      <c r="O523" t="s">
        <v>153</v>
      </c>
      <c r="P523" t="s">
        <v>153</v>
      </c>
      <c r="T523" t="s">
        <v>153</v>
      </c>
      <c r="U523">
        <v>4</v>
      </c>
    </row>
    <row r="524" spans="1:28" hidden="1" x14ac:dyDescent="0.25">
      <c r="A524" t="s">
        <v>1039</v>
      </c>
      <c r="D524" t="s">
        <v>29</v>
      </c>
      <c r="E524" t="s">
        <v>525</v>
      </c>
      <c r="F524">
        <v>3</v>
      </c>
      <c r="G524">
        <v>6</v>
      </c>
      <c r="H524">
        <v>1</v>
      </c>
      <c r="I524">
        <v>4.666666666666667</v>
      </c>
      <c r="L524" t="s">
        <v>153</v>
      </c>
      <c r="M524">
        <v>5</v>
      </c>
      <c r="O524" t="s">
        <v>153</v>
      </c>
      <c r="P524">
        <v>5</v>
      </c>
      <c r="Q524" t="s">
        <v>153</v>
      </c>
      <c r="S524" t="s">
        <v>153</v>
      </c>
      <c r="T524">
        <v>4</v>
      </c>
      <c r="U524" t="s">
        <v>153</v>
      </c>
      <c r="V524" t="s">
        <v>153</v>
      </c>
    </row>
    <row r="525" spans="1:28" hidden="1" x14ac:dyDescent="0.25">
      <c r="A525" t="s">
        <v>1039</v>
      </c>
      <c r="D525" t="s">
        <v>29</v>
      </c>
      <c r="E525" t="s">
        <v>650</v>
      </c>
      <c r="F525">
        <v>3</v>
      </c>
      <c r="G525">
        <v>3</v>
      </c>
      <c r="I525">
        <v>4.666666666666667</v>
      </c>
      <c r="N525" t="s">
        <v>153</v>
      </c>
      <c r="P525" t="s">
        <v>153</v>
      </c>
      <c r="Q525">
        <v>5</v>
      </c>
      <c r="R525">
        <v>5</v>
      </c>
      <c r="S525">
        <v>4</v>
      </c>
      <c r="V525" t="s">
        <v>153</v>
      </c>
      <c r="Y525" t="s">
        <v>153</v>
      </c>
    </row>
    <row r="526" spans="1:28" hidden="1" x14ac:dyDescent="0.25">
      <c r="A526" t="s">
        <v>1039</v>
      </c>
      <c r="D526" t="s">
        <v>29</v>
      </c>
      <c r="E526" t="s">
        <v>755</v>
      </c>
      <c r="G526">
        <v>2</v>
      </c>
      <c r="R526" t="s">
        <v>153</v>
      </c>
      <c r="T526" t="s">
        <v>153</v>
      </c>
    </row>
    <row r="527" spans="1:28" hidden="1" x14ac:dyDescent="0.25">
      <c r="A527" t="s">
        <v>1039</v>
      </c>
      <c r="D527" t="s">
        <v>29</v>
      </c>
      <c r="E527" t="s">
        <v>897</v>
      </c>
      <c r="G527">
        <v>3</v>
      </c>
      <c r="X527" t="s">
        <v>153</v>
      </c>
      <c r="AA527" t="s">
        <v>153</v>
      </c>
      <c r="AB527" t="s">
        <v>153</v>
      </c>
    </row>
    <row r="528" spans="1:28" hidden="1" x14ac:dyDescent="0.25">
      <c r="A528" t="s">
        <v>1039</v>
      </c>
      <c r="D528" t="s">
        <v>29</v>
      </c>
      <c r="E528" t="s">
        <v>314</v>
      </c>
      <c r="F528">
        <v>13</v>
      </c>
      <c r="G528">
        <v>4</v>
      </c>
      <c r="I528">
        <v>4.7142857142857144</v>
      </c>
      <c r="J528" t="s">
        <v>153</v>
      </c>
      <c r="K528" t="s">
        <v>153</v>
      </c>
      <c r="L528">
        <v>4</v>
      </c>
      <c r="M528" t="s">
        <v>153</v>
      </c>
      <c r="N528">
        <v>5</v>
      </c>
      <c r="O528">
        <v>5</v>
      </c>
      <c r="Q528">
        <v>5</v>
      </c>
      <c r="R528">
        <v>5</v>
      </c>
      <c r="S528">
        <v>5</v>
      </c>
      <c r="T528">
        <v>4</v>
      </c>
      <c r="V528">
        <v>6</v>
      </c>
      <c r="W528">
        <v>7</v>
      </c>
      <c r="X528">
        <v>4</v>
      </c>
      <c r="Y528">
        <v>4</v>
      </c>
      <c r="Z528">
        <v>4</v>
      </c>
      <c r="AA528">
        <v>5</v>
      </c>
      <c r="AB528">
        <v>3</v>
      </c>
    </row>
    <row r="529" spans="1:28" hidden="1" x14ac:dyDescent="0.25">
      <c r="A529" t="s">
        <v>1039</v>
      </c>
      <c r="D529" t="s">
        <v>30</v>
      </c>
      <c r="E529" t="s">
        <v>315</v>
      </c>
      <c r="F529">
        <v>3</v>
      </c>
      <c r="I529">
        <v>4.666666666666667</v>
      </c>
      <c r="J529">
        <v>5</v>
      </c>
      <c r="K529">
        <v>4</v>
      </c>
      <c r="L529">
        <v>5</v>
      </c>
    </row>
    <row r="530" spans="1:28" hidden="1" x14ac:dyDescent="0.25">
      <c r="A530" t="s">
        <v>1030</v>
      </c>
      <c r="D530" t="s">
        <v>11</v>
      </c>
      <c r="E530" t="s">
        <v>348</v>
      </c>
      <c r="F530">
        <v>14</v>
      </c>
      <c r="G530">
        <v>3</v>
      </c>
      <c r="I530">
        <v>4.8571428571428568</v>
      </c>
      <c r="J530">
        <v>5</v>
      </c>
      <c r="K530">
        <v>4</v>
      </c>
      <c r="L530">
        <v>5</v>
      </c>
      <c r="M530">
        <v>5</v>
      </c>
      <c r="O530" t="s">
        <v>153</v>
      </c>
      <c r="P530">
        <v>5</v>
      </c>
      <c r="R530">
        <v>5</v>
      </c>
      <c r="S530">
        <v>5</v>
      </c>
      <c r="T530">
        <v>5</v>
      </c>
      <c r="U530">
        <v>5</v>
      </c>
      <c r="V530">
        <v>5</v>
      </c>
      <c r="W530">
        <v>4</v>
      </c>
      <c r="X530">
        <v>5</v>
      </c>
      <c r="Y530" t="s">
        <v>153</v>
      </c>
      <c r="Z530">
        <v>5</v>
      </c>
      <c r="AA530">
        <v>5</v>
      </c>
      <c r="AB530" t="s">
        <v>153</v>
      </c>
    </row>
    <row r="531" spans="1:28" hidden="1" x14ac:dyDescent="0.25">
      <c r="A531" t="s">
        <v>1035</v>
      </c>
      <c r="D531" t="s">
        <v>11</v>
      </c>
      <c r="E531" t="s">
        <v>189</v>
      </c>
      <c r="F531">
        <v>13</v>
      </c>
      <c r="H531">
        <v>1</v>
      </c>
      <c r="I531">
        <v>4.8461538461538458</v>
      </c>
      <c r="J531">
        <v>5</v>
      </c>
      <c r="K531">
        <v>6</v>
      </c>
      <c r="L531">
        <v>5</v>
      </c>
      <c r="M531">
        <v>5</v>
      </c>
      <c r="N531">
        <v>4</v>
      </c>
      <c r="O531">
        <v>5</v>
      </c>
      <c r="P531">
        <v>5</v>
      </c>
      <c r="V531">
        <v>4</v>
      </c>
      <c r="W531">
        <v>4</v>
      </c>
      <c r="X531">
        <v>6</v>
      </c>
      <c r="Y531">
        <v>5</v>
      </c>
      <c r="Z531">
        <v>5</v>
      </c>
      <c r="AA531">
        <v>4</v>
      </c>
    </row>
    <row r="532" spans="1:28" hidden="1" x14ac:dyDescent="0.25">
      <c r="A532" t="s">
        <v>1040</v>
      </c>
      <c r="D532" t="s">
        <v>8</v>
      </c>
      <c r="E532" t="s">
        <v>401</v>
      </c>
      <c r="F532">
        <v>9</v>
      </c>
      <c r="I532">
        <v>5.333333333333333</v>
      </c>
      <c r="K532">
        <v>5</v>
      </c>
      <c r="L532">
        <v>3</v>
      </c>
      <c r="M532">
        <v>7</v>
      </c>
      <c r="N532">
        <v>5</v>
      </c>
      <c r="O532">
        <v>6</v>
      </c>
      <c r="P532">
        <v>6</v>
      </c>
      <c r="Q532">
        <v>5</v>
      </c>
      <c r="R532">
        <v>6</v>
      </c>
      <c r="S532">
        <v>5</v>
      </c>
    </row>
    <row r="533" spans="1:28" hidden="1" x14ac:dyDescent="0.25">
      <c r="A533" t="s">
        <v>1040</v>
      </c>
      <c r="D533" t="s">
        <v>8</v>
      </c>
      <c r="E533" t="s">
        <v>402</v>
      </c>
    </row>
    <row r="534" spans="1:28" hidden="1" x14ac:dyDescent="0.25">
      <c r="A534" t="s">
        <v>1040</v>
      </c>
      <c r="D534" t="s">
        <v>8</v>
      </c>
      <c r="E534" t="s">
        <v>404</v>
      </c>
      <c r="F534">
        <v>10</v>
      </c>
      <c r="I534">
        <v>5.8</v>
      </c>
      <c r="J534">
        <v>5</v>
      </c>
      <c r="T534">
        <v>5</v>
      </c>
      <c r="U534">
        <v>6</v>
      </c>
      <c r="V534">
        <v>6</v>
      </c>
      <c r="W534">
        <v>7</v>
      </c>
      <c r="X534">
        <v>6</v>
      </c>
      <c r="Y534">
        <v>6</v>
      </c>
      <c r="Z534">
        <v>5</v>
      </c>
      <c r="AA534">
        <v>5</v>
      </c>
      <c r="AB534">
        <v>7</v>
      </c>
    </row>
    <row r="535" spans="1:28" hidden="1" x14ac:dyDescent="0.25">
      <c r="A535" t="s">
        <v>1040</v>
      </c>
      <c r="D535" t="s">
        <v>8</v>
      </c>
      <c r="E535" t="s">
        <v>403</v>
      </c>
    </row>
    <row r="536" spans="1:28" hidden="1" x14ac:dyDescent="0.25">
      <c r="A536" t="s">
        <v>1039</v>
      </c>
      <c r="D536" t="s">
        <v>11</v>
      </c>
      <c r="E536" t="s">
        <v>309</v>
      </c>
      <c r="F536">
        <v>19</v>
      </c>
      <c r="I536">
        <v>4.8421052631578947</v>
      </c>
      <c r="J536">
        <v>5</v>
      </c>
      <c r="K536">
        <v>5</v>
      </c>
      <c r="L536">
        <v>5</v>
      </c>
      <c r="M536">
        <v>3</v>
      </c>
      <c r="N536">
        <v>4</v>
      </c>
      <c r="O536">
        <v>5</v>
      </c>
      <c r="P536">
        <v>4</v>
      </c>
      <c r="Q536">
        <v>7</v>
      </c>
      <c r="R536">
        <v>5</v>
      </c>
      <c r="S536">
        <v>5</v>
      </c>
      <c r="T536">
        <v>5</v>
      </c>
      <c r="U536">
        <v>5</v>
      </c>
      <c r="V536">
        <v>5</v>
      </c>
      <c r="W536">
        <v>5</v>
      </c>
      <c r="X536">
        <v>5</v>
      </c>
      <c r="Y536">
        <v>5</v>
      </c>
      <c r="Z536">
        <v>5</v>
      </c>
      <c r="AA536">
        <v>5</v>
      </c>
      <c r="AB536">
        <v>4</v>
      </c>
    </row>
    <row r="537" spans="1:28" hidden="1" x14ac:dyDescent="0.25">
      <c r="A537" t="s">
        <v>1040</v>
      </c>
      <c r="D537" t="s">
        <v>11</v>
      </c>
      <c r="E537" t="s">
        <v>406</v>
      </c>
    </row>
    <row r="538" spans="1:28" hidden="1" x14ac:dyDescent="0.25">
      <c r="A538" t="s">
        <v>1040</v>
      </c>
      <c r="D538" t="s">
        <v>11</v>
      </c>
      <c r="E538" t="s">
        <v>407</v>
      </c>
    </row>
    <row r="539" spans="1:28" hidden="1" x14ac:dyDescent="0.25">
      <c r="A539" t="s">
        <v>1040</v>
      </c>
      <c r="D539" t="s">
        <v>11</v>
      </c>
      <c r="E539" t="s">
        <v>172</v>
      </c>
    </row>
    <row r="540" spans="1:28" hidden="1" x14ac:dyDescent="0.25">
      <c r="A540" t="s">
        <v>1040</v>
      </c>
      <c r="D540" t="s">
        <v>11</v>
      </c>
      <c r="E540" t="s">
        <v>369</v>
      </c>
      <c r="F540">
        <v>3</v>
      </c>
      <c r="I540">
        <v>4.666666666666667</v>
      </c>
      <c r="J540">
        <v>5</v>
      </c>
      <c r="K540">
        <v>5</v>
      </c>
      <c r="L540">
        <v>4</v>
      </c>
    </row>
    <row r="541" spans="1:28" hidden="1" x14ac:dyDescent="0.25">
      <c r="A541" t="s">
        <v>1042</v>
      </c>
      <c r="D541" t="s">
        <v>11</v>
      </c>
      <c r="E541" t="s">
        <v>457</v>
      </c>
      <c r="F541">
        <v>18</v>
      </c>
      <c r="H541">
        <v>1</v>
      </c>
      <c r="I541">
        <v>4.833333333333333</v>
      </c>
      <c r="J541">
        <v>5</v>
      </c>
      <c r="K541">
        <v>5</v>
      </c>
      <c r="L541">
        <v>4</v>
      </c>
      <c r="N541">
        <v>3</v>
      </c>
      <c r="O541">
        <v>6</v>
      </c>
      <c r="P541">
        <v>5</v>
      </c>
      <c r="Q541">
        <v>5</v>
      </c>
      <c r="R541">
        <v>5</v>
      </c>
      <c r="S541">
        <v>4</v>
      </c>
      <c r="T541">
        <v>5</v>
      </c>
      <c r="U541">
        <v>4</v>
      </c>
      <c r="V541">
        <v>4</v>
      </c>
      <c r="W541">
        <v>5</v>
      </c>
      <c r="X541">
        <v>7</v>
      </c>
      <c r="Y541">
        <v>5</v>
      </c>
      <c r="Z541">
        <v>5</v>
      </c>
      <c r="AA541">
        <v>5</v>
      </c>
      <c r="AB541">
        <v>5</v>
      </c>
    </row>
    <row r="542" spans="1:28" hidden="1" x14ac:dyDescent="0.25">
      <c r="A542" t="s">
        <v>1041</v>
      </c>
      <c r="D542" t="s">
        <v>11</v>
      </c>
      <c r="E542" t="s">
        <v>428</v>
      </c>
      <c r="F542">
        <v>16</v>
      </c>
      <c r="I542">
        <v>4.8125</v>
      </c>
      <c r="J542">
        <v>5</v>
      </c>
      <c r="K542">
        <v>5</v>
      </c>
      <c r="L542">
        <v>5</v>
      </c>
      <c r="M542">
        <v>4</v>
      </c>
      <c r="N542">
        <v>4</v>
      </c>
      <c r="O542">
        <v>5</v>
      </c>
      <c r="P542">
        <v>5</v>
      </c>
      <c r="R542">
        <v>4</v>
      </c>
      <c r="T542">
        <v>4</v>
      </c>
      <c r="U542">
        <v>5</v>
      </c>
      <c r="V542">
        <v>5</v>
      </c>
      <c r="W542">
        <v>6</v>
      </c>
      <c r="X542">
        <v>5</v>
      </c>
      <c r="Z542">
        <v>6</v>
      </c>
      <c r="AA542">
        <v>4</v>
      </c>
      <c r="AB542">
        <v>5</v>
      </c>
    </row>
    <row r="543" spans="1:28" hidden="1" x14ac:dyDescent="0.25">
      <c r="A543" t="s">
        <v>1040</v>
      </c>
      <c r="D543" t="s">
        <v>11</v>
      </c>
      <c r="E543" t="s">
        <v>271</v>
      </c>
      <c r="F543">
        <v>8</v>
      </c>
      <c r="G543">
        <v>1</v>
      </c>
      <c r="I543">
        <v>4.4444444444444446</v>
      </c>
      <c r="N543">
        <v>3</v>
      </c>
      <c r="O543">
        <v>5</v>
      </c>
      <c r="Q543">
        <v>5</v>
      </c>
      <c r="R543">
        <v>5</v>
      </c>
      <c r="S543">
        <v>4</v>
      </c>
      <c r="T543">
        <v>4</v>
      </c>
      <c r="V543">
        <v>4</v>
      </c>
      <c r="W543">
        <v>5</v>
      </c>
      <c r="Z543">
        <v>5</v>
      </c>
    </row>
    <row r="544" spans="1:28" hidden="1" x14ac:dyDescent="0.25">
      <c r="A544" t="s">
        <v>1040</v>
      </c>
      <c r="D544" t="s">
        <v>11</v>
      </c>
      <c r="E544" t="s">
        <v>677</v>
      </c>
      <c r="F544">
        <v>7</v>
      </c>
      <c r="G544">
        <v>2</v>
      </c>
      <c r="I544">
        <v>4.875</v>
      </c>
      <c r="O544">
        <v>4</v>
      </c>
      <c r="P544">
        <v>5</v>
      </c>
      <c r="R544">
        <v>4</v>
      </c>
      <c r="T544" t="s">
        <v>153</v>
      </c>
      <c r="U544">
        <v>5</v>
      </c>
      <c r="V544">
        <v>5</v>
      </c>
      <c r="Z544">
        <v>5</v>
      </c>
      <c r="AA544">
        <v>4</v>
      </c>
      <c r="AB544">
        <v>7</v>
      </c>
    </row>
    <row r="545" spans="1:28" hidden="1" x14ac:dyDescent="0.25">
      <c r="A545" t="s">
        <v>1040</v>
      </c>
      <c r="D545" t="s">
        <v>11</v>
      </c>
      <c r="E545" t="s">
        <v>370</v>
      </c>
      <c r="F545">
        <v>7</v>
      </c>
      <c r="G545">
        <v>2</v>
      </c>
      <c r="I545">
        <v>4.833333333333333</v>
      </c>
      <c r="T545">
        <v>5</v>
      </c>
      <c r="U545">
        <v>5</v>
      </c>
      <c r="V545">
        <v>4</v>
      </c>
      <c r="W545">
        <v>5</v>
      </c>
      <c r="X545" t="s">
        <v>153</v>
      </c>
      <c r="Y545">
        <v>5</v>
      </c>
      <c r="Z545" t="s">
        <v>153</v>
      </c>
      <c r="AA545">
        <v>5</v>
      </c>
      <c r="AB545" t="s">
        <v>554</v>
      </c>
    </row>
    <row r="546" spans="1:28" hidden="1" x14ac:dyDescent="0.25">
      <c r="A546" t="s">
        <v>1040</v>
      </c>
      <c r="D546" t="s">
        <v>11</v>
      </c>
      <c r="E546" t="s">
        <v>878</v>
      </c>
      <c r="F546">
        <v>3</v>
      </c>
      <c r="I546">
        <v>5</v>
      </c>
      <c r="X546">
        <v>5</v>
      </c>
      <c r="Y546">
        <v>5</v>
      </c>
      <c r="Z546" t="s">
        <v>546</v>
      </c>
    </row>
    <row r="547" spans="1:28" hidden="1" x14ac:dyDescent="0.25">
      <c r="A547" t="s">
        <v>1040</v>
      </c>
      <c r="D547" t="s">
        <v>11</v>
      </c>
      <c r="E547" t="s">
        <v>409</v>
      </c>
    </row>
    <row r="548" spans="1:28" hidden="1" x14ac:dyDescent="0.25">
      <c r="A548" t="s">
        <v>1040</v>
      </c>
      <c r="D548" t="s">
        <v>29</v>
      </c>
      <c r="E548" t="s">
        <v>410</v>
      </c>
      <c r="F548">
        <v>12</v>
      </c>
      <c r="G548">
        <v>4</v>
      </c>
      <c r="I548">
        <v>4.9230769230769234</v>
      </c>
      <c r="J548">
        <v>6</v>
      </c>
      <c r="K548">
        <v>7</v>
      </c>
      <c r="L548">
        <v>5</v>
      </c>
      <c r="M548">
        <v>4</v>
      </c>
      <c r="N548">
        <v>5</v>
      </c>
      <c r="O548">
        <v>4</v>
      </c>
      <c r="P548">
        <v>5</v>
      </c>
      <c r="Q548">
        <v>5</v>
      </c>
      <c r="R548">
        <v>5</v>
      </c>
      <c r="S548">
        <v>4</v>
      </c>
      <c r="T548" t="s">
        <v>153</v>
      </c>
      <c r="U548">
        <v>5</v>
      </c>
      <c r="V548">
        <v>5</v>
      </c>
      <c r="W548" t="s">
        <v>153</v>
      </c>
      <c r="Y548">
        <v>4</v>
      </c>
      <c r="AB548" t="s">
        <v>153</v>
      </c>
    </row>
    <row r="549" spans="1:28" hidden="1" x14ac:dyDescent="0.25">
      <c r="A549" t="s">
        <v>1040</v>
      </c>
      <c r="D549" t="s">
        <v>29</v>
      </c>
      <c r="E549" t="s">
        <v>411</v>
      </c>
      <c r="F549">
        <v>13</v>
      </c>
      <c r="G549">
        <v>2</v>
      </c>
      <c r="H549" t="s">
        <v>796</v>
      </c>
      <c r="I549">
        <v>4.7692307692307692</v>
      </c>
      <c r="J549">
        <v>5</v>
      </c>
      <c r="K549">
        <v>4</v>
      </c>
      <c r="L549">
        <v>4</v>
      </c>
      <c r="O549">
        <v>5</v>
      </c>
      <c r="P549">
        <v>4</v>
      </c>
      <c r="Q549">
        <v>4</v>
      </c>
      <c r="R549">
        <v>5</v>
      </c>
      <c r="T549">
        <v>5</v>
      </c>
      <c r="U549">
        <v>5</v>
      </c>
      <c r="W549">
        <v>5</v>
      </c>
      <c r="X549">
        <v>7</v>
      </c>
      <c r="Y549">
        <v>5</v>
      </c>
      <c r="AA549">
        <v>4</v>
      </c>
      <c r="AB549" t="s">
        <v>153</v>
      </c>
    </row>
    <row r="550" spans="1:28" hidden="1" x14ac:dyDescent="0.25">
      <c r="A550" t="s">
        <v>1040</v>
      </c>
      <c r="D550" t="s">
        <v>29</v>
      </c>
      <c r="E550" t="s">
        <v>412</v>
      </c>
      <c r="F550">
        <v>10</v>
      </c>
      <c r="G550">
        <v>5</v>
      </c>
      <c r="I550">
        <v>4.4000000000000004</v>
      </c>
      <c r="J550">
        <v>5</v>
      </c>
      <c r="K550">
        <v>4</v>
      </c>
      <c r="L550" t="s">
        <v>555</v>
      </c>
      <c r="M550">
        <v>5</v>
      </c>
      <c r="N550">
        <v>5</v>
      </c>
      <c r="O550">
        <v>4</v>
      </c>
      <c r="P550">
        <v>4</v>
      </c>
      <c r="Q550" t="s">
        <v>153</v>
      </c>
      <c r="R550">
        <v>4</v>
      </c>
      <c r="S550">
        <v>4</v>
      </c>
      <c r="U550" t="s">
        <v>153</v>
      </c>
      <c r="V550">
        <v>5</v>
      </c>
      <c r="W550">
        <v>4</v>
      </c>
      <c r="X550" t="s">
        <v>153</v>
      </c>
      <c r="AA550" t="s">
        <v>153</v>
      </c>
      <c r="AB550" t="s">
        <v>153</v>
      </c>
    </row>
    <row r="551" spans="1:28" hidden="1" x14ac:dyDescent="0.25">
      <c r="A551" t="s">
        <v>1040</v>
      </c>
      <c r="D551" t="s">
        <v>29</v>
      </c>
      <c r="E551" t="s">
        <v>413</v>
      </c>
      <c r="F551">
        <v>11</v>
      </c>
      <c r="G551">
        <v>2</v>
      </c>
      <c r="I551">
        <v>4.6363636363636367</v>
      </c>
      <c r="K551">
        <v>5</v>
      </c>
      <c r="L551">
        <v>3</v>
      </c>
      <c r="M551">
        <v>4</v>
      </c>
      <c r="O551" t="s">
        <v>153</v>
      </c>
      <c r="P551">
        <v>5</v>
      </c>
      <c r="Q551">
        <v>5</v>
      </c>
      <c r="T551">
        <v>5</v>
      </c>
      <c r="U551">
        <v>5</v>
      </c>
      <c r="V551" t="s">
        <v>153</v>
      </c>
      <c r="W551">
        <v>4</v>
      </c>
      <c r="X551">
        <v>5</v>
      </c>
      <c r="Y551">
        <v>5</v>
      </c>
      <c r="AB551">
        <v>5</v>
      </c>
    </row>
    <row r="552" spans="1:28" hidden="1" x14ac:dyDescent="0.25">
      <c r="A552" t="s">
        <v>1040</v>
      </c>
      <c r="D552" t="s">
        <v>29</v>
      </c>
      <c r="E552" t="s">
        <v>418</v>
      </c>
      <c r="F552">
        <v>4</v>
      </c>
      <c r="G552">
        <v>2</v>
      </c>
      <c r="H552">
        <v>1</v>
      </c>
      <c r="I552">
        <v>4.666666666666667</v>
      </c>
      <c r="L552">
        <v>4</v>
      </c>
      <c r="M552">
        <v>5</v>
      </c>
      <c r="N552">
        <v>6</v>
      </c>
      <c r="P552">
        <v>5</v>
      </c>
      <c r="R552">
        <v>4</v>
      </c>
      <c r="S552">
        <v>4</v>
      </c>
    </row>
    <row r="553" spans="1:28" hidden="1" x14ac:dyDescent="0.25">
      <c r="A553" t="s">
        <v>1040</v>
      </c>
      <c r="D553" t="s">
        <v>29</v>
      </c>
      <c r="E553" t="s">
        <v>414</v>
      </c>
      <c r="F553">
        <v>13</v>
      </c>
      <c r="G553">
        <v>4</v>
      </c>
      <c r="H553">
        <v>1</v>
      </c>
      <c r="I553">
        <v>4.833333333333333</v>
      </c>
      <c r="J553">
        <v>5</v>
      </c>
      <c r="L553" t="s">
        <v>153</v>
      </c>
      <c r="M553">
        <v>5</v>
      </c>
      <c r="N553">
        <v>4</v>
      </c>
      <c r="O553" t="s">
        <v>153</v>
      </c>
      <c r="P553" t="s">
        <v>153</v>
      </c>
      <c r="Q553">
        <v>5</v>
      </c>
      <c r="R553">
        <v>5</v>
      </c>
      <c r="S553">
        <v>5</v>
      </c>
      <c r="T553">
        <v>4</v>
      </c>
      <c r="U553">
        <v>4</v>
      </c>
      <c r="V553">
        <v>7</v>
      </c>
      <c r="W553">
        <v>5</v>
      </c>
      <c r="X553">
        <v>4</v>
      </c>
      <c r="Y553" t="s">
        <v>153</v>
      </c>
      <c r="Z553">
        <v>5</v>
      </c>
      <c r="AA553" t="s">
        <v>546</v>
      </c>
    </row>
    <row r="554" spans="1:28" hidden="1" x14ac:dyDescent="0.25">
      <c r="A554" t="s">
        <v>1040</v>
      </c>
      <c r="D554" t="s">
        <v>29</v>
      </c>
      <c r="E554" t="s">
        <v>415</v>
      </c>
      <c r="F554">
        <v>2</v>
      </c>
      <c r="G554">
        <v>2</v>
      </c>
      <c r="H554">
        <v>1</v>
      </c>
      <c r="I554">
        <v>5.5</v>
      </c>
      <c r="K554" t="s">
        <v>153</v>
      </c>
      <c r="Q554" t="s">
        <v>153</v>
      </c>
      <c r="Z554">
        <v>5</v>
      </c>
      <c r="AB554">
        <v>6</v>
      </c>
    </row>
    <row r="555" spans="1:28" hidden="1" x14ac:dyDescent="0.25">
      <c r="A555" t="s">
        <v>1040</v>
      </c>
      <c r="D555" t="s">
        <v>29</v>
      </c>
      <c r="E555" t="s">
        <v>416</v>
      </c>
      <c r="F555">
        <v>1</v>
      </c>
      <c r="G555">
        <v>4</v>
      </c>
      <c r="I555">
        <v>4</v>
      </c>
      <c r="J555" t="s">
        <v>153</v>
      </c>
      <c r="N555">
        <v>4</v>
      </c>
      <c r="P555" t="s">
        <v>153</v>
      </c>
      <c r="S555" t="s">
        <v>153</v>
      </c>
      <c r="AA555" t="s">
        <v>153</v>
      </c>
    </row>
    <row r="556" spans="1:28" hidden="1" x14ac:dyDescent="0.25">
      <c r="A556" t="s">
        <v>1040</v>
      </c>
      <c r="D556" t="s">
        <v>29</v>
      </c>
      <c r="E556" t="s">
        <v>498</v>
      </c>
      <c r="F556">
        <v>19</v>
      </c>
      <c r="H556">
        <v>2</v>
      </c>
      <c r="I556">
        <v>4.8947368421052628</v>
      </c>
      <c r="J556">
        <v>5</v>
      </c>
      <c r="K556">
        <v>5</v>
      </c>
      <c r="L556">
        <v>4</v>
      </c>
      <c r="M556">
        <v>5</v>
      </c>
      <c r="N556">
        <v>4</v>
      </c>
      <c r="O556">
        <v>5</v>
      </c>
      <c r="P556">
        <v>5</v>
      </c>
      <c r="Q556">
        <v>6</v>
      </c>
      <c r="R556">
        <v>4</v>
      </c>
      <c r="S556">
        <v>4</v>
      </c>
      <c r="T556">
        <v>5</v>
      </c>
      <c r="U556">
        <v>5</v>
      </c>
      <c r="V556">
        <v>5</v>
      </c>
      <c r="W556">
        <v>5</v>
      </c>
      <c r="X556">
        <v>5</v>
      </c>
      <c r="Y556">
        <v>5</v>
      </c>
      <c r="Z556">
        <v>6</v>
      </c>
      <c r="AA556">
        <v>5</v>
      </c>
      <c r="AB556">
        <v>5</v>
      </c>
    </row>
    <row r="557" spans="1:28" hidden="1" x14ac:dyDescent="0.25">
      <c r="A557" t="s">
        <v>1040</v>
      </c>
      <c r="D557" t="s">
        <v>29</v>
      </c>
      <c r="E557" t="s">
        <v>499</v>
      </c>
      <c r="F557">
        <v>13</v>
      </c>
      <c r="G557">
        <v>5</v>
      </c>
      <c r="H557">
        <v>1</v>
      </c>
      <c r="I557">
        <v>4.615384615384615</v>
      </c>
      <c r="J557">
        <v>5</v>
      </c>
      <c r="K557" t="s">
        <v>153</v>
      </c>
      <c r="L557">
        <v>4</v>
      </c>
      <c r="M557" t="s">
        <v>153</v>
      </c>
      <c r="N557">
        <v>5</v>
      </c>
      <c r="O557" t="s">
        <v>153</v>
      </c>
      <c r="Q557">
        <v>5</v>
      </c>
      <c r="R557">
        <v>4</v>
      </c>
      <c r="S557">
        <v>4</v>
      </c>
      <c r="T557">
        <v>5</v>
      </c>
      <c r="U557">
        <v>5</v>
      </c>
      <c r="V557">
        <v>5</v>
      </c>
      <c r="W557" t="s">
        <v>153</v>
      </c>
      <c r="X557">
        <v>5</v>
      </c>
      <c r="Y557">
        <v>4</v>
      </c>
      <c r="Z557" t="s">
        <v>153</v>
      </c>
      <c r="AA557">
        <v>5</v>
      </c>
      <c r="AB557">
        <v>4</v>
      </c>
    </row>
    <row r="558" spans="1:28" hidden="1" x14ac:dyDescent="0.25">
      <c r="A558" t="s">
        <v>1040</v>
      </c>
      <c r="D558" t="s">
        <v>29</v>
      </c>
      <c r="E558" t="s">
        <v>417</v>
      </c>
      <c r="F558">
        <v>1</v>
      </c>
      <c r="G558">
        <v>1</v>
      </c>
      <c r="I558">
        <v>4</v>
      </c>
      <c r="V558" t="s">
        <v>153</v>
      </c>
      <c r="AB558">
        <v>4</v>
      </c>
    </row>
    <row r="559" spans="1:28" hidden="1" x14ac:dyDescent="0.25">
      <c r="A559" t="s">
        <v>1040</v>
      </c>
      <c r="D559" t="s">
        <v>30</v>
      </c>
      <c r="E559" t="s">
        <v>419</v>
      </c>
    </row>
    <row r="560" spans="1:28" hidden="1" x14ac:dyDescent="0.25">
      <c r="A560" t="s">
        <v>1040</v>
      </c>
      <c r="D560" t="s">
        <v>30</v>
      </c>
      <c r="E560" t="s">
        <v>80</v>
      </c>
      <c r="N560" t="s">
        <v>153</v>
      </c>
    </row>
    <row r="561" spans="1:28" hidden="1" x14ac:dyDescent="0.25">
      <c r="A561" t="s">
        <v>1040</v>
      </c>
      <c r="D561" t="s">
        <v>30</v>
      </c>
      <c r="E561" t="s">
        <v>422</v>
      </c>
      <c r="F561">
        <v>1</v>
      </c>
      <c r="G561">
        <v>4</v>
      </c>
      <c r="I561">
        <v>4</v>
      </c>
      <c r="J561" t="s">
        <v>153</v>
      </c>
      <c r="N561" t="s">
        <v>153</v>
      </c>
      <c r="O561">
        <v>4</v>
      </c>
      <c r="S561" t="s">
        <v>153</v>
      </c>
      <c r="V561" t="s">
        <v>153</v>
      </c>
      <c r="Y561" t="s">
        <v>153</v>
      </c>
    </row>
    <row r="562" spans="1:28" hidden="1" x14ac:dyDescent="0.25">
      <c r="A562" t="s">
        <v>1040</v>
      </c>
      <c r="D562" t="s">
        <v>30</v>
      </c>
      <c r="E562" t="s">
        <v>420</v>
      </c>
      <c r="F562">
        <v>4</v>
      </c>
      <c r="G562">
        <v>8</v>
      </c>
      <c r="H562">
        <v>1</v>
      </c>
      <c r="I562">
        <v>6.25</v>
      </c>
      <c r="J562" t="s">
        <v>153</v>
      </c>
      <c r="K562" t="s">
        <v>153</v>
      </c>
      <c r="M562" t="s">
        <v>153</v>
      </c>
      <c r="R562" t="s">
        <v>153</v>
      </c>
      <c r="S562" t="s">
        <v>153</v>
      </c>
      <c r="V562">
        <v>5</v>
      </c>
      <c r="W562" t="s">
        <v>153</v>
      </c>
      <c r="X562" t="s">
        <v>153</v>
      </c>
      <c r="Y562" t="s">
        <v>153</v>
      </c>
      <c r="Z562">
        <v>7</v>
      </c>
      <c r="AA562">
        <v>7</v>
      </c>
      <c r="AB562">
        <v>6</v>
      </c>
    </row>
    <row r="563" spans="1:28" hidden="1" x14ac:dyDescent="0.25">
      <c r="A563" t="s">
        <v>1040</v>
      </c>
      <c r="D563" t="s">
        <v>30</v>
      </c>
      <c r="E563" t="s">
        <v>534</v>
      </c>
      <c r="F563">
        <v>5</v>
      </c>
      <c r="G563">
        <v>4</v>
      </c>
      <c r="I563">
        <v>4</v>
      </c>
      <c r="L563" t="s">
        <v>153</v>
      </c>
      <c r="M563">
        <v>4</v>
      </c>
      <c r="P563" t="s">
        <v>153</v>
      </c>
      <c r="Q563">
        <v>4</v>
      </c>
      <c r="R563" t="s">
        <v>153</v>
      </c>
      <c r="T563" t="s">
        <v>153</v>
      </c>
      <c r="U563" t="s">
        <v>153</v>
      </c>
      <c r="V563">
        <v>4</v>
      </c>
      <c r="Z563">
        <v>4</v>
      </c>
      <c r="AA563">
        <v>4</v>
      </c>
    </row>
    <row r="564" spans="1:28" x14ac:dyDescent="0.25">
      <c r="A564" t="s">
        <v>1035</v>
      </c>
      <c r="D564" t="s">
        <v>30</v>
      </c>
      <c r="E564" t="s">
        <v>394</v>
      </c>
      <c r="F564">
        <v>5</v>
      </c>
      <c r="G564">
        <v>6</v>
      </c>
      <c r="H564">
        <v>2</v>
      </c>
      <c r="I564">
        <v>4.8</v>
      </c>
      <c r="J564" t="s">
        <v>153</v>
      </c>
      <c r="K564" t="s">
        <v>153</v>
      </c>
      <c r="L564" t="s">
        <v>153</v>
      </c>
      <c r="M564">
        <v>7</v>
      </c>
      <c r="N564">
        <v>5</v>
      </c>
      <c r="O564">
        <v>4</v>
      </c>
      <c r="R564" t="s">
        <v>153</v>
      </c>
      <c r="S564">
        <v>4</v>
      </c>
      <c r="T564">
        <v>4</v>
      </c>
      <c r="U564" t="s">
        <v>153</v>
      </c>
      <c r="V564" t="s">
        <v>153</v>
      </c>
    </row>
    <row r="565" spans="1:28" hidden="1" x14ac:dyDescent="0.25">
      <c r="A565" t="s">
        <v>1029</v>
      </c>
      <c r="D565" t="s">
        <v>8</v>
      </c>
      <c r="E565" t="s">
        <v>102</v>
      </c>
      <c r="F565">
        <v>17</v>
      </c>
      <c r="H565" t="s">
        <v>617</v>
      </c>
      <c r="I565">
        <v>5.0625</v>
      </c>
      <c r="J565">
        <v>5</v>
      </c>
      <c r="M565">
        <v>6</v>
      </c>
      <c r="N565">
        <v>4</v>
      </c>
      <c r="O565">
        <v>5</v>
      </c>
      <c r="P565">
        <v>4</v>
      </c>
      <c r="Q565">
        <v>5</v>
      </c>
      <c r="R565">
        <v>4</v>
      </c>
      <c r="S565">
        <v>5</v>
      </c>
      <c r="T565">
        <v>6</v>
      </c>
      <c r="U565">
        <v>4</v>
      </c>
      <c r="V565" t="s">
        <v>546</v>
      </c>
      <c r="W565">
        <v>5</v>
      </c>
      <c r="X565">
        <v>5</v>
      </c>
      <c r="Y565">
        <v>6</v>
      </c>
      <c r="Z565">
        <v>6</v>
      </c>
      <c r="AA565">
        <v>5</v>
      </c>
      <c r="AB565">
        <v>6</v>
      </c>
    </row>
    <row r="566" spans="1:28" hidden="1" x14ac:dyDescent="0.25">
      <c r="A566" t="s">
        <v>1041</v>
      </c>
      <c r="D566" t="s">
        <v>8</v>
      </c>
      <c r="E566" t="s">
        <v>916</v>
      </c>
      <c r="F566">
        <v>1</v>
      </c>
      <c r="G566">
        <v>1</v>
      </c>
      <c r="I566">
        <v>5.5</v>
      </c>
      <c r="Y566">
        <v>7</v>
      </c>
      <c r="Z566">
        <v>4</v>
      </c>
    </row>
    <row r="567" spans="1:28" hidden="1" x14ac:dyDescent="0.25">
      <c r="A567" t="s">
        <v>1041</v>
      </c>
      <c r="D567" t="s">
        <v>8</v>
      </c>
      <c r="E567" t="s">
        <v>424</v>
      </c>
      <c r="F567">
        <v>3</v>
      </c>
      <c r="I567">
        <v>6</v>
      </c>
      <c r="J567">
        <v>7</v>
      </c>
      <c r="X567">
        <v>5</v>
      </c>
      <c r="Y567" t="s">
        <v>546</v>
      </c>
    </row>
    <row r="568" spans="1:28" hidden="1" x14ac:dyDescent="0.25">
      <c r="A568" t="s">
        <v>1041</v>
      </c>
      <c r="D568" t="s">
        <v>11</v>
      </c>
      <c r="E568" t="s">
        <v>426</v>
      </c>
      <c r="F568">
        <v>10</v>
      </c>
      <c r="G568">
        <v>2</v>
      </c>
      <c r="H568" t="s">
        <v>796</v>
      </c>
      <c r="I568">
        <v>5.3</v>
      </c>
      <c r="K568">
        <v>5</v>
      </c>
      <c r="L568">
        <v>5</v>
      </c>
      <c r="M568">
        <v>5</v>
      </c>
      <c r="Q568">
        <v>6</v>
      </c>
      <c r="R568">
        <v>5</v>
      </c>
      <c r="T568">
        <v>6</v>
      </c>
      <c r="U568">
        <v>5</v>
      </c>
      <c r="W568" t="s">
        <v>153</v>
      </c>
      <c r="X568">
        <v>6</v>
      </c>
      <c r="Y568">
        <v>5</v>
      </c>
      <c r="Z568">
        <v>5</v>
      </c>
      <c r="AB568" t="s">
        <v>153</v>
      </c>
    </row>
    <row r="569" spans="1:28" hidden="1" x14ac:dyDescent="0.25">
      <c r="A569" t="s">
        <v>1032</v>
      </c>
      <c r="D569" t="s">
        <v>11</v>
      </c>
      <c r="E569" t="s">
        <v>176</v>
      </c>
      <c r="F569">
        <v>15</v>
      </c>
      <c r="H569">
        <v>2</v>
      </c>
      <c r="I569">
        <v>4.7857142857142856</v>
      </c>
      <c r="J569">
        <v>5</v>
      </c>
      <c r="K569">
        <v>5</v>
      </c>
      <c r="L569">
        <v>5</v>
      </c>
      <c r="M569">
        <v>4</v>
      </c>
      <c r="N569">
        <v>6</v>
      </c>
      <c r="O569" t="s">
        <v>546</v>
      </c>
      <c r="P569">
        <v>4</v>
      </c>
      <c r="Q569">
        <v>5</v>
      </c>
      <c r="R569">
        <v>5</v>
      </c>
      <c r="S569">
        <v>5</v>
      </c>
      <c r="T569">
        <v>5</v>
      </c>
      <c r="U569">
        <v>5</v>
      </c>
      <c r="V569">
        <v>4</v>
      </c>
      <c r="W569">
        <v>4</v>
      </c>
      <c r="Z569">
        <v>5</v>
      </c>
    </row>
    <row r="570" spans="1:28" hidden="1" x14ac:dyDescent="0.25">
      <c r="A570" t="s">
        <v>1038</v>
      </c>
      <c r="D570" t="s">
        <v>11</v>
      </c>
      <c r="E570" t="s">
        <v>237</v>
      </c>
      <c r="F570">
        <v>18</v>
      </c>
      <c r="H570" t="s">
        <v>617</v>
      </c>
      <c r="I570">
        <v>4.7777777777777777</v>
      </c>
      <c r="J570">
        <v>3</v>
      </c>
      <c r="L570">
        <v>4</v>
      </c>
      <c r="M570">
        <v>6</v>
      </c>
      <c r="N570">
        <v>5</v>
      </c>
      <c r="O570">
        <v>5</v>
      </c>
      <c r="P570">
        <v>5</v>
      </c>
      <c r="Q570">
        <v>5</v>
      </c>
      <c r="R570">
        <v>5</v>
      </c>
      <c r="S570">
        <v>5</v>
      </c>
      <c r="T570">
        <v>6</v>
      </c>
      <c r="U570">
        <v>5</v>
      </c>
      <c r="V570">
        <v>5</v>
      </c>
      <c r="W570">
        <v>5</v>
      </c>
      <c r="X570">
        <v>4</v>
      </c>
      <c r="Y570">
        <v>4</v>
      </c>
      <c r="Z570">
        <v>5</v>
      </c>
      <c r="AA570">
        <v>5</v>
      </c>
      <c r="AB570">
        <v>4</v>
      </c>
    </row>
    <row r="571" spans="1:28" hidden="1" x14ac:dyDescent="0.25">
      <c r="A571" t="s">
        <v>1041</v>
      </c>
      <c r="D571" t="s">
        <v>11</v>
      </c>
      <c r="E571" t="s">
        <v>211</v>
      </c>
      <c r="F571">
        <v>1</v>
      </c>
      <c r="I571">
        <v>6</v>
      </c>
      <c r="S571">
        <v>6</v>
      </c>
    </row>
    <row r="572" spans="1:28" hidden="1" x14ac:dyDescent="0.25">
      <c r="A572" t="s">
        <v>1031</v>
      </c>
      <c r="D572" t="s">
        <v>11</v>
      </c>
      <c r="E572" t="s">
        <v>270</v>
      </c>
      <c r="F572">
        <v>12</v>
      </c>
      <c r="G572">
        <v>4</v>
      </c>
      <c r="I572">
        <v>4.75</v>
      </c>
      <c r="J572">
        <v>5</v>
      </c>
      <c r="K572">
        <v>4</v>
      </c>
      <c r="L572" t="s">
        <v>153</v>
      </c>
      <c r="M572" t="s">
        <v>153</v>
      </c>
      <c r="N572">
        <v>5</v>
      </c>
      <c r="O572">
        <v>5</v>
      </c>
      <c r="P572">
        <v>5</v>
      </c>
      <c r="S572">
        <v>6</v>
      </c>
      <c r="T572">
        <v>5</v>
      </c>
      <c r="U572">
        <v>4</v>
      </c>
      <c r="V572">
        <v>4</v>
      </c>
      <c r="W572" t="s">
        <v>153</v>
      </c>
      <c r="X572">
        <v>5</v>
      </c>
      <c r="Z572">
        <v>5</v>
      </c>
      <c r="AA572" t="s">
        <v>555</v>
      </c>
      <c r="AB572">
        <v>4</v>
      </c>
    </row>
    <row r="573" spans="1:28" hidden="1" x14ac:dyDescent="0.25">
      <c r="A573" t="s">
        <v>1026</v>
      </c>
      <c r="D573" t="s">
        <v>29</v>
      </c>
      <c r="E573" t="s">
        <v>363</v>
      </c>
      <c r="F573">
        <v>17</v>
      </c>
      <c r="G573">
        <v>1</v>
      </c>
      <c r="H573">
        <v>2</v>
      </c>
      <c r="I573">
        <v>5.0588235294117645</v>
      </c>
      <c r="J573">
        <v>5</v>
      </c>
      <c r="K573">
        <v>5</v>
      </c>
      <c r="L573">
        <v>5</v>
      </c>
      <c r="M573">
        <v>5</v>
      </c>
      <c r="N573">
        <v>5</v>
      </c>
      <c r="O573">
        <v>5</v>
      </c>
      <c r="P573">
        <v>4</v>
      </c>
      <c r="Q573">
        <v>7</v>
      </c>
      <c r="S573">
        <v>5</v>
      </c>
      <c r="T573">
        <v>4</v>
      </c>
      <c r="U573">
        <v>5</v>
      </c>
      <c r="V573">
        <v>5</v>
      </c>
      <c r="W573">
        <v>7</v>
      </c>
      <c r="X573">
        <v>5</v>
      </c>
      <c r="Y573" t="s">
        <v>153</v>
      </c>
      <c r="Z573">
        <v>4</v>
      </c>
      <c r="AA573">
        <v>5</v>
      </c>
      <c r="AB573">
        <v>5</v>
      </c>
    </row>
    <row r="574" spans="1:28" x14ac:dyDescent="0.25">
      <c r="A574" t="s">
        <v>1036</v>
      </c>
      <c r="D574" t="s">
        <v>30</v>
      </c>
      <c r="E574" t="s">
        <v>285</v>
      </c>
      <c r="F574">
        <v>10</v>
      </c>
      <c r="G574">
        <v>5</v>
      </c>
      <c r="H574">
        <v>2</v>
      </c>
      <c r="I574">
        <v>4.7272727272727275</v>
      </c>
      <c r="J574">
        <v>5</v>
      </c>
      <c r="M574">
        <v>4</v>
      </c>
      <c r="N574">
        <v>4</v>
      </c>
      <c r="O574">
        <v>4</v>
      </c>
      <c r="R574" t="s">
        <v>153</v>
      </c>
      <c r="S574">
        <v>4</v>
      </c>
      <c r="T574">
        <v>6</v>
      </c>
      <c r="U574">
        <v>4</v>
      </c>
      <c r="V574" t="s">
        <v>153</v>
      </c>
      <c r="W574" t="s">
        <v>153</v>
      </c>
      <c r="X574" t="s">
        <v>153</v>
      </c>
      <c r="Y574">
        <v>4</v>
      </c>
      <c r="Z574">
        <v>6</v>
      </c>
      <c r="AA574">
        <v>7</v>
      </c>
      <c r="AB574">
        <v>4</v>
      </c>
    </row>
    <row r="575" spans="1:28" hidden="1" x14ac:dyDescent="0.25">
      <c r="A575" t="s">
        <v>1041</v>
      </c>
      <c r="D575" t="s">
        <v>11</v>
      </c>
      <c r="E575" t="s">
        <v>430</v>
      </c>
      <c r="F575">
        <v>11</v>
      </c>
      <c r="G575">
        <v>1</v>
      </c>
      <c r="I575">
        <v>4.8181818181818183</v>
      </c>
      <c r="J575">
        <v>5</v>
      </c>
      <c r="K575">
        <v>4</v>
      </c>
      <c r="L575">
        <v>5</v>
      </c>
      <c r="M575">
        <v>5</v>
      </c>
      <c r="N575">
        <v>5</v>
      </c>
      <c r="O575">
        <v>4</v>
      </c>
      <c r="P575">
        <v>5</v>
      </c>
      <c r="S575">
        <v>5</v>
      </c>
      <c r="T575">
        <v>5</v>
      </c>
      <c r="U575">
        <v>5</v>
      </c>
      <c r="V575">
        <v>5</v>
      </c>
      <c r="W575" t="s">
        <v>546</v>
      </c>
    </row>
    <row r="576" spans="1:28" hidden="1" x14ac:dyDescent="0.25">
      <c r="A576" t="s">
        <v>1041</v>
      </c>
      <c r="D576" t="s">
        <v>29</v>
      </c>
      <c r="E576" t="s">
        <v>431</v>
      </c>
      <c r="F576">
        <v>3</v>
      </c>
      <c r="G576">
        <v>4</v>
      </c>
      <c r="I576">
        <v>4.333333333333333</v>
      </c>
      <c r="P576" t="s">
        <v>153</v>
      </c>
      <c r="T576" t="s">
        <v>153</v>
      </c>
      <c r="V576">
        <v>5</v>
      </c>
      <c r="W576">
        <v>4</v>
      </c>
      <c r="Y576">
        <v>4</v>
      </c>
      <c r="Z576" t="s">
        <v>153</v>
      </c>
      <c r="AA576" t="s">
        <v>153</v>
      </c>
    </row>
    <row r="577" spans="1:28" hidden="1" x14ac:dyDescent="0.25">
      <c r="A577" t="s">
        <v>1041</v>
      </c>
      <c r="D577" t="s">
        <v>29</v>
      </c>
      <c r="E577" t="s">
        <v>432</v>
      </c>
      <c r="F577">
        <v>13</v>
      </c>
      <c r="G577">
        <v>3</v>
      </c>
      <c r="H577">
        <v>6</v>
      </c>
      <c r="I577">
        <v>4.9230769230769234</v>
      </c>
      <c r="J577">
        <v>2</v>
      </c>
      <c r="L577" t="s">
        <v>153</v>
      </c>
      <c r="M577" t="s">
        <v>153</v>
      </c>
      <c r="P577">
        <v>7</v>
      </c>
      <c r="Q577">
        <v>4</v>
      </c>
      <c r="R577">
        <v>4</v>
      </c>
      <c r="S577">
        <v>4</v>
      </c>
      <c r="T577">
        <v>4</v>
      </c>
      <c r="U577">
        <v>7</v>
      </c>
      <c r="V577">
        <v>4</v>
      </c>
      <c r="W577">
        <v>5</v>
      </c>
      <c r="X577">
        <v>7</v>
      </c>
      <c r="Y577">
        <v>5</v>
      </c>
      <c r="Z577" t="s">
        <v>153</v>
      </c>
      <c r="AA577">
        <v>4</v>
      </c>
      <c r="AB577">
        <v>7</v>
      </c>
    </row>
    <row r="578" spans="1:28" hidden="1" x14ac:dyDescent="0.25">
      <c r="A578" t="s">
        <v>1041</v>
      </c>
      <c r="D578" t="s">
        <v>29</v>
      </c>
      <c r="E578" t="s">
        <v>468</v>
      </c>
      <c r="F578">
        <v>14</v>
      </c>
      <c r="G578">
        <v>1</v>
      </c>
      <c r="I578">
        <v>4.8571428571428568</v>
      </c>
      <c r="J578">
        <v>5</v>
      </c>
      <c r="K578">
        <v>5</v>
      </c>
      <c r="L578">
        <v>4</v>
      </c>
      <c r="M578">
        <v>5</v>
      </c>
      <c r="O578">
        <v>4</v>
      </c>
      <c r="P578">
        <v>5</v>
      </c>
      <c r="Q578">
        <v>5</v>
      </c>
      <c r="S578">
        <v>5</v>
      </c>
      <c r="T578" t="s">
        <v>153</v>
      </c>
      <c r="V578">
        <v>4</v>
      </c>
      <c r="W578">
        <v>5</v>
      </c>
      <c r="X578">
        <v>5</v>
      </c>
      <c r="Y578">
        <v>5</v>
      </c>
      <c r="AA578">
        <v>5</v>
      </c>
      <c r="AB578">
        <v>6</v>
      </c>
    </row>
    <row r="579" spans="1:28" hidden="1" x14ac:dyDescent="0.25">
      <c r="A579" t="s">
        <v>1041</v>
      </c>
      <c r="D579" t="s">
        <v>29</v>
      </c>
      <c r="E579" t="s">
        <v>472</v>
      </c>
      <c r="F579">
        <v>12</v>
      </c>
      <c r="G579">
        <v>5</v>
      </c>
      <c r="H579">
        <v>1</v>
      </c>
      <c r="I579">
        <v>4.9230769230769234</v>
      </c>
      <c r="J579">
        <v>6</v>
      </c>
      <c r="K579">
        <v>4</v>
      </c>
      <c r="L579">
        <v>4</v>
      </c>
      <c r="M579">
        <v>5</v>
      </c>
      <c r="N579">
        <v>5</v>
      </c>
      <c r="O579">
        <v>5</v>
      </c>
      <c r="Q579">
        <v>4</v>
      </c>
      <c r="R579" t="s">
        <v>153</v>
      </c>
      <c r="S579">
        <v>4</v>
      </c>
      <c r="T579">
        <v>7</v>
      </c>
      <c r="U579">
        <v>5</v>
      </c>
      <c r="W579">
        <v>5</v>
      </c>
      <c r="X579">
        <v>5</v>
      </c>
      <c r="Y579" t="s">
        <v>153</v>
      </c>
      <c r="Z579">
        <v>5</v>
      </c>
      <c r="AA579" t="s">
        <v>153</v>
      </c>
      <c r="AB579" t="s">
        <v>153</v>
      </c>
    </row>
    <row r="580" spans="1:28" hidden="1" x14ac:dyDescent="0.25">
      <c r="A580" t="s">
        <v>1041</v>
      </c>
      <c r="D580" t="s">
        <v>29</v>
      </c>
      <c r="E580" t="s">
        <v>429</v>
      </c>
      <c r="F580">
        <v>9</v>
      </c>
      <c r="G580">
        <v>1</v>
      </c>
      <c r="I580">
        <v>4.7777777777777777</v>
      </c>
      <c r="J580">
        <v>5</v>
      </c>
      <c r="K580">
        <v>4</v>
      </c>
      <c r="L580">
        <v>5</v>
      </c>
      <c r="N580">
        <v>5</v>
      </c>
      <c r="T580">
        <v>5</v>
      </c>
      <c r="U580">
        <v>4</v>
      </c>
      <c r="X580" t="s">
        <v>153</v>
      </c>
      <c r="Y580">
        <v>7</v>
      </c>
      <c r="AA580">
        <v>4</v>
      </c>
      <c r="AB580">
        <v>4</v>
      </c>
    </row>
    <row r="581" spans="1:28" x14ac:dyDescent="0.25">
      <c r="A581" t="s">
        <v>1037</v>
      </c>
      <c r="D581" t="s">
        <v>30</v>
      </c>
      <c r="E581" t="s">
        <v>299</v>
      </c>
      <c r="F581">
        <v>5</v>
      </c>
      <c r="G581">
        <v>4</v>
      </c>
      <c r="H581">
        <v>2</v>
      </c>
      <c r="I581">
        <v>4.5999999999999996</v>
      </c>
      <c r="L581" t="s">
        <v>153</v>
      </c>
      <c r="Q581" t="s">
        <v>153</v>
      </c>
      <c r="S581">
        <v>5</v>
      </c>
      <c r="T581" t="s">
        <v>153</v>
      </c>
      <c r="U581">
        <v>4</v>
      </c>
      <c r="W581" t="s">
        <v>153</v>
      </c>
      <c r="X581" t="s">
        <v>153</v>
      </c>
      <c r="Z581">
        <v>7</v>
      </c>
      <c r="AA581">
        <v>4</v>
      </c>
      <c r="AB581">
        <v>3</v>
      </c>
    </row>
    <row r="582" spans="1:28" x14ac:dyDescent="0.25">
      <c r="A582" t="s">
        <v>1040</v>
      </c>
      <c r="D582" t="s">
        <v>30</v>
      </c>
      <c r="E582" t="s">
        <v>421</v>
      </c>
      <c r="F582">
        <v>16</v>
      </c>
      <c r="G582">
        <v>1</v>
      </c>
      <c r="H582">
        <v>2</v>
      </c>
      <c r="I582">
        <v>4.7333333333333334</v>
      </c>
      <c r="J582">
        <v>5</v>
      </c>
      <c r="K582">
        <v>6</v>
      </c>
      <c r="L582">
        <v>4</v>
      </c>
      <c r="M582">
        <v>5</v>
      </c>
      <c r="N582">
        <v>4</v>
      </c>
      <c r="O582">
        <v>5</v>
      </c>
      <c r="P582">
        <v>5</v>
      </c>
      <c r="Q582" t="s">
        <v>153</v>
      </c>
      <c r="R582">
        <v>5</v>
      </c>
      <c r="S582">
        <v>4</v>
      </c>
      <c r="T582">
        <v>4</v>
      </c>
      <c r="U582" t="s">
        <v>554</v>
      </c>
      <c r="W582">
        <v>6</v>
      </c>
      <c r="X582">
        <v>4</v>
      </c>
      <c r="Y582">
        <v>5</v>
      </c>
      <c r="Z582">
        <v>5</v>
      </c>
      <c r="AA582">
        <v>4</v>
      </c>
    </row>
    <row r="583" spans="1:28" hidden="1" x14ac:dyDescent="0.25">
      <c r="A583" t="s">
        <v>1041</v>
      </c>
      <c r="D583" t="s">
        <v>30</v>
      </c>
      <c r="E583" t="s">
        <v>435</v>
      </c>
      <c r="F583">
        <v>4</v>
      </c>
      <c r="G583">
        <v>7</v>
      </c>
      <c r="H583">
        <v>1</v>
      </c>
      <c r="I583">
        <v>5</v>
      </c>
      <c r="J583" t="s">
        <v>153</v>
      </c>
      <c r="K583" t="s">
        <v>153</v>
      </c>
      <c r="L583" t="s">
        <v>153</v>
      </c>
      <c r="M583">
        <v>4</v>
      </c>
      <c r="O583" t="s">
        <v>153</v>
      </c>
      <c r="P583" t="s">
        <v>153</v>
      </c>
      <c r="Q583">
        <v>5</v>
      </c>
      <c r="R583">
        <v>7</v>
      </c>
      <c r="S583">
        <v>5</v>
      </c>
      <c r="V583" t="s">
        <v>153</v>
      </c>
      <c r="Z583">
        <v>4</v>
      </c>
    </row>
    <row r="584" spans="1:28" x14ac:dyDescent="0.25">
      <c r="A584" t="s">
        <v>1041</v>
      </c>
      <c r="D584" t="s">
        <v>30</v>
      </c>
      <c r="E584" t="s">
        <v>433</v>
      </c>
      <c r="F584">
        <v>8</v>
      </c>
      <c r="G584">
        <v>6</v>
      </c>
      <c r="H584">
        <v>2</v>
      </c>
      <c r="I584">
        <v>4.875</v>
      </c>
      <c r="J584" t="s">
        <v>153</v>
      </c>
      <c r="K584" t="s">
        <v>153</v>
      </c>
      <c r="M584" t="s">
        <v>153</v>
      </c>
      <c r="N584">
        <v>5</v>
      </c>
      <c r="O584">
        <v>4</v>
      </c>
      <c r="P584" t="s">
        <v>153</v>
      </c>
      <c r="Q584" t="s">
        <v>153</v>
      </c>
      <c r="R584">
        <v>4</v>
      </c>
      <c r="S584">
        <v>4</v>
      </c>
      <c r="V584">
        <v>7</v>
      </c>
      <c r="W584">
        <v>7</v>
      </c>
      <c r="X584">
        <v>4</v>
      </c>
      <c r="Z584">
        <v>4</v>
      </c>
      <c r="AB584" t="s">
        <v>153</v>
      </c>
    </row>
    <row r="585" spans="1:28" x14ac:dyDescent="0.25">
      <c r="A585" t="s">
        <v>1041</v>
      </c>
      <c r="D585" t="s">
        <v>30</v>
      </c>
      <c r="E585" t="s">
        <v>434</v>
      </c>
      <c r="F585">
        <v>9</v>
      </c>
      <c r="G585">
        <v>3</v>
      </c>
      <c r="H585">
        <v>2</v>
      </c>
      <c r="I585">
        <v>4.5</v>
      </c>
      <c r="J585">
        <v>4</v>
      </c>
      <c r="K585">
        <v>4</v>
      </c>
      <c r="L585">
        <v>5</v>
      </c>
      <c r="M585">
        <v>4</v>
      </c>
      <c r="N585">
        <v>4</v>
      </c>
      <c r="O585">
        <v>4</v>
      </c>
      <c r="P585">
        <v>4</v>
      </c>
      <c r="Q585" t="s">
        <v>153</v>
      </c>
      <c r="R585">
        <v>5</v>
      </c>
      <c r="S585" t="s">
        <v>153</v>
      </c>
      <c r="T585">
        <v>6</v>
      </c>
      <c r="U585">
        <v>5</v>
      </c>
    </row>
    <row r="586" spans="1:28" hidden="1" x14ac:dyDescent="0.25">
      <c r="A586" t="s">
        <v>1041</v>
      </c>
      <c r="D586" t="s">
        <v>30</v>
      </c>
      <c r="E586" t="s">
        <v>540</v>
      </c>
      <c r="F586">
        <v>5</v>
      </c>
      <c r="G586">
        <v>6</v>
      </c>
      <c r="I586">
        <v>5</v>
      </c>
      <c r="M586" t="s">
        <v>153</v>
      </c>
      <c r="N586" t="s">
        <v>153</v>
      </c>
      <c r="O586" t="s">
        <v>153</v>
      </c>
      <c r="P586">
        <v>5</v>
      </c>
      <c r="Q586">
        <v>5</v>
      </c>
      <c r="R586" t="s">
        <v>555</v>
      </c>
      <c r="U586" t="s">
        <v>153</v>
      </c>
      <c r="V586" t="s">
        <v>153</v>
      </c>
      <c r="X586" t="s">
        <v>153</v>
      </c>
      <c r="Y586">
        <v>5</v>
      </c>
      <c r="AA586" t="s">
        <v>546</v>
      </c>
    </row>
    <row r="587" spans="1:28" hidden="1" x14ac:dyDescent="0.25">
      <c r="A587" t="s">
        <v>1033</v>
      </c>
      <c r="D587" t="s">
        <v>11</v>
      </c>
      <c r="E587" t="s">
        <v>159</v>
      </c>
      <c r="F587">
        <v>12</v>
      </c>
      <c r="G587">
        <v>2</v>
      </c>
      <c r="I587">
        <v>4.75</v>
      </c>
      <c r="O587">
        <v>4</v>
      </c>
      <c r="P587">
        <v>4</v>
      </c>
      <c r="Q587" t="s">
        <v>153</v>
      </c>
      <c r="R587">
        <v>5</v>
      </c>
      <c r="S587">
        <v>5</v>
      </c>
      <c r="T587">
        <v>5</v>
      </c>
      <c r="U587">
        <v>5</v>
      </c>
      <c r="V587">
        <v>5</v>
      </c>
      <c r="W587">
        <v>5</v>
      </c>
      <c r="X587">
        <v>5</v>
      </c>
      <c r="Y587" t="s">
        <v>153</v>
      </c>
      <c r="Z587">
        <v>4</v>
      </c>
      <c r="AA587">
        <v>5</v>
      </c>
      <c r="AB587">
        <v>5</v>
      </c>
    </row>
    <row r="588" spans="1:28" hidden="1" x14ac:dyDescent="0.25">
      <c r="A588" t="s">
        <v>1042</v>
      </c>
      <c r="D588" t="s">
        <v>8</v>
      </c>
      <c r="E588" t="s">
        <v>438</v>
      </c>
    </row>
    <row r="589" spans="1:28" hidden="1" x14ac:dyDescent="0.25">
      <c r="A589" t="s">
        <v>1042</v>
      </c>
      <c r="D589" t="s">
        <v>11</v>
      </c>
      <c r="E589" t="s">
        <v>439</v>
      </c>
      <c r="F589">
        <v>2</v>
      </c>
      <c r="G589">
        <v>1</v>
      </c>
      <c r="I589">
        <v>5.333333333333333</v>
      </c>
      <c r="Q589">
        <v>5</v>
      </c>
      <c r="Z589">
        <v>6</v>
      </c>
      <c r="AA589">
        <v>5</v>
      </c>
    </row>
    <row r="590" spans="1:28" hidden="1" x14ac:dyDescent="0.25">
      <c r="A590" t="s">
        <v>1042</v>
      </c>
      <c r="D590" t="s">
        <v>11</v>
      </c>
      <c r="E590" t="s">
        <v>440</v>
      </c>
      <c r="F590">
        <v>3</v>
      </c>
      <c r="G590">
        <v>5</v>
      </c>
      <c r="I590">
        <v>4.666666666666667</v>
      </c>
      <c r="P590" t="s">
        <v>153</v>
      </c>
      <c r="Q590">
        <v>5</v>
      </c>
      <c r="S590" t="s">
        <v>153</v>
      </c>
      <c r="T590" t="s">
        <v>153</v>
      </c>
      <c r="W590">
        <v>4</v>
      </c>
      <c r="Y590" t="s">
        <v>153</v>
      </c>
      <c r="Z590">
        <v>5</v>
      </c>
      <c r="AA590" t="s">
        <v>153</v>
      </c>
    </row>
    <row r="591" spans="1:28" hidden="1" x14ac:dyDescent="0.25">
      <c r="A591" t="s">
        <v>1042</v>
      </c>
      <c r="D591" t="s">
        <v>11</v>
      </c>
      <c r="E591" t="s">
        <v>371</v>
      </c>
    </row>
    <row r="592" spans="1:28" hidden="1" x14ac:dyDescent="0.25">
      <c r="A592" t="s">
        <v>1032</v>
      </c>
      <c r="D592" t="s">
        <v>11</v>
      </c>
      <c r="E592" t="s">
        <v>490</v>
      </c>
      <c r="F592">
        <v>14</v>
      </c>
      <c r="G592">
        <v>1</v>
      </c>
      <c r="I592">
        <v>4.6428571428571432</v>
      </c>
      <c r="J592">
        <v>5</v>
      </c>
      <c r="M592" t="s">
        <v>153</v>
      </c>
      <c r="N592">
        <v>3</v>
      </c>
      <c r="O592">
        <v>5</v>
      </c>
      <c r="P592">
        <v>5</v>
      </c>
      <c r="Q592">
        <v>5</v>
      </c>
      <c r="R592">
        <v>4</v>
      </c>
      <c r="S592">
        <v>5</v>
      </c>
      <c r="T592">
        <v>5</v>
      </c>
      <c r="U592">
        <v>5</v>
      </c>
      <c r="V592">
        <v>3</v>
      </c>
      <c r="W592">
        <v>5</v>
      </c>
      <c r="X592">
        <v>6</v>
      </c>
      <c r="Y592">
        <v>5</v>
      </c>
      <c r="AB592">
        <v>4</v>
      </c>
    </row>
    <row r="593" spans="1:28" hidden="1" x14ac:dyDescent="0.25">
      <c r="A593" t="s">
        <v>1042</v>
      </c>
      <c r="D593" t="s">
        <v>11</v>
      </c>
      <c r="E593" t="s">
        <v>456</v>
      </c>
    </row>
    <row r="594" spans="1:28" hidden="1" x14ac:dyDescent="0.25">
      <c r="A594" t="s">
        <v>1038</v>
      </c>
      <c r="D594" t="s">
        <v>11</v>
      </c>
      <c r="E594" t="s">
        <v>301</v>
      </c>
      <c r="F594">
        <v>15</v>
      </c>
      <c r="I594">
        <v>4.625</v>
      </c>
      <c r="J594">
        <v>4</v>
      </c>
      <c r="K594">
        <v>5</v>
      </c>
      <c r="M594">
        <v>5</v>
      </c>
      <c r="N594">
        <v>5</v>
      </c>
      <c r="O594">
        <v>5</v>
      </c>
      <c r="P594">
        <v>4</v>
      </c>
      <c r="Q594">
        <v>4</v>
      </c>
      <c r="R594">
        <v>5</v>
      </c>
      <c r="S594">
        <v>4</v>
      </c>
      <c r="T594">
        <v>5</v>
      </c>
      <c r="U594">
        <v>5</v>
      </c>
      <c r="V594">
        <v>4</v>
      </c>
      <c r="W594">
        <v>5</v>
      </c>
      <c r="X594">
        <v>4</v>
      </c>
      <c r="Y594">
        <v>5</v>
      </c>
      <c r="AA594">
        <v>5</v>
      </c>
    </row>
    <row r="595" spans="1:28" x14ac:dyDescent="0.25">
      <c r="A595" t="s">
        <v>1041</v>
      </c>
      <c r="D595" t="s">
        <v>30</v>
      </c>
      <c r="E595" t="s">
        <v>923</v>
      </c>
      <c r="F595">
        <v>5</v>
      </c>
      <c r="G595">
        <v>8</v>
      </c>
      <c r="H595">
        <v>2</v>
      </c>
      <c r="I595">
        <v>4.333333333333333</v>
      </c>
      <c r="J595">
        <v>4</v>
      </c>
      <c r="K595" t="s">
        <v>153</v>
      </c>
      <c r="L595">
        <v>4</v>
      </c>
      <c r="N595" t="s">
        <v>153</v>
      </c>
      <c r="R595" t="s">
        <v>153</v>
      </c>
      <c r="S595" t="s">
        <v>153</v>
      </c>
      <c r="T595">
        <v>4</v>
      </c>
      <c r="W595" t="s">
        <v>153</v>
      </c>
      <c r="X595" t="s">
        <v>153</v>
      </c>
      <c r="Y595" t="s">
        <v>153</v>
      </c>
      <c r="Z595">
        <v>6</v>
      </c>
      <c r="AA595">
        <v>4</v>
      </c>
      <c r="AB595">
        <v>4</v>
      </c>
    </row>
    <row r="596" spans="1:28" hidden="1" x14ac:dyDescent="0.25">
      <c r="A596" t="s">
        <v>1042</v>
      </c>
      <c r="D596" t="s">
        <v>11</v>
      </c>
      <c r="E596" t="s">
        <v>316</v>
      </c>
    </row>
    <row r="597" spans="1:28" hidden="1" x14ac:dyDescent="0.25">
      <c r="A597" t="s">
        <v>1042</v>
      </c>
      <c r="D597" t="s">
        <v>29</v>
      </c>
      <c r="E597" t="s">
        <v>442</v>
      </c>
      <c r="F597">
        <v>3</v>
      </c>
      <c r="G597">
        <v>7</v>
      </c>
      <c r="I597">
        <v>4.75</v>
      </c>
      <c r="N597" t="s">
        <v>153</v>
      </c>
      <c r="O597" t="s">
        <v>153</v>
      </c>
      <c r="P597">
        <v>5</v>
      </c>
      <c r="Q597" t="s">
        <v>153</v>
      </c>
      <c r="R597" t="s">
        <v>153</v>
      </c>
      <c r="S597">
        <v>4</v>
      </c>
      <c r="V597">
        <v>5</v>
      </c>
      <c r="X597" t="s">
        <v>153</v>
      </c>
      <c r="Z597">
        <v>5</v>
      </c>
      <c r="AB597" t="s">
        <v>153</v>
      </c>
    </row>
    <row r="598" spans="1:28" hidden="1" x14ac:dyDescent="0.25">
      <c r="A598" t="s">
        <v>1042</v>
      </c>
      <c r="D598" t="s">
        <v>29</v>
      </c>
      <c r="E598" t="s">
        <v>134</v>
      </c>
      <c r="F598">
        <v>17</v>
      </c>
      <c r="H598">
        <v>2</v>
      </c>
      <c r="I598">
        <v>4.6470588235294121</v>
      </c>
      <c r="J598">
        <v>7</v>
      </c>
      <c r="K598">
        <v>5</v>
      </c>
      <c r="L598">
        <v>5</v>
      </c>
      <c r="M598">
        <v>4</v>
      </c>
      <c r="N598">
        <v>4</v>
      </c>
      <c r="O598">
        <v>5</v>
      </c>
      <c r="P598">
        <v>4</v>
      </c>
      <c r="Q598">
        <v>4</v>
      </c>
      <c r="R598">
        <v>4</v>
      </c>
      <c r="S598">
        <v>6</v>
      </c>
      <c r="T598">
        <v>4</v>
      </c>
      <c r="U598">
        <v>4</v>
      </c>
      <c r="V598">
        <v>4</v>
      </c>
      <c r="X598">
        <v>5</v>
      </c>
      <c r="Y598">
        <v>5</v>
      </c>
      <c r="Z598">
        <v>5</v>
      </c>
      <c r="AA598">
        <v>4</v>
      </c>
    </row>
    <row r="599" spans="1:28" hidden="1" x14ac:dyDescent="0.25">
      <c r="A599" t="s">
        <v>1042</v>
      </c>
      <c r="D599" t="s">
        <v>29</v>
      </c>
      <c r="E599" t="s">
        <v>443</v>
      </c>
      <c r="G599">
        <v>5</v>
      </c>
      <c r="P599" t="s">
        <v>153</v>
      </c>
      <c r="Q599" t="s">
        <v>153</v>
      </c>
      <c r="U599" t="s">
        <v>153</v>
      </c>
      <c r="W599" t="s">
        <v>153</v>
      </c>
      <c r="Y599" t="s">
        <v>153</v>
      </c>
    </row>
    <row r="600" spans="1:28" hidden="1" x14ac:dyDescent="0.25">
      <c r="A600" t="s">
        <v>1042</v>
      </c>
      <c r="D600" t="s">
        <v>29</v>
      </c>
      <c r="E600" t="s">
        <v>444</v>
      </c>
    </row>
    <row r="601" spans="1:28" hidden="1" x14ac:dyDescent="0.25">
      <c r="A601" t="s">
        <v>1028</v>
      </c>
      <c r="D601" t="s">
        <v>29</v>
      </c>
      <c r="E601" t="s">
        <v>84</v>
      </c>
      <c r="F601">
        <v>18</v>
      </c>
      <c r="I601">
        <v>5.0555555555555554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5</v>
      </c>
      <c r="R601">
        <v>5</v>
      </c>
      <c r="T601">
        <v>5</v>
      </c>
      <c r="U601">
        <v>5</v>
      </c>
      <c r="V601">
        <v>5</v>
      </c>
      <c r="W601">
        <v>5</v>
      </c>
      <c r="X601">
        <v>6</v>
      </c>
      <c r="Y601">
        <v>5</v>
      </c>
      <c r="Z601">
        <v>5</v>
      </c>
      <c r="AA601">
        <v>5</v>
      </c>
      <c r="AB601">
        <v>5</v>
      </c>
    </row>
    <row r="602" spans="1:28" hidden="1" x14ac:dyDescent="0.25">
      <c r="A602" t="s">
        <v>1042</v>
      </c>
      <c r="D602" t="s">
        <v>29</v>
      </c>
      <c r="E602" t="s">
        <v>445</v>
      </c>
    </row>
    <row r="603" spans="1:28" hidden="1" x14ac:dyDescent="0.25">
      <c r="A603" t="s">
        <v>1042</v>
      </c>
      <c r="D603" t="s">
        <v>29</v>
      </c>
      <c r="E603" t="s">
        <v>449</v>
      </c>
    </row>
    <row r="604" spans="1:28" hidden="1" x14ac:dyDescent="0.25">
      <c r="A604" t="s">
        <v>1042</v>
      </c>
      <c r="D604" t="s">
        <v>29</v>
      </c>
      <c r="E604" t="s">
        <v>448</v>
      </c>
      <c r="F604">
        <v>1</v>
      </c>
      <c r="G604">
        <v>2</v>
      </c>
      <c r="I604">
        <v>4.5</v>
      </c>
      <c r="L604">
        <v>4</v>
      </c>
      <c r="M604">
        <v>5</v>
      </c>
      <c r="S604" t="s">
        <v>153</v>
      </c>
    </row>
    <row r="605" spans="1:28" hidden="1" x14ac:dyDescent="0.25">
      <c r="A605" t="s">
        <v>1042</v>
      </c>
      <c r="D605" t="s">
        <v>29</v>
      </c>
      <c r="E605" t="s">
        <v>446</v>
      </c>
      <c r="F605">
        <v>17</v>
      </c>
      <c r="I605">
        <v>4.8235294117647056</v>
      </c>
      <c r="J605">
        <v>5</v>
      </c>
      <c r="K605">
        <v>5</v>
      </c>
      <c r="L605">
        <v>5</v>
      </c>
      <c r="M605">
        <v>5</v>
      </c>
      <c r="N605">
        <v>4</v>
      </c>
      <c r="O605">
        <v>5</v>
      </c>
      <c r="P605">
        <v>5</v>
      </c>
      <c r="Q605">
        <v>4</v>
      </c>
      <c r="R605">
        <v>5</v>
      </c>
      <c r="S605">
        <v>5</v>
      </c>
      <c r="T605">
        <v>5</v>
      </c>
      <c r="U605">
        <v>5</v>
      </c>
      <c r="V605">
        <v>5</v>
      </c>
      <c r="W605">
        <v>5</v>
      </c>
      <c r="X605">
        <v>5</v>
      </c>
      <c r="Y605">
        <v>5</v>
      </c>
      <c r="AB605">
        <v>4</v>
      </c>
    </row>
    <row r="606" spans="1:28" hidden="1" x14ac:dyDescent="0.25">
      <c r="A606" t="s">
        <v>1042</v>
      </c>
      <c r="D606" t="s">
        <v>29</v>
      </c>
      <c r="E606" t="s">
        <v>460</v>
      </c>
      <c r="F606">
        <v>1</v>
      </c>
      <c r="G606">
        <v>11</v>
      </c>
      <c r="I606">
        <v>4</v>
      </c>
      <c r="J606" t="s">
        <v>153</v>
      </c>
      <c r="M606" t="s">
        <v>153</v>
      </c>
      <c r="N606" t="s">
        <v>153</v>
      </c>
      <c r="P606">
        <v>4</v>
      </c>
      <c r="R606" t="s">
        <v>153</v>
      </c>
      <c r="T606" t="s">
        <v>153</v>
      </c>
      <c r="U606" t="s">
        <v>153</v>
      </c>
      <c r="W606" t="s">
        <v>153</v>
      </c>
      <c r="X606" t="s">
        <v>153</v>
      </c>
      <c r="Z606" t="s">
        <v>153</v>
      </c>
      <c r="AA606" t="s">
        <v>153</v>
      </c>
      <c r="AB606" t="s">
        <v>153</v>
      </c>
    </row>
    <row r="607" spans="1:28" hidden="1" x14ac:dyDescent="0.25">
      <c r="A607" t="s">
        <v>1040</v>
      </c>
      <c r="D607" t="s">
        <v>11</v>
      </c>
      <c r="E607" t="s">
        <v>515</v>
      </c>
      <c r="F607">
        <v>12</v>
      </c>
      <c r="I607">
        <v>4.5999999999999996</v>
      </c>
      <c r="K607" t="s">
        <v>554</v>
      </c>
      <c r="M607">
        <v>6</v>
      </c>
      <c r="N607" t="s">
        <v>555</v>
      </c>
      <c r="O607">
        <v>5</v>
      </c>
      <c r="P607">
        <v>5</v>
      </c>
      <c r="Q607">
        <v>5</v>
      </c>
      <c r="S607">
        <v>3</v>
      </c>
      <c r="T607">
        <v>3</v>
      </c>
      <c r="U607">
        <v>4</v>
      </c>
      <c r="X607">
        <v>4</v>
      </c>
      <c r="Z607">
        <v>5</v>
      </c>
      <c r="AB607">
        <v>6</v>
      </c>
    </row>
    <row r="608" spans="1:28" hidden="1" x14ac:dyDescent="0.25">
      <c r="A608" t="s">
        <v>1034</v>
      </c>
      <c r="D608" t="s">
        <v>11</v>
      </c>
      <c r="E608" t="s">
        <v>177</v>
      </c>
      <c r="F608">
        <v>12</v>
      </c>
      <c r="G608">
        <v>2</v>
      </c>
      <c r="I608">
        <v>4.583333333333333</v>
      </c>
      <c r="J608">
        <v>4</v>
      </c>
      <c r="K608">
        <v>6</v>
      </c>
      <c r="L608">
        <v>5</v>
      </c>
      <c r="M608" t="s">
        <v>153</v>
      </c>
      <c r="N608">
        <v>4</v>
      </c>
      <c r="O608">
        <v>5</v>
      </c>
      <c r="R608">
        <v>4</v>
      </c>
      <c r="S608">
        <v>4</v>
      </c>
      <c r="T608">
        <v>4</v>
      </c>
      <c r="V608">
        <v>6</v>
      </c>
      <c r="W608">
        <v>4</v>
      </c>
      <c r="X608">
        <v>4</v>
      </c>
      <c r="Y608">
        <v>5</v>
      </c>
      <c r="AB608" t="s">
        <v>153</v>
      </c>
    </row>
    <row r="609" spans="1:28" hidden="1" x14ac:dyDescent="0.25">
      <c r="A609" t="s">
        <v>1042</v>
      </c>
      <c r="D609" t="s">
        <v>29</v>
      </c>
      <c r="E609" t="s">
        <v>459</v>
      </c>
      <c r="F609">
        <v>13</v>
      </c>
      <c r="G609">
        <v>4</v>
      </c>
      <c r="H609">
        <v>1</v>
      </c>
      <c r="I609">
        <v>4.9285714285714288</v>
      </c>
      <c r="J609">
        <v>5</v>
      </c>
      <c r="K609">
        <v>4</v>
      </c>
      <c r="L609" t="s">
        <v>153</v>
      </c>
      <c r="M609">
        <v>5</v>
      </c>
      <c r="N609">
        <v>6</v>
      </c>
      <c r="O609" t="s">
        <v>153</v>
      </c>
      <c r="P609">
        <v>5</v>
      </c>
      <c r="Q609">
        <v>4</v>
      </c>
      <c r="R609">
        <v>7</v>
      </c>
      <c r="U609">
        <v>5</v>
      </c>
      <c r="V609">
        <v>4</v>
      </c>
      <c r="W609">
        <v>4</v>
      </c>
      <c r="X609">
        <v>5</v>
      </c>
      <c r="Y609">
        <v>4</v>
      </c>
      <c r="Z609" t="s">
        <v>153</v>
      </c>
      <c r="AA609">
        <v>6</v>
      </c>
      <c r="AB609">
        <v>5</v>
      </c>
    </row>
    <row r="610" spans="1:28" hidden="1" x14ac:dyDescent="0.25">
      <c r="A610" t="s">
        <v>1042</v>
      </c>
      <c r="D610" t="s">
        <v>29</v>
      </c>
      <c r="E610" t="s">
        <v>675</v>
      </c>
      <c r="G610">
        <v>1</v>
      </c>
      <c r="O610" t="s">
        <v>153</v>
      </c>
    </row>
    <row r="611" spans="1:28" hidden="1" x14ac:dyDescent="0.25">
      <c r="A611" t="s">
        <v>1042</v>
      </c>
      <c r="D611" t="s">
        <v>30</v>
      </c>
      <c r="E611" t="s">
        <v>530</v>
      </c>
      <c r="F611">
        <v>2</v>
      </c>
      <c r="G611">
        <v>8</v>
      </c>
      <c r="I611">
        <v>4</v>
      </c>
      <c r="L611" t="s">
        <v>153</v>
      </c>
      <c r="M611" t="s">
        <v>153</v>
      </c>
      <c r="N611">
        <v>4</v>
      </c>
      <c r="V611" t="s">
        <v>153</v>
      </c>
      <c r="W611" t="s">
        <v>153</v>
      </c>
      <c r="X611" t="s">
        <v>153</v>
      </c>
      <c r="Y611" t="s">
        <v>153</v>
      </c>
      <c r="AA611" t="s">
        <v>153</v>
      </c>
      <c r="AB611">
        <v>4</v>
      </c>
    </row>
    <row r="612" spans="1:28" hidden="1" x14ac:dyDescent="0.25">
      <c r="A612" t="s">
        <v>1042</v>
      </c>
      <c r="D612" t="s">
        <v>30</v>
      </c>
      <c r="E612" t="s">
        <v>455</v>
      </c>
      <c r="F612">
        <v>2</v>
      </c>
      <c r="G612">
        <v>7</v>
      </c>
      <c r="I612">
        <v>4</v>
      </c>
      <c r="J612" t="s">
        <v>153</v>
      </c>
      <c r="N612" t="s">
        <v>153</v>
      </c>
      <c r="O612">
        <v>4</v>
      </c>
      <c r="P612">
        <v>4</v>
      </c>
      <c r="R612" t="s">
        <v>153</v>
      </c>
      <c r="S612" t="s">
        <v>153</v>
      </c>
      <c r="T612" t="s">
        <v>153</v>
      </c>
      <c r="U612" t="s">
        <v>153</v>
      </c>
      <c r="V612" t="s">
        <v>153</v>
      </c>
      <c r="AB612" t="s">
        <v>153</v>
      </c>
    </row>
    <row r="613" spans="1:28" hidden="1" x14ac:dyDescent="0.25">
      <c r="A613" t="s">
        <v>1042</v>
      </c>
      <c r="D613" t="s">
        <v>30</v>
      </c>
      <c r="E613" t="s">
        <v>512</v>
      </c>
      <c r="F613">
        <v>7</v>
      </c>
      <c r="G613">
        <v>2</v>
      </c>
      <c r="I613">
        <v>4.7142857142857144</v>
      </c>
      <c r="K613" t="s">
        <v>153</v>
      </c>
      <c r="L613">
        <v>7</v>
      </c>
      <c r="M613" t="s">
        <v>153</v>
      </c>
      <c r="N613">
        <v>5</v>
      </c>
      <c r="O613">
        <v>5</v>
      </c>
      <c r="Q613">
        <v>4</v>
      </c>
      <c r="R613">
        <v>4</v>
      </c>
      <c r="S613">
        <v>4</v>
      </c>
      <c r="T613">
        <v>4</v>
      </c>
    </row>
    <row r="614" spans="1:28" hidden="1" x14ac:dyDescent="0.25">
      <c r="A614" t="s">
        <v>1042</v>
      </c>
      <c r="D614" t="s">
        <v>30</v>
      </c>
      <c r="E614" t="s">
        <v>513</v>
      </c>
      <c r="G614">
        <v>1</v>
      </c>
      <c r="K614" t="s">
        <v>153</v>
      </c>
    </row>
    <row r="615" spans="1:28" hidden="1" x14ac:dyDescent="0.25">
      <c r="A615" t="s">
        <v>1042</v>
      </c>
      <c r="D615" t="s">
        <v>30</v>
      </c>
      <c r="E615" t="s">
        <v>445</v>
      </c>
      <c r="G615">
        <v>1</v>
      </c>
      <c r="V615" t="s">
        <v>153</v>
      </c>
    </row>
    <row r="616" spans="1:28" x14ac:dyDescent="0.25">
      <c r="A616" t="s">
        <v>1042</v>
      </c>
      <c r="D616" t="s">
        <v>30</v>
      </c>
      <c r="E616" t="s">
        <v>462</v>
      </c>
      <c r="F616">
        <v>14</v>
      </c>
      <c r="H616">
        <v>2</v>
      </c>
      <c r="I616">
        <v>4.6428571428571432</v>
      </c>
      <c r="J616">
        <v>6</v>
      </c>
      <c r="K616">
        <v>5</v>
      </c>
      <c r="L616">
        <v>4</v>
      </c>
      <c r="M616">
        <v>4</v>
      </c>
      <c r="S616">
        <v>5</v>
      </c>
      <c r="T616">
        <v>5</v>
      </c>
      <c r="U616">
        <v>5</v>
      </c>
      <c r="V616">
        <v>4</v>
      </c>
      <c r="W616">
        <v>4</v>
      </c>
      <c r="X616">
        <v>6</v>
      </c>
      <c r="Y616">
        <v>4</v>
      </c>
      <c r="Z616">
        <v>5</v>
      </c>
      <c r="AA616">
        <v>4</v>
      </c>
      <c r="AB616">
        <v>4</v>
      </c>
    </row>
  </sheetData>
  <autoFilter ref="A16:AH616">
    <filterColumn colId="3">
      <filters>
        <filter val="A"/>
      </filters>
    </filterColumn>
    <filterColumn colId="7">
      <customFilters>
        <customFilter operator="greaterThan" val="1"/>
      </customFilters>
    </filterColumn>
    <sortState ref="A20:AH616">
      <sortCondition descending="1" ref="H16:H61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S42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2" max="2" width="13.28515625" customWidth="1"/>
    <col min="7" max="8" width="4.5703125" customWidth="1"/>
    <col min="9" max="10" width="4.7109375" customWidth="1"/>
    <col min="11" max="11" width="4.85546875" customWidth="1"/>
    <col min="12" max="44" width="4.7109375" customWidth="1"/>
  </cols>
  <sheetData>
    <row r="1" spans="1:45" x14ac:dyDescent="0.25">
      <c r="A1" t="s">
        <v>1</v>
      </c>
    </row>
    <row r="4" spans="1:45" ht="15.75" thickBot="1" x14ac:dyDescent="0.3">
      <c r="A4" t="s">
        <v>2</v>
      </c>
    </row>
    <row r="5" spans="1:45" ht="15.75" thickBot="1" x14ac:dyDescent="0.3">
      <c r="C5" s="375" t="s">
        <v>101</v>
      </c>
      <c r="D5" s="376"/>
      <c r="E5" s="377"/>
    </row>
    <row r="6" spans="1:45" ht="48" customHeight="1" thickBot="1" x14ac:dyDescent="0.3">
      <c r="A6" s="5" t="s">
        <v>3</v>
      </c>
      <c r="B6" s="7" t="s">
        <v>4</v>
      </c>
      <c r="C6" s="11" t="s">
        <v>7</v>
      </c>
      <c r="D6" s="12" t="s">
        <v>99</v>
      </c>
      <c r="E6" s="7" t="s">
        <v>5</v>
      </c>
      <c r="F6" s="8" t="s">
        <v>100</v>
      </c>
      <c r="G6" s="18" t="s">
        <v>629</v>
      </c>
      <c r="H6" s="26" t="s">
        <v>563</v>
      </c>
      <c r="I6" s="26" t="s">
        <v>586</v>
      </c>
      <c r="J6" s="26" t="s">
        <v>589</v>
      </c>
      <c r="K6" s="26" t="s">
        <v>665</v>
      </c>
      <c r="L6" s="26" t="s">
        <v>692</v>
      </c>
      <c r="M6" s="26" t="s">
        <v>710</v>
      </c>
      <c r="N6" s="26" t="s">
        <v>728</v>
      </c>
      <c r="O6" s="26" t="s">
        <v>758</v>
      </c>
      <c r="P6" s="79" t="s">
        <v>774</v>
      </c>
      <c r="Q6" s="101" t="s">
        <v>792</v>
      </c>
      <c r="R6" s="101" t="s">
        <v>825</v>
      </c>
      <c r="S6" s="101" t="s">
        <v>842</v>
      </c>
      <c r="T6" s="101" t="s">
        <v>873</v>
      </c>
      <c r="U6" s="101" t="s">
        <v>898</v>
      </c>
      <c r="V6" s="101" t="s">
        <v>922</v>
      </c>
      <c r="W6" s="26" t="s">
        <v>938</v>
      </c>
      <c r="X6" s="119" t="s">
        <v>969</v>
      </c>
      <c r="Y6" s="119" t="s">
        <v>993</v>
      </c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26"/>
      <c r="AK6" s="126"/>
      <c r="AL6" s="131"/>
      <c r="AM6" s="173"/>
      <c r="AN6" s="26"/>
      <c r="AO6" s="26"/>
      <c r="AP6" s="26"/>
      <c r="AQ6" s="26"/>
      <c r="AR6" s="26"/>
    </row>
    <row r="7" spans="1:45" x14ac:dyDescent="0.25">
      <c r="A7" s="22" t="s">
        <v>8</v>
      </c>
      <c r="B7" s="41" t="s">
        <v>31</v>
      </c>
      <c r="C7" s="149">
        <v>19</v>
      </c>
      <c r="D7" s="136"/>
      <c r="E7" s="133"/>
      <c r="F7" s="35">
        <f>AVERAGE(Y7,H7,I7,J7,G7,K7,L7,M7,N7,O7,P7,Q7,R7,S7,T7,U7,V7,W7,X7)</f>
        <v>5.3157894736842106</v>
      </c>
      <c r="G7" s="281">
        <v>5</v>
      </c>
      <c r="H7" s="281">
        <v>6</v>
      </c>
      <c r="I7" s="69">
        <v>6</v>
      </c>
      <c r="J7" s="70">
        <v>4</v>
      </c>
      <c r="K7" s="128">
        <v>5</v>
      </c>
      <c r="L7" s="70">
        <v>5</v>
      </c>
      <c r="M7" s="70">
        <v>5</v>
      </c>
      <c r="N7" s="128">
        <v>5</v>
      </c>
      <c r="O7" s="128">
        <v>5</v>
      </c>
      <c r="P7" s="70">
        <v>5</v>
      </c>
      <c r="Q7" s="128">
        <v>6</v>
      </c>
      <c r="R7" s="69">
        <v>6</v>
      </c>
      <c r="S7" s="128">
        <v>6</v>
      </c>
      <c r="T7" s="283">
        <v>7</v>
      </c>
      <c r="U7" s="70">
        <v>5</v>
      </c>
      <c r="V7" s="69">
        <v>6</v>
      </c>
      <c r="W7" s="128">
        <v>4</v>
      </c>
      <c r="X7" s="128">
        <v>5</v>
      </c>
      <c r="Y7" s="128">
        <v>5</v>
      </c>
      <c r="Z7" s="62"/>
      <c r="AA7" s="128"/>
      <c r="AB7" s="38"/>
      <c r="AC7" s="66"/>
      <c r="AD7" s="128"/>
      <c r="AE7" s="38"/>
      <c r="AF7" s="128"/>
      <c r="AG7" s="128"/>
      <c r="AH7" s="128"/>
      <c r="AI7" s="69"/>
      <c r="AJ7" s="69"/>
      <c r="AK7" s="128"/>
      <c r="AL7" s="38"/>
      <c r="AM7" s="38"/>
      <c r="AN7" s="128"/>
      <c r="AO7" s="69"/>
      <c r="AP7" s="38"/>
      <c r="AQ7" s="69"/>
      <c r="AR7" s="69"/>
      <c r="AS7" s="27"/>
    </row>
    <row r="8" spans="1:45" s="141" customFormat="1" x14ac:dyDescent="0.25">
      <c r="A8" s="83" t="s">
        <v>8</v>
      </c>
      <c r="B8" s="160" t="s">
        <v>247</v>
      </c>
      <c r="C8" s="166"/>
      <c r="D8" s="174"/>
      <c r="E8" s="177"/>
      <c r="F8" s="129"/>
      <c r="G8" s="228"/>
      <c r="H8" s="71"/>
      <c r="I8" s="69"/>
      <c r="J8" s="69"/>
      <c r="K8" s="128"/>
      <c r="L8" s="69"/>
      <c r="M8" s="69"/>
      <c r="N8" s="128"/>
      <c r="O8" s="128"/>
      <c r="P8" s="69"/>
      <c r="Q8" s="128"/>
      <c r="R8" s="128"/>
      <c r="S8" s="128"/>
      <c r="T8" s="128"/>
      <c r="U8" s="69"/>
      <c r="V8" s="128"/>
      <c r="W8" s="128"/>
      <c r="X8" s="128"/>
      <c r="Y8" s="128"/>
      <c r="Z8" s="108"/>
      <c r="AA8" s="128"/>
      <c r="AB8" s="128"/>
      <c r="AC8" s="66"/>
      <c r="AD8" s="132"/>
      <c r="AE8" s="128"/>
      <c r="AF8" s="128"/>
      <c r="AG8" s="128"/>
      <c r="AH8" s="128"/>
      <c r="AI8" s="69"/>
      <c r="AJ8" s="69"/>
      <c r="AK8" s="128"/>
      <c r="AL8" s="128"/>
      <c r="AM8" s="38"/>
      <c r="AN8" s="128"/>
      <c r="AO8" s="69"/>
      <c r="AP8" s="128"/>
      <c r="AQ8" s="69"/>
      <c r="AR8" s="69"/>
      <c r="AS8" s="174"/>
    </row>
    <row r="9" spans="1:45" x14ac:dyDescent="0.25">
      <c r="A9" s="260" t="s">
        <v>8</v>
      </c>
      <c r="B9" s="262" t="s">
        <v>32</v>
      </c>
      <c r="C9" s="306"/>
      <c r="D9" s="307"/>
      <c r="E9" s="308"/>
      <c r="F9" s="19"/>
      <c r="G9" s="252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3"/>
      <c r="AB9" s="257"/>
      <c r="AC9" s="253"/>
      <c r="AD9" s="252"/>
      <c r="AE9" s="257"/>
      <c r="AF9" s="253"/>
      <c r="AG9" s="257"/>
      <c r="AH9" s="257"/>
      <c r="AI9" s="257"/>
      <c r="AJ9" s="257"/>
      <c r="AK9" s="257"/>
      <c r="AL9" s="257"/>
      <c r="AM9" s="253"/>
      <c r="AN9" s="253"/>
      <c r="AO9" s="257"/>
      <c r="AP9" s="257"/>
      <c r="AQ9" s="253"/>
      <c r="AR9" s="270"/>
      <c r="AS9" s="27"/>
    </row>
    <row r="10" spans="1:45" x14ac:dyDescent="0.25">
      <c r="A10" s="83" t="s">
        <v>11</v>
      </c>
      <c r="B10" s="160" t="s">
        <v>33</v>
      </c>
      <c r="C10" s="166">
        <v>17</v>
      </c>
      <c r="D10" s="160"/>
      <c r="E10" s="177"/>
      <c r="F10" s="129">
        <f>AVERAGE(Y10,U10,H10,I10,J10,K10,L10,M10,N10,O10,P10,Q10,R10,T10,V10,W10,X10)</f>
        <v>5.0588235294117645</v>
      </c>
      <c r="G10" s="71"/>
      <c r="H10" s="281">
        <v>5</v>
      </c>
      <c r="I10" s="128">
        <v>6</v>
      </c>
      <c r="J10" s="128">
        <v>5</v>
      </c>
      <c r="K10" s="128">
        <v>5</v>
      </c>
      <c r="L10" s="128">
        <v>5</v>
      </c>
      <c r="M10" s="128">
        <v>5</v>
      </c>
      <c r="N10" s="128">
        <v>5</v>
      </c>
      <c r="O10" s="128">
        <v>5</v>
      </c>
      <c r="P10" s="70">
        <v>5</v>
      </c>
      <c r="Q10" s="128">
        <v>4</v>
      </c>
      <c r="R10" s="70">
        <v>6</v>
      </c>
      <c r="S10" s="128"/>
      <c r="T10" s="128">
        <v>6</v>
      </c>
      <c r="U10" s="128">
        <v>4</v>
      </c>
      <c r="V10" s="128">
        <v>5</v>
      </c>
      <c r="W10" s="128">
        <v>5</v>
      </c>
      <c r="X10" s="128">
        <v>5</v>
      </c>
      <c r="Y10" s="128">
        <v>5</v>
      </c>
      <c r="Z10" s="62"/>
      <c r="AA10" s="128"/>
      <c r="AB10" s="38"/>
      <c r="AC10" s="58"/>
      <c r="AD10" s="128"/>
      <c r="AE10" s="38"/>
      <c r="AF10" s="128"/>
      <c r="AG10" s="128"/>
      <c r="AH10" s="128"/>
      <c r="AI10" s="128"/>
      <c r="AJ10" s="128"/>
      <c r="AK10" s="128"/>
      <c r="AL10" s="62"/>
      <c r="AM10" s="38"/>
      <c r="AN10" s="128"/>
      <c r="AO10" s="128"/>
      <c r="AP10" s="38"/>
      <c r="AQ10" s="128"/>
      <c r="AR10" s="128"/>
      <c r="AS10" s="27"/>
    </row>
    <row r="11" spans="1:45" x14ac:dyDescent="0.25">
      <c r="A11" s="83" t="s">
        <v>11</v>
      </c>
      <c r="B11" s="187" t="s">
        <v>329</v>
      </c>
      <c r="C11" s="166">
        <v>2</v>
      </c>
      <c r="D11" s="174">
        <v>6</v>
      </c>
      <c r="E11" s="177"/>
      <c r="F11" s="129">
        <f>AVERAGE(G11,S11)</f>
        <v>5</v>
      </c>
      <c r="G11" s="128">
        <v>6</v>
      </c>
      <c r="H11" s="108" t="s">
        <v>153</v>
      </c>
      <c r="I11" s="108" t="s">
        <v>153</v>
      </c>
      <c r="J11" s="108" t="s">
        <v>153</v>
      </c>
      <c r="K11" s="108"/>
      <c r="L11" s="108"/>
      <c r="M11" s="128"/>
      <c r="N11" s="128"/>
      <c r="O11" s="128"/>
      <c r="P11" s="128"/>
      <c r="Q11" s="108" t="s">
        <v>153</v>
      </c>
      <c r="R11" s="108" t="s">
        <v>153</v>
      </c>
      <c r="S11" s="128">
        <v>4</v>
      </c>
      <c r="T11" s="128"/>
      <c r="U11" s="128"/>
      <c r="V11" s="128"/>
      <c r="W11" s="128"/>
      <c r="X11" s="128"/>
      <c r="Y11" s="108" t="s">
        <v>153</v>
      </c>
      <c r="Z11" s="62"/>
      <c r="AA11" s="128"/>
      <c r="AB11" s="38"/>
      <c r="AC11" s="58"/>
      <c r="AD11" s="128"/>
      <c r="AE11" s="38"/>
      <c r="AF11" s="128"/>
      <c r="AG11" s="128"/>
      <c r="AH11" s="108"/>
      <c r="AI11" s="128"/>
      <c r="AJ11" s="128"/>
      <c r="AK11" s="128"/>
      <c r="AL11" s="38"/>
      <c r="AM11" s="38"/>
      <c r="AN11" s="128"/>
      <c r="AO11" s="128"/>
      <c r="AP11" s="38"/>
      <c r="AQ11" s="128"/>
      <c r="AR11" s="128"/>
      <c r="AS11" s="27"/>
    </row>
    <row r="12" spans="1:45" x14ac:dyDescent="0.25">
      <c r="A12" s="54" t="s">
        <v>11</v>
      </c>
      <c r="B12" s="309" t="s">
        <v>350</v>
      </c>
      <c r="C12" s="156"/>
      <c r="D12" s="250"/>
      <c r="E12" s="264"/>
      <c r="F12" s="129"/>
      <c r="G12" s="257"/>
      <c r="H12" s="258"/>
      <c r="I12" s="258"/>
      <c r="J12" s="258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U12" s="257"/>
      <c r="V12" s="257"/>
      <c r="W12" s="257"/>
      <c r="X12" s="257"/>
      <c r="Y12" s="257"/>
      <c r="Z12" s="269"/>
      <c r="AA12" s="257"/>
      <c r="AB12" s="253"/>
      <c r="AC12" s="252"/>
      <c r="AD12" s="257"/>
      <c r="AE12" s="253"/>
      <c r="AF12" s="257"/>
      <c r="AG12" s="257"/>
      <c r="AH12" s="257"/>
      <c r="AI12" s="257"/>
      <c r="AJ12" s="257"/>
      <c r="AK12" s="257"/>
      <c r="AL12" s="253"/>
      <c r="AM12" s="253"/>
      <c r="AN12" s="257"/>
      <c r="AO12" s="257"/>
      <c r="AP12" s="253"/>
      <c r="AQ12" s="257"/>
      <c r="AR12" s="257"/>
      <c r="AS12" s="27"/>
    </row>
    <row r="13" spans="1:45" x14ac:dyDescent="0.25">
      <c r="A13" s="83" t="s">
        <v>11</v>
      </c>
      <c r="B13" s="160" t="s">
        <v>202</v>
      </c>
      <c r="C13" s="166">
        <v>7</v>
      </c>
      <c r="D13" s="174">
        <v>2</v>
      </c>
      <c r="E13" s="177"/>
      <c r="F13" s="129">
        <f>AVERAGE(H13,G13,T13,U13,V13,W13,X13)</f>
        <v>5.2857142857142856</v>
      </c>
      <c r="G13" s="128">
        <v>5</v>
      </c>
      <c r="H13" s="108">
        <v>5</v>
      </c>
      <c r="I13" s="108"/>
      <c r="J13" s="108"/>
      <c r="K13" s="128"/>
      <c r="L13" s="128"/>
      <c r="M13" s="128"/>
      <c r="N13" s="108" t="s">
        <v>153</v>
      </c>
      <c r="O13" s="108" t="s">
        <v>153</v>
      </c>
      <c r="P13" s="128"/>
      <c r="Q13" s="128"/>
      <c r="R13" s="128"/>
      <c r="S13" s="128"/>
      <c r="T13" s="128">
        <v>5</v>
      </c>
      <c r="U13" s="128">
        <v>5</v>
      </c>
      <c r="V13" s="128">
        <v>6</v>
      </c>
      <c r="W13" s="128">
        <v>5</v>
      </c>
      <c r="X13" s="128">
        <v>6</v>
      </c>
      <c r="Y13" s="128"/>
      <c r="Z13" s="62"/>
      <c r="AA13" s="128"/>
      <c r="AB13" s="38"/>
      <c r="AC13" s="38"/>
      <c r="AD13" s="128"/>
      <c r="AE13" s="38"/>
      <c r="AF13" s="128"/>
      <c r="AG13" s="128"/>
      <c r="AH13" s="128"/>
      <c r="AI13" s="128"/>
      <c r="AJ13" s="128"/>
      <c r="AK13" s="128"/>
      <c r="AL13" s="38"/>
      <c r="AM13" s="38"/>
      <c r="AN13" s="128"/>
      <c r="AO13" s="128"/>
      <c r="AP13" s="38"/>
      <c r="AQ13" s="128"/>
      <c r="AR13" s="128"/>
      <c r="AS13" s="27"/>
    </row>
    <row r="14" spans="1:45" s="91" customFormat="1" x14ac:dyDescent="0.25">
      <c r="A14" s="54" t="s">
        <v>11</v>
      </c>
      <c r="B14" s="122" t="s">
        <v>364</v>
      </c>
      <c r="C14" s="156"/>
      <c r="D14" s="250"/>
      <c r="E14" s="264"/>
      <c r="F14" s="129" t="s">
        <v>899</v>
      </c>
      <c r="G14" s="257"/>
      <c r="H14" s="258"/>
      <c r="I14" s="258"/>
      <c r="J14" s="258"/>
      <c r="K14" s="257"/>
      <c r="L14" s="257"/>
      <c r="M14" s="257"/>
      <c r="N14" s="257"/>
      <c r="O14" s="257"/>
      <c r="P14" s="257"/>
      <c r="Q14" s="257"/>
      <c r="R14" s="258"/>
      <c r="S14" s="257"/>
      <c r="T14" s="257"/>
      <c r="U14" s="258"/>
      <c r="V14" s="257"/>
      <c r="W14" s="258"/>
      <c r="X14" s="257"/>
      <c r="Y14" s="257"/>
      <c r="Z14" s="269"/>
      <c r="AA14" s="258"/>
      <c r="AB14" s="253"/>
      <c r="AC14" s="256"/>
      <c r="AD14" s="257"/>
      <c r="AE14" s="269"/>
      <c r="AF14" s="258"/>
      <c r="AG14" s="257"/>
      <c r="AH14" s="270"/>
      <c r="AI14" s="258"/>
      <c r="AJ14" s="257"/>
      <c r="AK14" s="257"/>
      <c r="AL14" s="253"/>
      <c r="AM14" s="253"/>
      <c r="AN14" s="257"/>
      <c r="AO14" s="258"/>
      <c r="AP14" s="253"/>
      <c r="AQ14" s="257"/>
      <c r="AR14" s="258"/>
      <c r="AS14" s="103"/>
    </row>
    <row r="15" spans="1:45" s="91" customFormat="1" x14ac:dyDescent="0.25">
      <c r="A15" s="83" t="s">
        <v>11</v>
      </c>
      <c r="B15" s="28" t="s">
        <v>365</v>
      </c>
      <c r="C15" s="166"/>
      <c r="D15" s="174"/>
      <c r="E15" s="177"/>
      <c r="F15" s="129"/>
      <c r="G15" s="128"/>
      <c r="H15" s="108"/>
      <c r="I15" s="108"/>
      <c r="J15" s="108"/>
      <c r="K15" s="128"/>
      <c r="L15" s="128"/>
      <c r="M15" s="128"/>
      <c r="N15" s="128"/>
      <c r="O15" s="128"/>
      <c r="P15" s="128"/>
      <c r="Q15" s="128"/>
      <c r="R15" s="108"/>
      <c r="S15" s="128"/>
      <c r="T15" s="128"/>
      <c r="U15" s="128"/>
      <c r="V15" s="128"/>
      <c r="W15" s="128"/>
      <c r="X15" s="128"/>
      <c r="Y15" s="128"/>
      <c r="Z15" s="62"/>
      <c r="AA15" s="128"/>
      <c r="AB15" s="38"/>
      <c r="AC15" s="58"/>
      <c r="AD15" s="128"/>
      <c r="AE15" s="38"/>
      <c r="AF15" s="128"/>
      <c r="AG15" s="128"/>
      <c r="AH15" s="128"/>
      <c r="AI15" s="128"/>
      <c r="AJ15" s="128"/>
      <c r="AK15" s="128"/>
      <c r="AL15" s="38"/>
      <c r="AM15" s="38"/>
      <c r="AN15" s="128"/>
      <c r="AO15" s="128"/>
      <c r="AP15" s="38"/>
      <c r="AQ15" s="128"/>
      <c r="AR15" s="128"/>
      <c r="AS15" s="103"/>
    </row>
    <row r="16" spans="1:45" s="116" customFormat="1" x14ac:dyDescent="0.25">
      <c r="A16" s="54" t="s">
        <v>11</v>
      </c>
      <c r="B16" s="122" t="s">
        <v>385</v>
      </c>
      <c r="C16" s="156"/>
      <c r="D16" s="250"/>
      <c r="E16" s="264"/>
      <c r="F16" s="129"/>
      <c r="G16" s="250"/>
      <c r="H16" s="251"/>
      <c r="I16" s="251"/>
      <c r="J16" s="251"/>
      <c r="K16" s="250"/>
      <c r="L16" s="250"/>
      <c r="M16" s="250"/>
      <c r="N16" s="250"/>
      <c r="O16" s="250"/>
      <c r="P16" s="250"/>
      <c r="Q16" s="250"/>
      <c r="R16" s="251"/>
      <c r="S16" s="250"/>
      <c r="T16" s="250"/>
      <c r="U16" s="250"/>
      <c r="V16" s="250"/>
      <c r="W16" s="250"/>
      <c r="X16" s="250"/>
      <c r="Y16" s="250"/>
      <c r="Z16" s="278"/>
      <c r="AA16" s="250"/>
      <c r="AB16" s="157"/>
      <c r="AC16" s="255"/>
      <c r="AD16" s="251"/>
      <c r="AE16" s="278"/>
      <c r="AF16" s="250"/>
      <c r="AG16" s="250"/>
      <c r="AH16" s="250"/>
      <c r="AI16" s="250"/>
      <c r="AJ16" s="250"/>
      <c r="AK16" s="250"/>
      <c r="AL16" s="157"/>
      <c r="AM16" s="157"/>
      <c r="AN16" s="250"/>
      <c r="AO16" s="250"/>
      <c r="AP16" s="157"/>
      <c r="AQ16" s="250"/>
      <c r="AR16" s="250"/>
      <c r="AS16" s="120"/>
    </row>
    <row r="17" spans="1:45" s="141" customFormat="1" x14ac:dyDescent="0.25">
      <c r="A17" s="83" t="s">
        <v>11</v>
      </c>
      <c r="B17" s="77" t="s">
        <v>464</v>
      </c>
      <c r="C17" s="166">
        <v>13</v>
      </c>
      <c r="D17" s="174"/>
      <c r="E17" s="177">
        <v>1</v>
      </c>
      <c r="F17" s="129">
        <f>AVERAGE(H17,I17,J17,G17,K17,L17,M17,R17,S17,T17,U17,V17,W17)</f>
        <v>5</v>
      </c>
      <c r="G17" s="128">
        <v>5</v>
      </c>
      <c r="H17" s="108">
        <v>5</v>
      </c>
      <c r="I17" s="108">
        <v>5</v>
      </c>
      <c r="J17" s="108">
        <v>5</v>
      </c>
      <c r="K17" s="128">
        <v>5</v>
      </c>
      <c r="L17" s="69">
        <v>6</v>
      </c>
      <c r="M17" s="128">
        <v>4</v>
      </c>
      <c r="N17" s="128"/>
      <c r="O17" s="128"/>
      <c r="P17" s="128"/>
      <c r="Q17" s="128"/>
      <c r="R17" s="108">
        <v>6</v>
      </c>
      <c r="S17" s="128">
        <v>4</v>
      </c>
      <c r="T17" s="128">
        <v>5</v>
      </c>
      <c r="U17" s="128">
        <v>5</v>
      </c>
      <c r="V17" s="128">
        <v>6</v>
      </c>
      <c r="W17" s="128">
        <v>4</v>
      </c>
      <c r="X17" s="128"/>
      <c r="Y17" s="128"/>
      <c r="Z17" s="62"/>
      <c r="AA17" s="128"/>
      <c r="AB17" s="38"/>
      <c r="AC17" s="58"/>
      <c r="AD17" s="108"/>
      <c r="AE17" s="62"/>
      <c r="AF17" s="128"/>
      <c r="AG17" s="128"/>
      <c r="AH17" s="128"/>
      <c r="AI17" s="128"/>
      <c r="AJ17" s="128"/>
      <c r="AK17" s="128"/>
      <c r="AL17" s="38"/>
      <c r="AM17" s="38"/>
      <c r="AN17" s="128"/>
      <c r="AO17" s="128"/>
      <c r="AP17" s="38"/>
      <c r="AQ17" s="128"/>
      <c r="AR17" s="128"/>
      <c r="AS17" s="174"/>
    </row>
    <row r="18" spans="1:45" s="141" customFormat="1" x14ac:dyDescent="0.25">
      <c r="A18" s="83" t="s">
        <v>11</v>
      </c>
      <c r="B18" s="77" t="s">
        <v>531</v>
      </c>
      <c r="C18" s="166">
        <v>13</v>
      </c>
      <c r="D18" s="174"/>
      <c r="E18" s="177"/>
      <c r="F18" s="129">
        <f>AVERAGE(Y18,I18,J18,K18,L18,N18,O18,P18,Q18,R18,S18,T18,W18)</f>
        <v>5</v>
      </c>
      <c r="G18" s="128"/>
      <c r="H18" s="108"/>
      <c r="I18" s="108">
        <v>5</v>
      </c>
      <c r="J18" s="108">
        <v>5</v>
      </c>
      <c r="K18" s="128">
        <v>5</v>
      </c>
      <c r="L18" s="128">
        <v>5</v>
      </c>
      <c r="M18" s="128"/>
      <c r="N18" s="128">
        <v>5</v>
      </c>
      <c r="O18" s="128">
        <v>5</v>
      </c>
      <c r="P18" s="128">
        <v>5</v>
      </c>
      <c r="Q18" s="128">
        <v>5</v>
      </c>
      <c r="R18" s="108">
        <v>5</v>
      </c>
      <c r="S18" s="128">
        <v>5</v>
      </c>
      <c r="T18" s="128">
        <v>6</v>
      </c>
      <c r="U18" s="128"/>
      <c r="V18" s="128"/>
      <c r="W18" s="128">
        <v>4</v>
      </c>
      <c r="X18" s="128"/>
      <c r="Y18" s="128">
        <v>5</v>
      </c>
      <c r="Z18" s="62"/>
      <c r="AA18" s="128"/>
      <c r="AB18" s="38"/>
      <c r="AC18" s="58"/>
      <c r="AD18" s="108"/>
      <c r="AE18" s="62"/>
      <c r="AF18" s="128"/>
      <c r="AG18" s="128"/>
      <c r="AH18" s="128"/>
      <c r="AI18" s="128"/>
      <c r="AJ18" s="128"/>
      <c r="AK18" s="128"/>
      <c r="AL18" s="38"/>
      <c r="AM18" s="38"/>
      <c r="AN18" s="128"/>
      <c r="AO18" s="128"/>
      <c r="AP18" s="38"/>
      <c r="AQ18" s="128"/>
      <c r="AR18" s="128"/>
      <c r="AS18" s="174"/>
    </row>
    <row r="19" spans="1:45" s="141" customFormat="1" x14ac:dyDescent="0.25">
      <c r="A19" s="83" t="s">
        <v>11</v>
      </c>
      <c r="B19" s="77" t="s">
        <v>607</v>
      </c>
      <c r="C19" s="166">
        <v>6</v>
      </c>
      <c r="D19" s="174"/>
      <c r="E19" s="177"/>
      <c r="F19" s="129">
        <f>AVERAGE(N19,O19,P19,Q19,X19,Y19)</f>
        <v>5.166666666666667</v>
      </c>
      <c r="G19" s="128"/>
      <c r="H19" s="108"/>
      <c r="I19" s="108"/>
      <c r="J19" s="108"/>
      <c r="K19" s="128"/>
      <c r="L19" s="128"/>
      <c r="M19" s="128"/>
      <c r="N19" s="128">
        <v>5</v>
      </c>
      <c r="O19" s="128">
        <v>5</v>
      </c>
      <c r="P19" s="128">
        <v>5</v>
      </c>
      <c r="Q19" s="128">
        <v>6</v>
      </c>
      <c r="R19" s="108"/>
      <c r="S19" s="128"/>
      <c r="T19" s="128"/>
      <c r="U19" s="128"/>
      <c r="V19" s="128"/>
      <c r="W19" s="128"/>
      <c r="X19" s="128">
        <v>5</v>
      </c>
      <c r="Y19" s="128">
        <v>5</v>
      </c>
      <c r="Z19" s="62"/>
      <c r="AA19" s="128"/>
      <c r="AB19" s="38"/>
      <c r="AC19" s="58"/>
      <c r="AD19" s="108"/>
      <c r="AE19" s="62"/>
      <c r="AF19" s="128"/>
      <c r="AG19" s="128"/>
      <c r="AH19" s="128"/>
      <c r="AI19" s="128"/>
      <c r="AJ19" s="128"/>
      <c r="AK19" s="128"/>
      <c r="AL19" s="38"/>
      <c r="AM19" s="38"/>
      <c r="AN19" s="128"/>
      <c r="AO19" s="128"/>
      <c r="AP19" s="38"/>
      <c r="AQ19" s="128"/>
      <c r="AR19" s="128"/>
      <c r="AS19" s="174"/>
    </row>
    <row r="20" spans="1:45" s="141" customFormat="1" x14ac:dyDescent="0.25">
      <c r="A20" s="83" t="s">
        <v>11</v>
      </c>
      <c r="B20" s="77" t="s">
        <v>608</v>
      </c>
      <c r="C20" s="166">
        <v>3</v>
      </c>
      <c r="D20" s="174">
        <v>1</v>
      </c>
      <c r="E20" s="177"/>
      <c r="F20" s="129">
        <f>AVERAGE(M20,N20,O20)</f>
        <v>4.333333333333333</v>
      </c>
      <c r="G20" s="128"/>
      <c r="H20" s="108"/>
      <c r="I20" s="108"/>
      <c r="J20" s="108"/>
      <c r="K20" s="108" t="s">
        <v>153</v>
      </c>
      <c r="L20" s="128"/>
      <c r="M20" s="128">
        <v>4</v>
      </c>
      <c r="N20" s="128">
        <v>5</v>
      </c>
      <c r="O20" s="128">
        <v>4</v>
      </c>
      <c r="P20" s="128"/>
      <c r="Q20" s="128"/>
      <c r="R20" s="108"/>
      <c r="S20" s="128"/>
      <c r="T20" s="128"/>
      <c r="U20" s="128"/>
      <c r="V20" s="128"/>
      <c r="W20" s="128"/>
      <c r="X20" s="128"/>
      <c r="Y20" s="128"/>
      <c r="Z20" s="62"/>
      <c r="AA20" s="128"/>
      <c r="AB20" s="38"/>
      <c r="AC20" s="58"/>
      <c r="AD20" s="108"/>
      <c r="AE20" s="62"/>
      <c r="AF20" s="128"/>
      <c r="AG20" s="128"/>
      <c r="AH20" s="128"/>
      <c r="AI20" s="128"/>
      <c r="AJ20" s="128"/>
      <c r="AK20" s="128"/>
      <c r="AL20" s="38"/>
      <c r="AM20" s="38"/>
      <c r="AN20" s="128"/>
      <c r="AO20" s="128"/>
      <c r="AP20" s="38"/>
      <c r="AQ20" s="128"/>
      <c r="AR20" s="128"/>
      <c r="AS20" s="174"/>
    </row>
    <row r="21" spans="1:45" s="141" customFormat="1" x14ac:dyDescent="0.25">
      <c r="A21" s="83" t="s">
        <v>11</v>
      </c>
      <c r="B21" s="77" t="s">
        <v>609</v>
      </c>
      <c r="C21" s="166">
        <v>6</v>
      </c>
      <c r="D21" s="174">
        <v>3</v>
      </c>
      <c r="E21" s="177"/>
      <c r="F21" s="129">
        <f>AVERAGE(M21,T21,U21,V21,W21,X21)</f>
        <v>5.333333333333333</v>
      </c>
      <c r="G21" s="128"/>
      <c r="H21" s="108"/>
      <c r="I21" s="108"/>
      <c r="J21" s="108"/>
      <c r="K21" s="128"/>
      <c r="L21" s="108" t="s">
        <v>153</v>
      </c>
      <c r="M21" s="128">
        <v>5</v>
      </c>
      <c r="N21" s="128"/>
      <c r="O21" s="128"/>
      <c r="P21" s="128"/>
      <c r="Q21" s="108" t="s">
        <v>153</v>
      </c>
      <c r="R21" s="108"/>
      <c r="S21" s="108" t="s">
        <v>153</v>
      </c>
      <c r="T21" s="128">
        <v>5</v>
      </c>
      <c r="U21" s="128">
        <v>4</v>
      </c>
      <c r="V21" s="282">
        <v>7</v>
      </c>
      <c r="W21" s="128">
        <v>6</v>
      </c>
      <c r="X21" s="128">
        <v>5</v>
      </c>
      <c r="Y21" s="128"/>
      <c r="Z21" s="62"/>
      <c r="AA21" s="128"/>
      <c r="AB21" s="38"/>
      <c r="AC21" s="58"/>
      <c r="AD21" s="108"/>
      <c r="AE21" s="62"/>
      <c r="AF21" s="128"/>
      <c r="AG21" s="128"/>
      <c r="AH21" s="128"/>
      <c r="AI21" s="128"/>
      <c r="AJ21" s="128"/>
      <c r="AK21" s="128"/>
      <c r="AL21" s="38"/>
      <c r="AM21" s="38"/>
      <c r="AN21" s="128"/>
      <c r="AO21" s="128"/>
      <c r="AP21" s="38"/>
      <c r="AQ21" s="128"/>
      <c r="AR21" s="128"/>
      <c r="AS21" s="174"/>
    </row>
    <row r="22" spans="1:45" x14ac:dyDescent="0.25">
      <c r="A22" s="13" t="s">
        <v>11</v>
      </c>
      <c r="B22" s="172" t="s">
        <v>35</v>
      </c>
      <c r="C22" s="170">
        <v>14</v>
      </c>
      <c r="D22" s="137">
        <v>2</v>
      </c>
      <c r="E22" s="134">
        <v>1</v>
      </c>
      <c r="F22" s="34">
        <f>AVERAGE(Y22,H22,I22,J22,G22,K22,L22,P22,Q22,R22,S22,U22,V22,W22,X22)</f>
        <v>5.333333333333333</v>
      </c>
      <c r="G22" s="281">
        <v>5</v>
      </c>
      <c r="H22" s="108">
        <v>4</v>
      </c>
      <c r="I22" s="108">
        <v>6</v>
      </c>
      <c r="J22" s="108">
        <v>5</v>
      </c>
      <c r="K22" s="283">
        <v>7</v>
      </c>
      <c r="L22" s="128">
        <v>5</v>
      </c>
      <c r="M22" s="108" t="s">
        <v>153</v>
      </c>
      <c r="N22" s="128"/>
      <c r="O22" s="128"/>
      <c r="P22" s="128">
        <v>6</v>
      </c>
      <c r="Q22" s="128">
        <v>5</v>
      </c>
      <c r="R22" s="128">
        <v>6</v>
      </c>
      <c r="S22" s="128">
        <v>5</v>
      </c>
      <c r="T22" s="128"/>
      <c r="U22" s="128">
        <v>5</v>
      </c>
      <c r="V22" s="128">
        <v>6</v>
      </c>
      <c r="W22" s="108">
        <v>5</v>
      </c>
      <c r="X22" s="128">
        <v>5</v>
      </c>
      <c r="Y22" s="128">
        <v>5</v>
      </c>
      <c r="Z22" s="62"/>
      <c r="AA22" s="128"/>
      <c r="AB22" s="38"/>
      <c r="AC22" s="38"/>
      <c r="AD22" s="128"/>
      <c r="AE22" s="38"/>
      <c r="AF22" s="128"/>
      <c r="AG22" s="128"/>
      <c r="AH22" s="128"/>
      <c r="AI22" s="128"/>
      <c r="AJ22" s="128"/>
      <c r="AK22" s="128"/>
      <c r="AL22" s="38"/>
      <c r="AM22" s="38"/>
      <c r="AN22" s="128"/>
      <c r="AO22" s="128"/>
      <c r="AP22" s="38"/>
      <c r="AQ22" s="128"/>
      <c r="AR22" s="128"/>
      <c r="AS22" s="27"/>
    </row>
    <row r="23" spans="1:45" x14ac:dyDescent="0.25">
      <c r="A23" s="83" t="s">
        <v>29</v>
      </c>
      <c r="B23" s="164" t="s">
        <v>178</v>
      </c>
      <c r="C23" s="166">
        <v>12</v>
      </c>
      <c r="D23" s="174"/>
      <c r="E23" s="177">
        <v>5</v>
      </c>
      <c r="F23" s="129">
        <f>AVERAGE(H23,I23,J23,G23,K23,O23,P23,Q23,R23,U23,V23)</f>
        <v>5.1818181818181817</v>
      </c>
      <c r="G23" s="281">
        <v>4</v>
      </c>
      <c r="H23" s="209">
        <v>4</v>
      </c>
      <c r="I23" s="294">
        <v>9</v>
      </c>
      <c r="J23" s="108">
        <v>4</v>
      </c>
      <c r="K23" s="294">
        <v>7</v>
      </c>
      <c r="L23" s="204" t="s">
        <v>554</v>
      </c>
      <c r="M23" s="108"/>
      <c r="N23" s="108"/>
      <c r="O23" s="108">
        <v>4</v>
      </c>
      <c r="P23" s="108">
        <v>5</v>
      </c>
      <c r="Q23" s="57">
        <v>6</v>
      </c>
      <c r="R23" s="128">
        <v>4</v>
      </c>
      <c r="S23" s="128"/>
      <c r="T23" s="128"/>
      <c r="U23" s="57">
        <v>6</v>
      </c>
      <c r="V23" s="128">
        <v>4</v>
      </c>
      <c r="W23" s="128"/>
      <c r="X23" s="128"/>
      <c r="Y23" s="128"/>
      <c r="Z23" s="62"/>
      <c r="AA23" s="128"/>
      <c r="AB23" s="38"/>
      <c r="AC23" s="58"/>
      <c r="AD23" s="128"/>
      <c r="AE23" s="38"/>
      <c r="AF23" s="108"/>
      <c r="AG23" s="108"/>
      <c r="AH23" s="128"/>
      <c r="AI23" s="128"/>
      <c r="AJ23" s="128"/>
      <c r="AK23" s="108"/>
      <c r="AL23" s="38"/>
      <c r="AM23" s="38"/>
      <c r="AN23" s="128"/>
      <c r="AO23" s="128"/>
      <c r="AP23" s="66"/>
      <c r="AQ23" s="69"/>
      <c r="AR23" s="128"/>
      <c r="AS23" s="27"/>
    </row>
    <row r="24" spans="1:45" x14ac:dyDescent="0.25">
      <c r="A24" s="83" t="s">
        <v>29</v>
      </c>
      <c r="B24" s="163" t="s">
        <v>336</v>
      </c>
      <c r="C24" s="166">
        <v>12</v>
      </c>
      <c r="D24" s="174">
        <v>3</v>
      </c>
      <c r="E24" s="177">
        <v>1</v>
      </c>
      <c r="F24" s="129">
        <f>AVERAGE(Y24,I24,J24,G24,K24,L24,M24,N24,O24,R24,S24,W24,X24)</f>
        <v>5.6923076923076925</v>
      </c>
      <c r="G24" s="128">
        <v>6</v>
      </c>
      <c r="H24" s="108"/>
      <c r="I24" s="294">
        <v>8</v>
      </c>
      <c r="J24" s="204">
        <v>5</v>
      </c>
      <c r="K24" s="128">
        <v>5</v>
      </c>
      <c r="L24" s="128">
        <v>6</v>
      </c>
      <c r="M24" s="282">
        <v>7</v>
      </c>
      <c r="N24" s="108">
        <v>5</v>
      </c>
      <c r="O24" s="282">
        <v>7</v>
      </c>
      <c r="P24" s="108"/>
      <c r="Q24" s="108"/>
      <c r="R24" s="128">
        <v>5</v>
      </c>
      <c r="S24" s="108">
        <v>5</v>
      </c>
      <c r="T24" s="108" t="s">
        <v>153</v>
      </c>
      <c r="U24" s="128"/>
      <c r="V24" s="108" t="s">
        <v>153</v>
      </c>
      <c r="W24" s="128">
        <v>5</v>
      </c>
      <c r="X24" s="128">
        <v>4</v>
      </c>
      <c r="Y24" s="128">
        <v>6</v>
      </c>
      <c r="Z24" s="62"/>
      <c r="AA24" s="128"/>
      <c r="AB24" s="38"/>
      <c r="AC24" s="58"/>
      <c r="AD24" s="128"/>
      <c r="AE24" s="38"/>
      <c r="AF24" s="128"/>
      <c r="AG24" s="128"/>
      <c r="AH24" s="128"/>
      <c r="AI24" s="128"/>
      <c r="AJ24" s="128"/>
      <c r="AK24" s="128"/>
      <c r="AL24" s="38"/>
      <c r="AM24" s="38"/>
      <c r="AN24" s="128"/>
      <c r="AO24" s="128"/>
      <c r="AP24" s="38"/>
      <c r="AQ24" s="128"/>
      <c r="AR24" s="128"/>
      <c r="AS24" s="27"/>
    </row>
    <row r="25" spans="1:45" x14ac:dyDescent="0.25">
      <c r="A25" s="83" t="s">
        <v>29</v>
      </c>
      <c r="B25" s="160" t="s">
        <v>37</v>
      </c>
      <c r="C25" s="166">
        <v>5</v>
      </c>
      <c r="D25" s="174">
        <v>7</v>
      </c>
      <c r="E25" s="177">
        <v>1</v>
      </c>
      <c r="F25" s="129">
        <f>AVERAGE(H25,G25,S25,V25,W25,Y25)</f>
        <v>5.166666666666667</v>
      </c>
      <c r="G25" s="128">
        <v>5</v>
      </c>
      <c r="H25" s="108">
        <v>5</v>
      </c>
      <c r="I25" s="108"/>
      <c r="J25" s="108"/>
      <c r="K25" s="108" t="s">
        <v>153</v>
      </c>
      <c r="L25" s="128"/>
      <c r="M25" s="128"/>
      <c r="N25" s="128"/>
      <c r="O25" s="69"/>
      <c r="P25" s="108" t="s">
        <v>153</v>
      </c>
      <c r="Q25" s="108" t="s">
        <v>153</v>
      </c>
      <c r="R25" s="108" t="s">
        <v>153</v>
      </c>
      <c r="S25" s="128">
        <v>5</v>
      </c>
      <c r="T25" s="108" t="s">
        <v>153</v>
      </c>
      <c r="U25" s="108"/>
      <c r="V25" s="108">
        <v>5</v>
      </c>
      <c r="W25" s="128">
        <v>5</v>
      </c>
      <c r="X25" s="108" t="s">
        <v>153</v>
      </c>
      <c r="Y25" s="57">
        <v>6</v>
      </c>
      <c r="Z25" s="62"/>
      <c r="AA25" s="128"/>
      <c r="AB25" s="38"/>
      <c r="AC25" s="38"/>
      <c r="AD25" s="128"/>
      <c r="AE25" s="38"/>
      <c r="AF25" s="128"/>
      <c r="AG25" s="108"/>
      <c r="AH25" s="128"/>
      <c r="AI25" s="128"/>
      <c r="AJ25" s="69"/>
      <c r="AK25" s="128"/>
      <c r="AL25" s="38"/>
      <c r="AM25" s="38"/>
      <c r="AN25" s="128"/>
      <c r="AO25" s="128"/>
      <c r="AP25" s="38"/>
      <c r="AQ25" s="128"/>
      <c r="AR25" s="128"/>
      <c r="AS25" s="27"/>
    </row>
    <row r="26" spans="1:45" s="116" customFormat="1" x14ac:dyDescent="0.25">
      <c r="A26" s="83" t="s">
        <v>29</v>
      </c>
      <c r="B26" s="163" t="s">
        <v>372</v>
      </c>
      <c r="C26" s="166"/>
      <c r="D26" s="160"/>
      <c r="E26" s="177"/>
      <c r="F26" s="129"/>
      <c r="G26" s="128"/>
      <c r="H26" s="68"/>
      <c r="I26" s="108"/>
      <c r="J26" s="57"/>
      <c r="K26" s="69"/>
      <c r="L26" s="128"/>
      <c r="M26" s="128"/>
      <c r="N26" s="128"/>
      <c r="O26" s="128"/>
      <c r="P26" s="128"/>
      <c r="Q26" s="128"/>
      <c r="R26" s="69"/>
      <c r="S26" s="128"/>
      <c r="T26" s="128"/>
      <c r="U26" s="128"/>
      <c r="V26" s="128"/>
      <c r="W26" s="128"/>
      <c r="X26" s="108"/>
      <c r="Y26" s="128"/>
      <c r="Z26" s="62"/>
      <c r="AA26" s="128"/>
      <c r="AB26" s="62"/>
      <c r="AC26" s="58"/>
      <c r="AD26" s="128"/>
      <c r="AE26" s="38"/>
      <c r="AF26" s="128"/>
      <c r="AG26" s="128"/>
      <c r="AH26" s="128"/>
      <c r="AI26" s="128"/>
      <c r="AJ26" s="128"/>
      <c r="AK26" s="128"/>
      <c r="AL26" s="38"/>
      <c r="AM26" s="38"/>
      <c r="AN26" s="128"/>
      <c r="AO26" s="128"/>
      <c r="AP26" s="38"/>
      <c r="AQ26" s="128"/>
      <c r="AR26" s="128"/>
      <c r="AS26" s="120"/>
    </row>
    <row r="27" spans="1:45" x14ac:dyDescent="0.25">
      <c r="A27" s="54" t="s">
        <v>29</v>
      </c>
      <c r="B27" s="122" t="s">
        <v>122</v>
      </c>
      <c r="C27" s="156">
        <v>4</v>
      </c>
      <c r="D27" s="122"/>
      <c r="E27" s="264"/>
      <c r="F27" s="310">
        <f>AVERAGE(I27,J27,H27,G27)</f>
        <v>5</v>
      </c>
      <c r="G27" s="250">
        <v>5</v>
      </c>
      <c r="H27" s="251"/>
      <c r="I27" s="251">
        <v>5</v>
      </c>
      <c r="J27" s="251">
        <v>5</v>
      </c>
      <c r="K27" s="258"/>
      <c r="L27" s="257"/>
      <c r="M27" s="257"/>
      <c r="N27" s="258"/>
      <c r="O27" s="257"/>
      <c r="P27" s="258"/>
      <c r="Q27" s="257"/>
      <c r="R27" s="257"/>
      <c r="S27" s="257"/>
      <c r="T27" s="270"/>
      <c r="U27" s="257"/>
      <c r="V27" s="257"/>
      <c r="W27" s="258"/>
      <c r="X27" s="257"/>
      <c r="Y27" s="257"/>
      <c r="Z27" s="269"/>
      <c r="AA27" s="268"/>
      <c r="AB27" s="253"/>
      <c r="AC27" s="252"/>
      <c r="AD27" s="257"/>
      <c r="AE27" s="253"/>
      <c r="AF27" s="257"/>
      <c r="AG27" s="257"/>
      <c r="AH27" s="257"/>
      <c r="AI27" s="257"/>
      <c r="AJ27" s="258"/>
      <c r="AK27" s="257"/>
      <c r="AL27" s="253"/>
      <c r="AM27" s="269"/>
      <c r="AN27" s="257"/>
      <c r="AO27" s="257"/>
      <c r="AP27" s="253"/>
      <c r="AQ27" s="257"/>
      <c r="AR27" s="257"/>
      <c r="AS27" s="27"/>
    </row>
    <row r="28" spans="1:45" s="141" customFormat="1" x14ac:dyDescent="0.25">
      <c r="A28" s="83" t="s">
        <v>29</v>
      </c>
      <c r="B28" s="132" t="s">
        <v>458</v>
      </c>
      <c r="C28" s="166">
        <v>9</v>
      </c>
      <c r="D28" s="160">
        <v>4</v>
      </c>
      <c r="E28" s="177">
        <v>3</v>
      </c>
      <c r="F28" s="129">
        <f>AVERAGE(L28,M28,Q28,R28,S28,T28,U28,V28,W28,X28)</f>
        <v>5.3</v>
      </c>
      <c r="G28" s="108" t="s">
        <v>153</v>
      </c>
      <c r="H28" s="108" t="s">
        <v>153</v>
      </c>
      <c r="I28" s="108"/>
      <c r="J28" s="108"/>
      <c r="K28" s="108"/>
      <c r="L28" s="128">
        <v>5</v>
      </c>
      <c r="M28" s="303">
        <v>3</v>
      </c>
      <c r="N28" s="108"/>
      <c r="O28" s="128"/>
      <c r="P28" s="108" t="s">
        <v>153</v>
      </c>
      <c r="Q28" s="128">
        <v>4</v>
      </c>
      <c r="R28" s="69">
        <v>6</v>
      </c>
      <c r="S28" s="128">
        <v>4</v>
      </c>
      <c r="T28" s="283">
        <v>8</v>
      </c>
      <c r="U28" s="283">
        <v>7</v>
      </c>
      <c r="V28" s="128">
        <v>5</v>
      </c>
      <c r="W28" s="108">
        <v>6</v>
      </c>
      <c r="X28" s="128">
        <v>5</v>
      </c>
      <c r="Y28" s="128"/>
      <c r="Z28" s="62"/>
      <c r="AA28" s="57"/>
      <c r="AB28" s="38"/>
      <c r="AC28" s="58"/>
      <c r="AD28" s="128"/>
      <c r="AE28" s="38"/>
      <c r="AF28" s="128"/>
      <c r="AG28" s="128"/>
      <c r="AH28" s="128"/>
      <c r="AI28" s="128"/>
      <c r="AJ28" s="108"/>
      <c r="AK28" s="128"/>
      <c r="AL28" s="38"/>
      <c r="AM28" s="62"/>
      <c r="AN28" s="128"/>
      <c r="AO28" s="128"/>
      <c r="AP28" s="38"/>
      <c r="AQ28" s="128"/>
      <c r="AR28" s="128"/>
      <c r="AS28" s="174"/>
    </row>
    <row r="29" spans="1:45" s="141" customFormat="1" x14ac:dyDescent="0.25">
      <c r="A29" s="83" t="s">
        <v>29</v>
      </c>
      <c r="B29" s="132" t="s">
        <v>465</v>
      </c>
      <c r="C29" s="166">
        <v>2</v>
      </c>
      <c r="D29" s="160">
        <v>9</v>
      </c>
      <c r="E29" s="177">
        <v>1</v>
      </c>
      <c r="F29" s="129">
        <f>AVERAGE(N29,W29,Y29)</f>
        <v>5</v>
      </c>
      <c r="G29" s="108" t="s">
        <v>153</v>
      </c>
      <c r="H29" s="108" t="s">
        <v>153</v>
      </c>
      <c r="I29" s="108" t="s">
        <v>153</v>
      </c>
      <c r="J29" s="108" t="s">
        <v>153</v>
      </c>
      <c r="K29" s="108"/>
      <c r="L29" s="128"/>
      <c r="M29" s="108" t="s">
        <v>153</v>
      </c>
      <c r="N29" s="108">
        <v>5</v>
      </c>
      <c r="O29" s="108" t="s">
        <v>153</v>
      </c>
      <c r="P29" s="108" t="s">
        <v>153</v>
      </c>
      <c r="Q29" s="128"/>
      <c r="R29" s="128"/>
      <c r="S29" s="108" t="s">
        <v>153</v>
      </c>
      <c r="T29" s="69"/>
      <c r="U29" s="128"/>
      <c r="V29" s="128"/>
      <c r="W29" s="57">
        <v>6</v>
      </c>
      <c r="X29" s="128"/>
      <c r="Y29" s="128">
        <v>4</v>
      </c>
      <c r="Z29" s="62"/>
      <c r="AA29" s="57"/>
      <c r="AB29" s="38"/>
      <c r="AC29" s="58"/>
      <c r="AD29" s="128"/>
      <c r="AE29" s="38"/>
      <c r="AF29" s="128"/>
      <c r="AG29" s="128"/>
      <c r="AH29" s="128"/>
      <c r="AI29" s="128"/>
      <c r="AJ29" s="108"/>
      <c r="AK29" s="128"/>
      <c r="AL29" s="38"/>
      <c r="AM29" s="62"/>
      <c r="AN29" s="128"/>
      <c r="AO29" s="128"/>
      <c r="AP29" s="38"/>
      <c r="AQ29" s="128"/>
      <c r="AR29" s="128"/>
      <c r="AS29" s="174"/>
    </row>
    <row r="30" spans="1:45" s="141" customFormat="1" x14ac:dyDescent="0.25">
      <c r="A30" s="83" t="s">
        <v>29</v>
      </c>
      <c r="B30" s="132" t="s">
        <v>532</v>
      </c>
      <c r="C30" s="166">
        <v>16</v>
      </c>
      <c r="D30" s="160"/>
      <c r="E30" s="177">
        <v>2</v>
      </c>
      <c r="F30" s="129">
        <f>AVERAGE(Y30,I30,J30,K30,L30,M30,N30,O30,P30,Q30,R30,T30,U30,V30,W30,X30)</f>
        <v>5.375</v>
      </c>
      <c r="G30" s="128"/>
      <c r="H30" s="108"/>
      <c r="I30" s="108">
        <v>6</v>
      </c>
      <c r="J30" s="108">
        <v>5</v>
      </c>
      <c r="K30" s="108">
        <v>5</v>
      </c>
      <c r="L30" s="128">
        <v>4</v>
      </c>
      <c r="M30" s="128">
        <v>5</v>
      </c>
      <c r="N30" s="108">
        <v>4</v>
      </c>
      <c r="O30" s="108">
        <v>5</v>
      </c>
      <c r="P30" s="108">
        <v>6</v>
      </c>
      <c r="Q30" s="128">
        <v>5</v>
      </c>
      <c r="R30" s="128">
        <v>5</v>
      </c>
      <c r="S30" s="128"/>
      <c r="T30" s="344">
        <v>7</v>
      </c>
      <c r="U30" s="128">
        <v>5</v>
      </c>
      <c r="V30" s="283">
        <v>8</v>
      </c>
      <c r="W30" s="57">
        <v>6</v>
      </c>
      <c r="X30" s="128">
        <v>6</v>
      </c>
      <c r="Y30" s="128">
        <v>4</v>
      </c>
      <c r="Z30" s="62"/>
      <c r="AA30" s="57"/>
      <c r="AB30" s="38"/>
      <c r="AC30" s="58"/>
      <c r="AD30" s="128"/>
      <c r="AE30" s="38"/>
      <c r="AF30" s="128"/>
      <c r="AG30" s="128"/>
      <c r="AH30" s="128"/>
      <c r="AI30" s="128"/>
      <c r="AJ30" s="108"/>
      <c r="AK30" s="128"/>
      <c r="AL30" s="38"/>
      <c r="AM30" s="62"/>
      <c r="AN30" s="128"/>
      <c r="AO30" s="128"/>
      <c r="AP30" s="38"/>
      <c r="AQ30" s="128"/>
      <c r="AR30" s="128"/>
      <c r="AS30" s="174"/>
    </row>
    <row r="31" spans="1:45" s="141" customFormat="1" x14ac:dyDescent="0.25">
      <c r="A31" s="83" t="s">
        <v>29</v>
      </c>
      <c r="B31" s="132" t="s">
        <v>533</v>
      </c>
      <c r="C31" s="166">
        <v>15</v>
      </c>
      <c r="D31" s="160"/>
      <c r="E31" s="177">
        <v>1</v>
      </c>
      <c r="F31" s="129">
        <f>AVERAGE(Y31,I31,J31,K31,L31,M31,N31,O31,P31,Q31,R31,T31,U31,V31,X31)</f>
        <v>5.666666666666667</v>
      </c>
      <c r="G31" s="128"/>
      <c r="H31" s="108"/>
      <c r="I31" s="294">
        <v>7</v>
      </c>
      <c r="J31" s="108">
        <v>4</v>
      </c>
      <c r="K31" s="290">
        <v>7</v>
      </c>
      <c r="L31" s="282">
        <v>7</v>
      </c>
      <c r="M31" s="128">
        <v>5</v>
      </c>
      <c r="N31" s="108">
        <v>5</v>
      </c>
      <c r="O31" s="290">
        <v>7</v>
      </c>
      <c r="P31" s="108">
        <v>6</v>
      </c>
      <c r="Q31" s="128">
        <v>5</v>
      </c>
      <c r="R31" s="128">
        <v>4</v>
      </c>
      <c r="S31" s="128"/>
      <c r="T31" s="344">
        <v>7</v>
      </c>
      <c r="U31" s="128">
        <v>6</v>
      </c>
      <c r="V31" s="128">
        <v>5</v>
      </c>
      <c r="W31" s="108"/>
      <c r="X31" s="128">
        <v>6</v>
      </c>
      <c r="Y31" s="128">
        <v>4</v>
      </c>
      <c r="Z31" s="62"/>
      <c r="AA31" s="57"/>
      <c r="AB31" s="38"/>
      <c r="AC31" s="58"/>
      <c r="AD31" s="128"/>
      <c r="AE31" s="38"/>
      <c r="AF31" s="128"/>
      <c r="AG31" s="128"/>
      <c r="AH31" s="128"/>
      <c r="AI31" s="128"/>
      <c r="AJ31" s="108"/>
      <c r="AK31" s="128"/>
      <c r="AL31" s="38"/>
      <c r="AM31" s="62"/>
      <c r="AN31" s="128"/>
      <c r="AO31" s="128"/>
      <c r="AP31" s="38"/>
      <c r="AQ31" s="128"/>
      <c r="AR31" s="128"/>
      <c r="AS31" s="174"/>
    </row>
    <row r="32" spans="1:45" s="141" customFormat="1" x14ac:dyDescent="0.25">
      <c r="A32" s="83" t="s">
        <v>29</v>
      </c>
      <c r="B32" s="77" t="s">
        <v>610</v>
      </c>
      <c r="C32" s="166">
        <v>8</v>
      </c>
      <c r="D32" s="160">
        <v>6</v>
      </c>
      <c r="E32" s="177"/>
      <c r="F32" s="129">
        <f>AVERAGE(K32,L32,M32,N32,O32,P32,Q32,R32,S32)</f>
        <v>4.8888888888888893</v>
      </c>
      <c r="G32" s="128"/>
      <c r="H32" s="108"/>
      <c r="I32" s="108"/>
      <c r="J32" s="108"/>
      <c r="K32" s="108">
        <v>5</v>
      </c>
      <c r="L32" s="128">
        <v>5</v>
      </c>
      <c r="M32" s="128">
        <v>5</v>
      </c>
      <c r="N32" s="108">
        <v>5</v>
      </c>
      <c r="O32" s="108">
        <v>5</v>
      </c>
      <c r="P32" s="108">
        <v>5</v>
      </c>
      <c r="Q32" s="128">
        <v>5</v>
      </c>
      <c r="R32" s="128">
        <v>5</v>
      </c>
      <c r="S32" s="128">
        <v>4</v>
      </c>
      <c r="T32" s="204" t="s">
        <v>153</v>
      </c>
      <c r="U32" s="108" t="s">
        <v>153</v>
      </c>
      <c r="V32" s="128"/>
      <c r="W32" s="108" t="s">
        <v>153</v>
      </c>
      <c r="X32" s="108" t="s">
        <v>153</v>
      </c>
      <c r="Y32" s="108" t="s">
        <v>153</v>
      </c>
      <c r="Z32" s="62"/>
      <c r="AA32" s="57"/>
      <c r="AB32" s="38"/>
      <c r="AC32" s="58"/>
      <c r="AD32" s="128"/>
      <c r="AE32" s="38"/>
      <c r="AF32" s="128"/>
      <c r="AG32" s="128"/>
      <c r="AH32" s="128"/>
      <c r="AI32" s="128"/>
      <c r="AJ32" s="108"/>
      <c r="AK32" s="128"/>
      <c r="AL32" s="38"/>
      <c r="AM32" s="62"/>
      <c r="AN32" s="128"/>
      <c r="AO32" s="128"/>
      <c r="AP32" s="38"/>
      <c r="AQ32" s="128"/>
      <c r="AR32" s="128"/>
      <c r="AS32" s="174"/>
    </row>
    <row r="33" spans="1:45" s="141" customFormat="1" x14ac:dyDescent="0.25">
      <c r="A33" s="83" t="s">
        <v>29</v>
      </c>
      <c r="B33" s="77" t="s">
        <v>693</v>
      </c>
      <c r="C33" s="166">
        <v>1</v>
      </c>
      <c r="D33" s="160">
        <v>2</v>
      </c>
      <c r="E33" s="177"/>
      <c r="F33" s="129">
        <f>AVERAGE(N33)</f>
        <v>4</v>
      </c>
      <c r="G33" s="128"/>
      <c r="H33" s="108"/>
      <c r="I33" s="108"/>
      <c r="J33" s="108"/>
      <c r="K33" s="108"/>
      <c r="L33" s="108" t="s">
        <v>153</v>
      </c>
      <c r="M33" s="128"/>
      <c r="N33" s="108">
        <v>4</v>
      </c>
      <c r="O33" s="108"/>
      <c r="P33" s="108"/>
      <c r="Q33" s="128"/>
      <c r="R33" s="128"/>
      <c r="S33" s="108" t="s">
        <v>153</v>
      </c>
      <c r="T33" s="69"/>
      <c r="U33" s="128"/>
      <c r="V33" s="128"/>
      <c r="W33" s="108"/>
      <c r="X33" s="128"/>
      <c r="Y33" s="128"/>
      <c r="Z33" s="62"/>
      <c r="AA33" s="57"/>
      <c r="AB33" s="38"/>
      <c r="AC33" s="58"/>
      <c r="AD33" s="128"/>
      <c r="AE33" s="38"/>
      <c r="AF33" s="128"/>
      <c r="AG33" s="128"/>
      <c r="AH33" s="128"/>
      <c r="AI33" s="128"/>
      <c r="AJ33" s="108"/>
      <c r="AK33" s="128"/>
      <c r="AL33" s="38"/>
      <c r="AM33" s="62"/>
      <c r="AN33" s="128"/>
      <c r="AO33" s="128"/>
      <c r="AP33" s="38"/>
      <c r="AQ33" s="128"/>
      <c r="AR33" s="128"/>
      <c r="AS33" s="174"/>
    </row>
    <row r="34" spans="1:45" s="116" customFormat="1" x14ac:dyDescent="0.25">
      <c r="A34" s="13" t="s">
        <v>29</v>
      </c>
      <c r="B34" s="14" t="s">
        <v>223</v>
      </c>
      <c r="C34" s="170">
        <v>5</v>
      </c>
      <c r="D34" s="39">
        <v>10</v>
      </c>
      <c r="E34" s="134">
        <v>1</v>
      </c>
      <c r="F34" s="34">
        <f>AVERAGE(H34,G34,M34,P34,S34,T34,V34)</f>
        <v>4.4285714285714288</v>
      </c>
      <c r="G34" s="128">
        <v>4</v>
      </c>
      <c r="H34" s="108">
        <v>5</v>
      </c>
      <c r="I34" s="57" t="s">
        <v>153</v>
      </c>
      <c r="J34" s="108" t="s">
        <v>153</v>
      </c>
      <c r="K34" s="108" t="s">
        <v>153</v>
      </c>
      <c r="L34" s="128"/>
      <c r="M34" s="128">
        <v>4</v>
      </c>
      <c r="N34" s="108" t="s">
        <v>153</v>
      </c>
      <c r="O34" s="108" t="s">
        <v>153</v>
      </c>
      <c r="P34" s="108">
        <v>4</v>
      </c>
      <c r="Q34" s="128"/>
      <c r="R34" s="128"/>
      <c r="S34" s="128">
        <v>5</v>
      </c>
      <c r="T34" s="108">
        <v>5</v>
      </c>
      <c r="U34" s="108" t="s">
        <v>153</v>
      </c>
      <c r="V34" s="108">
        <v>4</v>
      </c>
      <c r="W34" s="108"/>
      <c r="X34" s="108" t="s">
        <v>153</v>
      </c>
      <c r="Y34" s="108" t="s">
        <v>153</v>
      </c>
      <c r="Z34" s="62"/>
      <c r="AA34" s="57"/>
      <c r="AB34" s="38"/>
      <c r="AC34" s="58"/>
      <c r="AD34" s="57"/>
      <c r="AE34" s="38"/>
      <c r="AF34" s="128"/>
      <c r="AG34" s="128"/>
      <c r="AH34" s="128"/>
      <c r="AI34" s="108"/>
      <c r="AJ34" s="108"/>
      <c r="AK34" s="108"/>
      <c r="AL34" s="62"/>
      <c r="AM34" s="62"/>
      <c r="AN34" s="128"/>
      <c r="AO34" s="108"/>
      <c r="AP34" s="38"/>
      <c r="AQ34" s="108"/>
      <c r="AR34" s="57"/>
      <c r="AS34" s="120"/>
    </row>
    <row r="35" spans="1:45" x14ac:dyDescent="0.25">
      <c r="A35" s="83" t="s">
        <v>30</v>
      </c>
      <c r="B35" s="28" t="s">
        <v>278</v>
      </c>
      <c r="C35" s="166">
        <v>18</v>
      </c>
      <c r="D35" s="160">
        <v>1</v>
      </c>
      <c r="E35" s="177">
        <v>11</v>
      </c>
      <c r="F35" s="129">
        <f>AVERAGE(Y35,U35,H35,I35,J35,G35,K35,L35,N35,O35,P35,Q35,R35,S35,T35,V35,W35,X35)</f>
        <v>5.6111111111111107</v>
      </c>
      <c r="G35" s="108">
        <v>4</v>
      </c>
      <c r="H35" s="108">
        <v>4</v>
      </c>
      <c r="I35" s="283">
        <v>8</v>
      </c>
      <c r="J35" s="108">
        <v>5</v>
      </c>
      <c r="K35" s="283">
        <v>7</v>
      </c>
      <c r="L35" s="128">
        <v>5</v>
      </c>
      <c r="M35" s="57" t="s">
        <v>153</v>
      </c>
      <c r="N35" s="69">
        <v>6</v>
      </c>
      <c r="O35" s="283">
        <v>7</v>
      </c>
      <c r="P35" s="69">
        <v>6</v>
      </c>
      <c r="Q35" s="69">
        <v>6</v>
      </c>
      <c r="R35" s="128">
        <v>6</v>
      </c>
      <c r="S35" s="108">
        <v>4</v>
      </c>
      <c r="T35" s="294">
        <v>7</v>
      </c>
      <c r="U35" s="69">
        <v>6</v>
      </c>
      <c r="V35" s="108">
        <v>5</v>
      </c>
      <c r="W35" s="128">
        <v>5</v>
      </c>
      <c r="X35" s="57">
        <v>6</v>
      </c>
      <c r="Y35" s="70">
        <v>4</v>
      </c>
      <c r="Z35" s="62"/>
      <c r="AA35" s="128"/>
      <c r="AB35" s="38"/>
      <c r="AC35" s="56"/>
      <c r="AD35" s="128"/>
      <c r="AE35" s="38"/>
      <c r="AF35" s="57"/>
      <c r="AG35" s="128"/>
      <c r="AH35" s="69"/>
      <c r="AI35" s="108"/>
      <c r="AJ35" s="69"/>
      <c r="AK35" s="108"/>
      <c r="AL35" s="62"/>
      <c r="AM35" s="38"/>
      <c r="AN35" s="57"/>
      <c r="AO35" s="128"/>
      <c r="AP35" s="62"/>
      <c r="AQ35" s="108"/>
      <c r="AR35" s="108"/>
      <c r="AS35" s="27"/>
    </row>
    <row r="36" spans="1:45" x14ac:dyDescent="0.25">
      <c r="A36" s="83" t="s">
        <v>30</v>
      </c>
      <c r="B36" s="28" t="s">
        <v>339</v>
      </c>
      <c r="C36" s="166"/>
      <c r="D36" s="132"/>
      <c r="E36" s="177"/>
      <c r="F36" s="129"/>
      <c r="G36" s="128"/>
      <c r="H36" s="10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08"/>
      <c r="T36" s="128"/>
      <c r="U36" s="128"/>
      <c r="V36" s="128"/>
      <c r="W36" s="128"/>
      <c r="X36" s="128"/>
      <c r="Y36" s="128"/>
      <c r="Z36" s="62"/>
      <c r="AA36" s="128"/>
      <c r="AB36" s="38"/>
      <c r="AC36" s="58"/>
      <c r="AD36" s="128"/>
      <c r="AE36" s="38"/>
      <c r="AF36" s="128"/>
      <c r="AG36" s="128"/>
      <c r="AH36" s="128"/>
      <c r="AI36" s="128"/>
      <c r="AJ36" s="128"/>
      <c r="AK36" s="128"/>
      <c r="AL36" s="38"/>
      <c r="AM36" s="38"/>
      <c r="AN36" s="128"/>
      <c r="AO36" s="128"/>
      <c r="AP36" s="38"/>
      <c r="AQ36" s="128"/>
      <c r="AR36" s="128"/>
      <c r="AS36" s="27"/>
    </row>
    <row r="37" spans="1:45" ht="15.75" thickBot="1" x14ac:dyDescent="0.3">
      <c r="A37" s="3" t="s">
        <v>30</v>
      </c>
      <c r="B37" s="165" t="s">
        <v>38</v>
      </c>
      <c r="C37" s="167"/>
      <c r="D37" s="138"/>
      <c r="E37" s="135"/>
      <c r="F37" s="10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08"/>
      <c r="U37" s="128"/>
      <c r="V37" s="128"/>
      <c r="W37" s="128"/>
      <c r="X37" s="128"/>
      <c r="Y37" s="128"/>
      <c r="Z37" s="67"/>
      <c r="AA37" s="128"/>
      <c r="AB37" s="62"/>
      <c r="AC37" s="56"/>
      <c r="AD37" s="128"/>
      <c r="AE37" s="38"/>
      <c r="AF37" s="128"/>
      <c r="AG37" s="128"/>
      <c r="AH37" s="128"/>
      <c r="AI37" s="128"/>
      <c r="AJ37" s="128"/>
      <c r="AK37" s="128"/>
      <c r="AL37" s="38"/>
      <c r="AM37" s="38"/>
      <c r="AN37" s="128"/>
      <c r="AO37" s="128"/>
      <c r="AP37" s="38"/>
      <c r="AQ37" s="128"/>
      <c r="AR37" s="128"/>
      <c r="AS37" s="27"/>
    </row>
    <row r="38" spans="1:45" x14ac:dyDescent="0.25">
      <c r="G38" s="37">
        <f>AVERAGE(G7,G11,G17,G13,G22,G23,G24,G25,G27,G35)</f>
        <v>5</v>
      </c>
      <c r="H38" s="37">
        <f>AVERAGE(H7,H10,H13,H17,H22,H23,H25,H34,H35)</f>
        <v>4.7777777777777777</v>
      </c>
      <c r="I38" s="37">
        <f>AVERAGE(I7,I10,I17,I18,I22,I23,I24,I27,I30,I31,I35)</f>
        <v>6.4545454545454541</v>
      </c>
      <c r="J38" s="31">
        <f>AVERAGE(J7,J10,J17,J18,J22,J23,J24,J27,J30,J31,J35)</f>
        <v>4.7272727272727275</v>
      </c>
      <c r="K38" s="31">
        <f>AVERAGE(K7,K10,K17,K18,K22,K23,K24,K30,K31,K32,K35)</f>
        <v>5.7272727272727275</v>
      </c>
      <c r="L38" s="31">
        <f>AVERAGE(L7,L10,L17,L18,L22,L24,L30,L31,L32,L35)</f>
        <v>5.3</v>
      </c>
      <c r="M38" s="37">
        <f>AVERAGE(M7,M10,M17,M20,M21,M24,M28,M30,M32,M34,M31)</f>
        <v>4.7272727272727275</v>
      </c>
      <c r="N38" s="37">
        <f>AVERAGE(N7,N10,N18,N19,N20,N24,N29,N30,N31,N33,N35)</f>
        <v>4.9090909090909092</v>
      </c>
      <c r="O38" s="37">
        <f>AVERAGE(O7,O10,O19,O18,O20,O23,O24,O30,O31,O32,O35)</f>
        <v>5.3636363636363633</v>
      </c>
      <c r="P38" s="37">
        <f>AVERAGE(P7,P10,P18,P19,P22,P23,P30,P31,P32,P34,P35)</f>
        <v>5.2727272727272725</v>
      </c>
      <c r="Q38" s="37">
        <f>AVERAGE(Q7,Q10,Q18,Q19,Q22,Q23,Q28,Q30,Q31,Q32,Q35)</f>
        <v>5.1818181818181817</v>
      </c>
      <c r="R38" s="37">
        <f>AVERAGE(R7,R10,R17,R18,R22,R23,R28,R30,R31,R32,R35)</f>
        <v>5.3636363636363633</v>
      </c>
      <c r="S38" s="37">
        <f>AVERAGE(S7,S11,S17,S18,S22,S24,S25,S28,S32,S34,S35)</f>
        <v>4.6363636363636367</v>
      </c>
      <c r="T38" s="37">
        <f>AVERAGE(T7,T10,T13,T17,T18,T21,T28,T30,T31,T34,T35)</f>
        <v>6.1818181818181817</v>
      </c>
      <c r="U38" s="37">
        <f>AVERAGE(U7,U10,U13,U17,U21,U22,U23,U28,U30,U31,U35)</f>
        <v>5.2727272727272725</v>
      </c>
      <c r="V38" s="37">
        <f>AVERAGE(V7,V10,V17,V13,V21,V22,V23,V28,V30,V31,V35)</f>
        <v>5.7272727272727275</v>
      </c>
      <c r="W38" s="37">
        <f>AVERAGE(W7,W10,W13,W17,W18,W21,W24,W25,W28,W30,W35)</f>
        <v>5</v>
      </c>
      <c r="X38" s="37">
        <f>AVERAGE(X7,X10,X13,X19,X21,X22,X24,X28,X30,X31,X35)</f>
        <v>5.2727272727272725</v>
      </c>
      <c r="Y38" s="37">
        <f>AVERAGE(Y7,Y10,Y18,Y19,Y22,Y24,Y25,Y29,Y30,Y31,Y35)</f>
        <v>4.8181818181818183</v>
      </c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</row>
    <row r="42" spans="1:45" ht="48" customHeight="1" x14ac:dyDescent="0.25"/>
  </sheetData>
  <mergeCells count="1">
    <mergeCell ref="C5:E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S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8" width="4.5703125" customWidth="1"/>
    <col min="9" max="25" width="4.7109375" customWidth="1"/>
    <col min="26" max="26" width="4.85546875" customWidth="1"/>
    <col min="27" max="33" width="4.7109375" customWidth="1"/>
    <col min="34" max="34" width="4.85546875" customWidth="1"/>
    <col min="35" max="44" width="4.7109375" customWidth="1"/>
  </cols>
  <sheetData>
    <row r="1" spans="1:45" x14ac:dyDescent="0.25">
      <c r="A1" t="s">
        <v>39</v>
      </c>
    </row>
    <row r="4" spans="1:45" ht="15.75" thickBot="1" x14ac:dyDescent="0.3">
      <c r="A4" t="s">
        <v>2</v>
      </c>
    </row>
    <row r="5" spans="1:45" ht="15.75" thickBot="1" x14ac:dyDescent="0.3">
      <c r="C5" s="375" t="s">
        <v>101</v>
      </c>
      <c r="D5" s="376"/>
      <c r="E5" s="377"/>
    </row>
    <row r="6" spans="1:45" ht="48" customHeight="1" thickBot="1" x14ac:dyDescent="0.3">
      <c r="A6" s="22" t="s">
        <v>3</v>
      </c>
      <c r="B6" s="148" t="s">
        <v>4</v>
      </c>
      <c r="C6" s="149" t="s">
        <v>7</v>
      </c>
      <c r="D6" s="150" t="s">
        <v>99</v>
      </c>
      <c r="E6" s="148" t="s">
        <v>5</v>
      </c>
      <c r="F6" s="315" t="s">
        <v>100</v>
      </c>
      <c r="G6" s="173" t="s">
        <v>637</v>
      </c>
      <c r="H6" s="173" t="s">
        <v>552</v>
      </c>
      <c r="I6" s="173" t="s">
        <v>570</v>
      </c>
      <c r="J6" s="173" t="s">
        <v>591</v>
      </c>
      <c r="K6" s="173" t="s">
        <v>644</v>
      </c>
      <c r="L6" s="173" t="s">
        <v>694</v>
      </c>
      <c r="M6" s="173" t="s">
        <v>707</v>
      </c>
      <c r="N6" s="173" t="s">
        <v>721</v>
      </c>
      <c r="O6" s="173" t="s">
        <v>740</v>
      </c>
      <c r="P6" s="173" t="s">
        <v>759</v>
      </c>
      <c r="Q6" s="173" t="s">
        <v>784</v>
      </c>
      <c r="R6" s="173" t="s">
        <v>812</v>
      </c>
      <c r="S6" s="173" t="s">
        <v>846</v>
      </c>
      <c r="T6" s="173" t="s">
        <v>851</v>
      </c>
      <c r="U6" s="173" t="s">
        <v>874</v>
      </c>
      <c r="V6" s="173" t="s">
        <v>906</v>
      </c>
      <c r="W6" s="173" t="s">
        <v>926</v>
      </c>
      <c r="X6" s="173" t="s">
        <v>972</v>
      </c>
      <c r="Y6" s="173" t="s">
        <v>991</v>
      </c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</row>
    <row r="7" spans="1:45" x14ac:dyDescent="0.25">
      <c r="A7" s="22" t="s">
        <v>8</v>
      </c>
      <c r="B7" s="41" t="s">
        <v>40</v>
      </c>
      <c r="C7" s="149">
        <v>18</v>
      </c>
      <c r="D7" s="150"/>
      <c r="E7" s="130"/>
      <c r="F7" s="35">
        <f>AVERAGE(X7,H7,I7,J7,G7,K7,L7,M7,N7,O7,P7,Q7,R7,S7,T7,U7,W7,Y7)</f>
        <v>5.4444444444444446</v>
      </c>
      <c r="G7" s="311">
        <v>6</v>
      </c>
      <c r="H7" s="57">
        <v>6</v>
      </c>
      <c r="I7" s="128">
        <v>5</v>
      </c>
      <c r="J7" s="294">
        <v>7</v>
      </c>
      <c r="K7" s="69">
        <v>6</v>
      </c>
      <c r="L7" s="128">
        <v>5</v>
      </c>
      <c r="M7" s="69">
        <v>6</v>
      </c>
      <c r="N7" s="128">
        <v>4</v>
      </c>
      <c r="O7" s="69">
        <v>6</v>
      </c>
      <c r="P7" s="128">
        <v>4</v>
      </c>
      <c r="Q7" s="283">
        <v>7</v>
      </c>
      <c r="R7" s="69">
        <v>6</v>
      </c>
      <c r="S7" s="69">
        <v>5</v>
      </c>
      <c r="T7" s="70">
        <v>5</v>
      </c>
      <c r="U7" s="128">
        <v>5</v>
      </c>
      <c r="V7" s="128"/>
      <c r="W7" s="128">
        <v>5</v>
      </c>
      <c r="X7" s="70">
        <v>4</v>
      </c>
      <c r="Y7" s="70">
        <v>6</v>
      </c>
      <c r="Z7" s="69"/>
      <c r="AA7" s="69"/>
      <c r="AB7" s="66"/>
      <c r="AC7" s="69"/>
      <c r="AD7" s="70"/>
      <c r="AE7" s="128"/>
      <c r="AF7" s="69"/>
      <c r="AG7" s="128"/>
      <c r="AH7" s="128"/>
      <c r="AI7" s="69"/>
      <c r="AJ7" s="128"/>
      <c r="AK7" s="38"/>
      <c r="AL7" s="69"/>
      <c r="AM7" s="128"/>
      <c r="AN7" s="38"/>
      <c r="AO7" s="69"/>
      <c r="AP7" s="38"/>
      <c r="AQ7" s="38"/>
      <c r="AR7" s="69"/>
      <c r="AS7" s="27"/>
    </row>
    <row r="8" spans="1:45" x14ac:dyDescent="0.25">
      <c r="A8" s="214" t="s">
        <v>8</v>
      </c>
      <c r="B8" s="163" t="s">
        <v>41</v>
      </c>
      <c r="C8" s="166">
        <v>1</v>
      </c>
      <c r="D8" s="168"/>
      <c r="E8" s="164"/>
      <c r="F8" s="114">
        <f>AVERAGE(V8)</f>
        <v>7</v>
      </c>
      <c r="G8" s="312"/>
      <c r="H8" s="108"/>
      <c r="I8" s="128"/>
      <c r="J8" s="10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283">
        <v>7</v>
      </c>
      <c r="W8" s="128"/>
      <c r="X8" s="128"/>
      <c r="Y8" s="128"/>
      <c r="Z8" s="128"/>
      <c r="AA8" s="128"/>
      <c r="AB8" s="38"/>
      <c r="AC8" s="58"/>
      <c r="AD8" s="128"/>
      <c r="AE8" s="128"/>
      <c r="AF8" s="128"/>
      <c r="AG8" s="128"/>
      <c r="AH8" s="128"/>
      <c r="AI8" s="128"/>
      <c r="AJ8" s="128"/>
      <c r="AK8" s="38"/>
      <c r="AL8" s="128"/>
      <c r="AM8" s="128"/>
      <c r="AN8" s="38"/>
      <c r="AO8" s="128"/>
      <c r="AP8" s="38"/>
      <c r="AQ8" s="38"/>
      <c r="AR8" s="128"/>
      <c r="AS8" s="27"/>
    </row>
    <row r="9" spans="1:45" x14ac:dyDescent="0.25">
      <c r="A9" s="206" t="s">
        <v>8</v>
      </c>
      <c r="B9" s="205" t="s">
        <v>711</v>
      </c>
      <c r="C9" s="189"/>
      <c r="D9" s="190"/>
      <c r="E9" s="188"/>
      <c r="F9" s="19"/>
      <c r="G9" s="313"/>
      <c r="H9" s="192"/>
      <c r="I9" s="180"/>
      <c r="J9" s="192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2"/>
      <c r="AC9" s="183"/>
      <c r="AD9" s="180"/>
      <c r="AE9" s="180"/>
      <c r="AF9" s="180"/>
      <c r="AG9" s="180"/>
      <c r="AH9" s="180"/>
      <c r="AI9" s="180"/>
      <c r="AJ9" s="180"/>
      <c r="AK9" s="182"/>
      <c r="AL9" s="180"/>
      <c r="AM9" s="180"/>
      <c r="AN9" s="182"/>
      <c r="AO9" s="180"/>
      <c r="AP9" s="182"/>
      <c r="AQ9" s="182"/>
      <c r="AR9" s="180"/>
      <c r="AS9" s="27"/>
    </row>
    <row r="10" spans="1:45" x14ac:dyDescent="0.25">
      <c r="A10" s="83" t="s">
        <v>11</v>
      </c>
      <c r="B10" s="164" t="s">
        <v>43</v>
      </c>
      <c r="C10" s="166">
        <v>3</v>
      </c>
      <c r="D10" s="168"/>
      <c r="E10" s="164"/>
      <c r="F10" s="129">
        <f>AVERAGE(V10,W10,Y10)</f>
        <v>4.666666666666667</v>
      </c>
      <c r="G10" s="312"/>
      <c r="H10" s="128"/>
      <c r="I10" s="128"/>
      <c r="J10" s="128"/>
      <c r="K10" s="108"/>
      <c r="L10" s="128"/>
      <c r="M10" s="128"/>
      <c r="N10" s="69"/>
      <c r="O10" s="108"/>
      <c r="P10" s="128"/>
      <c r="Q10" s="128"/>
      <c r="R10" s="128"/>
      <c r="S10" s="108"/>
      <c r="T10" s="128"/>
      <c r="U10" s="128"/>
      <c r="V10" s="128">
        <v>5</v>
      </c>
      <c r="W10" s="128">
        <v>4</v>
      </c>
      <c r="X10" s="128"/>
      <c r="Y10" s="128">
        <v>5</v>
      </c>
      <c r="Z10" s="128"/>
      <c r="AA10" s="128"/>
      <c r="AB10" s="38"/>
      <c r="AC10" s="58"/>
      <c r="AD10" s="128"/>
      <c r="AE10" s="128"/>
      <c r="AF10" s="128"/>
      <c r="AG10" s="128"/>
      <c r="AH10" s="128"/>
      <c r="AI10" s="128"/>
      <c r="AJ10" s="128"/>
      <c r="AK10" s="38"/>
      <c r="AL10" s="128"/>
      <c r="AM10" s="128"/>
      <c r="AN10" s="38"/>
      <c r="AO10" s="128"/>
      <c r="AP10" s="38"/>
      <c r="AQ10" s="38"/>
      <c r="AR10" s="128"/>
      <c r="AS10" s="27"/>
    </row>
    <row r="11" spans="1:45" x14ac:dyDescent="0.25">
      <c r="A11" s="83" t="s">
        <v>11</v>
      </c>
      <c r="B11" s="160" t="s">
        <v>214</v>
      </c>
      <c r="C11" s="166">
        <v>8</v>
      </c>
      <c r="D11" s="168">
        <v>2</v>
      </c>
      <c r="E11" s="164"/>
      <c r="F11" s="129">
        <f>AVERAGE(I11,G11,K11,V11,W11,X11,Y11)</f>
        <v>4.7142857142857144</v>
      </c>
      <c r="G11" s="312">
        <v>6</v>
      </c>
      <c r="H11" s="108"/>
      <c r="I11" s="128">
        <v>5</v>
      </c>
      <c r="J11" s="108"/>
      <c r="K11" s="128">
        <v>5</v>
      </c>
      <c r="L11" s="108" t="s">
        <v>546</v>
      </c>
      <c r="M11" s="128"/>
      <c r="N11" s="128"/>
      <c r="O11" s="128"/>
      <c r="P11" s="128"/>
      <c r="Q11" s="128"/>
      <c r="R11" s="108" t="s">
        <v>153</v>
      </c>
      <c r="S11" s="108" t="s">
        <v>153</v>
      </c>
      <c r="T11" s="128"/>
      <c r="U11" s="128"/>
      <c r="V11" s="128">
        <v>6</v>
      </c>
      <c r="W11" s="128">
        <v>4</v>
      </c>
      <c r="X11" s="303">
        <v>3</v>
      </c>
      <c r="Y11" s="108">
        <v>4</v>
      </c>
      <c r="Z11" s="128"/>
      <c r="AA11" s="128"/>
      <c r="AB11" s="38"/>
      <c r="AC11" s="58"/>
      <c r="AD11" s="128"/>
      <c r="AE11" s="128"/>
      <c r="AF11" s="128"/>
      <c r="AG11" s="128"/>
      <c r="AH11" s="128"/>
      <c r="AI11" s="128"/>
      <c r="AJ11" s="128"/>
      <c r="AK11" s="38"/>
      <c r="AL11" s="128"/>
      <c r="AM11" s="128"/>
      <c r="AN11" s="38"/>
      <c r="AO11" s="128"/>
      <c r="AP11" s="38"/>
      <c r="AQ11" s="38"/>
      <c r="AR11" s="128"/>
      <c r="AS11" s="27"/>
    </row>
    <row r="12" spans="1:45" x14ac:dyDescent="0.25">
      <c r="A12" s="83" t="s">
        <v>11</v>
      </c>
      <c r="B12" s="160" t="s">
        <v>323</v>
      </c>
      <c r="C12" s="166">
        <v>1</v>
      </c>
      <c r="D12" s="168"/>
      <c r="E12" s="164"/>
      <c r="F12" s="129">
        <f>AVERAGE(N12)</f>
        <v>5</v>
      </c>
      <c r="G12" s="312"/>
      <c r="H12" s="68"/>
      <c r="I12" s="128"/>
      <c r="J12" s="108"/>
      <c r="K12" s="128"/>
      <c r="L12" s="128"/>
      <c r="M12" s="128"/>
      <c r="N12" s="128">
        <v>5</v>
      </c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38"/>
      <c r="AC12" s="58"/>
      <c r="AD12" s="128"/>
      <c r="AE12" s="128"/>
      <c r="AF12" s="128"/>
      <c r="AG12" s="128"/>
      <c r="AH12" s="128"/>
      <c r="AI12" s="128"/>
      <c r="AJ12" s="128"/>
      <c r="AK12" s="38"/>
      <c r="AL12" s="128"/>
      <c r="AM12" s="128"/>
      <c r="AN12" s="38"/>
      <c r="AO12" s="128"/>
      <c r="AP12" s="38"/>
      <c r="AQ12" s="38"/>
      <c r="AR12" s="128"/>
      <c r="AS12" s="27"/>
    </row>
    <row r="13" spans="1:45" x14ac:dyDescent="0.25">
      <c r="A13" s="83" t="s">
        <v>11</v>
      </c>
      <c r="B13" s="160" t="s">
        <v>16</v>
      </c>
      <c r="C13" s="166">
        <v>8</v>
      </c>
      <c r="D13" s="168">
        <v>2</v>
      </c>
      <c r="E13" s="164"/>
      <c r="F13" s="129">
        <f>AVERAGE(K13,L13,M13,N13,O13,P13,Q13,R13)</f>
        <v>5.5</v>
      </c>
      <c r="G13" s="314"/>
      <c r="H13" s="68"/>
      <c r="I13" s="128"/>
      <c r="J13" s="108" t="s">
        <v>153</v>
      </c>
      <c r="K13" s="128">
        <v>5</v>
      </c>
      <c r="L13" s="128">
        <v>5</v>
      </c>
      <c r="M13" s="128">
        <v>6</v>
      </c>
      <c r="N13" s="128">
        <v>5</v>
      </c>
      <c r="O13" s="128">
        <v>5</v>
      </c>
      <c r="P13" s="128">
        <v>5</v>
      </c>
      <c r="Q13" s="128">
        <v>6</v>
      </c>
      <c r="R13" s="283">
        <v>7</v>
      </c>
      <c r="S13" s="108" t="s">
        <v>153</v>
      </c>
      <c r="T13" s="128"/>
      <c r="U13" s="128"/>
      <c r="V13" s="128"/>
      <c r="W13" s="128"/>
      <c r="X13" s="70"/>
      <c r="Y13" s="128"/>
      <c r="Z13" s="128"/>
      <c r="AA13" s="128"/>
      <c r="AB13" s="38"/>
      <c r="AC13" s="128"/>
      <c r="AD13" s="128"/>
      <c r="AE13" s="128"/>
      <c r="AF13" s="128"/>
      <c r="AG13" s="128"/>
      <c r="AH13" s="128"/>
      <c r="AI13" s="128"/>
      <c r="AJ13" s="128"/>
      <c r="AK13" s="38"/>
      <c r="AL13" s="128"/>
      <c r="AM13" s="69"/>
      <c r="AN13" s="38"/>
      <c r="AO13" s="128"/>
      <c r="AP13" s="38"/>
      <c r="AQ13" s="38"/>
      <c r="AR13" s="128"/>
      <c r="AS13" s="27"/>
    </row>
    <row r="14" spans="1:45" x14ac:dyDescent="0.25">
      <c r="A14" s="83" t="s">
        <v>11</v>
      </c>
      <c r="B14" s="164" t="s">
        <v>44</v>
      </c>
      <c r="C14" s="166">
        <v>6</v>
      </c>
      <c r="D14" s="168"/>
      <c r="E14" s="164"/>
      <c r="F14" s="129">
        <f>AVERAGE(H14,G14,L14,M14,U14)</f>
        <v>5.2</v>
      </c>
      <c r="G14" s="312">
        <v>6</v>
      </c>
      <c r="H14" s="108">
        <v>6</v>
      </c>
      <c r="I14" s="128"/>
      <c r="J14" s="108"/>
      <c r="K14" s="128"/>
      <c r="L14" s="128">
        <v>4</v>
      </c>
      <c r="M14" s="128">
        <v>5</v>
      </c>
      <c r="N14" s="128"/>
      <c r="O14" s="128" t="s">
        <v>546</v>
      </c>
      <c r="P14" s="128"/>
      <c r="Q14" s="128"/>
      <c r="R14" s="128"/>
      <c r="S14" s="128"/>
      <c r="T14" s="128"/>
      <c r="U14" s="128">
        <v>5</v>
      </c>
      <c r="V14" s="128"/>
      <c r="W14" s="128"/>
      <c r="X14" s="128"/>
      <c r="Y14" s="128"/>
      <c r="Z14" s="128"/>
      <c r="AA14" s="128"/>
      <c r="AB14" s="38"/>
      <c r="AC14" s="38"/>
      <c r="AD14" s="128"/>
      <c r="AE14" s="128"/>
      <c r="AF14" s="128"/>
      <c r="AG14" s="128"/>
      <c r="AH14" s="128"/>
      <c r="AI14" s="128"/>
      <c r="AJ14" s="128"/>
      <c r="AK14" s="38"/>
      <c r="AL14" s="128"/>
      <c r="AM14" s="128"/>
      <c r="AN14" s="38"/>
      <c r="AO14" s="128"/>
      <c r="AP14" s="38"/>
      <c r="AQ14" s="38"/>
      <c r="AR14" s="128"/>
      <c r="AS14" s="27"/>
    </row>
    <row r="15" spans="1:45" s="141" customFormat="1" x14ac:dyDescent="0.25">
      <c r="A15" s="83" t="s">
        <v>11</v>
      </c>
      <c r="B15" s="164" t="s">
        <v>34</v>
      </c>
      <c r="C15" s="166">
        <v>13</v>
      </c>
      <c r="D15" s="168">
        <v>2</v>
      </c>
      <c r="E15" s="164"/>
      <c r="F15" s="129">
        <f>AVERAGE(X15,V15,H15,J15,L15,M15,N15,O15,Q15,R15,S15,T15,U15,W15)</f>
        <v>5.2142857142857144</v>
      </c>
      <c r="G15" s="312" t="s">
        <v>153</v>
      </c>
      <c r="H15" s="108">
        <v>5</v>
      </c>
      <c r="I15" s="128"/>
      <c r="J15" s="108">
        <v>5</v>
      </c>
      <c r="K15" s="128"/>
      <c r="L15" s="128">
        <v>5</v>
      </c>
      <c r="M15" s="128">
        <v>6</v>
      </c>
      <c r="N15" s="128">
        <v>5</v>
      </c>
      <c r="O15" s="128">
        <v>6</v>
      </c>
      <c r="P15" s="128"/>
      <c r="Q15" s="128">
        <v>6</v>
      </c>
      <c r="R15" s="128">
        <v>5</v>
      </c>
      <c r="S15" s="282">
        <v>7</v>
      </c>
      <c r="T15" s="128">
        <v>5</v>
      </c>
      <c r="U15" s="303">
        <v>3</v>
      </c>
      <c r="V15" s="128">
        <v>6</v>
      </c>
      <c r="W15" s="128">
        <v>4</v>
      </c>
      <c r="X15" s="128">
        <v>5</v>
      </c>
      <c r="Y15" s="128"/>
      <c r="Z15" s="128"/>
      <c r="AA15" s="128"/>
      <c r="AB15" s="38"/>
      <c r="AC15" s="38"/>
      <c r="AD15" s="128"/>
      <c r="AE15" s="128"/>
      <c r="AF15" s="128"/>
      <c r="AG15" s="128"/>
      <c r="AH15" s="128"/>
      <c r="AI15" s="128"/>
      <c r="AJ15" s="128"/>
      <c r="AK15" s="38"/>
      <c r="AL15" s="128"/>
      <c r="AM15" s="128"/>
      <c r="AN15" s="38"/>
      <c r="AO15" s="128"/>
      <c r="AP15" s="38"/>
      <c r="AQ15" s="38"/>
      <c r="AR15" s="128"/>
      <c r="AS15" s="174"/>
    </row>
    <row r="16" spans="1:45" s="141" customFormat="1" x14ac:dyDescent="0.25">
      <c r="A16" s="83" t="s">
        <v>11</v>
      </c>
      <c r="B16" s="248" t="s">
        <v>488</v>
      </c>
      <c r="C16" s="166">
        <v>11</v>
      </c>
      <c r="D16" s="168">
        <v>2</v>
      </c>
      <c r="E16" s="164">
        <v>1</v>
      </c>
      <c r="F16" s="129">
        <f>AVERAGE(H16,I16,J16,G16,P16,S16,T16,U16,X16)</f>
        <v>5</v>
      </c>
      <c r="G16" s="312">
        <v>5</v>
      </c>
      <c r="H16" s="108">
        <v>5</v>
      </c>
      <c r="I16" s="128">
        <v>4</v>
      </c>
      <c r="J16" s="108">
        <v>5</v>
      </c>
      <c r="K16" s="108" t="s">
        <v>153</v>
      </c>
      <c r="L16" s="128"/>
      <c r="M16" s="128"/>
      <c r="N16" s="128"/>
      <c r="O16" s="128"/>
      <c r="P16" s="69">
        <v>6</v>
      </c>
      <c r="Q16" s="128"/>
      <c r="R16" s="108" t="s">
        <v>153</v>
      </c>
      <c r="S16" s="128">
        <v>5</v>
      </c>
      <c r="T16" s="128">
        <v>5</v>
      </c>
      <c r="U16" s="128">
        <v>5</v>
      </c>
      <c r="V16" s="108" t="s">
        <v>555</v>
      </c>
      <c r="W16" s="128"/>
      <c r="X16" s="128">
        <v>5</v>
      </c>
      <c r="Y16" s="128" t="s">
        <v>546</v>
      </c>
      <c r="Z16" s="128"/>
      <c r="AA16" s="128"/>
      <c r="AB16" s="38"/>
      <c r="AC16" s="38"/>
      <c r="AD16" s="128"/>
      <c r="AE16" s="128"/>
      <c r="AF16" s="128"/>
      <c r="AG16" s="128"/>
      <c r="AH16" s="128"/>
      <c r="AI16" s="128"/>
      <c r="AJ16" s="128"/>
      <c r="AK16" s="38"/>
      <c r="AL16" s="128"/>
      <c r="AM16" s="128"/>
      <c r="AN16" s="38"/>
      <c r="AO16" s="128"/>
      <c r="AP16" s="38"/>
      <c r="AQ16" s="38"/>
      <c r="AR16" s="128"/>
      <c r="AS16" s="174"/>
    </row>
    <row r="17" spans="1:45" s="141" customFormat="1" x14ac:dyDescent="0.25">
      <c r="A17" s="83" t="s">
        <v>11</v>
      </c>
      <c r="B17" s="163" t="s">
        <v>521</v>
      </c>
      <c r="C17" s="166">
        <v>9</v>
      </c>
      <c r="D17" s="168"/>
      <c r="E17" s="176" t="s">
        <v>617</v>
      </c>
      <c r="F17" s="129">
        <f>AVERAGE(I17,J17,K17,P17,R17,S17,T17,X17,Y17)</f>
        <v>4.5555555555555554</v>
      </c>
      <c r="G17" s="312"/>
      <c r="H17" s="108"/>
      <c r="I17" s="128">
        <v>4</v>
      </c>
      <c r="J17" s="108">
        <v>5</v>
      </c>
      <c r="K17" s="128">
        <v>6</v>
      </c>
      <c r="L17" s="128"/>
      <c r="M17" s="128"/>
      <c r="N17" s="128"/>
      <c r="O17" s="128"/>
      <c r="P17" s="128">
        <v>4</v>
      </c>
      <c r="Q17" s="128"/>
      <c r="R17" s="128">
        <v>6</v>
      </c>
      <c r="S17" s="128">
        <v>5</v>
      </c>
      <c r="T17" s="128">
        <v>4</v>
      </c>
      <c r="U17" s="128"/>
      <c r="V17" s="128"/>
      <c r="W17" s="128"/>
      <c r="X17" s="303">
        <v>2</v>
      </c>
      <c r="Y17" s="128">
        <v>5</v>
      </c>
      <c r="Z17" s="128"/>
      <c r="AA17" s="128"/>
      <c r="AB17" s="38"/>
      <c r="AC17" s="38"/>
      <c r="AD17" s="128"/>
      <c r="AE17" s="128"/>
      <c r="AF17" s="128"/>
      <c r="AG17" s="128"/>
      <c r="AH17" s="128"/>
      <c r="AI17" s="128"/>
      <c r="AJ17" s="128"/>
      <c r="AK17" s="38"/>
      <c r="AL17" s="128"/>
      <c r="AM17" s="128"/>
      <c r="AN17" s="38"/>
      <c r="AO17" s="128"/>
      <c r="AP17" s="38"/>
      <c r="AQ17" s="38"/>
      <c r="AR17" s="128"/>
      <c r="AS17" s="174"/>
    </row>
    <row r="18" spans="1:45" x14ac:dyDescent="0.25">
      <c r="A18" s="13" t="s">
        <v>11</v>
      </c>
      <c r="B18" s="172" t="s">
        <v>45</v>
      </c>
      <c r="C18" s="170">
        <v>12</v>
      </c>
      <c r="D18" s="171"/>
      <c r="E18" s="172"/>
      <c r="F18" s="34">
        <f>AVERAGE(H18,I18,J18,G18,K18,L18,M18,N18,O18,P18,Q18,S18)</f>
        <v>5.333333333333333</v>
      </c>
      <c r="G18" s="312">
        <v>5</v>
      </c>
      <c r="H18" s="108">
        <v>6</v>
      </c>
      <c r="I18" s="128">
        <v>5</v>
      </c>
      <c r="J18" s="108">
        <v>6</v>
      </c>
      <c r="K18" s="128">
        <v>6</v>
      </c>
      <c r="L18" s="70">
        <v>5</v>
      </c>
      <c r="M18" s="128">
        <v>5</v>
      </c>
      <c r="N18" s="128">
        <v>4</v>
      </c>
      <c r="O18" s="128">
        <v>6</v>
      </c>
      <c r="P18" s="128">
        <v>5</v>
      </c>
      <c r="Q18" s="128">
        <v>6</v>
      </c>
      <c r="R18" s="128"/>
      <c r="S18" s="128">
        <v>5</v>
      </c>
      <c r="T18" s="128"/>
      <c r="U18" s="128"/>
      <c r="V18" s="128"/>
      <c r="W18" s="128"/>
      <c r="X18" s="128"/>
      <c r="Y18" s="128"/>
      <c r="Z18" s="128"/>
      <c r="AA18" s="128"/>
      <c r="AB18" s="38"/>
      <c r="AC18" s="38"/>
      <c r="AD18" s="128"/>
      <c r="AE18" s="128"/>
      <c r="AF18" s="128"/>
      <c r="AG18" s="128"/>
      <c r="AH18" s="128"/>
      <c r="AI18" s="128"/>
      <c r="AJ18" s="128"/>
      <c r="AK18" s="38"/>
      <c r="AL18" s="128"/>
      <c r="AM18" s="128"/>
      <c r="AN18" s="38"/>
      <c r="AO18" s="128"/>
      <c r="AP18" s="38"/>
      <c r="AQ18" s="38"/>
      <c r="AR18" s="128"/>
      <c r="AS18" s="27"/>
    </row>
    <row r="19" spans="1:45" x14ac:dyDescent="0.25">
      <c r="A19" s="83" t="s">
        <v>29</v>
      </c>
      <c r="B19" s="164" t="s">
        <v>46</v>
      </c>
      <c r="C19" s="166"/>
      <c r="D19" s="168"/>
      <c r="E19" s="164"/>
      <c r="F19" s="129"/>
      <c r="G19" s="312"/>
      <c r="H19" s="108"/>
      <c r="I19" s="128"/>
      <c r="J19" s="10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38"/>
      <c r="AC19" s="58"/>
      <c r="AD19" s="128"/>
      <c r="AE19" s="128"/>
      <c r="AF19" s="128"/>
      <c r="AG19" s="128"/>
      <c r="AH19" s="128"/>
      <c r="AI19" s="128"/>
      <c r="AJ19" s="128"/>
      <c r="AK19" s="38"/>
      <c r="AL19" s="128"/>
      <c r="AM19" s="128"/>
      <c r="AN19" s="38"/>
      <c r="AO19" s="128"/>
      <c r="AP19" s="38"/>
      <c r="AQ19" s="62"/>
      <c r="AR19" s="108"/>
      <c r="AS19" s="27"/>
    </row>
    <row r="20" spans="1:45" x14ac:dyDescent="0.25">
      <c r="A20" s="83" t="s">
        <v>29</v>
      </c>
      <c r="B20" s="164" t="s">
        <v>47</v>
      </c>
      <c r="C20" s="166">
        <v>2</v>
      </c>
      <c r="D20" s="168">
        <v>2</v>
      </c>
      <c r="E20" s="164">
        <v>1</v>
      </c>
      <c r="F20" s="129">
        <f>AVERAGE(X20,Y20)</f>
        <v>5</v>
      </c>
      <c r="G20" s="312"/>
      <c r="H20" s="108"/>
      <c r="I20" s="128"/>
      <c r="J20" s="10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08" t="s">
        <v>153</v>
      </c>
      <c r="V20" s="128"/>
      <c r="W20" s="108" t="s">
        <v>153</v>
      </c>
      <c r="X20" s="128">
        <v>4</v>
      </c>
      <c r="Y20" s="57">
        <v>6</v>
      </c>
      <c r="Z20" s="128"/>
      <c r="AA20" s="128"/>
      <c r="AB20" s="38"/>
      <c r="AC20" s="58"/>
      <c r="AD20" s="128"/>
      <c r="AE20" s="128"/>
      <c r="AF20" s="128"/>
      <c r="AG20" s="128"/>
      <c r="AH20" s="128"/>
      <c r="AI20" s="128"/>
      <c r="AJ20" s="128"/>
      <c r="AK20" s="38"/>
      <c r="AL20" s="108"/>
      <c r="AM20" s="108"/>
      <c r="AN20" s="38"/>
      <c r="AO20" s="69"/>
      <c r="AP20" s="38"/>
      <c r="AQ20" s="38"/>
      <c r="AR20" s="128"/>
      <c r="AS20" s="27"/>
    </row>
    <row r="21" spans="1:45" x14ac:dyDescent="0.25">
      <c r="A21" s="83" t="s">
        <v>29</v>
      </c>
      <c r="B21" s="164" t="s">
        <v>48</v>
      </c>
      <c r="C21" s="166"/>
      <c r="D21" s="168">
        <v>11</v>
      </c>
      <c r="E21" s="164">
        <v>1</v>
      </c>
      <c r="F21" s="129">
        <f>AVERAGE(P21)</f>
        <v>6</v>
      </c>
      <c r="G21" s="312" t="s">
        <v>153</v>
      </c>
      <c r="H21" s="108" t="s">
        <v>153</v>
      </c>
      <c r="I21" s="108" t="s">
        <v>153</v>
      </c>
      <c r="J21" s="108"/>
      <c r="K21" s="128"/>
      <c r="L21" s="128"/>
      <c r="M21" s="128"/>
      <c r="N21" s="108" t="s">
        <v>153</v>
      </c>
      <c r="O21" s="108" t="s">
        <v>153</v>
      </c>
      <c r="P21" s="128">
        <v>6</v>
      </c>
      <c r="Q21" s="108" t="s">
        <v>153</v>
      </c>
      <c r="R21" s="108"/>
      <c r="S21" s="108"/>
      <c r="T21" s="128"/>
      <c r="U21" s="57" t="s">
        <v>153</v>
      </c>
      <c r="V21" s="108" t="s">
        <v>153</v>
      </c>
      <c r="W21" s="108"/>
      <c r="X21" s="108" t="s">
        <v>153</v>
      </c>
      <c r="Y21" s="108" t="s">
        <v>153</v>
      </c>
      <c r="Z21" s="128"/>
      <c r="AA21" s="128"/>
      <c r="AB21" s="38"/>
      <c r="AC21" s="56"/>
      <c r="AD21" s="108"/>
      <c r="AE21" s="128"/>
      <c r="AF21" s="108"/>
      <c r="AG21" s="128"/>
      <c r="AH21" s="108"/>
      <c r="AI21" s="128"/>
      <c r="AJ21" s="128"/>
      <c r="AK21" s="62"/>
      <c r="AL21" s="128"/>
      <c r="AM21" s="108"/>
      <c r="AN21" s="38"/>
      <c r="AO21" s="128"/>
      <c r="AP21" s="38"/>
      <c r="AQ21" s="38"/>
      <c r="AR21" s="128"/>
      <c r="AS21" s="27"/>
    </row>
    <row r="22" spans="1:45" x14ac:dyDescent="0.25">
      <c r="A22" s="83" t="s">
        <v>29</v>
      </c>
      <c r="B22" s="160" t="s">
        <v>49</v>
      </c>
      <c r="C22" s="166">
        <v>14</v>
      </c>
      <c r="D22" s="168">
        <v>4</v>
      </c>
      <c r="E22" s="164">
        <v>1</v>
      </c>
      <c r="F22" s="129">
        <f>AVERAGE(X22,V22,H22,I22,J22,G22,K22,N22,O22,P22,Q22,R22,S22,T22,U22,W22,Y22)</f>
        <v>5.3529411764705879</v>
      </c>
      <c r="G22" s="312">
        <v>6</v>
      </c>
      <c r="H22" s="209">
        <v>6</v>
      </c>
      <c r="I22" s="128">
        <v>4</v>
      </c>
      <c r="J22" s="108">
        <v>6</v>
      </c>
      <c r="K22" s="128">
        <v>4</v>
      </c>
      <c r="L22" s="108" t="s">
        <v>153</v>
      </c>
      <c r="M22" s="128"/>
      <c r="N22" s="128">
        <v>4</v>
      </c>
      <c r="O22" s="128">
        <v>5</v>
      </c>
      <c r="P22" s="128">
        <v>5</v>
      </c>
      <c r="Q22" s="128">
        <v>5</v>
      </c>
      <c r="R22" s="128">
        <v>6</v>
      </c>
      <c r="S22" s="282">
        <v>7</v>
      </c>
      <c r="T22" s="108">
        <v>5</v>
      </c>
      <c r="U22" s="128">
        <v>6</v>
      </c>
      <c r="V22" s="108">
        <v>6</v>
      </c>
      <c r="W22" s="128">
        <v>6</v>
      </c>
      <c r="X22" s="69">
        <v>5</v>
      </c>
      <c r="Y22" s="204">
        <v>5</v>
      </c>
      <c r="Z22" s="128"/>
      <c r="AA22" s="128"/>
      <c r="AB22" s="38"/>
      <c r="AC22" s="38"/>
      <c r="AD22" s="128"/>
      <c r="AE22" s="108"/>
      <c r="AF22" s="128"/>
      <c r="AG22" s="128"/>
      <c r="AH22" s="128"/>
      <c r="AI22" s="128"/>
      <c r="AJ22" s="128"/>
      <c r="AK22" s="38"/>
      <c r="AL22" s="128"/>
      <c r="AM22" s="128"/>
      <c r="AN22" s="62"/>
      <c r="AO22" s="108"/>
      <c r="AP22" s="38"/>
      <c r="AQ22" s="38"/>
      <c r="AR22" s="128"/>
      <c r="AS22" s="27"/>
    </row>
    <row r="23" spans="1:45" x14ac:dyDescent="0.25">
      <c r="A23" s="83" t="s">
        <v>29</v>
      </c>
      <c r="B23" s="160" t="s">
        <v>50</v>
      </c>
      <c r="C23" s="166">
        <v>5</v>
      </c>
      <c r="D23" s="168">
        <v>6</v>
      </c>
      <c r="E23" s="164"/>
      <c r="F23" s="129">
        <f>AVERAGE(G23,M23,V23,W23,Y23)</f>
        <v>4.8</v>
      </c>
      <c r="G23" s="336">
        <v>5</v>
      </c>
      <c r="H23" s="108"/>
      <c r="I23" s="128"/>
      <c r="J23" s="108"/>
      <c r="K23" s="128"/>
      <c r="L23" s="128"/>
      <c r="M23" s="128">
        <v>5</v>
      </c>
      <c r="N23" s="108" t="s">
        <v>153</v>
      </c>
      <c r="O23" s="108" t="s">
        <v>153</v>
      </c>
      <c r="P23" s="57"/>
      <c r="Q23" s="108" t="s">
        <v>153</v>
      </c>
      <c r="R23" s="128"/>
      <c r="S23" s="128" t="s">
        <v>546</v>
      </c>
      <c r="T23" s="108" t="s">
        <v>153</v>
      </c>
      <c r="U23" s="128"/>
      <c r="V23" s="128">
        <v>5</v>
      </c>
      <c r="W23" s="128">
        <v>4</v>
      </c>
      <c r="X23" s="108" t="s">
        <v>153</v>
      </c>
      <c r="Y23" s="128">
        <v>5</v>
      </c>
      <c r="Z23" s="108"/>
      <c r="AA23" s="108"/>
      <c r="AB23" s="38"/>
      <c r="AC23" s="58"/>
      <c r="AD23" s="128"/>
      <c r="AE23" s="128"/>
      <c r="AF23" s="108"/>
      <c r="AG23" s="108"/>
      <c r="AH23" s="108"/>
      <c r="AI23" s="108"/>
      <c r="AJ23" s="108"/>
      <c r="AK23" s="38"/>
      <c r="AL23" s="128"/>
      <c r="AM23" s="128"/>
      <c r="AN23" s="62"/>
      <c r="AO23" s="108"/>
      <c r="AP23" s="62"/>
      <c r="AQ23" s="38"/>
      <c r="AR23" s="128"/>
      <c r="AS23" s="27"/>
    </row>
    <row r="24" spans="1:45" x14ac:dyDescent="0.25">
      <c r="A24" s="83" t="s">
        <v>29</v>
      </c>
      <c r="B24" s="160" t="s">
        <v>52</v>
      </c>
      <c r="C24" s="166">
        <v>16</v>
      </c>
      <c r="D24" s="168"/>
      <c r="E24" s="176" t="s">
        <v>617</v>
      </c>
      <c r="F24" s="129">
        <f>AVERAGE(X24,V24,U24,H24,I24,J24,K24,L24,M24,O24,P24,Q24,R24,S24,T24,Y24)</f>
        <v>5.1875</v>
      </c>
      <c r="G24" s="228"/>
      <c r="H24" s="209">
        <v>5</v>
      </c>
      <c r="I24" s="128">
        <v>5</v>
      </c>
      <c r="J24" s="108">
        <v>5</v>
      </c>
      <c r="K24" s="128">
        <v>5</v>
      </c>
      <c r="L24" s="128">
        <v>6</v>
      </c>
      <c r="M24" s="128">
        <v>6</v>
      </c>
      <c r="N24" s="128"/>
      <c r="O24" s="128">
        <v>6</v>
      </c>
      <c r="P24" s="128">
        <v>5</v>
      </c>
      <c r="Q24" s="128">
        <v>6</v>
      </c>
      <c r="R24" s="128">
        <v>5</v>
      </c>
      <c r="S24" s="128">
        <v>4</v>
      </c>
      <c r="T24" s="128">
        <v>5</v>
      </c>
      <c r="U24" s="128">
        <v>4</v>
      </c>
      <c r="V24" s="128">
        <v>6</v>
      </c>
      <c r="W24" s="128"/>
      <c r="X24" s="128">
        <v>4</v>
      </c>
      <c r="Y24" s="128">
        <v>6</v>
      </c>
      <c r="Z24" s="128"/>
      <c r="AA24" s="128"/>
      <c r="AB24" s="38"/>
      <c r="AC24" s="128"/>
      <c r="AD24" s="128"/>
      <c r="AE24" s="128"/>
      <c r="AF24" s="128"/>
      <c r="AG24" s="128"/>
      <c r="AH24" s="128"/>
      <c r="AI24" s="128"/>
      <c r="AJ24" s="69"/>
      <c r="AK24" s="38"/>
      <c r="AL24" s="128"/>
      <c r="AM24" s="128"/>
      <c r="AN24" s="38"/>
      <c r="AO24" s="128"/>
      <c r="AP24" s="38"/>
      <c r="AQ24" s="38"/>
      <c r="AR24" s="128"/>
      <c r="AS24" s="27"/>
    </row>
    <row r="25" spans="1:45" x14ac:dyDescent="0.25">
      <c r="A25" s="83" t="s">
        <v>29</v>
      </c>
      <c r="B25" s="164" t="s">
        <v>227</v>
      </c>
      <c r="C25" s="166">
        <v>18</v>
      </c>
      <c r="D25" s="168">
        <v>1</v>
      </c>
      <c r="E25" s="164">
        <v>1</v>
      </c>
      <c r="F25" s="129">
        <f>AVERAGE(X25,U25,H25,I25,J25,G25,K25,L25,M25,N25,O25,P25,Q25,R25,S25,T25,V25,W25,Y25)</f>
        <v>5.4210526315789478</v>
      </c>
      <c r="G25" s="312">
        <v>6</v>
      </c>
      <c r="H25" s="209">
        <v>5</v>
      </c>
      <c r="I25" s="128">
        <v>5</v>
      </c>
      <c r="J25" s="290">
        <v>7</v>
      </c>
      <c r="K25" s="70">
        <v>6</v>
      </c>
      <c r="L25" s="128">
        <v>5</v>
      </c>
      <c r="M25" s="283">
        <v>7</v>
      </c>
      <c r="N25" s="128">
        <v>5</v>
      </c>
      <c r="O25" s="128">
        <v>6</v>
      </c>
      <c r="P25" s="128">
        <v>5</v>
      </c>
      <c r="Q25" s="128">
        <v>6</v>
      </c>
      <c r="R25" s="128">
        <v>6</v>
      </c>
      <c r="S25" s="128">
        <v>5</v>
      </c>
      <c r="T25" s="128">
        <v>5</v>
      </c>
      <c r="U25" s="128">
        <v>5</v>
      </c>
      <c r="V25" s="204">
        <v>5</v>
      </c>
      <c r="W25" s="108">
        <v>5</v>
      </c>
      <c r="X25" s="128">
        <v>4</v>
      </c>
      <c r="Y25" s="70">
        <v>5</v>
      </c>
      <c r="Z25" s="128"/>
      <c r="AA25" s="128"/>
      <c r="AB25" s="66"/>
      <c r="AC25" s="128"/>
      <c r="AD25" s="128"/>
      <c r="AE25" s="128"/>
      <c r="AF25" s="128"/>
      <c r="AG25" s="69"/>
      <c r="AH25" s="69"/>
      <c r="AI25" s="128"/>
      <c r="AJ25" s="128"/>
      <c r="AK25" s="38"/>
      <c r="AL25" s="128"/>
      <c r="AM25" s="128"/>
      <c r="AN25" s="66"/>
      <c r="AO25" s="128"/>
      <c r="AP25" s="38"/>
      <c r="AQ25" s="38"/>
      <c r="AR25" s="128"/>
      <c r="AS25" s="27"/>
    </row>
    <row r="26" spans="1:45" x14ac:dyDescent="0.25">
      <c r="A26" s="83" t="s">
        <v>29</v>
      </c>
      <c r="B26" s="164" t="s">
        <v>53</v>
      </c>
      <c r="C26" s="166">
        <v>3</v>
      </c>
      <c r="D26" s="168">
        <v>3</v>
      </c>
      <c r="E26" s="164"/>
      <c r="F26" s="129">
        <f>AVERAGE(N26,V26,W26)</f>
        <v>4.666666666666667</v>
      </c>
      <c r="G26" s="314" t="s">
        <v>153</v>
      </c>
      <c r="H26" s="68"/>
      <c r="I26" s="128"/>
      <c r="J26" s="108" t="s">
        <v>153</v>
      </c>
      <c r="K26" s="128"/>
      <c r="L26" s="128"/>
      <c r="M26" s="108" t="s">
        <v>153</v>
      </c>
      <c r="N26" s="108">
        <v>4</v>
      </c>
      <c r="O26" s="128"/>
      <c r="P26" s="108"/>
      <c r="Q26" s="108"/>
      <c r="R26" s="108"/>
      <c r="S26" s="108"/>
      <c r="T26" s="128"/>
      <c r="U26" s="108"/>
      <c r="V26" s="128">
        <v>6</v>
      </c>
      <c r="W26" s="128">
        <v>4</v>
      </c>
      <c r="X26" s="108"/>
      <c r="Y26" s="128"/>
      <c r="Z26" s="128"/>
      <c r="AA26" s="108"/>
      <c r="AB26" s="38"/>
      <c r="AC26" s="58"/>
      <c r="AD26" s="108"/>
      <c r="AE26" s="128"/>
      <c r="AF26" s="128"/>
      <c r="AG26" s="128"/>
      <c r="AH26" s="128"/>
      <c r="AI26" s="128"/>
      <c r="AJ26" s="128"/>
      <c r="AK26" s="38"/>
      <c r="AL26" s="128"/>
      <c r="AM26" s="128"/>
      <c r="AN26" s="38"/>
      <c r="AO26" s="128"/>
      <c r="AP26" s="38"/>
      <c r="AQ26" s="62"/>
      <c r="AR26" s="128"/>
      <c r="AS26" s="27"/>
    </row>
    <row r="27" spans="1:45" x14ac:dyDescent="0.25">
      <c r="A27" s="83" t="s">
        <v>29</v>
      </c>
      <c r="B27" s="164" t="s">
        <v>250</v>
      </c>
      <c r="C27" s="166">
        <v>4</v>
      </c>
      <c r="D27" s="168"/>
      <c r="E27" s="164">
        <v>4</v>
      </c>
      <c r="F27" s="129">
        <f>AVERAGE(H27,I27,J27,G27)</f>
        <v>6.75</v>
      </c>
      <c r="G27" s="335">
        <v>7</v>
      </c>
      <c r="H27" s="108">
        <v>5</v>
      </c>
      <c r="I27" s="69">
        <v>6</v>
      </c>
      <c r="J27" s="294">
        <v>9</v>
      </c>
      <c r="K27" s="69"/>
      <c r="L27" s="128"/>
      <c r="M27" s="69"/>
      <c r="N27" s="128"/>
      <c r="O27" s="128"/>
      <c r="P27" s="69"/>
      <c r="Q27" s="128"/>
      <c r="R27" s="69"/>
      <c r="S27" s="69"/>
      <c r="T27" s="128"/>
      <c r="U27" s="128"/>
      <c r="V27" s="128"/>
      <c r="W27" s="128"/>
      <c r="X27" s="70"/>
      <c r="Y27" s="69"/>
      <c r="Z27" s="69"/>
      <c r="AA27" s="128"/>
      <c r="AB27" s="38"/>
      <c r="AC27" s="58"/>
      <c r="AD27" s="128"/>
      <c r="AE27" s="128"/>
      <c r="AF27" s="69"/>
      <c r="AG27" s="128"/>
      <c r="AH27" s="69"/>
      <c r="AI27" s="128"/>
      <c r="AJ27" s="128"/>
      <c r="AK27" s="66"/>
      <c r="AL27" s="128"/>
      <c r="AM27" s="128"/>
      <c r="AN27" s="38"/>
      <c r="AO27" s="128"/>
      <c r="AP27" s="38"/>
      <c r="AQ27" s="66"/>
      <c r="AR27" s="128"/>
      <c r="AS27" s="27"/>
    </row>
    <row r="28" spans="1:45" s="141" customFormat="1" x14ac:dyDescent="0.25">
      <c r="A28" s="83" t="s">
        <v>29</v>
      </c>
      <c r="B28" s="164" t="s">
        <v>511</v>
      </c>
      <c r="C28" s="166">
        <v>14</v>
      </c>
      <c r="D28" s="168"/>
      <c r="E28" s="164">
        <v>1</v>
      </c>
      <c r="F28" s="129">
        <f>AVERAGE(U28,H28,I28,J28,K28,L28,N28,O28,P28,Q28,R28,S28,T28,W28)</f>
        <v>5.5</v>
      </c>
      <c r="G28" s="314"/>
      <c r="H28" s="108">
        <v>4</v>
      </c>
      <c r="I28" s="128">
        <v>4</v>
      </c>
      <c r="J28" s="108">
        <v>6</v>
      </c>
      <c r="K28" s="344">
        <v>7</v>
      </c>
      <c r="L28" s="128">
        <v>5</v>
      </c>
      <c r="M28" s="69"/>
      <c r="N28" s="128">
        <v>5</v>
      </c>
      <c r="O28" s="128">
        <v>5</v>
      </c>
      <c r="P28" s="70">
        <v>5</v>
      </c>
      <c r="Q28" s="283">
        <v>8</v>
      </c>
      <c r="R28" s="344">
        <v>7</v>
      </c>
      <c r="S28" s="344">
        <v>7</v>
      </c>
      <c r="T28" s="128">
        <v>4</v>
      </c>
      <c r="U28" s="128">
        <v>5</v>
      </c>
      <c r="V28" s="128"/>
      <c r="W28" s="128">
        <v>5</v>
      </c>
      <c r="X28" s="70"/>
      <c r="Y28" s="69"/>
      <c r="Z28" s="69"/>
      <c r="AA28" s="128"/>
      <c r="AB28" s="38"/>
      <c r="AC28" s="58"/>
      <c r="AD28" s="128"/>
      <c r="AE28" s="128"/>
      <c r="AF28" s="69"/>
      <c r="AG28" s="128"/>
      <c r="AH28" s="69"/>
      <c r="AI28" s="128"/>
      <c r="AJ28" s="128"/>
      <c r="AK28" s="66"/>
      <c r="AL28" s="128"/>
      <c r="AM28" s="128"/>
      <c r="AN28" s="38"/>
      <c r="AO28" s="128"/>
      <c r="AP28" s="38"/>
      <c r="AQ28" s="66"/>
      <c r="AR28" s="128"/>
      <c r="AS28" s="174"/>
    </row>
    <row r="29" spans="1:45" s="141" customFormat="1" x14ac:dyDescent="0.25">
      <c r="A29" s="83" t="s">
        <v>29</v>
      </c>
      <c r="B29" s="248" t="s">
        <v>541</v>
      </c>
      <c r="C29" s="166">
        <v>8</v>
      </c>
      <c r="D29" s="168">
        <v>4</v>
      </c>
      <c r="E29" s="164">
        <v>1</v>
      </c>
      <c r="F29" s="129">
        <f>AVERAGE(L29,M29,O29,P29,Q29,R29,S29,T29,U29)</f>
        <v>4.666666666666667</v>
      </c>
      <c r="G29" s="314"/>
      <c r="H29" s="108"/>
      <c r="I29" s="128"/>
      <c r="J29" s="108"/>
      <c r="K29" s="69"/>
      <c r="L29" s="128">
        <v>4</v>
      </c>
      <c r="M29" s="70">
        <v>5</v>
      </c>
      <c r="N29" s="128"/>
      <c r="O29" s="128">
        <v>4</v>
      </c>
      <c r="P29" s="70">
        <v>4</v>
      </c>
      <c r="Q29" s="69">
        <v>6</v>
      </c>
      <c r="R29" s="70">
        <v>5</v>
      </c>
      <c r="S29" s="70">
        <v>5</v>
      </c>
      <c r="T29" s="128">
        <v>4</v>
      </c>
      <c r="U29" s="128">
        <v>5</v>
      </c>
      <c r="V29" s="128"/>
      <c r="W29" s="108" t="s">
        <v>153</v>
      </c>
      <c r="X29" s="204" t="s">
        <v>153</v>
      </c>
      <c r="Y29" s="204" t="s">
        <v>153</v>
      </c>
      <c r="Z29" s="69"/>
      <c r="AA29" s="128"/>
      <c r="AB29" s="38"/>
      <c r="AC29" s="58"/>
      <c r="AD29" s="128"/>
      <c r="AE29" s="128"/>
      <c r="AF29" s="69"/>
      <c r="AG29" s="128"/>
      <c r="AH29" s="69"/>
      <c r="AI29" s="128"/>
      <c r="AJ29" s="128"/>
      <c r="AK29" s="66"/>
      <c r="AL29" s="128"/>
      <c r="AM29" s="128"/>
      <c r="AN29" s="38"/>
      <c r="AO29" s="128"/>
      <c r="AP29" s="38"/>
      <c r="AQ29" s="66"/>
      <c r="AR29" s="128"/>
      <c r="AS29" s="174"/>
    </row>
    <row r="30" spans="1:45" s="141" customFormat="1" x14ac:dyDescent="0.25">
      <c r="A30" s="83" t="s">
        <v>29</v>
      </c>
      <c r="B30" s="248" t="s">
        <v>611</v>
      </c>
      <c r="C30" s="166">
        <v>1</v>
      </c>
      <c r="D30" s="168"/>
      <c r="E30" s="164"/>
      <c r="F30" s="129">
        <f>AVERAGE(W30)</f>
        <v>5</v>
      </c>
      <c r="G30" s="314"/>
      <c r="H30" s="108"/>
      <c r="I30" s="128"/>
      <c r="J30" s="108"/>
      <c r="K30" s="69"/>
      <c r="L30" s="128"/>
      <c r="M30" s="69"/>
      <c r="N30" s="128"/>
      <c r="O30" s="128"/>
      <c r="P30" s="70"/>
      <c r="Q30" s="128"/>
      <c r="R30" s="69"/>
      <c r="S30" s="69"/>
      <c r="T30" s="128"/>
      <c r="U30" s="128"/>
      <c r="V30" s="128"/>
      <c r="W30" s="128">
        <v>5</v>
      </c>
      <c r="X30" s="70"/>
      <c r="Y30" s="69"/>
      <c r="Z30" s="69"/>
      <c r="AA30" s="128"/>
      <c r="AB30" s="38"/>
      <c r="AC30" s="58"/>
      <c r="AD30" s="128"/>
      <c r="AE30" s="128"/>
      <c r="AF30" s="69"/>
      <c r="AG30" s="128"/>
      <c r="AH30" s="69"/>
      <c r="AI30" s="128"/>
      <c r="AJ30" s="128"/>
      <c r="AK30" s="66"/>
      <c r="AL30" s="128"/>
      <c r="AM30" s="128"/>
      <c r="AN30" s="38"/>
      <c r="AO30" s="128"/>
      <c r="AP30" s="38"/>
      <c r="AQ30" s="66"/>
      <c r="AR30" s="128"/>
      <c r="AS30" s="174"/>
    </row>
    <row r="31" spans="1:45" s="141" customFormat="1" x14ac:dyDescent="0.25">
      <c r="A31" s="83" t="s">
        <v>29</v>
      </c>
      <c r="B31" s="248" t="s">
        <v>612</v>
      </c>
      <c r="C31" s="166"/>
      <c r="D31" s="168"/>
      <c r="E31" s="164"/>
      <c r="F31" s="129"/>
      <c r="G31" s="314"/>
      <c r="H31" s="108"/>
      <c r="I31" s="128"/>
      <c r="J31" s="108"/>
      <c r="K31" s="69"/>
      <c r="L31" s="128"/>
      <c r="M31" s="69"/>
      <c r="N31" s="128"/>
      <c r="O31" s="128"/>
      <c r="P31" s="70"/>
      <c r="Q31" s="128"/>
      <c r="R31" s="69"/>
      <c r="S31" s="69"/>
      <c r="T31" s="128"/>
      <c r="U31" s="128"/>
      <c r="V31" s="128"/>
      <c r="W31" s="128"/>
      <c r="X31" s="70"/>
      <c r="Y31" s="69"/>
      <c r="Z31" s="69"/>
      <c r="AA31" s="128"/>
      <c r="AB31" s="38"/>
      <c r="AC31" s="58"/>
      <c r="AD31" s="128"/>
      <c r="AE31" s="128"/>
      <c r="AF31" s="69"/>
      <c r="AG31" s="128"/>
      <c r="AH31" s="69"/>
      <c r="AI31" s="128"/>
      <c r="AJ31" s="128"/>
      <c r="AK31" s="66"/>
      <c r="AL31" s="128"/>
      <c r="AM31" s="128"/>
      <c r="AN31" s="38"/>
      <c r="AO31" s="128"/>
      <c r="AP31" s="38"/>
      <c r="AQ31" s="66"/>
      <c r="AR31" s="128"/>
      <c r="AS31" s="174"/>
    </row>
    <row r="32" spans="1:45" s="141" customFormat="1" x14ac:dyDescent="0.25">
      <c r="A32" s="83" t="s">
        <v>29</v>
      </c>
      <c r="B32" s="248" t="s">
        <v>852</v>
      </c>
      <c r="C32" s="166"/>
      <c r="D32" s="168">
        <v>2</v>
      </c>
      <c r="E32" s="164"/>
      <c r="F32" s="129"/>
      <c r="G32" s="314"/>
      <c r="H32" s="108"/>
      <c r="I32" s="128"/>
      <c r="J32" s="108"/>
      <c r="K32" s="69"/>
      <c r="L32" s="128"/>
      <c r="M32" s="69"/>
      <c r="N32" s="128"/>
      <c r="O32" s="128"/>
      <c r="P32" s="70"/>
      <c r="Q32" s="128"/>
      <c r="R32" s="69"/>
      <c r="S32" s="69"/>
      <c r="T32" s="108" t="s">
        <v>153</v>
      </c>
      <c r="U32" s="128"/>
      <c r="V32" s="108" t="s">
        <v>153</v>
      </c>
      <c r="W32" s="128"/>
      <c r="X32" s="70"/>
      <c r="Y32" s="69"/>
      <c r="Z32" s="69"/>
      <c r="AA32" s="128"/>
      <c r="AB32" s="38"/>
      <c r="AC32" s="58"/>
      <c r="AD32" s="128"/>
      <c r="AE32" s="128"/>
      <c r="AF32" s="69"/>
      <c r="AG32" s="128"/>
      <c r="AH32" s="69"/>
      <c r="AI32" s="128"/>
      <c r="AJ32" s="128"/>
      <c r="AK32" s="66"/>
      <c r="AL32" s="128"/>
      <c r="AM32" s="128"/>
      <c r="AN32" s="38"/>
      <c r="AO32" s="128"/>
      <c r="AP32" s="38"/>
      <c r="AQ32" s="66"/>
      <c r="AR32" s="128"/>
      <c r="AS32" s="174"/>
    </row>
    <row r="33" spans="1:45" s="141" customFormat="1" x14ac:dyDescent="0.25">
      <c r="A33" s="13" t="s">
        <v>29</v>
      </c>
      <c r="B33" s="172" t="s">
        <v>238</v>
      </c>
      <c r="C33" s="170">
        <v>15</v>
      </c>
      <c r="D33" s="171">
        <v>3</v>
      </c>
      <c r="E33" s="172">
        <v>4</v>
      </c>
      <c r="F33" s="34">
        <f>AVERAGE(X33,V33,J33,G33,K33,L33,N33,O33,P33,Q33,R33,S33,T33,U33,Y33)</f>
        <v>4.7333333333333334</v>
      </c>
      <c r="G33" s="337">
        <v>5</v>
      </c>
      <c r="H33" s="57" t="s">
        <v>153</v>
      </c>
      <c r="I33" s="108" t="s">
        <v>153</v>
      </c>
      <c r="J33" s="57">
        <v>6</v>
      </c>
      <c r="K33" s="70">
        <v>4</v>
      </c>
      <c r="L33" s="128">
        <v>4</v>
      </c>
      <c r="M33" s="204" t="s">
        <v>153</v>
      </c>
      <c r="N33" s="69">
        <v>6</v>
      </c>
      <c r="O33" s="128">
        <v>4</v>
      </c>
      <c r="P33" s="70">
        <v>4</v>
      </c>
      <c r="Q33" s="282">
        <v>7</v>
      </c>
      <c r="R33" s="69">
        <v>6</v>
      </c>
      <c r="S33" s="70">
        <v>4</v>
      </c>
      <c r="T33" s="128">
        <v>4</v>
      </c>
      <c r="U33" s="128">
        <v>4</v>
      </c>
      <c r="V33" s="128">
        <v>5</v>
      </c>
      <c r="W33" s="128"/>
      <c r="X33" s="70">
        <v>4</v>
      </c>
      <c r="Y33" s="70">
        <v>4</v>
      </c>
      <c r="Z33" s="69"/>
      <c r="AA33" s="128"/>
      <c r="AB33" s="38"/>
      <c r="AC33" s="58"/>
      <c r="AD33" s="128"/>
      <c r="AE33" s="128"/>
      <c r="AF33" s="69"/>
      <c r="AG33" s="128"/>
      <c r="AH33" s="69"/>
      <c r="AI33" s="128"/>
      <c r="AJ33" s="128"/>
      <c r="AK33" s="66"/>
      <c r="AL33" s="128"/>
      <c r="AM33" s="128"/>
      <c r="AN33" s="38"/>
      <c r="AO33" s="128"/>
      <c r="AP33" s="38"/>
      <c r="AQ33" s="66"/>
      <c r="AR33" s="128"/>
      <c r="AS33" s="174"/>
    </row>
    <row r="34" spans="1:45" x14ac:dyDescent="0.25">
      <c r="A34" s="83" t="s">
        <v>30</v>
      </c>
      <c r="B34" s="160" t="s">
        <v>54</v>
      </c>
      <c r="C34" s="166">
        <v>15</v>
      </c>
      <c r="D34" s="168"/>
      <c r="E34" s="164">
        <v>6</v>
      </c>
      <c r="F34" s="129">
        <f>AVERAGE(V34,U34,H34,I34,G34,K34,L34,M34,O34,P34,Q34,R34,S34,T34,W34)</f>
        <v>5.1333333333333337</v>
      </c>
      <c r="G34" s="336">
        <v>4</v>
      </c>
      <c r="H34" s="204">
        <v>4</v>
      </c>
      <c r="I34" s="108">
        <v>5</v>
      </c>
      <c r="J34" s="57"/>
      <c r="K34" s="128">
        <v>5</v>
      </c>
      <c r="L34" s="69">
        <v>6</v>
      </c>
      <c r="M34" s="70">
        <v>5</v>
      </c>
      <c r="N34" s="128"/>
      <c r="O34" s="69">
        <v>6</v>
      </c>
      <c r="P34" s="70">
        <v>5</v>
      </c>
      <c r="Q34" s="128">
        <v>5</v>
      </c>
      <c r="R34" s="70">
        <v>5</v>
      </c>
      <c r="S34" s="283">
        <v>9</v>
      </c>
      <c r="T34" s="128">
        <v>4</v>
      </c>
      <c r="U34" s="69">
        <v>5</v>
      </c>
      <c r="V34" s="70">
        <v>5</v>
      </c>
      <c r="W34" s="70">
        <v>4</v>
      </c>
      <c r="X34" s="69"/>
      <c r="Y34" s="69"/>
      <c r="Z34" s="69"/>
      <c r="AA34" s="69"/>
      <c r="AB34" s="66"/>
      <c r="AC34" s="58"/>
      <c r="AD34" s="128"/>
      <c r="AE34" s="128"/>
      <c r="AF34" s="128"/>
      <c r="AG34" s="128"/>
      <c r="AH34" s="69"/>
      <c r="AI34" s="128"/>
      <c r="AJ34" s="128"/>
      <c r="AK34" s="66"/>
      <c r="AL34" s="69"/>
      <c r="AM34" s="128"/>
      <c r="AN34" s="66"/>
      <c r="AO34" s="69"/>
      <c r="AP34" s="38"/>
      <c r="AQ34" s="38"/>
      <c r="AR34" s="128"/>
      <c r="AS34" s="27"/>
    </row>
    <row r="35" spans="1:45" s="141" customFormat="1" x14ac:dyDescent="0.25">
      <c r="A35" s="83" t="s">
        <v>30</v>
      </c>
      <c r="B35" s="218" t="s">
        <v>645</v>
      </c>
      <c r="C35" s="166">
        <v>1</v>
      </c>
      <c r="D35" s="168">
        <v>3</v>
      </c>
      <c r="E35" s="164">
        <v>1</v>
      </c>
      <c r="F35" s="129">
        <f>AVERAGE(M35)</f>
        <v>6</v>
      </c>
      <c r="G35" s="336"/>
      <c r="H35" s="204"/>
      <c r="I35" s="108"/>
      <c r="J35" s="57"/>
      <c r="K35" s="108" t="s">
        <v>153</v>
      </c>
      <c r="L35" s="108" t="s">
        <v>153</v>
      </c>
      <c r="M35" s="69">
        <v>6</v>
      </c>
      <c r="N35" s="108" t="s">
        <v>153</v>
      </c>
      <c r="O35" s="69"/>
      <c r="P35" s="69"/>
      <c r="Q35" s="128"/>
      <c r="R35" s="69"/>
      <c r="S35" s="69"/>
      <c r="T35" s="128"/>
      <c r="U35" s="128"/>
      <c r="V35" s="70"/>
      <c r="W35" s="69"/>
      <c r="X35" s="69"/>
      <c r="Y35" s="69"/>
      <c r="Z35" s="69"/>
      <c r="AA35" s="69"/>
      <c r="AB35" s="66"/>
      <c r="AC35" s="58"/>
      <c r="AD35" s="128"/>
      <c r="AE35" s="128"/>
      <c r="AF35" s="128"/>
      <c r="AG35" s="128"/>
      <c r="AH35" s="69"/>
      <c r="AI35" s="128"/>
      <c r="AJ35" s="128"/>
      <c r="AK35" s="66"/>
      <c r="AL35" s="69"/>
      <c r="AM35" s="128"/>
      <c r="AN35" s="66"/>
      <c r="AO35" s="69"/>
      <c r="AP35" s="38"/>
      <c r="AQ35" s="38"/>
      <c r="AR35" s="128"/>
      <c r="AS35" s="174"/>
    </row>
    <row r="36" spans="1:45" s="116" customFormat="1" ht="15.75" thickBot="1" x14ac:dyDescent="0.3">
      <c r="A36" s="3" t="s">
        <v>30</v>
      </c>
      <c r="B36" s="316" t="s">
        <v>380</v>
      </c>
      <c r="C36" s="167">
        <v>3</v>
      </c>
      <c r="D36" s="169">
        <v>11</v>
      </c>
      <c r="E36" s="165">
        <v>1</v>
      </c>
      <c r="F36" s="33">
        <f>AVERAGE(N36,W36,X36,Y36)</f>
        <v>4.25</v>
      </c>
      <c r="G36" s="312"/>
      <c r="H36" s="68" t="s">
        <v>153</v>
      </c>
      <c r="I36" s="108" t="s">
        <v>153</v>
      </c>
      <c r="J36" s="108" t="s">
        <v>153</v>
      </c>
      <c r="K36" s="108" t="s">
        <v>153</v>
      </c>
      <c r="L36" s="108"/>
      <c r="M36" s="108" t="s">
        <v>153</v>
      </c>
      <c r="N36" s="108">
        <v>4</v>
      </c>
      <c r="O36" s="108"/>
      <c r="P36" s="108" t="s">
        <v>153</v>
      </c>
      <c r="Q36" s="57" t="s">
        <v>153</v>
      </c>
      <c r="R36" s="108" t="s">
        <v>153</v>
      </c>
      <c r="S36" s="128"/>
      <c r="T36" s="108" t="s">
        <v>153</v>
      </c>
      <c r="U36" s="108" t="s">
        <v>153</v>
      </c>
      <c r="V36" s="108"/>
      <c r="W36" s="108">
        <v>4</v>
      </c>
      <c r="X36" s="128">
        <v>4</v>
      </c>
      <c r="Y36" s="128">
        <v>5</v>
      </c>
      <c r="Z36" s="128"/>
      <c r="AA36" s="128"/>
      <c r="AB36" s="62"/>
      <c r="AC36" s="56"/>
      <c r="AD36" s="128"/>
      <c r="AE36" s="128"/>
      <c r="AF36" s="128"/>
      <c r="AG36" s="128"/>
      <c r="AH36" s="128"/>
      <c r="AI36" s="128"/>
      <c r="AJ36" s="108"/>
      <c r="AK36" s="38"/>
      <c r="AL36" s="128"/>
      <c r="AM36" s="128"/>
      <c r="AN36" s="38"/>
      <c r="AO36" s="128"/>
      <c r="AP36" s="38"/>
      <c r="AQ36" s="38"/>
      <c r="AR36" s="128"/>
      <c r="AS36" s="120"/>
    </row>
    <row r="37" spans="1:45" x14ac:dyDescent="0.25">
      <c r="F37" s="121"/>
      <c r="G37" s="284">
        <f>AVERAGE(G7,G11,G14,G16,G18,G22,G23,G25,G27,G33,G34)</f>
        <v>5.5454545454545459</v>
      </c>
      <c r="H37" s="284">
        <f>AVERAGE(H7,H14,H15,H16,H18,H22,H24,H25,H27,H28,H34)</f>
        <v>5.1818181818181817</v>
      </c>
      <c r="I37" s="285">
        <f>AVERAGE(I7,I11,I16,I17,I18,I22,I24,I25,I27,I28,I34)</f>
        <v>4.7272727272727275</v>
      </c>
      <c r="J37" s="286">
        <f>AVERAGE(J7,J15,J16,J17,J18,J22,J24,J25,J27,J28,J33)</f>
        <v>6.0909090909090908</v>
      </c>
      <c r="K37" s="286">
        <f>AVERAGE(K7,K11,K13,K17,K18,K22,K24,K25,K28,K34,K33)</f>
        <v>5.3636363636363633</v>
      </c>
      <c r="L37" s="284">
        <f>AVERAGE(L7,L13,L14,L18,L24,L25,L28,L29,L34,L33,L15)</f>
        <v>4.9090909090909092</v>
      </c>
      <c r="M37" s="284">
        <f>AVERAGE(M7,M13,M14,M15,M18,M24,M23,M25,M29,M34,M35)</f>
        <v>5.6363636363636367</v>
      </c>
      <c r="N37" s="284">
        <f>AVERAGE(N7,N12,N13,N15,N18,N22,N25,N26,N28,N33,N36)</f>
        <v>4.6363636363636367</v>
      </c>
      <c r="O37" s="284">
        <f>AVERAGE(O7,O13,O14,O15,O18,O24,O25,O28,O29,O33,O34)</f>
        <v>5.4</v>
      </c>
      <c r="P37" s="284">
        <f>AVERAGE(P7,P13,P16,P17,P18,P24,P25,P28,P29,P33,P34)</f>
        <v>4.7272727272727275</v>
      </c>
      <c r="Q37" s="284">
        <f>AVERAGE(Q7,Q13,Q15,Q18,Q22,Q24,Q25,Q28,Q29,Q33,Q34)</f>
        <v>6.1818181818181817</v>
      </c>
      <c r="R37" s="284">
        <f>AVERAGE(R7,R13,R15,R17,R22,R24,R25,R28,R29,R33,R34)</f>
        <v>5.8181818181818183</v>
      </c>
      <c r="S37" s="284">
        <f>AVERAGE(S7,S15,S16,S17,S18,S22,S29,S25,S28,S33,S34)</f>
        <v>5.8181818181818183</v>
      </c>
      <c r="T37" s="284">
        <f>AVERAGE(T7,T15,T16,T17,T22,T24,T25,T28,T29,T34,T33)</f>
        <v>4.5454545454545459</v>
      </c>
      <c r="U37" s="284">
        <f>AVERAGE(U7,U14,U15,U16,U22,U24,U25,U28,U29,U34,U33)</f>
        <v>4.7272727272727275</v>
      </c>
      <c r="V37" s="284">
        <f>AVERAGE(V8,V10,V11,V15,V25,V23,V22,V24,V26,V33,V34)</f>
        <v>5.6363636363636367</v>
      </c>
      <c r="W37" s="284">
        <f>AVERAGE(W7,W10,W11,W15,W22,W23,W25,W26,W28,W30,W34)</f>
        <v>4.5454545454545459</v>
      </c>
      <c r="X37" s="284">
        <f>AVERAGE(X7,X11,X15,X16,X17,X20,X22,X24,X25,X33,X36)</f>
        <v>4</v>
      </c>
      <c r="Y37" s="284">
        <f>AVERAGE(Y7,Y10,Y11,Y22,Y17,Y20,Y23,Y24,Y25,Y33,Y36)</f>
        <v>5.0909090909090908</v>
      </c>
      <c r="Z37" s="284"/>
      <c r="AA37" s="284"/>
      <c r="AB37" s="284"/>
      <c r="AC37" s="284"/>
      <c r="AD37" s="284"/>
      <c r="AE37" s="284"/>
      <c r="AF37" s="284"/>
      <c r="AG37" s="284"/>
      <c r="AH37" s="284"/>
      <c r="AI37" s="284"/>
      <c r="AJ37" s="284"/>
      <c r="AK37" s="284"/>
      <c r="AL37" s="284"/>
      <c r="AM37" s="284"/>
      <c r="AN37" s="284"/>
      <c r="AO37" s="284"/>
      <c r="AP37" s="284"/>
      <c r="AQ37" s="284"/>
      <c r="AR37" s="284"/>
    </row>
    <row r="41" spans="1:45" ht="47.25" customHeight="1" x14ac:dyDescent="0.25"/>
  </sheetData>
  <mergeCells count="1">
    <mergeCell ref="C5:E5"/>
  </mergeCells>
  <pageMargins left="0.7" right="0.7" top="0.75" bottom="0.75" header="0.3" footer="0.3"/>
  <pageSetup paperSize="9" scale="3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S35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7" width="4.5703125" customWidth="1"/>
    <col min="8" max="10" width="4.7109375" customWidth="1"/>
    <col min="11" max="11" width="4.85546875" customWidth="1"/>
    <col min="12" max="26" width="4.7109375" customWidth="1"/>
    <col min="27" max="28" width="4.85546875" customWidth="1"/>
    <col min="29" max="44" width="4.7109375" customWidth="1"/>
  </cols>
  <sheetData>
    <row r="1" spans="1:45" x14ac:dyDescent="0.25">
      <c r="A1" t="s">
        <v>0</v>
      </c>
    </row>
    <row r="4" spans="1:45" ht="15.75" thickBot="1" x14ac:dyDescent="0.3">
      <c r="A4" t="s">
        <v>2</v>
      </c>
    </row>
    <row r="5" spans="1:45" ht="15.75" thickBot="1" x14ac:dyDescent="0.3">
      <c r="C5" s="378" t="s">
        <v>101</v>
      </c>
      <c r="D5" s="379"/>
      <c r="E5" s="380"/>
    </row>
    <row r="6" spans="1:45" ht="48" customHeight="1" thickBot="1" x14ac:dyDescent="0.3">
      <c r="A6" s="5" t="s">
        <v>3</v>
      </c>
      <c r="B6" s="7" t="s">
        <v>4</v>
      </c>
      <c r="C6" s="11" t="s">
        <v>7</v>
      </c>
      <c r="D6" s="12" t="s">
        <v>99</v>
      </c>
      <c r="E6" s="7" t="s">
        <v>5</v>
      </c>
      <c r="F6" s="8" t="s">
        <v>100</v>
      </c>
      <c r="G6" s="24" t="s">
        <v>622</v>
      </c>
      <c r="H6" s="24" t="s">
        <v>566</v>
      </c>
      <c r="I6" s="26" t="s">
        <v>569</v>
      </c>
      <c r="J6" s="26" t="s">
        <v>606</v>
      </c>
      <c r="K6" s="26" t="s">
        <v>642</v>
      </c>
      <c r="L6" s="26" t="s">
        <v>673</v>
      </c>
      <c r="M6" s="26" t="s">
        <v>697</v>
      </c>
      <c r="N6" s="26" t="s">
        <v>719</v>
      </c>
      <c r="O6" s="26" t="s">
        <v>757</v>
      </c>
      <c r="P6" s="79" t="s">
        <v>762</v>
      </c>
      <c r="Q6" s="79" t="s">
        <v>793</v>
      </c>
      <c r="R6" s="101" t="s">
        <v>806</v>
      </c>
      <c r="S6" s="101" t="s">
        <v>830</v>
      </c>
      <c r="T6" s="101" t="s">
        <v>854</v>
      </c>
      <c r="U6" s="101" t="s">
        <v>876</v>
      </c>
      <c r="V6" s="105" t="s">
        <v>902</v>
      </c>
      <c r="W6" s="119" t="s">
        <v>925</v>
      </c>
      <c r="X6" s="119" t="s">
        <v>971</v>
      </c>
      <c r="Y6" s="119" t="s">
        <v>976</v>
      </c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26"/>
      <c r="AL6" s="173"/>
      <c r="AM6" s="173"/>
      <c r="AN6" s="26"/>
      <c r="AO6" s="26"/>
      <c r="AP6" s="26"/>
      <c r="AQ6" s="26"/>
      <c r="AR6" s="26"/>
    </row>
    <row r="7" spans="1:45" x14ac:dyDescent="0.25">
      <c r="A7" s="1" t="s">
        <v>8</v>
      </c>
      <c r="B7" t="s">
        <v>9</v>
      </c>
      <c r="C7" s="149">
        <v>1</v>
      </c>
      <c r="D7" s="150"/>
      <c r="E7" s="130"/>
      <c r="F7" s="35">
        <f>AVERAGE(P7)</f>
        <v>5</v>
      </c>
      <c r="G7" s="108"/>
      <c r="H7" s="69"/>
      <c r="I7" s="69"/>
      <c r="J7" s="69"/>
      <c r="K7" s="128"/>
      <c r="L7" s="128"/>
      <c r="M7" s="69"/>
      <c r="N7" s="128"/>
      <c r="O7" s="128"/>
      <c r="P7" s="69">
        <v>5</v>
      </c>
      <c r="Q7" s="69"/>
      <c r="R7" s="180"/>
      <c r="S7" s="69"/>
      <c r="T7" s="128"/>
      <c r="U7" s="69"/>
      <c r="V7" s="128"/>
      <c r="W7" s="70"/>
      <c r="X7" s="128"/>
      <c r="Y7" s="69"/>
      <c r="Z7" s="38"/>
      <c r="AA7" s="128"/>
      <c r="AB7" s="69"/>
      <c r="AC7" s="69"/>
      <c r="AD7" s="38"/>
      <c r="AE7" s="128"/>
      <c r="AF7" s="38"/>
      <c r="AG7" s="69"/>
      <c r="AH7" s="38"/>
      <c r="AI7" s="128"/>
      <c r="AJ7" s="128"/>
      <c r="AK7" s="128"/>
      <c r="AL7" s="38"/>
      <c r="AM7" s="128"/>
      <c r="AN7" s="69"/>
      <c r="AO7" s="38"/>
      <c r="AP7" s="66"/>
      <c r="AQ7" s="38"/>
      <c r="AR7" s="128"/>
      <c r="AS7" s="27"/>
    </row>
    <row r="8" spans="1:45" x14ac:dyDescent="0.25">
      <c r="A8" s="1" t="s">
        <v>8</v>
      </c>
      <c r="B8" s="2" t="s">
        <v>10</v>
      </c>
      <c r="C8" s="166"/>
      <c r="D8" s="168"/>
      <c r="E8" s="164"/>
      <c r="F8" s="129"/>
      <c r="G8" s="108"/>
      <c r="H8" s="128"/>
      <c r="I8" s="128"/>
      <c r="J8" s="38"/>
      <c r="K8" s="5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38"/>
      <c r="AE8" s="128"/>
      <c r="AF8" s="38"/>
      <c r="AG8" s="128"/>
      <c r="AH8" s="38"/>
      <c r="AI8" s="128"/>
      <c r="AJ8" s="128"/>
      <c r="AK8" s="128"/>
      <c r="AL8" s="38"/>
      <c r="AM8" s="128"/>
      <c r="AN8" s="128"/>
      <c r="AO8" s="69"/>
      <c r="AP8" s="38"/>
      <c r="AQ8" s="38"/>
      <c r="AR8" s="128"/>
      <c r="AS8" s="27"/>
    </row>
    <row r="9" spans="1:45" s="141" customFormat="1" x14ac:dyDescent="0.25">
      <c r="A9" s="13" t="s">
        <v>8</v>
      </c>
      <c r="B9" s="217" t="s">
        <v>466</v>
      </c>
      <c r="C9" s="170">
        <v>18</v>
      </c>
      <c r="D9" s="171"/>
      <c r="E9" s="153"/>
      <c r="F9" s="34">
        <f>AVERAGE(X9,H9,I9,J9,G9,K9,L9,M9,N9,O9,Q9,R9,S9,T9,U9,V9,W9,Y9)</f>
        <v>5.5</v>
      </c>
      <c r="G9" s="57">
        <v>6</v>
      </c>
      <c r="H9" s="69">
        <v>5</v>
      </c>
      <c r="I9" s="69">
        <v>6</v>
      </c>
      <c r="J9" s="66">
        <v>6</v>
      </c>
      <c r="K9" s="342">
        <v>3</v>
      </c>
      <c r="L9" s="128">
        <v>5</v>
      </c>
      <c r="M9" s="69">
        <v>6</v>
      </c>
      <c r="N9" s="128">
        <v>5</v>
      </c>
      <c r="O9" s="128">
        <v>6</v>
      </c>
      <c r="P9" s="128"/>
      <c r="Q9" s="128">
        <v>6</v>
      </c>
      <c r="R9" s="69">
        <v>6</v>
      </c>
      <c r="S9" s="69">
        <v>6</v>
      </c>
      <c r="T9" s="128">
        <v>6</v>
      </c>
      <c r="U9" s="128">
        <v>5</v>
      </c>
      <c r="V9" s="69">
        <v>5</v>
      </c>
      <c r="W9" s="69">
        <v>6</v>
      </c>
      <c r="X9" s="128">
        <v>5</v>
      </c>
      <c r="Y9" s="69">
        <v>6</v>
      </c>
      <c r="Z9" s="128"/>
      <c r="AA9" s="128"/>
      <c r="AB9" s="128"/>
      <c r="AC9" s="128"/>
      <c r="AD9" s="38"/>
      <c r="AE9" s="128"/>
      <c r="AF9" s="38"/>
      <c r="AG9" s="128"/>
      <c r="AH9" s="38"/>
      <c r="AI9" s="128"/>
      <c r="AJ9" s="128"/>
      <c r="AK9" s="128"/>
      <c r="AL9" s="38"/>
      <c r="AM9" s="128"/>
      <c r="AN9" s="128"/>
      <c r="AO9" s="69"/>
      <c r="AP9" s="38"/>
      <c r="AQ9" s="38"/>
      <c r="AR9" s="128"/>
      <c r="AS9" s="174"/>
    </row>
    <row r="10" spans="1:45" x14ac:dyDescent="0.25">
      <c r="A10" s="1" t="s">
        <v>11</v>
      </c>
      <c r="B10" t="s">
        <v>12</v>
      </c>
      <c r="C10" s="166">
        <v>18</v>
      </c>
      <c r="D10" s="168">
        <v>1</v>
      </c>
      <c r="E10" s="176">
        <v>1</v>
      </c>
      <c r="F10" s="32">
        <f>AVERAGE(X10,W10,U10,H10,I10,J10,G10,K10,L10,N10,O10,P10,Q10,R10,S10,T10,V10,Y10)</f>
        <v>5.9444444444444446</v>
      </c>
      <c r="G10" s="108">
        <v>6</v>
      </c>
      <c r="H10" s="294">
        <v>8</v>
      </c>
      <c r="I10" s="108">
        <v>6</v>
      </c>
      <c r="J10" s="62">
        <v>6</v>
      </c>
      <c r="K10" s="312">
        <v>6</v>
      </c>
      <c r="L10" s="128">
        <v>5</v>
      </c>
      <c r="M10" s="108" t="s">
        <v>153</v>
      </c>
      <c r="N10" s="128">
        <v>5</v>
      </c>
      <c r="O10" s="128">
        <v>5</v>
      </c>
      <c r="P10" s="282">
        <v>7</v>
      </c>
      <c r="Q10" s="128">
        <v>5</v>
      </c>
      <c r="R10" s="128">
        <v>6</v>
      </c>
      <c r="S10" s="128">
        <v>6</v>
      </c>
      <c r="T10" s="128">
        <v>6</v>
      </c>
      <c r="U10" s="128">
        <v>6</v>
      </c>
      <c r="V10" s="128">
        <v>6</v>
      </c>
      <c r="W10" s="128">
        <v>6</v>
      </c>
      <c r="X10" s="128">
        <v>6</v>
      </c>
      <c r="Y10" s="128">
        <v>6</v>
      </c>
      <c r="Z10" s="128"/>
      <c r="AA10" s="128"/>
      <c r="AB10" s="128"/>
      <c r="AC10" s="128"/>
      <c r="AD10" s="38"/>
      <c r="AE10" s="128"/>
      <c r="AF10" s="66"/>
      <c r="AG10" s="128"/>
      <c r="AH10" s="38"/>
      <c r="AI10" s="128"/>
      <c r="AJ10" s="128"/>
      <c r="AK10" s="128"/>
      <c r="AL10" s="38"/>
      <c r="AM10" s="128"/>
      <c r="AN10" s="128"/>
      <c r="AO10" s="128"/>
      <c r="AP10" s="38"/>
      <c r="AQ10" s="38"/>
      <c r="AR10" s="128"/>
      <c r="AS10" s="27"/>
    </row>
    <row r="11" spans="1:45" x14ac:dyDescent="0.25">
      <c r="A11" s="1" t="s">
        <v>11</v>
      </c>
      <c r="B11" t="s">
        <v>13</v>
      </c>
      <c r="C11" s="166">
        <v>7</v>
      </c>
      <c r="D11" s="168">
        <v>5</v>
      </c>
      <c r="E11" s="164"/>
      <c r="F11" s="32">
        <f>AVERAGE(K11,L11,M11,N11,P11,Q11,T11,W11)</f>
        <v>5</v>
      </c>
      <c r="G11" s="68"/>
      <c r="H11" s="108"/>
      <c r="I11" s="108"/>
      <c r="J11" s="62" t="s">
        <v>153</v>
      </c>
      <c r="K11" s="132">
        <v>5</v>
      </c>
      <c r="L11" s="128">
        <v>4</v>
      </c>
      <c r="M11" s="70">
        <v>6</v>
      </c>
      <c r="N11" s="128">
        <v>5</v>
      </c>
      <c r="O11" s="108" t="s">
        <v>153</v>
      </c>
      <c r="P11" s="128">
        <v>6</v>
      </c>
      <c r="Q11" s="128">
        <v>5</v>
      </c>
      <c r="R11" s="128"/>
      <c r="S11" s="108"/>
      <c r="T11" s="108">
        <v>4</v>
      </c>
      <c r="U11" s="108"/>
      <c r="V11" s="128"/>
      <c r="W11" s="128">
        <v>5</v>
      </c>
      <c r="X11" s="108" t="s">
        <v>153</v>
      </c>
      <c r="Y11" s="108" t="s">
        <v>153</v>
      </c>
      <c r="Z11" s="128"/>
      <c r="AA11" s="128"/>
      <c r="AB11" s="128"/>
      <c r="AC11" s="128"/>
      <c r="AD11" s="38"/>
      <c r="AE11" s="128"/>
      <c r="AF11" s="38"/>
      <c r="AG11" s="128"/>
      <c r="AH11" s="38"/>
      <c r="AI11" s="128"/>
      <c r="AJ11" s="128"/>
      <c r="AK11" s="69"/>
      <c r="AL11" s="62"/>
      <c r="AM11" s="128"/>
      <c r="AN11" s="128"/>
      <c r="AO11" s="128"/>
      <c r="AP11" s="38"/>
      <c r="AQ11" s="62"/>
      <c r="AR11" s="128"/>
      <c r="AS11" s="27"/>
    </row>
    <row r="12" spans="1:45" x14ac:dyDescent="0.25">
      <c r="A12" s="1" t="s">
        <v>11</v>
      </c>
      <c r="B12" t="s">
        <v>281</v>
      </c>
      <c r="C12" s="166">
        <v>11</v>
      </c>
      <c r="D12" s="168"/>
      <c r="E12" s="164"/>
      <c r="F12" s="32">
        <f>AVERAGE(H12,I12,J12,G12,M12,O12,S12,U12,V12,X12,Y12)</f>
        <v>5.5454545454545459</v>
      </c>
      <c r="G12" s="108">
        <v>5</v>
      </c>
      <c r="H12" s="108">
        <v>6</v>
      </c>
      <c r="I12" s="108">
        <v>6</v>
      </c>
      <c r="J12" s="62">
        <v>5</v>
      </c>
      <c r="K12" s="58"/>
      <c r="L12" s="128"/>
      <c r="M12" s="128">
        <v>6</v>
      </c>
      <c r="N12" s="128"/>
      <c r="O12" s="128">
        <v>5</v>
      </c>
      <c r="P12" s="128"/>
      <c r="Q12" s="128"/>
      <c r="R12" s="128"/>
      <c r="S12" s="128">
        <v>6</v>
      </c>
      <c r="T12" s="128"/>
      <c r="U12" s="128">
        <v>5</v>
      </c>
      <c r="V12" s="128">
        <v>6</v>
      </c>
      <c r="W12" s="128"/>
      <c r="X12" s="128">
        <v>5</v>
      </c>
      <c r="Y12" s="128">
        <v>6</v>
      </c>
      <c r="Z12" s="128"/>
      <c r="AA12" s="69"/>
      <c r="AB12" s="128"/>
      <c r="AC12" s="128"/>
      <c r="AD12" s="38"/>
      <c r="AE12" s="128"/>
      <c r="AF12" s="38"/>
      <c r="AG12" s="128"/>
      <c r="AH12" s="66"/>
      <c r="AI12" s="128"/>
      <c r="AJ12" s="128"/>
      <c r="AK12" s="128"/>
      <c r="AL12" s="38"/>
      <c r="AM12" s="128"/>
      <c r="AN12" s="128"/>
      <c r="AO12" s="128"/>
      <c r="AP12" s="38"/>
      <c r="AQ12" s="38"/>
      <c r="AR12" s="108"/>
      <c r="AS12" s="27"/>
    </row>
    <row r="13" spans="1:45" s="73" customFormat="1" x14ac:dyDescent="0.25">
      <c r="A13" s="74" t="s">
        <v>11</v>
      </c>
      <c r="B13" s="49" t="s">
        <v>357</v>
      </c>
      <c r="C13" s="166">
        <v>1</v>
      </c>
      <c r="D13" s="168"/>
      <c r="E13" s="164"/>
      <c r="F13" s="76">
        <f>AVERAGE(T13)</f>
        <v>5</v>
      </c>
      <c r="G13" s="108"/>
      <c r="H13" s="108"/>
      <c r="I13" s="108"/>
      <c r="J13" s="62"/>
      <c r="K13" s="58"/>
      <c r="L13" s="128"/>
      <c r="M13" s="128"/>
      <c r="N13" s="128"/>
      <c r="O13" s="128"/>
      <c r="P13" s="108"/>
      <c r="Q13" s="128"/>
      <c r="R13" s="128"/>
      <c r="S13" s="128"/>
      <c r="T13" s="128">
        <v>5</v>
      </c>
      <c r="U13" s="128"/>
      <c r="V13" s="128"/>
      <c r="W13" s="128"/>
      <c r="X13" s="128"/>
      <c r="Y13" s="128"/>
      <c r="Z13" s="128"/>
      <c r="AA13" s="128"/>
      <c r="AB13" s="128"/>
      <c r="AC13" s="128"/>
      <c r="AD13" s="38"/>
      <c r="AE13" s="128"/>
      <c r="AF13" s="38"/>
      <c r="AG13" s="128"/>
      <c r="AH13" s="38"/>
      <c r="AI13" s="128"/>
      <c r="AJ13" s="128"/>
      <c r="AK13" s="128"/>
      <c r="AL13" s="38"/>
      <c r="AM13" s="128"/>
      <c r="AN13" s="128"/>
      <c r="AO13" s="128"/>
      <c r="AP13" s="38"/>
      <c r="AQ13" s="38"/>
      <c r="AR13" s="128"/>
      <c r="AS13" s="75"/>
    </row>
    <row r="14" spans="1:45" x14ac:dyDescent="0.25">
      <c r="A14" s="1" t="s">
        <v>11</v>
      </c>
      <c r="B14" s="25" t="s">
        <v>141</v>
      </c>
      <c r="C14" s="166">
        <v>13</v>
      </c>
      <c r="D14" s="125"/>
      <c r="E14" s="164">
        <v>2</v>
      </c>
      <c r="F14" s="32">
        <f>AVERAGE(X14,H14,I14,J14,G14,K14,N14,O14,P14,R14,V14,W14,Y14)</f>
        <v>5.7692307692307692</v>
      </c>
      <c r="G14" s="108">
        <v>6</v>
      </c>
      <c r="H14" s="108">
        <v>6</v>
      </c>
      <c r="I14" s="108">
        <v>5</v>
      </c>
      <c r="J14" s="62">
        <v>6</v>
      </c>
      <c r="K14" s="312">
        <v>5</v>
      </c>
      <c r="L14" s="128"/>
      <c r="M14" s="128"/>
      <c r="N14" s="69">
        <v>6</v>
      </c>
      <c r="O14" s="128">
        <v>5</v>
      </c>
      <c r="P14" s="282">
        <v>7</v>
      </c>
      <c r="Q14" s="128"/>
      <c r="R14" s="128">
        <v>6</v>
      </c>
      <c r="S14" s="128"/>
      <c r="T14" s="128"/>
      <c r="U14" s="128"/>
      <c r="V14" s="128">
        <v>5</v>
      </c>
      <c r="W14" s="128">
        <v>6</v>
      </c>
      <c r="X14" s="283">
        <v>7</v>
      </c>
      <c r="Y14" s="128">
        <v>5</v>
      </c>
      <c r="Z14" s="128"/>
      <c r="AA14" s="128"/>
      <c r="AB14" s="128"/>
      <c r="AC14" s="128"/>
      <c r="AD14" s="38"/>
      <c r="AE14" s="128"/>
      <c r="AF14" s="38"/>
      <c r="AG14" s="128"/>
      <c r="AH14" s="38"/>
      <c r="AI14" s="128"/>
      <c r="AJ14" s="128"/>
      <c r="AK14" s="128"/>
      <c r="AL14" s="38"/>
      <c r="AM14" s="128"/>
      <c r="AN14" s="128"/>
      <c r="AO14" s="128"/>
      <c r="AP14" s="38"/>
      <c r="AQ14" s="38"/>
      <c r="AR14" s="128"/>
      <c r="AS14" s="27"/>
    </row>
    <row r="15" spans="1:45" x14ac:dyDescent="0.25">
      <c r="A15" s="1" t="s">
        <v>11</v>
      </c>
      <c r="B15" t="s">
        <v>14</v>
      </c>
      <c r="C15" s="166">
        <v>13</v>
      </c>
      <c r="D15" s="125"/>
      <c r="E15" s="176"/>
      <c r="F15" s="32">
        <f>AVERAGE(X15,H15,I15,J15,G15,K15,M15,O15,P15,R15,T15,V15,Y15)</f>
        <v>5.0769230769230766</v>
      </c>
      <c r="G15" s="108">
        <v>5</v>
      </c>
      <c r="H15" s="108">
        <v>5</v>
      </c>
      <c r="I15" s="108">
        <v>6</v>
      </c>
      <c r="J15" s="108">
        <v>6</v>
      </c>
      <c r="K15" s="128">
        <v>4</v>
      </c>
      <c r="L15" s="128"/>
      <c r="M15" s="128">
        <v>5</v>
      </c>
      <c r="N15" s="128"/>
      <c r="O15" s="128">
        <v>5</v>
      </c>
      <c r="P15" s="70">
        <v>5</v>
      </c>
      <c r="Q15" s="128"/>
      <c r="R15" s="128">
        <v>5</v>
      </c>
      <c r="S15" s="128"/>
      <c r="T15" s="128">
        <v>4</v>
      </c>
      <c r="U15" s="128"/>
      <c r="V15" s="128">
        <v>5</v>
      </c>
      <c r="W15" s="128"/>
      <c r="X15" s="128">
        <v>5</v>
      </c>
      <c r="Y15" s="128">
        <v>6</v>
      </c>
      <c r="Z15" s="128"/>
      <c r="AA15" s="128"/>
      <c r="AB15" s="128"/>
      <c r="AC15" s="128"/>
      <c r="AD15" s="38"/>
      <c r="AE15" s="128"/>
      <c r="AF15" s="62"/>
      <c r="AG15" s="128"/>
      <c r="AH15" s="38"/>
      <c r="AI15" s="128"/>
      <c r="AJ15" s="128"/>
      <c r="AK15" s="128"/>
      <c r="AL15" s="38"/>
      <c r="AM15" s="108"/>
      <c r="AN15" s="69"/>
      <c r="AO15" s="128"/>
      <c r="AP15" s="66"/>
      <c r="AQ15" s="38"/>
      <c r="AR15" s="128"/>
      <c r="AS15" s="27"/>
    </row>
    <row r="16" spans="1:45" s="141" customFormat="1" x14ac:dyDescent="0.25">
      <c r="A16" s="83" t="s">
        <v>11</v>
      </c>
      <c r="B16" s="141" t="s">
        <v>219</v>
      </c>
      <c r="C16" s="166">
        <v>6</v>
      </c>
      <c r="D16" s="125">
        <v>2</v>
      </c>
      <c r="E16" s="176">
        <v>2</v>
      </c>
      <c r="F16" s="129">
        <f>AVERAGE(L16,N16,Q16,S16,U16,W16)</f>
        <v>5.833333333333333</v>
      </c>
      <c r="G16" s="108"/>
      <c r="H16" s="108"/>
      <c r="I16" s="108"/>
      <c r="J16" s="108"/>
      <c r="K16" s="62" t="s">
        <v>153</v>
      </c>
      <c r="L16" s="128">
        <v>5</v>
      </c>
      <c r="M16" s="128"/>
      <c r="N16" s="128">
        <v>6</v>
      </c>
      <c r="O16" s="128"/>
      <c r="P16" s="204" t="s">
        <v>153</v>
      </c>
      <c r="Q16" s="69">
        <v>6</v>
      </c>
      <c r="R16" s="128"/>
      <c r="S16" s="128">
        <v>5</v>
      </c>
      <c r="T16" s="128"/>
      <c r="U16" s="283">
        <v>7</v>
      </c>
      <c r="V16" s="128"/>
      <c r="W16" s="128">
        <v>6</v>
      </c>
      <c r="X16" s="128"/>
      <c r="Y16" s="128"/>
      <c r="Z16" s="128"/>
      <c r="AA16" s="128"/>
      <c r="AB16" s="128"/>
      <c r="AC16" s="128"/>
      <c r="AD16" s="38"/>
      <c r="AE16" s="128"/>
      <c r="AF16" s="62"/>
      <c r="AG16" s="128"/>
      <c r="AH16" s="38"/>
      <c r="AI16" s="128"/>
      <c r="AJ16" s="128"/>
      <c r="AK16" s="128"/>
      <c r="AL16" s="38"/>
      <c r="AM16" s="108"/>
      <c r="AN16" s="69"/>
      <c r="AO16" s="128"/>
      <c r="AP16" s="66"/>
      <c r="AQ16" s="38"/>
      <c r="AR16" s="128"/>
      <c r="AS16" s="174"/>
    </row>
    <row r="17" spans="1:45" x14ac:dyDescent="0.25">
      <c r="A17" s="13" t="s">
        <v>11</v>
      </c>
      <c r="B17" s="14" t="s">
        <v>15</v>
      </c>
      <c r="C17" s="170">
        <v>7</v>
      </c>
      <c r="D17" s="171"/>
      <c r="E17" s="153"/>
      <c r="F17" s="32">
        <f>AVERAGE(L17,M17,Q17,R17,S17,T17,U17)</f>
        <v>5.7142857142857144</v>
      </c>
      <c r="G17" s="108"/>
      <c r="H17" s="108"/>
      <c r="I17" s="108"/>
      <c r="J17" s="62"/>
      <c r="K17" s="132"/>
      <c r="L17" s="128">
        <v>5</v>
      </c>
      <c r="M17" s="128">
        <v>5</v>
      </c>
      <c r="N17" s="128"/>
      <c r="O17" s="128"/>
      <c r="P17" s="128"/>
      <c r="Q17" s="128">
        <v>6</v>
      </c>
      <c r="R17" s="128">
        <v>6</v>
      </c>
      <c r="S17" s="282">
        <v>7</v>
      </c>
      <c r="T17" s="128">
        <v>6</v>
      </c>
      <c r="U17" s="128">
        <v>5</v>
      </c>
      <c r="V17" s="128"/>
      <c r="W17" s="128"/>
      <c r="X17" s="128"/>
      <c r="Y17" s="128"/>
      <c r="Z17" s="128"/>
      <c r="AA17" s="128"/>
      <c r="AB17" s="128"/>
      <c r="AC17" s="128"/>
      <c r="AD17" s="38"/>
      <c r="AE17" s="108"/>
      <c r="AF17" s="38"/>
      <c r="AG17" s="128"/>
      <c r="AH17" s="38"/>
      <c r="AI17" s="128"/>
      <c r="AJ17" s="128"/>
      <c r="AK17" s="128"/>
      <c r="AL17" s="66"/>
      <c r="AM17" s="128"/>
      <c r="AN17" s="128"/>
      <c r="AO17" s="128"/>
      <c r="AP17" s="38"/>
      <c r="AQ17" s="38"/>
      <c r="AR17" s="128"/>
      <c r="AS17" s="27"/>
    </row>
    <row r="18" spans="1:45" x14ac:dyDescent="0.25">
      <c r="A18" s="1" t="s">
        <v>29</v>
      </c>
      <c r="B18" t="s">
        <v>18</v>
      </c>
      <c r="C18" s="166">
        <v>13</v>
      </c>
      <c r="D18" s="168">
        <v>5</v>
      </c>
      <c r="E18" s="164"/>
      <c r="F18" s="52">
        <f>AVERAGE(X18,H18,I18,J18,G18,K18,M18,O18,Q18,S18,T18,V18,W18,Y18)</f>
        <v>5.2857142857142856</v>
      </c>
      <c r="G18" s="108">
        <v>5</v>
      </c>
      <c r="H18" s="290">
        <v>7</v>
      </c>
      <c r="I18" s="108">
        <v>5</v>
      </c>
      <c r="J18" s="108">
        <v>6</v>
      </c>
      <c r="K18" s="128">
        <v>5</v>
      </c>
      <c r="L18" s="108"/>
      <c r="M18" s="128">
        <v>5</v>
      </c>
      <c r="N18" s="108" t="s">
        <v>153</v>
      </c>
      <c r="O18" s="128">
        <v>5</v>
      </c>
      <c r="P18" s="108" t="s">
        <v>153</v>
      </c>
      <c r="Q18" s="128">
        <v>5</v>
      </c>
      <c r="R18" s="108" t="s">
        <v>153</v>
      </c>
      <c r="S18" s="128">
        <v>6</v>
      </c>
      <c r="T18" s="128">
        <v>5</v>
      </c>
      <c r="U18" s="108" t="s">
        <v>153</v>
      </c>
      <c r="V18" s="128">
        <v>5</v>
      </c>
      <c r="W18" s="128">
        <v>5</v>
      </c>
      <c r="X18" s="128">
        <v>5</v>
      </c>
      <c r="Y18" s="128">
        <v>5</v>
      </c>
      <c r="Z18" s="128"/>
      <c r="AA18" s="128"/>
      <c r="AB18" s="128"/>
      <c r="AC18" s="128"/>
      <c r="AD18" s="38"/>
      <c r="AE18" s="128"/>
      <c r="AF18" s="38"/>
      <c r="AG18" s="128"/>
      <c r="AH18" s="38"/>
      <c r="AI18" s="128"/>
      <c r="AJ18" s="128"/>
      <c r="AK18" s="128"/>
      <c r="AL18" s="38"/>
      <c r="AM18" s="128"/>
      <c r="AN18" s="128"/>
      <c r="AO18" s="128"/>
      <c r="AP18" s="38"/>
      <c r="AQ18" s="38"/>
      <c r="AR18" s="128"/>
      <c r="AS18" s="27"/>
    </row>
    <row r="19" spans="1:45" x14ac:dyDescent="0.25">
      <c r="A19" s="1" t="s">
        <v>29</v>
      </c>
      <c r="B19" t="s">
        <v>20</v>
      </c>
      <c r="C19" s="166">
        <v>14</v>
      </c>
      <c r="D19" s="168">
        <v>3</v>
      </c>
      <c r="E19" s="164">
        <v>3</v>
      </c>
      <c r="F19" s="32">
        <f>AVERAGE(X19,H19,I19,J19,G19,K19,M19,O19,R19,S19,T19,V19,W19,Y19)</f>
        <v>5.9285714285714288</v>
      </c>
      <c r="G19" s="290">
        <v>7</v>
      </c>
      <c r="H19" s="294">
        <v>7</v>
      </c>
      <c r="I19" s="294">
        <v>7</v>
      </c>
      <c r="J19" s="287">
        <v>7</v>
      </c>
      <c r="K19" s="56">
        <v>5</v>
      </c>
      <c r="L19" s="108" t="s">
        <v>153</v>
      </c>
      <c r="M19" s="108">
        <v>6</v>
      </c>
      <c r="N19" s="128"/>
      <c r="O19" s="128">
        <v>6</v>
      </c>
      <c r="P19" s="128"/>
      <c r="Q19" s="108" t="s">
        <v>153</v>
      </c>
      <c r="R19" s="108">
        <v>5</v>
      </c>
      <c r="S19" s="128">
        <v>6</v>
      </c>
      <c r="T19" s="283">
        <v>7</v>
      </c>
      <c r="U19" s="108" t="s">
        <v>153</v>
      </c>
      <c r="V19" s="128">
        <v>5</v>
      </c>
      <c r="W19" s="108">
        <v>5</v>
      </c>
      <c r="X19" s="128">
        <v>5</v>
      </c>
      <c r="Y19" s="128">
        <v>5</v>
      </c>
      <c r="Z19" s="128"/>
      <c r="AA19" s="128"/>
      <c r="AB19" s="128"/>
      <c r="AC19" s="108"/>
      <c r="AD19" s="38"/>
      <c r="AE19" s="128"/>
      <c r="AF19" s="38"/>
      <c r="AG19" s="128"/>
      <c r="AH19" s="67"/>
      <c r="AI19" s="128"/>
      <c r="AJ19" s="128"/>
      <c r="AK19" s="69"/>
      <c r="AL19" s="38"/>
      <c r="AM19" s="108"/>
      <c r="AN19" s="128"/>
      <c r="AO19" s="69"/>
      <c r="AP19" s="38"/>
      <c r="AQ19" s="66"/>
      <c r="AR19" s="128"/>
      <c r="AS19" s="27"/>
    </row>
    <row r="20" spans="1:45" x14ac:dyDescent="0.25">
      <c r="A20" s="1" t="s">
        <v>29</v>
      </c>
      <c r="B20" t="s">
        <v>22</v>
      </c>
      <c r="C20" s="166">
        <v>9</v>
      </c>
      <c r="D20" s="168">
        <v>3</v>
      </c>
      <c r="E20" s="176" t="s">
        <v>617</v>
      </c>
      <c r="F20" s="32">
        <f>AVERAGE(H20,J20,G20,K20,L20,N20,O20,Q20,Y20)</f>
        <v>6.1111111111111107</v>
      </c>
      <c r="G20" s="209">
        <v>5</v>
      </c>
      <c r="H20" s="108">
        <v>6</v>
      </c>
      <c r="I20" s="108"/>
      <c r="J20" s="62">
        <v>6</v>
      </c>
      <c r="K20" s="282">
        <v>7</v>
      </c>
      <c r="L20" s="128">
        <v>6</v>
      </c>
      <c r="M20" s="108" t="s">
        <v>153</v>
      </c>
      <c r="N20" s="128">
        <v>6</v>
      </c>
      <c r="O20" s="128">
        <v>6</v>
      </c>
      <c r="P20" s="128"/>
      <c r="Q20" s="282">
        <v>7</v>
      </c>
      <c r="R20" s="108" t="s">
        <v>153</v>
      </c>
      <c r="S20" s="128"/>
      <c r="T20" s="128"/>
      <c r="U20" s="128"/>
      <c r="V20" s="108"/>
      <c r="W20" s="128"/>
      <c r="X20" s="108" t="s">
        <v>153</v>
      </c>
      <c r="Y20" s="128">
        <v>6</v>
      </c>
      <c r="Z20" s="108"/>
      <c r="AA20" s="69"/>
      <c r="AB20" s="128"/>
      <c r="AC20" s="108"/>
      <c r="AD20" s="38"/>
      <c r="AE20" s="128"/>
      <c r="AF20" s="38"/>
      <c r="AG20" s="128"/>
      <c r="AH20" s="38"/>
      <c r="AI20" s="128"/>
      <c r="AJ20" s="128"/>
      <c r="AK20" s="128"/>
      <c r="AL20" s="66"/>
      <c r="AM20" s="128"/>
      <c r="AN20" s="128"/>
      <c r="AO20" s="128"/>
      <c r="AP20" s="38"/>
      <c r="AQ20" s="38"/>
      <c r="AR20" s="128"/>
      <c r="AS20" s="27"/>
    </row>
    <row r="21" spans="1:45" x14ac:dyDescent="0.25">
      <c r="A21" s="1" t="s">
        <v>29</v>
      </c>
      <c r="B21" s="2" t="s">
        <v>23</v>
      </c>
      <c r="C21" s="166">
        <v>9</v>
      </c>
      <c r="D21" s="168">
        <v>4</v>
      </c>
      <c r="E21" s="164"/>
      <c r="F21" s="32">
        <f>AVERAGE(I21,P21,Q21,R21,S21,T21,U21,V21,X21)</f>
        <v>5.666666666666667</v>
      </c>
      <c r="G21" s="108" t="s">
        <v>554</v>
      </c>
      <c r="H21" s="108"/>
      <c r="I21" s="108">
        <v>5</v>
      </c>
      <c r="J21" s="62"/>
      <c r="K21" s="56" t="s">
        <v>153</v>
      </c>
      <c r="L21" s="128"/>
      <c r="M21" s="128"/>
      <c r="N21" s="128"/>
      <c r="O21" s="128"/>
      <c r="P21" s="128">
        <v>5</v>
      </c>
      <c r="Q21" s="128">
        <v>5</v>
      </c>
      <c r="R21" s="282">
        <v>7</v>
      </c>
      <c r="S21" s="128">
        <v>6</v>
      </c>
      <c r="T21" s="128">
        <v>6</v>
      </c>
      <c r="U21" s="108">
        <v>5</v>
      </c>
      <c r="V21" s="282">
        <v>7</v>
      </c>
      <c r="W21" s="108" t="s">
        <v>153</v>
      </c>
      <c r="X21" s="128">
        <v>5</v>
      </c>
      <c r="Y21" s="108" t="s">
        <v>153</v>
      </c>
      <c r="Z21" s="69"/>
      <c r="AA21" s="108"/>
      <c r="AB21" s="128"/>
      <c r="AC21" s="128"/>
      <c r="AD21" s="38"/>
      <c r="AE21" s="128"/>
      <c r="AF21" s="66"/>
      <c r="AG21" s="108"/>
      <c r="AH21" s="38"/>
      <c r="AI21" s="128"/>
      <c r="AJ21" s="108"/>
      <c r="AK21" s="108"/>
      <c r="AL21" s="62"/>
      <c r="AM21" s="128"/>
      <c r="AN21" s="108"/>
      <c r="AO21" s="108"/>
      <c r="AP21" s="62"/>
      <c r="AQ21" s="38"/>
      <c r="AR21" s="69"/>
      <c r="AS21" s="27"/>
    </row>
    <row r="22" spans="1:45" x14ac:dyDescent="0.25">
      <c r="A22" s="1" t="s">
        <v>29</v>
      </c>
      <c r="B22" t="s">
        <v>24</v>
      </c>
      <c r="C22" s="166">
        <v>6</v>
      </c>
      <c r="D22" s="168">
        <v>2</v>
      </c>
      <c r="E22" s="164">
        <v>1</v>
      </c>
      <c r="F22" s="32">
        <f>AVERAGE(L22,M22,N22,P22)</f>
        <v>6.5</v>
      </c>
      <c r="G22" s="281">
        <v>4</v>
      </c>
      <c r="H22" s="108" t="s">
        <v>153</v>
      </c>
      <c r="I22" s="108" t="s">
        <v>546</v>
      </c>
      <c r="J22" s="62"/>
      <c r="K22" s="132"/>
      <c r="L22" s="108">
        <v>6</v>
      </c>
      <c r="M22" s="283">
        <v>7</v>
      </c>
      <c r="N22" s="282">
        <v>7</v>
      </c>
      <c r="O22" s="108" t="s">
        <v>153</v>
      </c>
      <c r="P22" s="128">
        <v>6</v>
      </c>
      <c r="Q22" s="128"/>
      <c r="R22" s="128"/>
      <c r="S22" s="128"/>
      <c r="T22" s="69"/>
      <c r="U22" s="128"/>
      <c r="V22" s="128"/>
      <c r="W22" s="128"/>
      <c r="X22" s="128"/>
      <c r="Y22" s="128"/>
      <c r="Z22" s="128"/>
      <c r="AA22" s="69"/>
      <c r="AB22" s="108"/>
      <c r="AC22" s="128"/>
      <c r="AD22" s="38"/>
      <c r="AE22" s="128"/>
      <c r="AF22" s="38"/>
      <c r="AG22" s="128"/>
      <c r="AH22" s="67"/>
      <c r="AI22" s="128"/>
      <c r="AJ22" s="128"/>
      <c r="AK22" s="128"/>
      <c r="AL22" s="38"/>
      <c r="AM22" s="69"/>
      <c r="AN22" s="128"/>
      <c r="AO22" s="128"/>
      <c r="AP22" s="38"/>
      <c r="AQ22" s="38"/>
      <c r="AR22" s="128"/>
      <c r="AS22" s="27"/>
    </row>
    <row r="23" spans="1:45" s="141" customFormat="1" x14ac:dyDescent="0.25">
      <c r="A23" s="83" t="s">
        <v>29</v>
      </c>
      <c r="B23" s="141" t="s">
        <v>470</v>
      </c>
      <c r="C23" s="166">
        <v>6</v>
      </c>
      <c r="D23" s="168">
        <v>5</v>
      </c>
      <c r="E23" s="164"/>
      <c r="F23" s="129">
        <f>AVERAGE(L23,N23,P23,R23,U23,W23)</f>
        <v>5.333333333333333</v>
      </c>
      <c r="G23" s="68" t="s">
        <v>153</v>
      </c>
      <c r="H23" s="108" t="s">
        <v>153</v>
      </c>
      <c r="I23" s="108" t="s">
        <v>153</v>
      </c>
      <c r="J23" s="62"/>
      <c r="K23" s="132"/>
      <c r="L23" s="108">
        <v>5</v>
      </c>
      <c r="M23" s="128"/>
      <c r="N23" s="128">
        <v>6</v>
      </c>
      <c r="O23" s="128"/>
      <c r="P23" s="128">
        <v>5</v>
      </c>
      <c r="Q23" s="128"/>
      <c r="R23" s="128">
        <v>5</v>
      </c>
      <c r="S23" s="108" t="s">
        <v>153</v>
      </c>
      <c r="T23" s="204" t="s">
        <v>153</v>
      </c>
      <c r="U23" s="128">
        <v>6</v>
      </c>
      <c r="V23" s="128"/>
      <c r="W23" s="128">
        <v>5</v>
      </c>
      <c r="X23" s="128"/>
      <c r="Y23" s="128"/>
      <c r="Z23" s="128"/>
      <c r="AA23" s="69"/>
      <c r="AB23" s="108"/>
      <c r="AC23" s="128"/>
      <c r="AD23" s="38"/>
      <c r="AE23" s="128"/>
      <c r="AF23" s="38"/>
      <c r="AG23" s="128"/>
      <c r="AH23" s="67"/>
      <c r="AI23" s="128"/>
      <c r="AJ23" s="128"/>
      <c r="AK23" s="128"/>
      <c r="AL23" s="38"/>
      <c r="AM23" s="69"/>
      <c r="AN23" s="128"/>
      <c r="AO23" s="128"/>
      <c r="AP23" s="38"/>
      <c r="AQ23" s="38"/>
      <c r="AR23" s="128"/>
      <c r="AS23" s="174"/>
    </row>
    <row r="24" spans="1:45" s="141" customFormat="1" x14ac:dyDescent="0.25">
      <c r="A24" s="83" t="s">
        <v>29</v>
      </c>
      <c r="B24" s="42" t="s">
        <v>542</v>
      </c>
      <c r="C24" s="166">
        <v>12</v>
      </c>
      <c r="D24" s="168">
        <v>2</v>
      </c>
      <c r="E24" s="164">
        <v>6</v>
      </c>
      <c r="F24" s="129">
        <f>AVERAGE(X24,K24,M24,N24,O24,Q24,R24,S24,U24,V24,W24,Y24)</f>
        <v>7</v>
      </c>
      <c r="G24" s="71"/>
      <c r="H24" s="108"/>
      <c r="I24" s="108"/>
      <c r="J24" s="62" t="s">
        <v>153</v>
      </c>
      <c r="K24" s="132">
        <v>5</v>
      </c>
      <c r="L24" s="108" t="s">
        <v>153</v>
      </c>
      <c r="M24" s="283">
        <v>7</v>
      </c>
      <c r="N24" s="283">
        <v>7</v>
      </c>
      <c r="O24" s="128">
        <v>5</v>
      </c>
      <c r="P24" s="128"/>
      <c r="Q24" s="344">
        <v>8</v>
      </c>
      <c r="R24" s="283">
        <v>7</v>
      </c>
      <c r="S24" s="283">
        <v>7</v>
      </c>
      <c r="T24" s="69"/>
      <c r="U24" s="282">
        <v>9</v>
      </c>
      <c r="V24" s="128">
        <v>6</v>
      </c>
      <c r="W24" s="282">
        <v>7</v>
      </c>
      <c r="X24" s="282">
        <v>8</v>
      </c>
      <c r="Y24" s="283">
        <v>8</v>
      </c>
      <c r="Z24" s="128"/>
      <c r="AA24" s="69"/>
      <c r="AB24" s="108"/>
      <c r="AC24" s="128"/>
      <c r="AD24" s="38"/>
      <c r="AE24" s="128"/>
      <c r="AF24" s="38"/>
      <c r="AG24" s="128"/>
      <c r="AH24" s="67"/>
      <c r="AI24" s="128"/>
      <c r="AJ24" s="128"/>
      <c r="AK24" s="128"/>
      <c r="AL24" s="38"/>
      <c r="AM24" s="69"/>
      <c r="AN24" s="128"/>
      <c r="AO24" s="128"/>
      <c r="AP24" s="38"/>
      <c r="AQ24" s="38"/>
      <c r="AR24" s="128"/>
      <c r="AS24" s="174"/>
    </row>
    <row r="25" spans="1:45" x14ac:dyDescent="0.25">
      <c r="A25" s="13" t="s">
        <v>29</v>
      </c>
      <c r="B25" s="14" t="s">
        <v>25</v>
      </c>
      <c r="C25" s="170">
        <v>13</v>
      </c>
      <c r="D25" s="171">
        <v>4</v>
      </c>
      <c r="E25" s="172">
        <v>4</v>
      </c>
      <c r="F25" s="34">
        <f>AVERAGE(H25,I25,J25,G25,K25,L25,N25,P25,R25,T25,U25,V25,Y25)</f>
        <v>5.5384615384615383</v>
      </c>
      <c r="G25" s="301">
        <v>7</v>
      </c>
      <c r="H25" s="298">
        <v>7</v>
      </c>
      <c r="I25" s="108">
        <v>6</v>
      </c>
      <c r="J25" s="62">
        <v>5</v>
      </c>
      <c r="K25" s="58">
        <v>6</v>
      </c>
      <c r="L25" s="108">
        <v>5</v>
      </c>
      <c r="M25" s="69"/>
      <c r="N25" s="108">
        <v>4</v>
      </c>
      <c r="O25" s="69"/>
      <c r="P25" s="282">
        <v>7</v>
      </c>
      <c r="Q25" s="57" t="s">
        <v>153</v>
      </c>
      <c r="R25" s="128">
        <v>6</v>
      </c>
      <c r="S25" s="57" t="s">
        <v>153</v>
      </c>
      <c r="T25" s="128">
        <v>5</v>
      </c>
      <c r="U25" s="128">
        <v>5</v>
      </c>
      <c r="V25" s="70">
        <v>4</v>
      </c>
      <c r="W25" s="108" t="s">
        <v>153</v>
      </c>
      <c r="X25" s="57" t="s">
        <v>153</v>
      </c>
      <c r="Y25" s="128">
        <v>5</v>
      </c>
      <c r="Z25" s="69"/>
      <c r="AA25" s="128"/>
      <c r="AB25" s="128"/>
      <c r="AC25" s="108"/>
      <c r="AD25" s="38"/>
      <c r="AE25" s="128"/>
      <c r="AF25" s="38"/>
      <c r="AG25" s="128"/>
      <c r="AH25" s="38"/>
      <c r="AI25" s="128"/>
      <c r="AJ25" s="128"/>
      <c r="AK25" s="128"/>
      <c r="AL25" s="62"/>
      <c r="AM25" s="128"/>
      <c r="AN25" s="128"/>
      <c r="AO25" s="128"/>
      <c r="AP25" s="62"/>
      <c r="AQ25" s="62"/>
      <c r="AR25" s="128"/>
      <c r="AS25" s="27"/>
    </row>
    <row r="26" spans="1:45" x14ac:dyDescent="0.25">
      <c r="A26" s="1" t="s">
        <v>30</v>
      </c>
      <c r="B26" t="s">
        <v>26</v>
      </c>
      <c r="C26" s="166">
        <v>14</v>
      </c>
      <c r="D26" s="168">
        <v>2</v>
      </c>
      <c r="E26" s="164">
        <v>10</v>
      </c>
      <c r="F26" s="32">
        <f>AVERAGE(X26,W26,H26,I26,J26,G26,K26,M26,O26,P26,Q26,S26,U26,V26)</f>
        <v>5.7857142857142856</v>
      </c>
      <c r="G26" s="128">
        <v>5</v>
      </c>
      <c r="H26" s="204">
        <v>5</v>
      </c>
      <c r="I26" s="108">
        <v>4</v>
      </c>
      <c r="J26" s="288">
        <v>8</v>
      </c>
      <c r="K26" s="343">
        <v>8</v>
      </c>
      <c r="L26" s="69" t="s">
        <v>153</v>
      </c>
      <c r="M26" s="128">
        <v>5</v>
      </c>
      <c r="N26" s="57" t="s">
        <v>153</v>
      </c>
      <c r="O26" s="128">
        <v>4</v>
      </c>
      <c r="P26" s="70">
        <v>6</v>
      </c>
      <c r="Q26" s="283">
        <v>7</v>
      </c>
      <c r="R26" s="69"/>
      <c r="S26" s="70">
        <v>5</v>
      </c>
      <c r="T26" s="108"/>
      <c r="U26" s="69">
        <v>6</v>
      </c>
      <c r="V26" s="70">
        <v>5</v>
      </c>
      <c r="W26" s="294">
        <v>7</v>
      </c>
      <c r="X26" s="69">
        <v>6</v>
      </c>
      <c r="Y26" s="128"/>
      <c r="Z26" s="128"/>
      <c r="AA26" s="57"/>
      <c r="AB26" s="128"/>
      <c r="AC26" s="128"/>
      <c r="AD26" s="38"/>
      <c r="AE26" s="128"/>
      <c r="AF26" s="38"/>
      <c r="AG26" s="128"/>
      <c r="AH26" s="62"/>
      <c r="AI26" s="108"/>
      <c r="AJ26" s="128"/>
      <c r="AK26" s="128"/>
      <c r="AL26" s="66"/>
      <c r="AM26" s="69"/>
      <c r="AN26" s="69"/>
      <c r="AO26" s="69"/>
      <c r="AP26" s="66"/>
      <c r="AQ26" s="38"/>
      <c r="AR26" s="69"/>
      <c r="AS26" s="27"/>
    </row>
    <row r="27" spans="1:45" x14ac:dyDescent="0.25">
      <c r="A27" s="237" t="s">
        <v>30</v>
      </c>
      <c r="B27" s="229" t="s">
        <v>232</v>
      </c>
      <c r="C27" s="230"/>
      <c r="D27" s="223"/>
      <c r="E27" s="231"/>
      <c r="F27" s="129"/>
      <c r="G27" s="225"/>
      <c r="H27" s="224"/>
      <c r="I27" s="222"/>
      <c r="J27" s="222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3"/>
      <c r="AC27" s="221"/>
      <c r="AD27" s="223"/>
      <c r="AE27" s="221"/>
      <c r="AF27" s="223"/>
      <c r="AG27" s="223"/>
      <c r="AH27" s="221"/>
      <c r="AI27" s="221"/>
      <c r="AJ27" s="221"/>
      <c r="AK27" s="221"/>
      <c r="AL27" s="223"/>
      <c r="AM27" s="221"/>
      <c r="AN27" s="221"/>
      <c r="AO27" s="223"/>
      <c r="AP27" s="223"/>
      <c r="AQ27" s="223"/>
      <c r="AR27" s="221"/>
      <c r="AS27" s="27"/>
    </row>
    <row r="28" spans="1:45" x14ac:dyDescent="0.25">
      <c r="A28" s="1" t="s">
        <v>30</v>
      </c>
      <c r="B28" t="s">
        <v>27</v>
      </c>
      <c r="C28" s="166">
        <v>13</v>
      </c>
      <c r="D28" s="168">
        <v>1</v>
      </c>
      <c r="E28" s="164">
        <v>15</v>
      </c>
      <c r="F28" s="32">
        <f>AVERAGE(X28,J28,L28,M28,N28,O28,P28,Q28,S28,T28,U28,W28,Y28)</f>
        <v>6.9230769230769234</v>
      </c>
      <c r="G28" s="57"/>
      <c r="H28" s="108"/>
      <c r="I28" s="108"/>
      <c r="J28" s="61">
        <v>6</v>
      </c>
      <c r="K28" s="58"/>
      <c r="L28" s="128">
        <v>4</v>
      </c>
      <c r="M28" s="283">
        <v>7</v>
      </c>
      <c r="N28" s="283">
        <v>7</v>
      </c>
      <c r="O28" s="283">
        <v>8</v>
      </c>
      <c r="P28" s="283">
        <v>8</v>
      </c>
      <c r="Q28" s="283">
        <v>7</v>
      </c>
      <c r="R28" s="128"/>
      <c r="S28" s="57">
        <v>8</v>
      </c>
      <c r="T28" s="128">
        <v>5</v>
      </c>
      <c r="U28" s="283">
        <v>7</v>
      </c>
      <c r="V28" s="108" t="s">
        <v>153</v>
      </c>
      <c r="W28" s="283">
        <v>8</v>
      </c>
      <c r="X28" s="283">
        <v>8</v>
      </c>
      <c r="Y28" s="283">
        <v>7</v>
      </c>
      <c r="Z28" s="128"/>
      <c r="AA28" s="128"/>
      <c r="AB28" s="69"/>
      <c r="AC28" s="128"/>
      <c r="AD28" s="66"/>
      <c r="AE28" s="69"/>
      <c r="AF28" s="38"/>
      <c r="AG28" s="128"/>
      <c r="AH28" s="66"/>
      <c r="AI28" s="69"/>
      <c r="AJ28" s="69"/>
      <c r="AK28" s="128"/>
      <c r="AL28" s="38"/>
      <c r="AM28" s="128"/>
      <c r="AN28" s="128"/>
      <c r="AO28" s="128"/>
      <c r="AP28" s="66"/>
      <c r="AQ28" s="38"/>
      <c r="AR28" s="128"/>
      <c r="AS28" s="27"/>
    </row>
    <row r="29" spans="1:45" s="141" customFormat="1" x14ac:dyDescent="0.25">
      <c r="A29" s="83" t="s">
        <v>30</v>
      </c>
      <c r="B29" s="42" t="s">
        <v>480</v>
      </c>
      <c r="C29" s="166">
        <v>1</v>
      </c>
      <c r="D29" s="168">
        <v>5</v>
      </c>
      <c r="E29" s="164">
        <v>1</v>
      </c>
      <c r="F29" s="129">
        <f>AVERAGE(H29)</f>
        <v>4</v>
      </c>
      <c r="G29" s="204" t="s">
        <v>153</v>
      </c>
      <c r="H29" s="108">
        <v>4</v>
      </c>
      <c r="I29" s="108" t="s">
        <v>153</v>
      </c>
      <c r="J29" s="67"/>
      <c r="K29" s="58"/>
      <c r="L29" s="128"/>
      <c r="M29" s="128"/>
      <c r="N29" s="128"/>
      <c r="O29" s="128"/>
      <c r="P29" s="128"/>
      <c r="Q29" s="128"/>
      <c r="R29" s="108" t="s">
        <v>153</v>
      </c>
      <c r="S29" s="108"/>
      <c r="T29" s="108" t="s">
        <v>153</v>
      </c>
      <c r="U29" s="57" t="s">
        <v>153</v>
      </c>
      <c r="V29" s="128"/>
      <c r="W29" s="69"/>
      <c r="X29" s="128"/>
      <c r="Y29" s="128"/>
      <c r="Z29" s="128"/>
      <c r="AA29" s="128"/>
      <c r="AB29" s="69"/>
      <c r="AC29" s="128"/>
      <c r="AD29" s="66"/>
      <c r="AE29" s="69"/>
      <c r="AF29" s="38"/>
      <c r="AG29" s="128"/>
      <c r="AH29" s="66"/>
      <c r="AI29" s="69"/>
      <c r="AJ29" s="69"/>
      <c r="AK29" s="128"/>
      <c r="AL29" s="38"/>
      <c r="AM29" s="128"/>
      <c r="AN29" s="128"/>
      <c r="AO29" s="128"/>
      <c r="AP29" s="66"/>
      <c r="AQ29" s="38"/>
      <c r="AR29" s="128"/>
      <c r="AS29" s="174"/>
    </row>
    <row r="30" spans="1:45" s="141" customFormat="1" x14ac:dyDescent="0.25">
      <c r="A30" s="83" t="s">
        <v>30</v>
      </c>
      <c r="B30" s="49" t="s">
        <v>855</v>
      </c>
      <c r="C30" s="166">
        <v>1</v>
      </c>
      <c r="D30" s="168"/>
      <c r="E30" s="164">
        <v>1</v>
      </c>
      <c r="F30" s="129">
        <f>AVERAGE(T30)</f>
        <v>7</v>
      </c>
      <c r="G30" s="204"/>
      <c r="H30" s="108"/>
      <c r="I30" s="108"/>
      <c r="J30" s="67"/>
      <c r="K30" s="58"/>
      <c r="L30" s="128"/>
      <c r="M30" s="128"/>
      <c r="N30" s="128"/>
      <c r="O30" s="128"/>
      <c r="P30" s="128"/>
      <c r="Q30" s="128"/>
      <c r="R30" s="108"/>
      <c r="S30" s="108"/>
      <c r="T30" s="283">
        <v>7</v>
      </c>
      <c r="U30" s="69"/>
      <c r="V30" s="128"/>
      <c r="W30" s="69"/>
      <c r="X30" s="128"/>
      <c r="Y30" s="128"/>
      <c r="Z30" s="128"/>
      <c r="AA30" s="128"/>
      <c r="AB30" s="69"/>
      <c r="AC30" s="128"/>
      <c r="AD30" s="66"/>
      <c r="AE30" s="69"/>
      <c r="AF30" s="38"/>
      <c r="AG30" s="128"/>
      <c r="AH30" s="66"/>
      <c r="AI30" s="69"/>
      <c r="AJ30" s="69"/>
      <c r="AK30" s="128"/>
      <c r="AL30" s="38"/>
      <c r="AM30" s="128"/>
      <c r="AN30" s="128"/>
      <c r="AO30" s="128"/>
      <c r="AP30" s="66"/>
      <c r="AQ30" s="38"/>
      <c r="AR30" s="128"/>
      <c r="AS30" s="174"/>
    </row>
    <row r="31" spans="1:45" ht="15.75" thickBot="1" x14ac:dyDescent="0.3">
      <c r="A31" s="3" t="s">
        <v>30</v>
      </c>
      <c r="B31" s="4" t="s">
        <v>28</v>
      </c>
      <c r="C31" s="167">
        <v>3</v>
      </c>
      <c r="D31" s="169">
        <v>12</v>
      </c>
      <c r="E31" s="165">
        <v>1</v>
      </c>
      <c r="F31" s="33">
        <f>AVERAGE(I31,L31,R31)</f>
        <v>4.333333333333333</v>
      </c>
      <c r="G31" s="108"/>
      <c r="H31" s="108" t="s">
        <v>153</v>
      </c>
      <c r="I31" s="108">
        <v>4</v>
      </c>
      <c r="J31" s="67" t="s">
        <v>153</v>
      </c>
      <c r="K31" s="56" t="s">
        <v>153</v>
      </c>
      <c r="L31" s="128">
        <v>4</v>
      </c>
      <c r="M31" s="108" t="s">
        <v>153</v>
      </c>
      <c r="N31" s="108" t="s">
        <v>153</v>
      </c>
      <c r="O31" s="108" t="s">
        <v>153</v>
      </c>
      <c r="P31" s="108" t="s">
        <v>153</v>
      </c>
      <c r="Q31" s="204" t="s">
        <v>153</v>
      </c>
      <c r="R31" s="128">
        <v>5</v>
      </c>
      <c r="S31" s="108" t="s">
        <v>153</v>
      </c>
      <c r="T31" s="69"/>
      <c r="U31" s="108"/>
      <c r="V31" s="128">
        <v>4</v>
      </c>
      <c r="W31" s="108" t="s">
        <v>153</v>
      </c>
      <c r="X31" s="128"/>
      <c r="Y31" s="108" t="s">
        <v>153</v>
      </c>
      <c r="Z31" s="128"/>
      <c r="AA31" s="108"/>
      <c r="AB31" s="108"/>
      <c r="AC31" s="69"/>
      <c r="AD31" s="62"/>
      <c r="AE31" s="69"/>
      <c r="AF31" s="38"/>
      <c r="AG31" s="128"/>
      <c r="AH31" s="38"/>
      <c r="AI31" s="128"/>
      <c r="AJ31" s="128"/>
      <c r="AK31" s="108"/>
      <c r="AL31" s="38"/>
      <c r="AM31" s="128"/>
      <c r="AN31" s="69"/>
      <c r="AO31" s="108"/>
      <c r="AP31" s="62"/>
      <c r="AQ31" s="66"/>
      <c r="AR31" s="108"/>
      <c r="AS31" s="27"/>
    </row>
    <row r="32" spans="1:45" x14ac:dyDescent="0.25">
      <c r="G32" s="37">
        <f>AVERAGE(G9,G10,G12,G14,G15,G18,G19,G20,G22,G25,G26)</f>
        <v>5.5454545454545459</v>
      </c>
      <c r="H32" s="31">
        <f>AVERAGE(H9,H10,H12,H14,H15,H18,H19,H20,H25,H26,H29)</f>
        <v>6</v>
      </c>
      <c r="I32" s="31">
        <f>AVERAGE(I9,I10,I12,I14,I15,I18,I19,I21,I25,I26,I31)</f>
        <v>5.4545454545454541</v>
      </c>
      <c r="J32" s="31">
        <f>AVERAGE(J9,J10,J12,J14,J15,J18,J19,J20,J25,J26,J28)</f>
        <v>6.0909090909090908</v>
      </c>
      <c r="K32" s="31">
        <f>AVERAGE(K9,K10,K11,K14,K15,K18,K19,K20,K24,K25,K26)</f>
        <v>5.3636363636363633</v>
      </c>
      <c r="L32" s="31">
        <f>AVERAGE(L9,L10,L11,L16,L17,L20,L22,L23,L25,L28,L31)</f>
        <v>4.9090909090909092</v>
      </c>
      <c r="M32" s="31">
        <f>AVERAGE(M9,M11,M12,M15,M17,M18,M19,M22,M24,M26,M28)</f>
        <v>5.9090909090909092</v>
      </c>
      <c r="N32" s="31">
        <f>AVERAGE(N9,N10,N11,N14,N16,N20,N22,N23,N24,N25,N28)</f>
        <v>5.8181818181818183</v>
      </c>
      <c r="O32" s="31">
        <f>AVERAGE(O9,O10,O12,O14,O15,O18,O19,O20,O24,O26,O28)</f>
        <v>5.4545454545454541</v>
      </c>
      <c r="P32" s="31">
        <f>AVERAGE(P7,P10,P11,P14,P15,P21,P22,P23,P25,P26,P28)</f>
        <v>6.0909090909090908</v>
      </c>
      <c r="Q32" s="31">
        <f>AVERAGE(Q9,Q10,Q11,Q16,Q17,Q18,Q20,Q21,Q24,Q26,Q28)</f>
        <v>6.0909090909090908</v>
      </c>
      <c r="R32" s="31">
        <f>AVERAGE(R9,R10,R14,R15,R17,R19,R21,R23,R24,R25,R31)</f>
        <v>5.8181818181818183</v>
      </c>
      <c r="S32" s="31">
        <f>AVERAGE(S9,S10,S12,S16,S17,S19,S18,S21,S26,S24,S28)</f>
        <v>6.1818181818181817</v>
      </c>
      <c r="T32" s="31">
        <f>AVERAGE(T9,T10,T13,T15,T17,T18,T19,T21,T25,T28,T30)</f>
        <v>5.6363636363636367</v>
      </c>
      <c r="U32" s="31">
        <f>AVERAGE(U9,U10,U12,U17,U16,U21,U24,U23,U26,U25,U28)</f>
        <v>6</v>
      </c>
      <c r="V32" s="31">
        <f>AVERAGE(V9,V10,V12,V14,V15,V18,V19,V21,V24,V25,V26)</f>
        <v>5.3636363636363633</v>
      </c>
      <c r="W32" s="31">
        <f>AVERAGE(W9,W10,W11,W14,W16,W18,W19,W23,W24,W26,W28)</f>
        <v>6</v>
      </c>
      <c r="X32" s="31">
        <f>AVERAGE(X9,X10,X12,X14,X15,X18,X19,X21,X24,X26,X28)</f>
        <v>5.9090909090909092</v>
      </c>
      <c r="Y32" s="31">
        <f>AVERAGE(Y9,Y10,Y12,Y14,Y15,Y18,Y19,Y20,Y24,Y25,Y28)</f>
        <v>5.9090909090909092</v>
      </c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</row>
    <row r="35" ht="48.75" customHeight="1" x14ac:dyDescent="0.25"/>
  </sheetData>
  <mergeCells count="1">
    <mergeCell ref="C5:E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S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8" width="4.5703125" customWidth="1"/>
    <col min="9" max="24" width="4.7109375" customWidth="1"/>
    <col min="25" max="25" width="4.85546875" customWidth="1"/>
    <col min="26" max="44" width="4.7109375" customWidth="1"/>
  </cols>
  <sheetData>
    <row r="1" spans="1:45" x14ac:dyDescent="0.25">
      <c r="A1" s="124" t="s">
        <v>392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 t="s">
        <v>5</v>
      </c>
      <c r="E6" s="377" t="s">
        <v>6</v>
      </c>
    </row>
    <row r="7" spans="1:45" ht="48" customHeight="1" x14ac:dyDescent="0.25">
      <c r="A7" s="43" t="s">
        <v>3</v>
      </c>
      <c r="B7" s="44" t="s">
        <v>4</v>
      </c>
      <c r="C7" s="45" t="s">
        <v>7</v>
      </c>
      <c r="D7" s="46" t="s">
        <v>228</v>
      </c>
      <c r="E7" s="44" t="s">
        <v>5</v>
      </c>
      <c r="F7" s="47" t="s">
        <v>100</v>
      </c>
      <c r="G7" s="16" t="s">
        <v>627</v>
      </c>
      <c r="H7" s="26" t="s">
        <v>556</v>
      </c>
      <c r="I7" s="26" t="s">
        <v>576</v>
      </c>
      <c r="J7" s="26" t="s">
        <v>593</v>
      </c>
      <c r="K7" s="26" t="s">
        <v>655</v>
      </c>
      <c r="L7" s="26" t="s">
        <v>681</v>
      </c>
      <c r="M7" s="26" t="s">
        <v>705</v>
      </c>
      <c r="N7" s="26" t="s">
        <v>736</v>
      </c>
      <c r="O7" s="26" t="s">
        <v>826</v>
      </c>
      <c r="P7" s="79" t="s">
        <v>781</v>
      </c>
      <c r="Q7" s="99" t="s">
        <v>795</v>
      </c>
      <c r="R7" s="101" t="s">
        <v>819</v>
      </c>
      <c r="S7" s="101" t="s">
        <v>843</v>
      </c>
      <c r="T7" s="101" t="s">
        <v>849</v>
      </c>
      <c r="U7" s="101" t="s">
        <v>891</v>
      </c>
      <c r="V7" s="106" t="s">
        <v>904</v>
      </c>
      <c r="W7" s="119" t="s">
        <v>924</v>
      </c>
      <c r="X7" s="119" t="s">
        <v>951</v>
      </c>
      <c r="Y7" s="119" t="s">
        <v>973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39"/>
      <c r="AM7" s="173"/>
      <c r="AN7" s="26"/>
      <c r="AO7" s="26"/>
      <c r="AP7" s="26"/>
      <c r="AQ7" s="26"/>
      <c r="AR7" s="26"/>
    </row>
    <row r="8" spans="1:45" x14ac:dyDescent="0.25">
      <c r="A8" t="s">
        <v>8</v>
      </c>
      <c r="B8" s="42" t="s">
        <v>338</v>
      </c>
      <c r="C8" s="166">
        <v>6</v>
      </c>
      <c r="D8" s="168">
        <v>1</v>
      </c>
      <c r="E8" s="164"/>
      <c r="F8" s="129">
        <f>AVERAGE(P8,Q8,U8,V8,W8,X8,Y8)</f>
        <v>5.5714285714285712</v>
      </c>
      <c r="G8" s="58"/>
      <c r="H8" s="128"/>
      <c r="I8" s="128"/>
      <c r="J8" s="128"/>
      <c r="K8" s="128"/>
      <c r="L8" s="108"/>
      <c r="M8" s="128"/>
      <c r="N8" s="128"/>
      <c r="O8" s="128"/>
      <c r="P8" s="128">
        <v>5</v>
      </c>
      <c r="Q8" s="128">
        <v>5</v>
      </c>
      <c r="R8" s="128"/>
      <c r="S8" s="128"/>
      <c r="T8" s="128"/>
      <c r="U8" s="128">
        <v>5</v>
      </c>
      <c r="V8" s="69">
        <v>6</v>
      </c>
      <c r="W8" s="128">
        <v>5</v>
      </c>
      <c r="X8" s="128">
        <v>6</v>
      </c>
      <c r="Y8" s="283">
        <v>7</v>
      </c>
      <c r="Z8" s="128"/>
      <c r="AA8" s="128"/>
      <c r="AB8" s="128"/>
      <c r="AC8" s="128"/>
      <c r="AD8" s="128"/>
      <c r="AE8" s="128"/>
      <c r="AF8" s="38"/>
      <c r="AG8" s="128"/>
      <c r="AH8" s="108"/>
      <c r="AI8" s="38"/>
      <c r="AJ8" s="128"/>
      <c r="AK8" s="128"/>
      <c r="AL8" s="128"/>
      <c r="AM8" s="38"/>
      <c r="AN8" s="38"/>
      <c r="AO8" s="128"/>
      <c r="AP8" s="128"/>
      <c r="AQ8" s="38"/>
      <c r="AR8" s="128"/>
      <c r="AS8" s="27"/>
    </row>
    <row r="9" spans="1:45" x14ac:dyDescent="0.25">
      <c r="A9" t="s">
        <v>8</v>
      </c>
      <c r="B9" t="s">
        <v>322</v>
      </c>
      <c r="C9" s="166">
        <v>1</v>
      </c>
      <c r="D9" s="168"/>
      <c r="E9" s="164"/>
      <c r="F9" s="94"/>
      <c r="G9" s="58" t="s">
        <v>546</v>
      </c>
      <c r="H9" s="128"/>
      <c r="I9" s="128"/>
      <c r="J9" s="128"/>
      <c r="K9" s="128"/>
      <c r="L9" s="10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69"/>
      <c r="Y9" s="128"/>
      <c r="Z9" s="128"/>
      <c r="AA9" s="128"/>
      <c r="AB9" s="128"/>
      <c r="AC9" s="128"/>
      <c r="AD9" s="128"/>
      <c r="AE9" s="128"/>
      <c r="AF9" s="38"/>
      <c r="AG9" s="128"/>
      <c r="AH9" s="108"/>
      <c r="AI9" s="38"/>
      <c r="AJ9" s="128"/>
      <c r="AK9" s="128"/>
      <c r="AL9" s="69"/>
      <c r="AM9" s="38"/>
      <c r="AN9" s="38"/>
      <c r="AO9" s="128"/>
      <c r="AP9" s="128"/>
      <c r="AQ9" s="38"/>
      <c r="AR9" s="128"/>
      <c r="AS9" s="27"/>
    </row>
    <row r="10" spans="1:45" x14ac:dyDescent="0.25">
      <c r="A10" s="14" t="s">
        <v>8</v>
      </c>
      <c r="B10" s="14" t="s">
        <v>56</v>
      </c>
      <c r="C10" s="170">
        <v>12</v>
      </c>
      <c r="D10" s="171">
        <v>2</v>
      </c>
      <c r="E10" s="172"/>
      <c r="F10" s="34">
        <f>AVERAGE(H10,I10,J10,G10,K10,L10,M10,N10,R10,O10,S10,T10)</f>
        <v>5.583333333333333</v>
      </c>
      <c r="G10" s="326">
        <v>5</v>
      </c>
      <c r="H10" s="64">
        <v>5</v>
      </c>
      <c r="I10" s="128">
        <v>6</v>
      </c>
      <c r="J10" s="128">
        <v>5</v>
      </c>
      <c r="K10" s="70">
        <v>5</v>
      </c>
      <c r="L10" s="108">
        <v>5</v>
      </c>
      <c r="M10" s="70">
        <v>6</v>
      </c>
      <c r="N10" s="128">
        <v>5</v>
      </c>
      <c r="O10" s="128">
        <v>6</v>
      </c>
      <c r="P10" s="128"/>
      <c r="Q10" s="128"/>
      <c r="R10" s="69">
        <v>6</v>
      </c>
      <c r="S10" s="283">
        <v>7</v>
      </c>
      <c r="T10" s="69">
        <v>6</v>
      </c>
      <c r="U10" s="128" t="s">
        <v>554</v>
      </c>
      <c r="V10" s="128"/>
      <c r="W10" s="128"/>
      <c r="X10" s="108" t="s">
        <v>153</v>
      </c>
      <c r="Y10" s="128"/>
      <c r="Z10" s="128"/>
      <c r="AA10" s="128"/>
      <c r="AB10" s="128"/>
      <c r="AC10" s="69"/>
      <c r="AD10" s="69"/>
      <c r="AE10" s="69"/>
      <c r="AF10" s="38"/>
      <c r="AG10" s="128"/>
      <c r="AH10" s="108"/>
      <c r="AI10" s="38"/>
      <c r="AJ10" s="128"/>
      <c r="AK10" s="128"/>
      <c r="AL10" s="128"/>
      <c r="AM10" s="38"/>
      <c r="AN10" s="38"/>
      <c r="AO10" s="128"/>
      <c r="AP10" s="128"/>
      <c r="AQ10" s="38"/>
      <c r="AR10" s="128"/>
      <c r="AS10" s="27"/>
    </row>
    <row r="11" spans="1:45" x14ac:dyDescent="0.25">
      <c r="A11" t="s">
        <v>11</v>
      </c>
      <c r="B11" t="s">
        <v>57</v>
      </c>
      <c r="C11" s="166">
        <v>1</v>
      </c>
      <c r="D11" s="168">
        <v>2</v>
      </c>
      <c r="E11" s="176"/>
      <c r="F11" s="32">
        <f>AVERAGE(H11,I11,G11)</f>
        <v>4.666666666666667</v>
      </c>
      <c r="G11" s="58">
        <v>4</v>
      </c>
      <c r="H11" s="281">
        <v>5</v>
      </c>
      <c r="I11" s="128">
        <v>5</v>
      </c>
      <c r="J11" s="128"/>
      <c r="K11" s="128"/>
      <c r="L11" s="10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38"/>
      <c r="AG11" s="128"/>
      <c r="AH11" s="108"/>
      <c r="AI11" s="38"/>
      <c r="AJ11" s="108"/>
      <c r="AK11" s="128"/>
      <c r="AL11" s="128"/>
      <c r="AM11" s="38"/>
      <c r="AN11" s="38"/>
      <c r="AO11" s="128"/>
      <c r="AP11" s="128"/>
      <c r="AQ11" s="38"/>
      <c r="AR11" s="128"/>
      <c r="AS11" s="27"/>
    </row>
    <row r="12" spans="1:45" x14ac:dyDescent="0.25">
      <c r="A12" t="s">
        <v>11</v>
      </c>
      <c r="B12" t="s">
        <v>58</v>
      </c>
      <c r="C12" s="166">
        <v>5</v>
      </c>
      <c r="D12" s="168">
        <v>1</v>
      </c>
      <c r="E12" s="164">
        <v>1</v>
      </c>
      <c r="F12" s="32">
        <f>AVERAGE(O12,T12,U12,V12,W12)</f>
        <v>5.2</v>
      </c>
      <c r="G12" s="128"/>
      <c r="H12" s="71"/>
      <c r="I12" s="128"/>
      <c r="J12" s="128"/>
      <c r="K12" s="128"/>
      <c r="L12" s="108"/>
      <c r="M12" s="128"/>
      <c r="N12" s="128"/>
      <c r="O12" s="69">
        <v>6</v>
      </c>
      <c r="P12" s="128"/>
      <c r="Q12" s="128"/>
      <c r="R12" s="128"/>
      <c r="S12" s="128"/>
      <c r="T12" s="128">
        <v>5</v>
      </c>
      <c r="U12" s="128">
        <v>5</v>
      </c>
      <c r="V12" s="128">
        <v>6</v>
      </c>
      <c r="W12" s="128">
        <v>4</v>
      </c>
      <c r="X12" s="128"/>
      <c r="Y12" s="108" t="s">
        <v>153</v>
      </c>
      <c r="Z12" s="128"/>
      <c r="AA12" s="128"/>
      <c r="AB12" s="69"/>
      <c r="AC12" s="128"/>
      <c r="AD12" s="128"/>
      <c r="AE12" s="128"/>
      <c r="AF12" s="38"/>
      <c r="AG12" s="128"/>
      <c r="AH12" s="108"/>
      <c r="AI12" s="38"/>
      <c r="AJ12" s="128"/>
      <c r="AK12" s="128"/>
      <c r="AL12" s="128"/>
      <c r="AM12" s="38"/>
      <c r="AN12" s="38"/>
      <c r="AO12" s="128"/>
      <c r="AP12" s="128"/>
      <c r="AQ12" s="38"/>
      <c r="AR12" s="128"/>
      <c r="AS12" s="27"/>
    </row>
    <row r="13" spans="1:45" s="141" customFormat="1" x14ac:dyDescent="0.25">
      <c r="A13" s="141" t="s">
        <v>11</v>
      </c>
      <c r="B13" s="49" t="s">
        <v>395</v>
      </c>
      <c r="C13" s="166">
        <v>8</v>
      </c>
      <c r="D13" s="168">
        <v>1</v>
      </c>
      <c r="E13" s="164">
        <v>1</v>
      </c>
      <c r="F13" s="129">
        <f>AVERAGE(I13,J13,K13,M13,Q13,X13,Y13)</f>
        <v>5.2857142857142856</v>
      </c>
      <c r="G13" s="132" t="s">
        <v>554</v>
      </c>
      <c r="H13" s="71"/>
      <c r="I13" s="128">
        <v>5</v>
      </c>
      <c r="J13" s="128">
        <v>4</v>
      </c>
      <c r="K13" s="128">
        <v>6</v>
      </c>
      <c r="L13" s="108"/>
      <c r="M13" s="128">
        <v>5</v>
      </c>
      <c r="N13" s="128"/>
      <c r="O13" s="128"/>
      <c r="P13" s="128"/>
      <c r="Q13" s="128">
        <v>5</v>
      </c>
      <c r="R13" s="128"/>
      <c r="S13" s="128"/>
      <c r="T13" s="128"/>
      <c r="U13" s="128"/>
      <c r="V13" s="128"/>
      <c r="W13" s="108" t="s">
        <v>153</v>
      </c>
      <c r="X13" s="128">
        <v>6</v>
      </c>
      <c r="Y13" s="69">
        <v>6</v>
      </c>
      <c r="Z13" s="128"/>
      <c r="AA13" s="128"/>
      <c r="AB13" s="128"/>
      <c r="AC13" s="128"/>
      <c r="AD13" s="128"/>
      <c r="AE13" s="128"/>
      <c r="AF13" s="38"/>
      <c r="AG13" s="128"/>
      <c r="AH13" s="108"/>
      <c r="AI13" s="38"/>
      <c r="AJ13" s="128"/>
      <c r="AK13" s="128"/>
      <c r="AL13" s="128"/>
      <c r="AM13" s="38"/>
      <c r="AN13" s="38"/>
      <c r="AO13" s="128"/>
      <c r="AP13" s="128"/>
      <c r="AQ13" s="38"/>
      <c r="AR13" s="128"/>
      <c r="AS13" s="174"/>
    </row>
    <row r="14" spans="1:45" s="141" customFormat="1" x14ac:dyDescent="0.25">
      <c r="A14" s="141" t="s">
        <v>11</v>
      </c>
      <c r="B14" s="42" t="s">
        <v>503</v>
      </c>
      <c r="C14" s="166">
        <v>12</v>
      </c>
      <c r="D14" s="168"/>
      <c r="E14" s="164">
        <v>1</v>
      </c>
      <c r="F14" s="129">
        <f>AVERAGE(H14,G14,N14,P14,R14,S14,T14,U14,V14,W14,X14,Y14)</f>
        <v>5.083333333333333</v>
      </c>
      <c r="G14" s="132">
        <v>5</v>
      </c>
      <c r="H14" s="212">
        <v>6</v>
      </c>
      <c r="I14" s="128"/>
      <c r="J14" s="128"/>
      <c r="K14" s="128"/>
      <c r="L14" s="108"/>
      <c r="M14" s="128"/>
      <c r="N14" s="303">
        <v>3</v>
      </c>
      <c r="O14" s="128"/>
      <c r="P14" s="128">
        <v>5</v>
      </c>
      <c r="Q14" s="128"/>
      <c r="R14" s="128">
        <v>5</v>
      </c>
      <c r="S14" s="128">
        <v>5</v>
      </c>
      <c r="T14" s="128">
        <v>5</v>
      </c>
      <c r="U14" s="128">
        <v>5</v>
      </c>
      <c r="V14" s="128">
        <v>6</v>
      </c>
      <c r="W14" s="128">
        <v>5</v>
      </c>
      <c r="X14" s="128">
        <v>6</v>
      </c>
      <c r="Y14" s="128">
        <v>5</v>
      </c>
      <c r="Z14" s="128"/>
      <c r="AA14" s="128"/>
      <c r="AB14" s="128"/>
      <c r="AC14" s="128"/>
      <c r="AD14" s="128"/>
      <c r="AE14" s="128"/>
      <c r="AF14" s="38"/>
      <c r="AG14" s="128"/>
      <c r="AH14" s="108"/>
      <c r="AI14" s="38"/>
      <c r="AJ14" s="128"/>
      <c r="AK14" s="128"/>
      <c r="AL14" s="128"/>
      <c r="AM14" s="38"/>
      <c r="AN14" s="38"/>
      <c r="AO14" s="128"/>
      <c r="AP14" s="128"/>
      <c r="AQ14" s="38"/>
      <c r="AR14" s="128"/>
      <c r="AS14" s="174"/>
    </row>
    <row r="15" spans="1:45" s="141" customFormat="1" x14ac:dyDescent="0.25">
      <c r="A15" s="141" t="s">
        <v>11</v>
      </c>
      <c r="B15" s="49" t="s">
        <v>504</v>
      </c>
      <c r="C15" s="166">
        <v>11</v>
      </c>
      <c r="D15" s="168">
        <v>1</v>
      </c>
      <c r="E15" s="164"/>
      <c r="F15" s="129">
        <f>AVERAGE(H15,I15,J15,G15,K15,L15,R15,S15,T15,V15,W15,Y15)</f>
        <v>5.083333333333333</v>
      </c>
      <c r="G15" s="132">
        <v>4</v>
      </c>
      <c r="H15" s="281">
        <v>4</v>
      </c>
      <c r="I15" s="128">
        <v>4</v>
      </c>
      <c r="J15" s="128">
        <v>4</v>
      </c>
      <c r="K15" s="128">
        <v>5</v>
      </c>
      <c r="L15" s="108">
        <v>5</v>
      </c>
      <c r="M15" s="128"/>
      <c r="N15" s="108" t="s">
        <v>153</v>
      </c>
      <c r="O15" s="128"/>
      <c r="P15" s="128"/>
      <c r="Q15" s="128"/>
      <c r="R15" s="282">
        <v>7</v>
      </c>
      <c r="S15" s="128">
        <v>6</v>
      </c>
      <c r="T15" s="128">
        <v>5</v>
      </c>
      <c r="U15" s="128"/>
      <c r="V15" s="128">
        <v>6</v>
      </c>
      <c r="W15" s="128">
        <v>5</v>
      </c>
      <c r="X15" s="128"/>
      <c r="Y15" s="128">
        <v>6</v>
      </c>
      <c r="Z15" s="128"/>
      <c r="AA15" s="128"/>
      <c r="AB15" s="128"/>
      <c r="AC15" s="128"/>
      <c r="AD15" s="128"/>
      <c r="AE15" s="128"/>
      <c r="AF15" s="38"/>
      <c r="AG15" s="128"/>
      <c r="AH15" s="108"/>
      <c r="AI15" s="38"/>
      <c r="AJ15" s="128"/>
      <c r="AK15" s="128"/>
      <c r="AL15" s="128"/>
      <c r="AM15" s="38"/>
      <c r="AN15" s="38"/>
      <c r="AO15" s="128"/>
      <c r="AP15" s="128"/>
      <c r="AQ15" s="38"/>
      <c r="AR15" s="128"/>
      <c r="AS15" s="174"/>
    </row>
    <row r="16" spans="1:45" s="141" customFormat="1" x14ac:dyDescent="0.25">
      <c r="A16" s="141" t="s">
        <v>11</v>
      </c>
      <c r="B16" s="42" t="s">
        <v>516</v>
      </c>
      <c r="C16" s="166">
        <v>2</v>
      </c>
      <c r="D16" s="168">
        <v>2</v>
      </c>
      <c r="E16" s="164"/>
      <c r="F16" s="129">
        <f>AVERAGE(H16,I16,J16)</f>
        <v>4.666666666666667</v>
      </c>
      <c r="G16" s="132"/>
      <c r="H16" s="281">
        <v>4</v>
      </c>
      <c r="I16" s="128">
        <v>5</v>
      </c>
      <c r="J16" s="128">
        <v>5</v>
      </c>
      <c r="K16" s="128"/>
      <c r="L16" s="108"/>
      <c r="M16" s="128"/>
      <c r="N16" s="128"/>
      <c r="O16" s="128"/>
      <c r="P16" s="128"/>
      <c r="Q16" s="128"/>
      <c r="R16" s="128"/>
      <c r="S16" s="128"/>
      <c r="T16" s="108" t="s">
        <v>153</v>
      </c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38"/>
      <c r="AG16" s="128"/>
      <c r="AH16" s="108"/>
      <c r="AI16" s="38"/>
      <c r="AJ16" s="128"/>
      <c r="AK16" s="128"/>
      <c r="AL16" s="128"/>
      <c r="AM16" s="38"/>
      <c r="AN16" s="38"/>
      <c r="AO16" s="128"/>
      <c r="AP16" s="128"/>
      <c r="AQ16" s="38"/>
      <c r="AR16" s="128"/>
      <c r="AS16" s="174"/>
    </row>
    <row r="17" spans="1:45" s="141" customFormat="1" x14ac:dyDescent="0.25">
      <c r="A17" s="141" t="s">
        <v>11</v>
      </c>
      <c r="B17" s="42" t="s">
        <v>656</v>
      </c>
      <c r="C17" s="166">
        <v>11</v>
      </c>
      <c r="D17" s="168"/>
      <c r="E17" s="164"/>
      <c r="F17" s="129">
        <f>AVERAGE(K17,L17,M17,N17,P17,Q17,R17,O17,S17,V17)</f>
        <v>5.6</v>
      </c>
      <c r="G17" s="132"/>
      <c r="H17" s="281"/>
      <c r="I17" s="128"/>
      <c r="J17" s="128"/>
      <c r="K17" s="128">
        <v>5</v>
      </c>
      <c r="L17" s="290">
        <v>7</v>
      </c>
      <c r="M17" s="128">
        <v>5</v>
      </c>
      <c r="N17" s="128">
        <v>6</v>
      </c>
      <c r="O17" s="128">
        <v>6</v>
      </c>
      <c r="P17" s="128">
        <v>5</v>
      </c>
      <c r="Q17" s="128">
        <v>5</v>
      </c>
      <c r="R17" s="128">
        <v>6</v>
      </c>
      <c r="S17" s="128">
        <v>6</v>
      </c>
      <c r="T17" s="128"/>
      <c r="U17" s="108" t="s">
        <v>555</v>
      </c>
      <c r="V17" s="128">
        <v>5</v>
      </c>
      <c r="W17" s="128"/>
      <c r="X17" s="128"/>
      <c r="Y17" s="128"/>
      <c r="Z17" s="128"/>
      <c r="AA17" s="128"/>
      <c r="AB17" s="128"/>
      <c r="AC17" s="128"/>
      <c r="AD17" s="128"/>
      <c r="AE17" s="128"/>
      <c r="AF17" s="38"/>
      <c r="AG17" s="128"/>
      <c r="AH17" s="108"/>
      <c r="AI17" s="38"/>
      <c r="AJ17" s="128"/>
      <c r="AK17" s="128"/>
      <c r="AL17" s="128"/>
      <c r="AM17" s="38"/>
      <c r="AN17" s="38"/>
      <c r="AO17" s="128"/>
      <c r="AP17" s="128"/>
      <c r="AQ17" s="38"/>
      <c r="AR17" s="128"/>
      <c r="AS17" s="174"/>
    </row>
    <row r="18" spans="1:45" x14ac:dyDescent="0.25">
      <c r="A18" s="14" t="s">
        <v>11</v>
      </c>
      <c r="B18" s="14" t="s">
        <v>19</v>
      </c>
      <c r="C18" s="170">
        <v>11</v>
      </c>
      <c r="D18" s="171"/>
      <c r="E18" s="172">
        <v>1</v>
      </c>
      <c r="F18" s="34">
        <f>AVERAGE(L18,M18,N18,P18,Q18,O18,U18,W18,X18,Y18)</f>
        <v>5.4</v>
      </c>
      <c r="G18" s="194" t="s">
        <v>546</v>
      </c>
      <c r="H18" s="128"/>
      <c r="I18" s="128"/>
      <c r="J18" s="128"/>
      <c r="K18" s="128"/>
      <c r="L18" s="108">
        <v>4</v>
      </c>
      <c r="M18" s="70">
        <v>5</v>
      </c>
      <c r="N18" s="128">
        <v>5</v>
      </c>
      <c r="O18" s="344">
        <v>7</v>
      </c>
      <c r="P18" s="69">
        <v>6</v>
      </c>
      <c r="Q18" s="128">
        <v>5</v>
      </c>
      <c r="R18" s="128"/>
      <c r="S18" s="128"/>
      <c r="T18" s="128"/>
      <c r="U18" s="128">
        <v>5</v>
      </c>
      <c r="V18" s="128"/>
      <c r="W18" s="108">
        <v>5</v>
      </c>
      <c r="X18" s="128">
        <v>6</v>
      </c>
      <c r="Y18" s="128">
        <v>6</v>
      </c>
      <c r="Z18" s="128"/>
      <c r="AA18" s="128"/>
      <c r="AB18" s="128"/>
      <c r="AC18" s="128"/>
      <c r="AD18" s="128"/>
      <c r="AE18" s="128"/>
      <c r="AF18" s="38"/>
      <c r="AG18" s="128"/>
      <c r="AH18" s="108"/>
      <c r="AI18" s="38"/>
      <c r="AJ18" s="128"/>
      <c r="AK18" s="128"/>
      <c r="AL18" s="128"/>
      <c r="AM18" s="66"/>
      <c r="AN18" s="38"/>
      <c r="AO18" s="128"/>
      <c r="AP18" s="128"/>
      <c r="AQ18" s="38"/>
      <c r="AR18" s="128"/>
      <c r="AS18" s="27"/>
    </row>
    <row r="19" spans="1:45" x14ac:dyDescent="0.25">
      <c r="A19" t="s">
        <v>29</v>
      </c>
      <c r="B19" t="s">
        <v>59</v>
      </c>
      <c r="C19" s="166">
        <v>2</v>
      </c>
      <c r="D19" s="168">
        <v>5</v>
      </c>
      <c r="E19" s="164">
        <v>1</v>
      </c>
      <c r="F19" s="32">
        <f>AVERAGE(O19)</f>
        <v>5</v>
      </c>
      <c r="G19" s="58"/>
      <c r="H19" s="128" t="s">
        <v>546</v>
      </c>
      <c r="I19" s="128"/>
      <c r="J19" s="128"/>
      <c r="K19" s="128"/>
      <c r="L19" s="108"/>
      <c r="M19" s="108" t="s">
        <v>153</v>
      </c>
      <c r="N19" s="108" t="s">
        <v>153</v>
      </c>
      <c r="O19" s="128">
        <v>5</v>
      </c>
      <c r="P19" s="57" t="s">
        <v>153</v>
      </c>
      <c r="Q19" s="128"/>
      <c r="R19" s="108" t="s">
        <v>153</v>
      </c>
      <c r="S19" s="108" t="s">
        <v>153</v>
      </c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38"/>
      <c r="AG19" s="128"/>
      <c r="AH19" s="108"/>
      <c r="AI19" s="38"/>
      <c r="AJ19" s="128"/>
      <c r="AK19" s="128"/>
      <c r="AL19" s="128"/>
      <c r="AM19" s="38"/>
      <c r="AN19" s="38"/>
      <c r="AO19" s="128"/>
      <c r="AP19" s="128"/>
      <c r="AQ19" s="38"/>
      <c r="AR19" s="128"/>
      <c r="AS19" s="27"/>
    </row>
    <row r="20" spans="1:45" s="141" customFormat="1" x14ac:dyDescent="0.25">
      <c r="A20" s="255" t="s">
        <v>29</v>
      </c>
      <c r="B20" s="255" t="s">
        <v>61</v>
      </c>
      <c r="C20" s="156"/>
      <c r="D20" s="157">
        <v>1</v>
      </c>
      <c r="E20" s="158"/>
      <c r="F20" s="129"/>
      <c r="G20" s="252"/>
      <c r="H20" s="251" t="s">
        <v>153</v>
      </c>
      <c r="I20" s="257"/>
      <c r="J20" s="257"/>
      <c r="K20" s="257"/>
      <c r="L20" s="258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3"/>
      <c r="AG20" s="257"/>
      <c r="AH20" s="258"/>
      <c r="AI20" s="253"/>
      <c r="AJ20" s="257"/>
      <c r="AK20" s="257"/>
      <c r="AL20" s="257"/>
      <c r="AM20" s="253"/>
      <c r="AN20" s="253"/>
      <c r="AO20" s="257"/>
      <c r="AP20" s="257"/>
      <c r="AQ20" s="253"/>
      <c r="AR20" s="257"/>
      <c r="AS20" s="174"/>
    </row>
    <row r="21" spans="1:45" x14ac:dyDescent="0.25">
      <c r="A21" t="s">
        <v>29</v>
      </c>
      <c r="B21" s="49" t="s">
        <v>283</v>
      </c>
      <c r="C21" s="166"/>
      <c r="D21" s="168"/>
      <c r="E21" s="164"/>
      <c r="F21" s="32"/>
      <c r="G21" s="58"/>
      <c r="H21" s="108"/>
      <c r="I21" s="128"/>
      <c r="J21" s="128"/>
      <c r="K21" s="128"/>
      <c r="L21" s="108"/>
      <c r="M21" s="128"/>
      <c r="N21" s="128"/>
      <c r="O21" s="128"/>
      <c r="P21" s="128"/>
      <c r="Q21" s="108"/>
      <c r="R21" s="128"/>
      <c r="S21" s="128"/>
      <c r="T21" s="108"/>
      <c r="U21" s="128"/>
      <c r="V21" s="128"/>
      <c r="W21" s="128"/>
      <c r="X21" s="108"/>
      <c r="Y21" s="128"/>
      <c r="Z21" s="108"/>
      <c r="AA21" s="128"/>
      <c r="AB21" s="128"/>
      <c r="AC21" s="128"/>
      <c r="AD21" s="128"/>
      <c r="AE21" s="128"/>
      <c r="AF21" s="38"/>
      <c r="AG21" s="128"/>
      <c r="AH21" s="108"/>
      <c r="AI21" s="62"/>
      <c r="AJ21" s="128"/>
      <c r="AK21" s="128"/>
      <c r="AL21" s="128"/>
      <c r="AM21" s="38"/>
      <c r="AN21" s="38"/>
      <c r="AO21" s="128"/>
      <c r="AP21" s="128"/>
      <c r="AQ21" s="38"/>
      <c r="AR21" s="128"/>
      <c r="AS21" s="27"/>
    </row>
    <row r="22" spans="1:45" x14ac:dyDescent="0.25">
      <c r="A22" t="s">
        <v>29</v>
      </c>
      <c r="B22" s="49" t="s">
        <v>282</v>
      </c>
      <c r="C22" s="166">
        <v>4</v>
      </c>
      <c r="D22" s="168">
        <v>1</v>
      </c>
      <c r="E22" s="164"/>
      <c r="F22" s="32">
        <f>AVERAGE(T22,V22,Y22)</f>
        <v>5.333333333333333</v>
      </c>
      <c r="G22" s="128"/>
      <c r="H22" s="71"/>
      <c r="I22" s="128"/>
      <c r="J22" s="128"/>
      <c r="K22" s="128"/>
      <c r="L22" s="108"/>
      <c r="M22" s="108"/>
      <c r="N22" s="128"/>
      <c r="O22" s="108" t="s">
        <v>153</v>
      </c>
      <c r="P22" s="128"/>
      <c r="Q22" s="128"/>
      <c r="R22" s="128"/>
      <c r="S22" s="108" t="s">
        <v>153</v>
      </c>
      <c r="T22" s="128">
        <v>6</v>
      </c>
      <c r="U22" s="128"/>
      <c r="V22" s="128">
        <v>5</v>
      </c>
      <c r="W22" s="108" t="s">
        <v>554</v>
      </c>
      <c r="X22" s="128"/>
      <c r="Y22" s="128">
        <v>5</v>
      </c>
      <c r="Z22" s="128"/>
      <c r="AA22" s="128"/>
      <c r="AB22" s="69"/>
      <c r="AC22" s="128"/>
      <c r="AD22" s="128"/>
      <c r="AE22" s="128"/>
      <c r="AF22" s="38"/>
      <c r="AG22" s="128"/>
      <c r="AH22" s="108"/>
      <c r="AI22" s="62"/>
      <c r="AJ22" s="128"/>
      <c r="AK22" s="128"/>
      <c r="AL22" s="108"/>
      <c r="AM22" s="62"/>
      <c r="AN22" s="62"/>
      <c r="AO22" s="108"/>
      <c r="AP22" s="108"/>
      <c r="AQ22" s="38"/>
      <c r="AR22" s="128"/>
      <c r="AS22" s="27"/>
    </row>
    <row r="23" spans="1:45" x14ac:dyDescent="0.25">
      <c r="A23" t="s">
        <v>29</v>
      </c>
      <c r="B23" t="s">
        <v>62</v>
      </c>
      <c r="C23" s="166"/>
      <c r="D23" s="168"/>
      <c r="E23" s="164"/>
      <c r="F23" s="9"/>
      <c r="G23" s="58"/>
      <c r="H23" s="128"/>
      <c r="I23" s="128"/>
      <c r="J23" s="128"/>
      <c r="K23" s="128"/>
      <c r="L23" s="10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38"/>
      <c r="AG23" s="128"/>
      <c r="AH23" s="108"/>
      <c r="AI23" s="38"/>
      <c r="AJ23" s="128"/>
      <c r="AK23" s="128"/>
      <c r="AL23" s="128"/>
      <c r="AM23" s="38"/>
      <c r="AN23" s="38"/>
      <c r="AO23" s="128"/>
      <c r="AP23" s="128"/>
      <c r="AQ23" s="38"/>
      <c r="AR23" s="128"/>
      <c r="AS23" s="27"/>
    </row>
    <row r="24" spans="1:45" x14ac:dyDescent="0.25">
      <c r="A24" s="184" t="s">
        <v>29</v>
      </c>
      <c r="B24" s="179" t="s">
        <v>64</v>
      </c>
      <c r="C24" s="185">
        <v>15</v>
      </c>
      <c r="D24" s="70"/>
      <c r="E24" s="186"/>
      <c r="F24" s="129">
        <f>AVERAGE(Y24,X24,I24,J24,K24,L24,M24,N24,P24,Q24,R24,O24,S24,T24,U24)</f>
        <v>5.4</v>
      </c>
      <c r="G24" s="195"/>
      <c r="H24" s="70"/>
      <c r="I24" s="70">
        <v>5</v>
      </c>
      <c r="J24" s="70">
        <v>5</v>
      </c>
      <c r="K24" s="70">
        <v>5</v>
      </c>
      <c r="L24" s="70">
        <v>5</v>
      </c>
      <c r="M24" s="70">
        <v>6</v>
      </c>
      <c r="N24" s="70">
        <v>5</v>
      </c>
      <c r="O24" s="70">
        <v>6</v>
      </c>
      <c r="P24" s="70">
        <v>5</v>
      </c>
      <c r="Q24" s="70">
        <v>5</v>
      </c>
      <c r="R24" s="70">
        <v>6</v>
      </c>
      <c r="S24" s="70">
        <v>6</v>
      </c>
      <c r="T24" s="344">
        <v>7</v>
      </c>
      <c r="U24" s="70">
        <v>5</v>
      </c>
      <c r="V24" s="70"/>
      <c r="W24" s="70"/>
      <c r="X24" s="70">
        <v>5</v>
      </c>
      <c r="Y24" s="70">
        <v>5</v>
      </c>
      <c r="Z24" s="61"/>
      <c r="AA24" s="70"/>
      <c r="AB24" s="64"/>
      <c r="AC24" s="179"/>
      <c r="AD24" s="70"/>
      <c r="AE24" s="64"/>
      <c r="AF24" s="70"/>
      <c r="AG24" s="70"/>
      <c r="AH24" s="70"/>
      <c r="AI24" s="70"/>
      <c r="AJ24" s="70"/>
      <c r="AK24" s="70"/>
      <c r="AL24" s="64"/>
      <c r="AM24" s="64"/>
      <c r="AN24" s="70"/>
      <c r="AO24" s="70"/>
      <c r="AP24" s="64"/>
      <c r="AQ24" s="70"/>
      <c r="AR24" s="70"/>
      <c r="AS24" s="27"/>
    </row>
    <row r="25" spans="1:45" x14ac:dyDescent="0.25">
      <c r="A25" t="s">
        <v>29</v>
      </c>
      <c r="B25" t="s">
        <v>255</v>
      </c>
      <c r="C25" s="166">
        <v>6</v>
      </c>
      <c r="D25" s="168"/>
      <c r="E25" s="164">
        <v>2</v>
      </c>
      <c r="F25" s="32">
        <f>AVERAGE(H25,I25,J25,G25,K25,L25)</f>
        <v>5.166666666666667</v>
      </c>
      <c r="G25" s="58">
        <v>5</v>
      </c>
      <c r="H25" s="283">
        <v>8</v>
      </c>
      <c r="I25" s="69">
        <v>5</v>
      </c>
      <c r="J25" s="108">
        <v>5</v>
      </c>
      <c r="K25" s="128">
        <v>4</v>
      </c>
      <c r="L25" s="108">
        <v>4</v>
      </c>
      <c r="M25" s="108"/>
      <c r="N25" s="128"/>
      <c r="O25" s="128"/>
      <c r="P25" s="108"/>
      <c r="Q25" s="69"/>
      <c r="R25" s="128"/>
      <c r="S25" s="128"/>
      <c r="T25" s="128"/>
      <c r="U25" s="128"/>
      <c r="V25" s="108"/>
      <c r="W25" s="69"/>
      <c r="X25" s="128"/>
      <c r="Y25" s="128"/>
      <c r="Z25" s="128"/>
      <c r="AA25" s="69"/>
      <c r="AB25" s="128"/>
      <c r="AC25" s="128"/>
      <c r="AD25" s="128"/>
      <c r="AE25" s="128"/>
      <c r="AF25" s="38"/>
      <c r="AG25" s="128"/>
      <c r="AH25" s="108"/>
      <c r="AI25" s="38"/>
      <c r="AJ25" s="128"/>
      <c r="AK25" s="128"/>
      <c r="AL25" s="128"/>
      <c r="AM25" s="38"/>
      <c r="AN25" s="38"/>
      <c r="AO25" s="128"/>
      <c r="AP25" s="128"/>
      <c r="AQ25" s="38"/>
      <c r="AR25" s="128"/>
      <c r="AS25" s="27"/>
    </row>
    <row r="26" spans="1:45" x14ac:dyDescent="0.25">
      <c r="A26" t="s">
        <v>29</v>
      </c>
      <c r="B26" t="s">
        <v>63</v>
      </c>
      <c r="C26" s="166">
        <v>19</v>
      </c>
      <c r="D26" s="168"/>
      <c r="E26" s="164">
        <v>1</v>
      </c>
      <c r="F26" s="129">
        <f>AVERAGE(Y26,X26,W26,V26,U26,H26,I26,J26,G26,K26,L26,M26,N26,P26,Q26,R26,O26,S26,T26)</f>
        <v>5.2631578947368425</v>
      </c>
      <c r="G26" s="58">
        <v>5</v>
      </c>
      <c r="H26" s="128">
        <v>5</v>
      </c>
      <c r="I26" s="282">
        <v>7</v>
      </c>
      <c r="J26" s="128">
        <v>6</v>
      </c>
      <c r="K26" s="128">
        <v>5</v>
      </c>
      <c r="L26" s="294">
        <v>7</v>
      </c>
      <c r="M26" s="128">
        <v>5</v>
      </c>
      <c r="N26" s="128">
        <v>4</v>
      </c>
      <c r="O26" s="128">
        <v>5</v>
      </c>
      <c r="P26" s="128">
        <v>5</v>
      </c>
      <c r="Q26" s="128">
        <v>5</v>
      </c>
      <c r="R26" s="128">
        <v>5</v>
      </c>
      <c r="S26" s="128">
        <v>5</v>
      </c>
      <c r="T26" s="128">
        <v>6</v>
      </c>
      <c r="U26" s="128">
        <v>5</v>
      </c>
      <c r="V26" s="128">
        <v>5</v>
      </c>
      <c r="W26" s="128">
        <v>4</v>
      </c>
      <c r="X26" s="128">
        <v>6</v>
      </c>
      <c r="Y26" s="128">
        <v>5</v>
      </c>
      <c r="Z26" s="128"/>
      <c r="AA26" s="128"/>
      <c r="AB26" s="128"/>
      <c r="AC26" s="128"/>
      <c r="AD26" s="128"/>
      <c r="AE26" s="128"/>
      <c r="AF26" s="38"/>
      <c r="AG26" s="128"/>
      <c r="AH26" s="108"/>
      <c r="AI26" s="38"/>
      <c r="AJ26" s="128"/>
      <c r="AK26" s="128"/>
      <c r="AL26" s="128"/>
      <c r="AM26" s="38"/>
      <c r="AN26" s="38"/>
      <c r="AO26" s="128"/>
      <c r="AP26" s="128"/>
      <c r="AQ26" s="38"/>
      <c r="AR26" s="128"/>
      <c r="AS26" s="27"/>
    </row>
    <row r="27" spans="1:45" s="91" customFormat="1" x14ac:dyDescent="0.25">
      <c r="A27" s="91" t="s">
        <v>29</v>
      </c>
      <c r="B27" s="49" t="s">
        <v>363</v>
      </c>
      <c r="C27" s="166">
        <v>17</v>
      </c>
      <c r="D27" s="168">
        <v>1</v>
      </c>
      <c r="E27" s="164">
        <v>2</v>
      </c>
      <c r="F27" s="129">
        <f>AVERAGE(Y27,X27,W27,U27,H27,I27,J27,G27,K27,L27,M27,N27,P27,Q27,R27,S27,T27)</f>
        <v>5.0588235294117645</v>
      </c>
      <c r="G27" s="58">
        <v>5</v>
      </c>
      <c r="H27" s="128">
        <v>5</v>
      </c>
      <c r="I27" s="128">
        <v>5</v>
      </c>
      <c r="J27" s="128">
        <v>5</v>
      </c>
      <c r="K27" s="128">
        <v>5</v>
      </c>
      <c r="L27" s="108">
        <v>5</v>
      </c>
      <c r="M27" s="128">
        <v>4</v>
      </c>
      <c r="N27" s="283">
        <v>7</v>
      </c>
      <c r="O27" s="128"/>
      <c r="P27" s="128">
        <v>5</v>
      </c>
      <c r="Q27" s="128">
        <v>4</v>
      </c>
      <c r="R27" s="108">
        <v>5</v>
      </c>
      <c r="S27" s="128">
        <v>5</v>
      </c>
      <c r="T27" s="283">
        <v>7</v>
      </c>
      <c r="U27" s="128">
        <v>5</v>
      </c>
      <c r="V27" s="108" t="s">
        <v>153</v>
      </c>
      <c r="W27" s="128">
        <v>4</v>
      </c>
      <c r="X27" s="128">
        <v>5</v>
      </c>
      <c r="Y27" s="128">
        <v>5</v>
      </c>
      <c r="Z27" s="128"/>
      <c r="AA27" s="128"/>
      <c r="AB27" s="128"/>
      <c r="AC27" s="128"/>
      <c r="AD27" s="128"/>
      <c r="AE27" s="128"/>
      <c r="AF27" s="38"/>
      <c r="AG27" s="128"/>
      <c r="AH27" s="108"/>
      <c r="AI27" s="62"/>
      <c r="AJ27" s="108"/>
      <c r="AK27" s="128"/>
      <c r="AL27" s="128"/>
      <c r="AM27" s="38"/>
      <c r="AN27" s="38"/>
      <c r="AO27" s="128"/>
      <c r="AP27" s="128"/>
      <c r="AQ27" s="62"/>
      <c r="AR27" s="128"/>
      <c r="AS27" s="103"/>
    </row>
    <row r="28" spans="1:45" s="141" customFormat="1" x14ac:dyDescent="0.25">
      <c r="A28" s="132" t="s">
        <v>29</v>
      </c>
      <c r="B28" s="42" t="s">
        <v>454</v>
      </c>
      <c r="C28" s="166">
        <v>17</v>
      </c>
      <c r="D28" s="168">
        <v>2</v>
      </c>
      <c r="E28" s="164">
        <v>1</v>
      </c>
      <c r="F28" s="129">
        <f>AVERAGE(X28,W28,U28,H28,I28,J28,G28,K28,L28,M28,N28,P28,Q28,R28,O28,S28,T28)</f>
        <v>5.5294117647058822</v>
      </c>
      <c r="G28" s="58">
        <v>5</v>
      </c>
      <c r="H28" s="128">
        <v>5</v>
      </c>
      <c r="I28" s="128">
        <v>5</v>
      </c>
      <c r="J28" s="128">
        <v>5</v>
      </c>
      <c r="K28" s="128">
        <v>6</v>
      </c>
      <c r="L28" s="108">
        <v>5</v>
      </c>
      <c r="M28" s="128">
        <v>6</v>
      </c>
      <c r="N28" s="283">
        <v>7</v>
      </c>
      <c r="O28" s="128">
        <v>5</v>
      </c>
      <c r="P28" s="282">
        <v>7</v>
      </c>
      <c r="Q28" s="128">
        <v>5</v>
      </c>
      <c r="R28" s="108">
        <v>5</v>
      </c>
      <c r="S28" s="128">
        <v>6</v>
      </c>
      <c r="T28" s="282">
        <v>7</v>
      </c>
      <c r="U28" s="128">
        <v>5</v>
      </c>
      <c r="V28" s="108" t="s">
        <v>153</v>
      </c>
      <c r="W28" s="128">
        <v>5</v>
      </c>
      <c r="X28" s="128">
        <v>5</v>
      </c>
      <c r="Y28" s="108" t="s">
        <v>153</v>
      </c>
      <c r="Z28" s="128"/>
      <c r="AA28" s="128"/>
      <c r="AB28" s="128"/>
      <c r="AC28" s="128"/>
      <c r="AD28" s="128"/>
      <c r="AE28" s="128"/>
      <c r="AF28" s="38"/>
      <c r="AG28" s="128"/>
      <c r="AH28" s="108"/>
      <c r="AI28" s="62"/>
      <c r="AJ28" s="108"/>
      <c r="AK28" s="128"/>
      <c r="AL28" s="128"/>
      <c r="AM28" s="38"/>
      <c r="AN28" s="38"/>
      <c r="AO28" s="128"/>
      <c r="AP28" s="128"/>
      <c r="AQ28" s="62"/>
      <c r="AR28" s="128"/>
      <c r="AS28" s="174"/>
    </row>
    <row r="29" spans="1:45" s="141" customFormat="1" x14ac:dyDescent="0.25">
      <c r="A29" s="132" t="s">
        <v>29</v>
      </c>
      <c r="B29" s="49" t="s">
        <v>450</v>
      </c>
      <c r="C29" s="166">
        <v>18</v>
      </c>
      <c r="D29" s="168"/>
      <c r="E29" s="164">
        <v>7</v>
      </c>
      <c r="F29" s="129">
        <f>AVERAGE(Y29,X29,W29,U29,H29,I29,J29,G29,K29,L29,M29,N29,P29,Q29,R29,O29,S29,T29)</f>
        <v>5.3888888888888893</v>
      </c>
      <c r="G29" s="58">
        <v>4</v>
      </c>
      <c r="H29" s="283">
        <v>7</v>
      </c>
      <c r="I29" s="283">
        <v>7</v>
      </c>
      <c r="J29" s="128">
        <v>6</v>
      </c>
      <c r="K29" s="128">
        <v>5</v>
      </c>
      <c r="L29" s="108">
        <v>4</v>
      </c>
      <c r="M29" s="283">
        <v>7</v>
      </c>
      <c r="N29" s="283">
        <v>8</v>
      </c>
      <c r="O29" s="128">
        <v>5</v>
      </c>
      <c r="P29" s="283">
        <v>8</v>
      </c>
      <c r="Q29" s="128">
        <v>4</v>
      </c>
      <c r="R29" s="108">
        <v>5</v>
      </c>
      <c r="S29" s="128">
        <v>5</v>
      </c>
      <c r="T29" s="128">
        <v>5</v>
      </c>
      <c r="U29" s="128">
        <v>4</v>
      </c>
      <c r="V29" s="128"/>
      <c r="W29" s="128">
        <v>4</v>
      </c>
      <c r="X29" s="128">
        <v>4</v>
      </c>
      <c r="Y29" s="128">
        <v>5</v>
      </c>
      <c r="Z29" s="128"/>
      <c r="AA29" s="128"/>
      <c r="AB29" s="128"/>
      <c r="AC29" s="128"/>
      <c r="AD29" s="128"/>
      <c r="AE29" s="128"/>
      <c r="AF29" s="38"/>
      <c r="AG29" s="128"/>
      <c r="AH29" s="108"/>
      <c r="AI29" s="62"/>
      <c r="AJ29" s="108"/>
      <c r="AK29" s="128"/>
      <c r="AL29" s="128"/>
      <c r="AM29" s="38"/>
      <c r="AN29" s="38"/>
      <c r="AO29" s="128"/>
      <c r="AP29" s="128"/>
      <c r="AQ29" s="62"/>
      <c r="AR29" s="128"/>
      <c r="AS29" s="174"/>
    </row>
    <row r="30" spans="1:45" s="141" customFormat="1" x14ac:dyDescent="0.25">
      <c r="A30" s="132" t="s">
        <v>29</v>
      </c>
      <c r="B30" s="42" t="s">
        <v>522</v>
      </c>
      <c r="C30" s="166">
        <v>7</v>
      </c>
      <c r="D30" s="168">
        <v>6</v>
      </c>
      <c r="E30" s="164"/>
      <c r="F30" s="129">
        <f>AVERAGE(N30,P30,Q30,R30,S30,V30,X30)</f>
        <v>5.1428571428571432</v>
      </c>
      <c r="G30" s="58"/>
      <c r="H30" s="128"/>
      <c r="I30" s="108" t="s">
        <v>153</v>
      </c>
      <c r="J30" s="108" t="s">
        <v>153</v>
      </c>
      <c r="K30" s="108" t="s">
        <v>153</v>
      </c>
      <c r="L30" s="108" t="s">
        <v>153</v>
      </c>
      <c r="M30" s="108" t="s">
        <v>153</v>
      </c>
      <c r="N30" s="128">
        <v>5</v>
      </c>
      <c r="O30" s="128"/>
      <c r="P30" s="282">
        <v>7</v>
      </c>
      <c r="Q30" s="128">
        <v>5</v>
      </c>
      <c r="R30" s="108">
        <v>5</v>
      </c>
      <c r="S30" s="128">
        <v>5</v>
      </c>
      <c r="T30" s="128"/>
      <c r="U30" s="128"/>
      <c r="V30" s="128">
        <v>5</v>
      </c>
      <c r="W30" s="128"/>
      <c r="X30" s="128">
        <v>4</v>
      </c>
      <c r="Y30" s="108" t="s">
        <v>153</v>
      </c>
      <c r="Z30" s="128"/>
      <c r="AA30" s="128"/>
      <c r="AB30" s="128"/>
      <c r="AC30" s="128"/>
      <c r="AD30" s="128"/>
      <c r="AE30" s="128"/>
      <c r="AF30" s="38"/>
      <c r="AG30" s="128"/>
      <c r="AH30" s="108"/>
      <c r="AI30" s="62"/>
      <c r="AJ30" s="108"/>
      <c r="AK30" s="128"/>
      <c r="AL30" s="128"/>
      <c r="AM30" s="38"/>
      <c r="AN30" s="38"/>
      <c r="AO30" s="128"/>
      <c r="AP30" s="128"/>
      <c r="AQ30" s="62"/>
      <c r="AR30" s="128"/>
      <c r="AS30" s="174"/>
    </row>
    <row r="31" spans="1:45" s="141" customFormat="1" x14ac:dyDescent="0.25">
      <c r="A31" s="132" t="s">
        <v>29</v>
      </c>
      <c r="B31" s="42" t="s">
        <v>850</v>
      </c>
      <c r="C31" s="166">
        <v>1</v>
      </c>
      <c r="D31" s="168">
        <v>2</v>
      </c>
      <c r="E31" s="164"/>
      <c r="F31" s="129">
        <f>AVERAGE(V31)</f>
        <v>5</v>
      </c>
      <c r="G31" s="58"/>
      <c r="H31" s="128"/>
      <c r="I31" s="108"/>
      <c r="J31" s="108"/>
      <c r="K31" s="108"/>
      <c r="L31" s="108"/>
      <c r="M31" s="108"/>
      <c r="N31" s="128"/>
      <c r="O31" s="128"/>
      <c r="P31" s="128"/>
      <c r="Q31" s="128"/>
      <c r="R31" s="108"/>
      <c r="S31" s="128"/>
      <c r="T31" s="108" t="s">
        <v>153</v>
      </c>
      <c r="U31" s="128"/>
      <c r="V31" s="128">
        <v>5</v>
      </c>
      <c r="W31" s="108" t="s">
        <v>153</v>
      </c>
      <c r="X31" s="128"/>
      <c r="Y31" s="128"/>
      <c r="Z31" s="128"/>
      <c r="AA31" s="128"/>
      <c r="AB31" s="128"/>
      <c r="AC31" s="128"/>
      <c r="AD31" s="128"/>
      <c r="AE31" s="128"/>
      <c r="AF31" s="38"/>
      <c r="AG31" s="128"/>
      <c r="AH31" s="108"/>
      <c r="AI31" s="62"/>
      <c r="AJ31" s="108"/>
      <c r="AK31" s="128"/>
      <c r="AL31" s="128"/>
      <c r="AM31" s="38"/>
      <c r="AN31" s="38"/>
      <c r="AO31" s="128"/>
      <c r="AP31" s="128"/>
      <c r="AQ31" s="62"/>
      <c r="AR31" s="128"/>
      <c r="AS31" s="174"/>
    </row>
    <row r="32" spans="1:45" x14ac:dyDescent="0.25">
      <c r="A32" s="14" t="s">
        <v>29</v>
      </c>
      <c r="B32" s="14" t="s">
        <v>275</v>
      </c>
      <c r="C32" s="170"/>
      <c r="D32" s="171">
        <v>1</v>
      </c>
      <c r="E32" s="172"/>
      <c r="F32" s="34"/>
      <c r="G32" s="58"/>
      <c r="H32" s="108" t="s">
        <v>153</v>
      </c>
      <c r="I32" s="108"/>
      <c r="J32" s="108"/>
      <c r="K32" s="128"/>
      <c r="L32" s="108"/>
      <c r="M32" s="128"/>
      <c r="N32" s="128"/>
      <c r="O32" s="128"/>
      <c r="P32" s="128"/>
      <c r="Q32" s="128"/>
      <c r="R32" s="128"/>
      <c r="S32" s="128"/>
      <c r="T32" s="108"/>
      <c r="U32" s="128"/>
      <c r="V32" s="128"/>
      <c r="W32" s="128"/>
      <c r="X32" s="128"/>
      <c r="Y32" s="128"/>
      <c r="Z32" s="108"/>
      <c r="AA32" s="108"/>
      <c r="AB32" s="108"/>
      <c r="AC32" s="128"/>
      <c r="AD32" s="108"/>
      <c r="AE32" s="128"/>
      <c r="AF32" s="38"/>
      <c r="AG32" s="128"/>
      <c r="AH32" s="108"/>
      <c r="AI32" s="38"/>
      <c r="AJ32" s="108"/>
      <c r="AK32" s="108"/>
      <c r="AL32" s="128"/>
      <c r="AM32" s="38"/>
      <c r="AN32" s="38"/>
      <c r="AO32" s="128"/>
      <c r="AP32" s="128"/>
      <c r="AQ32" s="38"/>
      <c r="AR32" s="128"/>
      <c r="AS32" s="27"/>
    </row>
    <row r="33" spans="1:45" x14ac:dyDescent="0.25">
      <c r="A33" s="54" t="s">
        <v>30</v>
      </c>
      <c r="B33" s="122" t="s">
        <v>65</v>
      </c>
      <c r="C33" s="156"/>
      <c r="D33" s="157"/>
      <c r="E33" s="158"/>
      <c r="F33" s="129"/>
      <c r="G33" s="249"/>
      <c r="H33" s="157"/>
      <c r="I33" s="251"/>
      <c r="J33" s="251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157"/>
      <c r="AC33" s="250"/>
      <c r="AD33" s="157"/>
      <c r="AE33" s="250"/>
      <c r="AF33" s="157"/>
      <c r="AG33" s="157"/>
      <c r="AH33" s="250"/>
      <c r="AI33" s="250"/>
      <c r="AJ33" s="250"/>
      <c r="AK33" s="250"/>
      <c r="AL33" s="157"/>
      <c r="AM33" s="250"/>
      <c r="AN33" s="250"/>
      <c r="AO33" s="157"/>
      <c r="AP33" s="157"/>
      <c r="AQ33" s="157"/>
      <c r="AR33" s="250"/>
      <c r="AS33" s="27"/>
    </row>
    <row r="34" spans="1:45" x14ac:dyDescent="0.25">
      <c r="A34" t="s">
        <v>30</v>
      </c>
      <c r="B34" t="s">
        <v>229</v>
      </c>
      <c r="C34" s="166"/>
      <c r="D34" s="168"/>
      <c r="E34" s="164"/>
      <c r="F34" s="104"/>
      <c r="G34" s="58"/>
      <c r="H34" s="128"/>
      <c r="I34" s="108"/>
      <c r="J34" s="108"/>
      <c r="K34" s="128"/>
      <c r="L34" s="10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08"/>
      <c r="AE34" s="108"/>
      <c r="AF34" s="38"/>
      <c r="AG34" s="128"/>
      <c r="AH34" s="108"/>
      <c r="AI34" s="38"/>
      <c r="AJ34" s="128"/>
      <c r="AK34" s="128"/>
      <c r="AL34" s="128"/>
      <c r="AM34" s="38"/>
      <c r="AN34" s="38"/>
      <c r="AO34" s="128"/>
      <c r="AP34" s="128"/>
      <c r="AQ34" s="38"/>
      <c r="AR34" s="128"/>
      <c r="AS34" s="27"/>
    </row>
    <row r="35" spans="1:45" x14ac:dyDescent="0.25">
      <c r="A35" t="s">
        <v>30</v>
      </c>
      <c r="B35" t="s">
        <v>277</v>
      </c>
      <c r="C35" s="166">
        <v>1</v>
      </c>
      <c r="D35" s="168">
        <v>7</v>
      </c>
      <c r="E35" s="164"/>
      <c r="F35" s="9">
        <f>AVERAGE(V35)</f>
        <v>4</v>
      </c>
      <c r="G35" s="58"/>
      <c r="H35" s="128"/>
      <c r="I35" s="108"/>
      <c r="J35" s="108" t="s">
        <v>153</v>
      </c>
      <c r="K35" s="108" t="s">
        <v>153</v>
      </c>
      <c r="L35" s="108"/>
      <c r="M35" s="128"/>
      <c r="N35" s="128"/>
      <c r="O35" s="108" t="s">
        <v>153</v>
      </c>
      <c r="P35" s="108" t="s">
        <v>153</v>
      </c>
      <c r="Q35" s="108" t="s">
        <v>153</v>
      </c>
      <c r="R35" s="128"/>
      <c r="S35" s="128"/>
      <c r="T35" s="108"/>
      <c r="U35" s="108" t="s">
        <v>153</v>
      </c>
      <c r="V35" s="128">
        <v>4</v>
      </c>
      <c r="W35" s="128"/>
      <c r="X35" s="108" t="s">
        <v>153</v>
      </c>
      <c r="Y35" s="128"/>
      <c r="Z35" s="128"/>
      <c r="AA35" s="128"/>
      <c r="AB35" s="128"/>
      <c r="AC35" s="128"/>
      <c r="AD35" s="128"/>
      <c r="AE35" s="128"/>
      <c r="AF35" s="38"/>
      <c r="AG35" s="128"/>
      <c r="AH35" s="108"/>
      <c r="AI35" s="38"/>
      <c r="AJ35" s="128"/>
      <c r="AK35" s="128"/>
      <c r="AL35" s="128"/>
      <c r="AM35" s="38"/>
      <c r="AN35" s="38"/>
      <c r="AO35" s="128"/>
      <c r="AP35" s="128"/>
      <c r="AQ35" s="38"/>
      <c r="AR35" s="128"/>
      <c r="AS35" s="27"/>
    </row>
    <row r="36" spans="1:45" x14ac:dyDescent="0.25">
      <c r="A36" t="s">
        <v>30</v>
      </c>
      <c r="B36" t="s">
        <v>257</v>
      </c>
      <c r="C36" s="166"/>
      <c r="D36" s="168">
        <v>1</v>
      </c>
      <c r="E36" s="164"/>
      <c r="F36" s="29"/>
      <c r="G36" s="56"/>
      <c r="H36" s="71"/>
      <c r="I36" s="108"/>
      <c r="J36" s="108"/>
      <c r="K36" s="128"/>
      <c r="L36" s="108"/>
      <c r="M36" s="128"/>
      <c r="N36" s="128"/>
      <c r="O36" s="128"/>
      <c r="P36" s="128"/>
      <c r="Q36" s="128"/>
      <c r="R36" s="108" t="s">
        <v>153</v>
      </c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38"/>
      <c r="AG36" s="128"/>
      <c r="AH36" s="108"/>
      <c r="AI36" s="38"/>
      <c r="AJ36" s="128"/>
      <c r="AK36" s="128"/>
      <c r="AL36" s="128"/>
      <c r="AM36" s="38"/>
      <c r="AN36" s="38"/>
      <c r="AO36" s="108"/>
      <c r="AP36" s="128"/>
      <c r="AQ36" s="38"/>
      <c r="AR36" s="108"/>
      <c r="AS36" s="27"/>
    </row>
    <row r="37" spans="1:45" s="116" customFormat="1" x14ac:dyDescent="0.25">
      <c r="A37" s="116" t="s">
        <v>30</v>
      </c>
      <c r="B37" s="49" t="s">
        <v>226</v>
      </c>
      <c r="C37" s="166">
        <v>18</v>
      </c>
      <c r="D37" s="168">
        <v>1</v>
      </c>
      <c r="E37" s="164">
        <v>7</v>
      </c>
      <c r="F37" s="129">
        <f>AVERAGE(Y37,X37,W37,U37,H37,I37,J37,G37,K37,L37,M37,N37,P37,Q37,R37,O37,S37,T37)</f>
        <v>5.0555555555555554</v>
      </c>
      <c r="G37" s="330">
        <v>7</v>
      </c>
      <c r="H37" s="281">
        <v>6</v>
      </c>
      <c r="I37" s="108">
        <v>4</v>
      </c>
      <c r="J37" s="57">
        <v>6</v>
      </c>
      <c r="K37" s="128">
        <v>4</v>
      </c>
      <c r="L37" s="57">
        <v>6</v>
      </c>
      <c r="M37" s="69">
        <v>6</v>
      </c>
      <c r="N37" s="128">
        <v>5</v>
      </c>
      <c r="O37" s="128">
        <v>4</v>
      </c>
      <c r="P37" s="128">
        <v>4</v>
      </c>
      <c r="Q37" s="128">
        <v>4</v>
      </c>
      <c r="R37" s="128">
        <v>5</v>
      </c>
      <c r="S37" s="69">
        <v>6</v>
      </c>
      <c r="T37" s="69">
        <v>6</v>
      </c>
      <c r="U37" s="128">
        <v>4</v>
      </c>
      <c r="V37" s="108" t="s">
        <v>153</v>
      </c>
      <c r="W37" s="128">
        <v>4</v>
      </c>
      <c r="X37" s="69">
        <v>6</v>
      </c>
      <c r="Y37" s="128">
        <v>4</v>
      </c>
      <c r="Z37" s="128"/>
      <c r="AA37" s="128"/>
      <c r="AB37" s="108"/>
      <c r="AC37" s="108"/>
      <c r="AD37" s="128"/>
      <c r="AE37" s="128"/>
      <c r="AF37" s="38"/>
      <c r="AG37" s="128"/>
      <c r="AH37" s="108"/>
      <c r="AI37" s="38"/>
      <c r="AJ37" s="128"/>
      <c r="AK37" s="128"/>
      <c r="AL37" s="128"/>
      <c r="AM37" s="38"/>
      <c r="AN37" s="38"/>
      <c r="AO37" s="128"/>
      <c r="AP37" s="128"/>
      <c r="AQ37" s="38"/>
      <c r="AR37" s="128"/>
      <c r="AS37" s="120"/>
    </row>
    <row r="38" spans="1:45" s="141" customFormat="1" x14ac:dyDescent="0.25">
      <c r="A38" s="132" t="s">
        <v>30</v>
      </c>
      <c r="B38" s="42" t="s">
        <v>523</v>
      </c>
      <c r="C38" s="166">
        <v>2</v>
      </c>
      <c r="D38" s="168">
        <v>7</v>
      </c>
      <c r="E38" s="164">
        <v>1</v>
      </c>
      <c r="F38" s="129">
        <f>AVERAGE(O38,V38)</f>
        <v>4</v>
      </c>
      <c r="G38" s="56"/>
      <c r="H38" s="71"/>
      <c r="I38" s="108" t="s">
        <v>153</v>
      </c>
      <c r="J38" s="108" t="s">
        <v>153</v>
      </c>
      <c r="K38" s="128"/>
      <c r="L38" s="108"/>
      <c r="M38" s="57" t="s">
        <v>153</v>
      </c>
      <c r="N38" s="128"/>
      <c r="O38" s="128">
        <v>4</v>
      </c>
      <c r="P38" s="128"/>
      <c r="Q38" s="108" t="s">
        <v>153</v>
      </c>
      <c r="R38" s="108" t="s">
        <v>153</v>
      </c>
      <c r="S38" s="128"/>
      <c r="T38" s="108" t="s">
        <v>153</v>
      </c>
      <c r="U38" s="128"/>
      <c r="V38" s="128">
        <v>4</v>
      </c>
      <c r="W38" s="128"/>
      <c r="X38" s="108" t="s">
        <v>153</v>
      </c>
      <c r="Y38" s="128"/>
      <c r="Z38" s="128"/>
      <c r="AA38" s="128"/>
      <c r="AB38" s="108"/>
      <c r="AC38" s="108"/>
      <c r="AD38" s="128"/>
      <c r="AE38" s="128"/>
      <c r="AF38" s="38"/>
      <c r="AG38" s="128"/>
      <c r="AH38" s="108"/>
      <c r="AI38" s="38"/>
      <c r="AJ38" s="128"/>
      <c r="AK38" s="128"/>
      <c r="AL38" s="128"/>
      <c r="AM38" s="38"/>
      <c r="AN38" s="38"/>
      <c r="AO38" s="128"/>
      <c r="AP38" s="128"/>
      <c r="AQ38" s="38"/>
      <c r="AR38" s="128"/>
      <c r="AS38" s="174"/>
    </row>
    <row r="39" spans="1:45" s="141" customFormat="1" x14ac:dyDescent="0.25">
      <c r="A39" s="132" t="s">
        <v>30</v>
      </c>
      <c r="B39" s="42" t="s">
        <v>657</v>
      </c>
      <c r="C39" s="166">
        <v>1</v>
      </c>
      <c r="D39" s="168">
        <v>2</v>
      </c>
      <c r="E39" s="164">
        <v>1</v>
      </c>
      <c r="F39" s="29">
        <f>AVERAGE(M39)</f>
        <v>7</v>
      </c>
      <c r="G39" s="56"/>
      <c r="H39" s="71"/>
      <c r="I39" s="108"/>
      <c r="J39" s="108"/>
      <c r="K39" s="108" t="s">
        <v>153</v>
      </c>
      <c r="L39" s="108" t="s">
        <v>153</v>
      </c>
      <c r="M39" s="283">
        <v>7</v>
      </c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08"/>
      <c r="AC39" s="108"/>
      <c r="AD39" s="128"/>
      <c r="AE39" s="128"/>
      <c r="AF39" s="38"/>
      <c r="AG39" s="128"/>
      <c r="AH39" s="108"/>
      <c r="AI39" s="38"/>
      <c r="AJ39" s="128"/>
      <c r="AK39" s="128"/>
      <c r="AL39" s="128"/>
      <c r="AM39" s="38"/>
      <c r="AN39" s="38"/>
      <c r="AO39" s="128"/>
      <c r="AP39" s="128"/>
      <c r="AQ39" s="38"/>
      <c r="AR39" s="128"/>
      <c r="AS39" s="174"/>
    </row>
    <row r="40" spans="1:45" ht="15.75" thickBot="1" x14ac:dyDescent="0.3">
      <c r="A40" s="4" t="s">
        <v>30</v>
      </c>
      <c r="B40" s="4" t="s">
        <v>254</v>
      </c>
      <c r="C40" s="167"/>
      <c r="D40" s="169">
        <v>9</v>
      </c>
      <c r="E40" s="165">
        <v>2</v>
      </c>
      <c r="F40" s="33"/>
      <c r="G40" s="56" t="s">
        <v>153</v>
      </c>
      <c r="H40" s="128"/>
      <c r="I40" s="128"/>
      <c r="J40" s="128"/>
      <c r="K40" s="128"/>
      <c r="L40" s="57" t="s">
        <v>153</v>
      </c>
      <c r="M40" s="128"/>
      <c r="N40" s="108" t="s">
        <v>153</v>
      </c>
      <c r="O40" s="108" t="s">
        <v>153</v>
      </c>
      <c r="P40" s="57" t="s">
        <v>153</v>
      </c>
      <c r="Q40" s="108" t="s">
        <v>153</v>
      </c>
      <c r="R40" s="128"/>
      <c r="S40" s="108" t="s">
        <v>153</v>
      </c>
      <c r="T40" s="128"/>
      <c r="U40" s="108" t="s">
        <v>153</v>
      </c>
      <c r="V40" s="128"/>
      <c r="W40" s="108" t="s">
        <v>153</v>
      </c>
      <c r="X40" s="128"/>
      <c r="Y40" s="128"/>
      <c r="Z40" s="128"/>
      <c r="AA40" s="128"/>
      <c r="AB40" s="128"/>
      <c r="AC40" s="108"/>
      <c r="AD40" s="128"/>
      <c r="AE40" s="128"/>
      <c r="AF40" s="38"/>
      <c r="AG40" s="128"/>
      <c r="AH40" s="108"/>
      <c r="AI40" s="38"/>
      <c r="AJ40" s="128"/>
      <c r="AK40" s="128"/>
      <c r="AL40" s="69"/>
      <c r="AM40" s="38"/>
      <c r="AN40" s="38"/>
      <c r="AO40" s="128"/>
      <c r="AP40" s="128"/>
      <c r="AQ40" s="38"/>
      <c r="AR40" s="128"/>
      <c r="AS40" s="27"/>
    </row>
    <row r="41" spans="1:45" x14ac:dyDescent="0.25">
      <c r="G41" s="37">
        <f>AVERAGE(G10,G11,G14,G15,G25,G26,G27,G28,G29,G37)</f>
        <v>4.9000000000000004</v>
      </c>
      <c r="H41" s="37">
        <f>AVERAGE(H10,H14,H15,H16,H19,H25,H26,H27,H28,H29,H37)</f>
        <v>5.5</v>
      </c>
      <c r="I41" s="31">
        <f>AVERAGE(I10,I11,I13,I15,I24,I25,I26,I27,I28,I29,I37)</f>
        <v>5.2727272727272725</v>
      </c>
      <c r="J41" s="31">
        <f>AVERAGE(J10,J13,J15,J16,J24,J25,J26,J27,J28,J29,J37)</f>
        <v>5.0909090909090908</v>
      </c>
      <c r="K41" s="31">
        <f>AVERAGE(K10,K13,K15,K17,K24,K25,K26,K27,K28,K29,K37)</f>
        <v>5</v>
      </c>
      <c r="L41" s="31">
        <f>AVERAGE(L10,L15,L17,L18,L24,L25,L26,L27,L28,L29,L37)</f>
        <v>5.1818181818181817</v>
      </c>
      <c r="M41" s="31">
        <f>AVERAGE(M10,M13,M17,M18,M24,M26,M27,M28,M29,M37,M39)</f>
        <v>5.6363636363636367</v>
      </c>
      <c r="N41" s="31">
        <f>AVERAGE(N10,N14,N17,N18,N24,N26,N27,N28,N29,N30,N37)</f>
        <v>5.4545454545454541</v>
      </c>
      <c r="O41" s="31">
        <f>AVERAGE(O10,O12,O17,O18,O19,O24,O26,O28,O29,O37,O38)</f>
        <v>5.3636363636363633</v>
      </c>
      <c r="P41" s="31">
        <f>AVERAGE(P8,P14,P17,P18,P24,P26,P27,P28,P29,P30,P37)</f>
        <v>5.6363636363636367</v>
      </c>
      <c r="Q41" s="31">
        <f>AVERAGE(Q8,Q13,Q17,Q18,Q24,Q26,Q28,Q27,Q29,Q30,Q37)</f>
        <v>4.7272727272727275</v>
      </c>
      <c r="R41" s="31">
        <f>AVERAGE(R10,R14,R15,R17,R24,R26,R27,R28,R29,R30,R37)</f>
        <v>5.4545454545454541</v>
      </c>
      <c r="S41" s="31">
        <f>AVERAGE(S10,S14,S15,S17,S24,S26,S27,S28,S29,S30,S37)</f>
        <v>5.6363636363636367</v>
      </c>
      <c r="T41" s="31">
        <f>AVERAGE(T10,T12,T14,T15,T22,T24,T26,T27,T29,T28,T37)</f>
        <v>5.9090909090909092</v>
      </c>
      <c r="U41" s="31">
        <f>AVERAGE(U8,U12,U14,U18,U24,U26,U27,U28,U29,U37)</f>
        <v>4.8</v>
      </c>
      <c r="V41" s="31">
        <f>AVERAGE(V8,V12,V14,V15,V17,V22,V26,V30,V31,V35,V38)</f>
        <v>5.1818181818181817</v>
      </c>
      <c r="W41" s="31">
        <f>AVERAGE(W8,W12,W14,W15,W18,W26,W27,W28,W29,W37)</f>
        <v>4.5</v>
      </c>
      <c r="X41" s="31">
        <f>AVERAGE(X8,X13,X14,X18,X24,X26,X27,X28,X29,X30,X37)</f>
        <v>5.3636363636363633</v>
      </c>
      <c r="Y41" s="31">
        <f>AVERAGE(Y8,Y13,Y14,Y15,Y18,Y22,Y24,Y26,Y27,Y29,Y37)</f>
        <v>5.3636363636363633</v>
      </c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S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8" width="4.5703125" customWidth="1"/>
    <col min="9" max="9" width="4.7109375" customWidth="1"/>
    <col min="10" max="10" width="4.85546875" customWidth="1"/>
    <col min="11" max="39" width="4.7109375" customWidth="1"/>
    <col min="40" max="40" width="4.5703125" customWidth="1"/>
    <col min="41" max="44" width="4.7109375" customWidth="1"/>
  </cols>
  <sheetData>
    <row r="1" spans="1:45" x14ac:dyDescent="0.25">
      <c r="A1" t="s">
        <v>66</v>
      </c>
    </row>
    <row r="4" spans="1:45" ht="15.75" thickBot="1" x14ac:dyDescent="0.3">
      <c r="A4" t="s">
        <v>2</v>
      </c>
    </row>
    <row r="5" spans="1:45" ht="15.75" customHeight="1" thickBot="1" x14ac:dyDescent="0.3">
      <c r="C5" s="375" t="s">
        <v>101</v>
      </c>
      <c r="D5" s="376"/>
      <c r="E5" s="377"/>
    </row>
    <row r="6" spans="1:45" ht="48" customHeight="1" thickBot="1" x14ac:dyDescent="0.3">
      <c r="A6" s="5" t="s">
        <v>3</v>
      </c>
      <c r="B6" s="6" t="s">
        <v>4</v>
      </c>
      <c r="C6" s="11" t="s">
        <v>7</v>
      </c>
      <c r="D6" s="12" t="s">
        <v>99</v>
      </c>
      <c r="E6" s="7" t="s">
        <v>5</v>
      </c>
      <c r="F6" s="8" t="s">
        <v>100</v>
      </c>
      <c r="G6" s="26" t="s">
        <v>636</v>
      </c>
      <c r="H6" s="26" t="s">
        <v>547</v>
      </c>
      <c r="I6" s="26" t="s">
        <v>585</v>
      </c>
      <c r="J6" s="26" t="s">
        <v>601</v>
      </c>
      <c r="K6" s="26" t="s">
        <v>654</v>
      </c>
      <c r="L6" s="26" t="s">
        <v>689</v>
      </c>
      <c r="M6" s="26" t="s">
        <v>700</v>
      </c>
      <c r="N6" s="26" t="s">
        <v>735</v>
      </c>
      <c r="O6" s="26" t="s">
        <v>756</v>
      </c>
      <c r="P6" s="79" t="s">
        <v>763</v>
      </c>
      <c r="Q6" s="100" t="s">
        <v>803</v>
      </c>
      <c r="R6" s="101" t="s">
        <v>807</v>
      </c>
      <c r="S6" s="101" t="s">
        <v>847</v>
      </c>
      <c r="T6" s="101" t="s">
        <v>872</v>
      </c>
      <c r="U6" s="101" t="s">
        <v>892</v>
      </c>
      <c r="V6" s="107" t="s">
        <v>920</v>
      </c>
      <c r="W6" s="119" t="s">
        <v>944</v>
      </c>
      <c r="X6" s="119" t="s">
        <v>963</v>
      </c>
      <c r="Y6" s="119" t="s">
        <v>988</v>
      </c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26"/>
      <c r="AK6" s="126"/>
      <c r="AL6" s="140"/>
      <c r="AM6" s="173"/>
      <c r="AN6" s="26"/>
      <c r="AO6" s="26"/>
      <c r="AP6" s="26"/>
      <c r="AQ6" s="26"/>
      <c r="AR6" s="26"/>
    </row>
    <row r="7" spans="1:45" x14ac:dyDescent="0.25">
      <c r="A7" s="22" t="s">
        <v>8</v>
      </c>
      <c r="B7" s="41" t="s">
        <v>67</v>
      </c>
      <c r="C7" s="149">
        <v>19</v>
      </c>
      <c r="D7" s="150"/>
      <c r="E7" s="130"/>
      <c r="F7" s="35">
        <f>AVERAGE(W7,H7,I7,J7,G7,K7,L7,M7,N7,O7,P7,Q7,R7,S7,T7,U7,V7,X7,Y7)</f>
        <v>5.3684210526315788</v>
      </c>
      <c r="G7" s="70">
        <v>4</v>
      </c>
      <c r="H7" s="128">
        <v>5</v>
      </c>
      <c r="I7" s="69">
        <v>6</v>
      </c>
      <c r="J7" s="128">
        <v>4</v>
      </c>
      <c r="K7" s="344">
        <v>7</v>
      </c>
      <c r="L7" s="69">
        <v>6</v>
      </c>
      <c r="M7" s="69">
        <v>6</v>
      </c>
      <c r="N7" s="128">
        <v>4</v>
      </c>
      <c r="O7" s="128">
        <v>6</v>
      </c>
      <c r="P7" s="69">
        <v>5</v>
      </c>
      <c r="Q7" s="70">
        <v>4</v>
      </c>
      <c r="R7" s="283">
        <v>7</v>
      </c>
      <c r="S7" s="38">
        <v>6</v>
      </c>
      <c r="T7" s="64">
        <v>5</v>
      </c>
      <c r="U7" s="69">
        <v>6</v>
      </c>
      <c r="V7" s="70">
        <v>6</v>
      </c>
      <c r="W7" s="64">
        <v>4</v>
      </c>
      <c r="X7" s="70">
        <v>5</v>
      </c>
      <c r="Y7" s="69">
        <v>6</v>
      </c>
      <c r="Z7" s="128"/>
      <c r="AA7" s="69"/>
      <c r="AB7" s="128"/>
      <c r="AC7" s="38"/>
      <c r="AD7" s="58"/>
      <c r="AE7" s="128"/>
      <c r="AF7" s="128"/>
      <c r="AG7" s="128"/>
      <c r="AH7" s="66"/>
      <c r="AI7" s="128"/>
      <c r="AJ7" s="69"/>
      <c r="AK7" s="128"/>
      <c r="AL7" s="66"/>
      <c r="AM7" s="38"/>
      <c r="AN7" s="69"/>
      <c r="AO7" s="38"/>
      <c r="AP7" s="69"/>
      <c r="AQ7" s="38"/>
      <c r="AR7" s="128"/>
      <c r="AS7" s="27"/>
    </row>
    <row r="8" spans="1:45" x14ac:dyDescent="0.25">
      <c r="A8" s="83" t="s">
        <v>8</v>
      </c>
      <c r="B8" s="160" t="s">
        <v>68</v>
      </c>
      <c r="C8" s="166"/>
      <c r="D8" s="168"/>
      <c r="E8" s="164"/>
      <c r="F8" s="114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38"/>
      <c r="T8" s="58"/>
      <c r="U8" s="128"/>
      <c r="V8" s="128"/>
      <c r="W8" s="38"/>
      <c r="X8" s="128"/>
      <c r="Y8" s="128"/>
      <c r="Z8" s="128"/>
      <c r="AA8" s="128"/>
      <c r="AB8" s="128"/>
      <c r="AC8" s="38"/>
      <c r="AD8" s="58"/>
      <c r="AE8" s="128"/>
      <c r="AF8" s="128"/>
      <c r="AG8" s="128"/>
      <c r="AH8" s="38"/>
      <c r="AI8" s="128"/>
      <c r="AJ8" s="128"/>
      <c r="AK8" s="128"/>
      <c r="AL8" s="38"/>
      <c r="AM8" s="38"/>
      <c r="AN8" s="128"/>
      <c r="AO8" s="38"/>
      <c r="AP8" s="128"/>
      <c r="AQ8" s="38"/>
      <c r="AR8" s="128"/>
      <c r="AS8" s="27"/>
    </row>
    <row r="9" spans="1:45" x14ac:dyDescent="0.25">
      <c r="A9" s="13" t="s">
        <v>8</v>
      </c>
      <c r="B9" s="216" t="s">
        <v>343</v>
      </c>
      <c r="C9" s="170"/>
      <c r="D9" s="171"/>
      <c r="E9" s="172"/>
      <c r="F9" s="19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8"/>
      <c r="T9" s="58"/>
      <c r="U9" s="128"/>
      <c r="V9" s="128"/>
      <c r="W9" s="38"/>
      <c r="X9" s="128"/>
      <c r="Y9" s="128"/>
      <c r="Z9" s="128"/>
      <c r="AA9" s="128"/>
      <c r="AB9" s="128"/>
      <c r="AC9" s="38"/>
      <c r="AD9" s="58"/>
      <c r="AE9" s="128"/>
      <c r="AF9" s="128"/>
      <c r="AG9" s="128"/>
      <c r="AH9" s="38"/>
      <c r="AI9" s="128"/>
      <c r="AJ9" s="128"/>
      <c r="AK9" s="128"/>
      <c r="AL9" s="38"/>
      <c r="AM9" s="38"/>
      <c r="AN9" s="128"/>
      <c r="AO9" s="38"/>
      <c r="AP9" s="128"/>
      <c r="AQ9" s="38"/>
      <c r="AR9" s="128"/>
      <c r="AS9" s="27"/>
    </row>
    <row r="10" spans="1:45" x14ac:dyDescent="0.25">
      <c r="A10" s="83" t="s">
        <v>11</v>
      </c>
      <c r="B10" s="160" t="s">
        <v>69</v>
      </c>
      <c r="C10" s="166">
        <v>11</v>
      </c>
      <c r="D10" s="168">
        <v>1</v>
      </c>
      <c r="E10" s="164">
        <v>1</v>
      </c>
      <c r="F10" s="129">
        <f>AVERAGE(H10,I10,K10,M10,O10,P10,Q10,U10,W10,X10,Y10)</f>
        <v>5</v>
      </c>
      <c r="G10" s="128"/>
      <c r="H10" s="128">
        <v>5</v>
      </c>
      <c r="I10" s="128">
        <v>5</v>
      </c>
      <c r="J10" s="128"/>
      <c r="K10" s="69">
        <v>5</v>
      </c>
      <c r="L10" s="128"/>
      <c r="M10" s="128">
        <v>6</v>
      </c>
      <c r="N10" s="108" t="s">
        <v>153</v>
      </c>
      <c r="O10" s="128">
        <v>5</v>
      </c>
      <c r="P10" s="128">
        <v>5</v>
      </c>
      <c r="Q10" s="128">
        <v>4</v>
      </c>
      <c r="R10" s="128"/>
      <c r="S10" s="38"/>
      <c r="T10" s="38"/>
      <c r="U10" s="70">
        <v>5</v>
      </c>
      <c r="V10" s="128"/>
      <c r="W10" s="38">
        <v>5</v>
      </c>
      <c r="X10" s="128">
        <v>5</v>
      </c>
      <c r="Y10" s="128">
        <v>5</v>
      </c>
      <c r="Z10" s="128"/>
      <c r="AA10" s="128"/>
      <c r="AB10" s="128"/>
      <c r="AC10" s="38"/>
      <c r="AD10" s="58"/>
      <c r="AE10" s="128"/>
      <c r="AF10" s="128"/>
      <c r="AG10" s="128"/>
      <c r="AH10" s="38"/>
      <c r="AI10" s="128"/>
      <c r="AJ10" s="128"/>
      <c r="AK10" s="128"/>
      <c r="AL10" s="38"/>
      <c r="AM10" s="38"/>
      <c r="AN10" s="128"/>
      <c r="AO10" s="38"/>
      <c r="AP10" s="128"/>
      <c r="AQ10" s="38"/>
      <c r="AR10" s="128"/>
      <c r="AS10" s="27"/>
    </row>
    <row r="11" spans="1:45" x14ac:dyDescent="0.25">
      <c r="A11" s="83" t="s">
        <v>11</v>
      </c>
      <c r="B11" s="160" t="s">
        <v>70</v>
      </c>
      <c r="C11" s="166">
        <v>10</v>
      </c>
      <c r="D11" s="168"/>
      <c r="E11" s="164"/>
      <c r="F11" s="129">
        <f>AVERAGE(G11,K11,M11,O11,P11,Q11,R11,S11,T11,V11)</f>
        <v>5</v>
      </c>
      <c r="G11" s="209">
        <v>5</v>
      </c>
      <c r="H11" s="128"/>
      <c r="I11" s="128"/>
      <c r="J11" s="128"/>
      <c r="K11" s="128">
        <v>4</v>
      </c>
      <c r="L11" s="128"/>
      <c r="M11" s="128">
        <v>6</v>
      </c>
      <c r="N11" s="128"/>
      <c r="O11" s="128">
        <v>4</v>
      </c>
      <c r="P11" s="128">
        <v>5</v>
      </c>
      <c r="Q11" s="128">
        <v>5</v>
      </c>
      <c r="R11" s="282">
        <v>7</v>
      </c>
      <c r="S11" s="38">
        <v>5</v>
      </c>
      <c r="T11" s="38">
        <v>4</v>
      </c>
      <c r="U11" s="128"/>
      <c r="V11" s="128">
        <v>5</v>
      </c>
      <c r="W11" s="38"/>
      <c r="X11" s="128"/>
      <c r="Y11" s="128"/>
      <c r="Z11" s="128"/>
      <c r="AA11" s="128"/>
      <c r="AB11" s="128"/>
      <c r="AC11" s="38"/>
      <c r="AD11" s="58"/>
      <c r="AE11" s="128"/>
      <c r="AF11" s="128"/>
      <c r="AG11" s="128"/>
      <c r="AH11" s="38"/>
      <c r="AI11" s="128"/>
      <c r="AJ11" s="128"/>
      <c r="AK11" s="128"/>
      <c r="AL11" s="38"/>
      <c r="AM11" s="38"/>
      <c r="AN11" s="128"/>
      <c r="AO11" s="38"/>
      <c r="AP11" s="128"/>
      <c r="AQ11" s="38"/>
      <c r="AR11" s="128"/>
      <c r="AS11" s="27"/>
    </row>
    <row r="12" spans="1:45" x14ac:dyDescent="0.25">
      <c r="A12" s="83" t="s">
        <v>11</v>
      </c>
      <c r="B12" s="160" t="s">
        <v>342</v>
      </c>
      <c r="C12" s="166">
        <v>4</v>
      </c>
      <c r="D12" s="168"/>
      <c r="E12" s="164"/>
      <c r="F12" s="129">
        <f>AVERAGE(H12,I12,J12,G12)</f>
        <v>4.75</v>
      </c>
      <c r="G12" s="128">
        <v>4</v>
      </c>
      <c r="H12" s="128">
        <v>5</v>
      </c>
      <c r="I12" s="128">
        <v>5</v>
      </c>
      <c r="J12" s="128">
        <v>5</v>
      </c>
      <c r="K12" s="128"/>
      <c r="L12" s="128"/>
      <c r="M12" s="128"/>
      <c r="N12" s="128"/>
      <c r="O12" s="128"/>
      <c r="P12" s="128"/>
      <c r="Q12" s="128"/>
      <c r="R12" s="128"/>
      <c r="S12" s="38"/>
      <c r="T12" s="38"/>
      <c r="U12" s="128"/>
      <c r="V12" s="128"/>
      <c r="W12" s="62"/>
      <c r="X12" s="128"/>
      <c r="Y12" s="128"/>
      <c r="Z12" s="128"/>
      <c r="AA12" s="128"/>
      <c r="AB12" s="128"/>
      <c r="AC12" s="38"/>
      <c r="AD12" s="38"/>
      <c r="AE12" s="128"/>
      <c r="AF12" s="128"/>
      <c r="AG12" s="128"/>
      <c r="AH12" s="38"/>
      <c r="AI12" s="128"/>
      <c r="AJ12" s="128"/>
      <c r="AK12" s="128"/>
      <c r="AL12" s="38"/>
      <c r="AM12" s="38"/>
      <c r="AN12" s="128"/>
      <c r="AO12" s="38"/>
      <c r="AP12" s="128"/>
      <c r="AQ12" s="38"/>
      <c r="AR12" s="128"/>
      <c r="AS12" s="27"/>
    </row>
    <row r="13" spans="1:45" x14ac:dyDescent="0.25">
      <c r="A13" s="83" t="s">
        <v>11</v>
      </c>
      <c r="B13" s="160" t="s">
        <v>71</v>
      </c>
      <c r="C13" s="166">
        <v>3</v>
      </c>
      <c r="D13" s="168">
        <v>1</v>
      </c>
      <c r="E13" s="164"/>
      <c r="F13" s="129">
        <f>AVERAGE(M13,O13,Y13)</f>
        <v>5</v>
      </c>
      <c r="G13" s="108"/>
      <c r="H13" s="71"/>
      <c r="I13" s="108" t="s">
        <v>153</v>
      </c>
      <c r="J13" s="128"/>
      <c r="K13" s="108"/>
      <c r="L13" s="128"/>
      <c r="M13" s="128">
        <v>5</v>
      </c>
      <c r="N13" s="69"/>
      <c r="O13" s="128">
        <v>4</v>
      </c>
      <c r="P13" s="128"/>
      <c r="Q13" s="128"/>
      <c r="R13" s="128"/>
      <c r="S13" s="38"/>
      <c r="T13" s="56"/>
      <c r="U13" s="108"/>
      <c r="V13" s="128"/>
      <c r="W13" s="38"/>
      <c r="X13" s="128"/>
      <c r="Y13" s="128">
        <v>6</v>
      </c>
      <c r="Z13" s="128"/>
      <c r="AA13" s="128"/>
      <c r="AB13" s="128"/>
      <c r="AC13" s="38"/>
      <c r="AD13" s="56"/>
      <c r="AE13" s="128"/>
      <c r="AF13" s="128"/>
      <c r="AG13" s="108"/>
      <c r="AH13" s="38"/>
      <c r="AI13" s="128"/>
      <c r="AJ13" s="128"/>
      <c r="AK13" s="108"/>
      <c r="AL13" s="38"/>
      <c r="AM13" s="38"/>
      <c r="AN13" s="128"/>
      <c r="AO13" s="38"/>
      <c r="AP13" s="128"/>
      <c r="AQ13" s="38"/>
      <c r="AR13" s="128"/>
      <c r="AS13" s="27"/>
    </row>
    <row r="14" spans="1:45" x14ac:dyDescent="0.25">
      <c r="A14" s="83" t="s">
        <v>11</v>
      </c>
      <c r="B14" s="160" t="s">
        <v>89</v>
      </c>
      <c r="C14" s="166">
        <v>16</v>
      </c>
      <c r="D14" s="168"/>
      <c r="E14" s="176">
        <v>3</v>
      </c>
      <c r="F14" s="129">
        <f>AVERAGE(W14,V14,J14,G14,K14,L14,N14,O14,P14,Q14,R14,S14,T14,U14,X14,Y14)</f>
        <v>5.4375</v>
      </c>
      <c r="G14" s="212">
        <v>6</v>
      </c>
      <c r="H14" s="128"/>
      <c r="I14" s="128"/>
      <c r="J14" s="69">
        <v>6</v>
      </c>
      <c r="K14" s="128">
        <v>6</v>
      </c>
      <c r="L14" s="128">
        <v>6</v>
      </c>
      <c r="M14" s="128"/>
      <c r="N14" s="69">
        <v>6</v>
      </c>
      <c r="O14" s="128">
        <v>5</v>
      </c>
      <c r="P14" s="128">
        <v>5</v>
      </c>
      <c r="Q14" s="128">
        <v>5</v>
      </c>
      <c r="R14" s="128">
        <v>6</v>
      </c>
      <c r="S14" s="38">
        <v>5</v>
      </c>
      <c r="T14" s="38">
        <v>5</v>
      </c>
      <c r="U14" s="128">
        <v>5</v>
      </c>
      <c r="V14" s="108">
        <v>5</v>
      </c>
      <c r="W14" s="38">
        <v>5</v>
      </c>
      <c r="X14" s="128">
        <v>5</v>
      </c>
      <c r="Y14" s="128">
        <v>6</v>
      </c>
      <c r="Z14" s="128"/>
      <c r="AA14" s="128"/>
      <c r="AB14" s="128"/>
      <c r="AC14" s="38"/>
      <c r="AD14" s="38"/>
      <c r="AE14" s="128"/>
      <c r="AF14" s="128"/>
      <c r="AG14" s="128"/>
      <c r="AH14" s="38"/>
      <c r="AI14" s="128"/>
      <c r="AJ14" s="128"/>
      <c r="AK14" s="128"/>
      <c r="AL14" s="38"/>
      <c r="AM14" s="38"/>
      <c r="AN14" s="128"/>
      <c r="AO14" s="38"/>
      <c r="AP14" s="69"/>
      <c r="AQ14" s="38"/>
      <c r="AR14" s="128"/>
      <c r="AS14" s="27"/>
    </row>
    <row r="15" spans="1:45" s="116" customFormat="1" x14ac:dyDescent="0.25">
      <c r="A15" s="83" t="s">
        <v>11</v>
      </c>
      <c r="B15" s="28" t="s">
        <v>389</v>
      </c>
      <c r="C15" s="166"/>
      <c r="D15" s="168"/>
      <c r="E15" s="176"/>
      <c r="F15" s="129"/>
      <c r="G15" s="71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38"/>
      <c r="U15" s="128"/>
      <c r="V15" s="128"/>
      <c r="W15" s="128"/>
      <c r="X15" s="128"/>
      <c r="Y15" s="128"/>
      <c r="Z15" s="128"/>
      <c r="AA15" s="128"/>
      <c r="AB15" s="128"/>
      <c r="AC15" s="38"/>
      <c r="AD15" s="132"/>
      <c r="AE15" s="128"/>
      <c r="AF15" s="128"/>
      <c r="AG15" s="128"/>
      <c r="AH15" s="38"/>
      <c r="AI15" s="128"/>
      <c r="AJ15" s="128"/>
      <c r="AK15" s="128"/>
      <c r="AL15" s="38"/>
      <c r="AM15" s="38"/>
      <c r="AN15" s="128"/>
      <c r="AO15" s="38"/>
      <c r="AP15" s="128"/>
      <c r="AQ15" s="38"/>
      <c r="AR15" s="128"/>
      <c r="AS15" s="120"/>
    </row>
    <row r="16" spans="1:45" s="141" customFormat="1" x14ac:dyDescent="0.25">
      <c r="A16" s="83" t="s">
        <v>11</v>
      </c>
      <c r="B16" s="28" t="s">
        <v>479</v>
      </c>
      <c r="C16" s="166">
        <v>10</v>
      </c>
      <c r="D16" s="168"/>
      <c r="E16" s="176"/>
      <c r="F16" s="129">
        <f>AVERAGE(H16,J16,G16,P16,Q16,R16,S16,T16,U16,V16)</f>
        <v>5.0999999999999996</v>
      </c>
      <c r="G16" s="281">
        <v>5</v>
      </c>
      <c r="H16" s="128">
        <v>5</v>
      </c>
      <c r="I16" s="128"/>
      <c r="J16" s="128">
        <v>5</v>
      </c>
      <c r="K16" s="128"/>
      <c r="L16" s="128"/>
      <c r="M16" s="128"/>
      <c r="N16" s="128"/>
      <c r="O16" s="128"/>
      <c r="P16" s="128">
        <v>6</v>
      </c>
      <c r="Q16" s="128">
        <v>5</v>
      </c>
      <c r="R16" s="128">
        <v>5</v>
      </c>
      <c r="S16" s="128">
        <v>5</v>
      </c>
      <c r="T16" s="38">
        <v>5</v>
      </c>
      <c r="U16" s="128">
        <v>5</v>
      </c>
      <c r="V16" s="128">
        <v>5</v>
      </c>
      <c r="W16" s="128"/>
      <c r="X16" s="128"/>
      <c r="Y16" s="128"/>
      <c r="Z16" s="128"/>
      <c r="AA16" s="128"/>
      <c r="AB16" s="128"/>
      <c r="AC16" s="38"/>
      <c r="AD16" s="132"/>
      <c r="AE16" s="128"/>
      <c r="AF16" s="128"/>
      <c r="AG16" s="128"/>
      <c r="AH16" s="38"/>
      <c r="AI16" s="128"/>
      <c r="AJ16" s="128"/>
      <c r="AK16" s="128"/>
      <c r="AL16" s="38"/>
      <c r="AM16" s="38"/>
      <c r="AN16" s="128"/>
      <c r="AO16" s="38"/>
      <c r="AP16" s="128"/>
      <c r="AQ16" s="38"/>
      <c r="AR16" s="128"/>
      <c r="AS16" s="174"/>
    </row>
    <row r="17" spans="1:45" s="141" customFormat="1" x14ac:dyDescent="0.25">
      <c r="A17" s="83" t="s">
        <v>11</v>
      </c>
      <c r="B17" s="77" t="s">
        <v>535</v>
      </c>
      <c r="C17" s="166">
        <v>7</v>
      </c>
      <c r="D17" s="168">
        <v>4</v>
      </c>
      <c r="E17" s="176"/>
      <c r="F17" s="129">
        <f>AVERAGE(I17,K17,L17,N17,T17,W17,X17)</f>
        <v>5</v>
      </c>
      <c r="G17" s="71"/>
      <c r="H17" s="128"/>
      <c r="I17" s="128">
        <v>6</v>
      </c>
      <c r="J17" s="128"/>
      <c r="K17" s="128">
        <v>5</v>
      </c>
      <c r="L17" s="128">
        <v>5</v>
      </c>
      <c r="M17" s="128"/>
      <c r="N17" s="128">
        <v>5</v>
      </c>
      <c r="O17" s="128"/>
      <c r="P17" s="108" t="s">
        <v>153</v>
      </c>
      <c r="Q17" s="128"/>
      <c r="R17" s="128"/>
      <c r="S17" s="108" t="s">
        <v>153</v>
      </c>
      <c r="T17" s="38">
        <v>5</v>
      </c>
      <c r="U17" s="108" t="s">
        <v>153</v>
      </c>
      <c r="V17" s="128"/>
      <c r="W17" s="128">
        <v>4</v>
      </c>
      <c r="X17" s="128">
        <v>5</v>
      </c>
      <c r="Y17" s="108" t="s">
        <v>153</v>
      </c>
      <c r="Z17" s="128"/>
      <c r="AA17" s="128"/>
      <c r="AB17" s="128"/>
      <c r="AC17" s="38"/>
      <c r="AD17" s="132"/>
      <c r="AE17" s="128"/>
      <c r="AF17" s="128"/>
      <c r="AG17" s="128"/>
      <c r="AH17" s="38"/>
      <c r="AI17" s="128"/>
      <c r="AJ17" s="128"/>
      <c r="AK17" s="128"/>
      <c r="AL17" s="38"/>
      <c r="AM17" s="38"/>
      <c r="AN17" s="128"/>
      <c r="AO17" s="38"/>
      <c r="AP17" s="128"/>
      <c r="AQ17" s="38"/>
      <c r="AR17" s="128"/>
      <c r="AS17" s="174"/>
    </row>
    <row r="18" spans="1:45" s="141" customFormat="1" x14ac:dyDescent="0.25">
      <c r="A18" s="83" t="s">
        <v>11</v>
      </c>
      <c r="B18" s="40" t="s">
        <v>690</v>
      </c>
      <c r="C18" s="166">
        <v>5</v>
      </c>
      <c r="D18" s="168"/>
      <c r="E18" s="176"/>
      <c r="F18" s="129">
        <f>AVERAGE(L18,N18,W18,X18,Y18)</f>
        <v>5.2</v>
      </c>
      <c r="G18" s="71"/>
      <c r="H18" s="128"/>
      <c r="I18" s="128"/>
      <c r="J18" s="128"/>
      <c r="K18" s="128"/>
      <c r="L18" s="128">
        <v>5</v>
      </c>
      <c r="M18" s="128"/>
      <c r="N18" s="128">
        <v>5</v>
      </c>
      <c r="O18" s="128"/>
      <c r="P18" s="128"/>
      <c r="Q18" s="128"/>
      <c r="R18" s="128"/>
      <c r="S18" s="128"/>
      <c r="T18" s="38"/>
      <c r="U18" s="128"/>
      <c r="V18" s="128"/>
      <c r="W18" s="128">
        <v>5</v>
      </c>
      <c r="X18" s="128">
        <v>5</v>
      </c>
      <c r="Y18" s="128">
        <v>6</v>
      </c>
      <c r="Z18" s="128"/>
      <c r="AA18" s="128"/>
      <c r="AB18" s="128"/>
      <c r="AC18" s="38"/>
      <c r="AD18" s="132"/>
      <c r="AE18" s="128"/>
      <c r="AF18" s="128"/>
      <c r="AG18" s="128"/>
      <c r="AH18" s="38"/>
      <c r="AI18" s="128"/>
      <c r="AJ18" s="128"/>
      <c r="AK18" s="128"/>
      <c r="AL18" s="38"/>
      <c r="AM18" s="38"/>
      <c r="AN18" s="128"/>
      <c r="AO18" s="38"/>
      <c r="AP18" s="128"/>
      <c r="AQ18" s="38"/>
      <c r="AR18" s="128"/>
      <c r="AS18" s="174"/>
    </row>
    <row r="19" spans="1:45" s="141" customFormat="1" x14ac:dyDescent="0.25">
      <c r="A19" s="83" t="s">
        <v>11</v>
      </c>
      <c r="B19" s="77" t="s">
        <v>893</v>
      </c>
      <c r="C19" s="166">
        <v>1</v>
      </c>
      <c r="D19" s="168">
        <v>1</v>
      </c>
      <c r="E19" s="176"/>
      <c r="F19" s="129">
        <f>AVERAGE(U19)</f>
        <v>4</v>
      </c>
      <c r="G19" s="71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38"/>
      <c r="U19" s="128">
        <v>4</v>
      </c>
      <c r="V19" s="128"/>
      <c r="W19" s="128"/>
      <c r="X19" s="108" t="s">
        <v>153</v>
      </c>
      <c r="Y19" s="128"/>
      <c r="Z19" s="128"/>
      <c r="AA19" s="128"/>
      <c r="AB19" s="128"/>
      <c r="AC19" s="38"/>
      <c r="AD19" s="132"/>
      <c r="AE19" s="128"/>
      <c r="AF19" s="128"/>
      <c r="AG19" s="128"/>
      <c r="AH19" s="38"/>
      <c r="AI19" s="128"/>
      <c r="AJ19" s="128"/>
      <c r="AK19" s="128"/>
      <c r="AL19" s="38"/>
      <c r="AM19" s="38"/>
      <c r="AN19" s="128"/>
      <c r="AO19" s="38"/>
      <c r="AP19" s="128"/>
      <c r="AQ19" s="38"/>
      <c r="AR19" s="128"/>
      <c r="AS19" s="174"/>
    </row>
    <row r="20" spans="1:45" x14ac:dyDescent="0.25">
      <c r="A20" s="13" t="s">
        <v>11</v>
      </c>
      <c r="B20" s="196" t="s">
        <v>90</v>
      </c>
      <c r="C20" s="170">
        <v>10</v>
      </c>
      <c r="D20" s="171">
        <v>1</v>
      </c>
      <c r="E20" s="172"/>
      <c r="F20" s="34">
        <f>AVERAGE(H20,I20,J20,G20,L20,M20,N20,R20,S20,V20)</f>
        <v>5</v>
      </c>
      <c r="G20" s="128">
        <v>5</v>
      </c>
      <c r="H20" s="128">
        <v>5</v>
      </c>
      <c r="I20" s="108">
        <v>6</v>
      </c>
      <c r="J20" s="128">
        <v>5</v>
      </c>
      <c r="K20" s="128"/>
      <c r="L20" s="128">
        <v>6</v>
      </c>
      <c r="M20" s="128">
        <v>5</v>
      </c>
      <c r="N20" s="128">
        <v>4</v>
      </c>
      <c r="O20" s="128"/>
      <c r="P20" s="128"/>
      <c r="Q20" s="108" t="s">
        <v>153</v>
      </c>
      <c r="R20" s="108">
        <v>5</v>
      </c>
      <c r="S20" s="128">
        <v>4</v>
      </c>
      <c r="T20" s="38"/>
      <c r="U20" s="128"/>
      <c r="V20" s="70">
        <v>5</v>
      </c>
      <c r="W20" s="62"/>
      <c r="X20" s="128"/>
      <c r="Y20" s="128"/>
      <c r="Z20" s="128"/>
      <c r="AA20" s="128"/>
      <c r="AB20" s="128"/>
      <c r="AC20" s="38"/>
      <c r="AD20" s="58"/>
      <c r="AE20" s="128"/>
      <c r="AF20" s="128"/>
      <c r="AG20" s="128"/>
      <c r="AH20" s="38"/>
      <c r="AI20" s="128"/>
      <c r="AJ20" s="128"/>
      <c r="AK20" s="128"/>
      <c r="AL20" s="38"/>
      <c r="AM20" s="38"/>
      <c r="AN20" s="128"/>
      <c r="AO20" s="38"/>
      <c r="AP20" s="108"/>
      <c r="AQ20" s="62"/>
      <c r="AR20" s="128"/>
      <c r="AS20" s="27"/>
    </row>
    <row r="21" spans="1:45" x14ac:dyDescent="0.25">
      <c r="A21" s="83" t="s">
        <v>29</v>
      </c>
      <c r="B21" s="28" t="s">
        <v>92</v>
      </c>
      <c r="C21" s="166">
        <v>12</v>
      </c>
      <c r="D21" s="168"/>
      <c r="E21" s="164"/>
      <c r="F21" s="129">
        <f>AVERAGE(H21,I21,J21,G21,K21,L21,N21,R21,S21,U21,V21,Y21)</f>
        <v>4.666666666666667</v>
      </c>
      <c r="G21" s="128">
        <v>4</v>
      </c>
      <c r="H21" s="281">
        <v>4</v>
      </c>
      <c r="I21" s="128">
        <v>5</v>
      </c>
      <c r="J21" s="128">
        <v>6</v>
      </c>
      <c r="K21" s="128">
        <v>5</v>
      </c>
      <c r="L21" s="108">
        <v>4</v>
      </c>
      <c r="M21" s="128"/>
      <c r="N21" s="128">
        <v>4</v>
      </c>
      <c r="O21" s="128"/>
      <c r="P21" s="128"/>
      <c r="Q21" s="128"/>
      <c r="R21" s="128">
        <v>5</v>
      </c>
      <c r="S21" s="38">
        <v>4</v>
      </c>
      <c r="T21" s="38"/>
      <c r="U21" s="128">
        <v>5</v>
      </c>
      <c r="V21" s="128">
        <v>5</v>
      </c>
      <c r="W21" s="38"/>
      <c r="X21" s="128"/>
      <c r="Y21" s="128">
        <v>5</v>
      </c>
      <c r="Z21" s="128"/>
      <c r="AA21" s="128"/>
      <c r="AB21" s="128"/>
      <c r="AC21" s="38"/>
      <c r="AD21" s="38"/>
      <c r="AE21" s="128"/>
      <c r="AF21" s="128"/>
      <c r="AG21" s="128"/>
      <c r="AH21" s="38"/>
      <c r="AI21" s="128"/>
      <c r="AJ21" s="128"/>
      <c r="AK21" s="128"/>
      <c r="AL21" s="38"/>
      <c r="AM21" s="38"/>
      <c r="AN21" s="128"/>
      <c r="AO21" s="38"/>
      <c r="AP21" s="69"/>
      <c r="AQ21" s="38"/>
      <c r="AR21" s="128"/>
      <c r="AS21" s="27"/>
    </row>
    <row r="22" spans="1:45" x14ac:dyDescent="0.25">
      <c r="A22" s="83" t="s">
        <v>29</v>
      </c>
      <c r="B22" s="28" t="s">
        <v>93</v>
      </c>
      <c r="C22" s="166">
        <v>3</v>
      </c>
      <c r="D22" s="168">
        <v>2</v>
      </c>
      <c r="E22" s="176"/>
      <c r="F22" s="129">
        <f>AVERAGE(T22,W22,X22)</f>
        <v>4.333333333333333</v>
      </c>
      <c r="G22" s="128"/>
      <c r="H22" s="108"/>
      <c r="I22" s="128"/>
      <c r="J22" s="128"/>
      <c r="K22" s="108"/>
      <c r="L22" s="128"/>
      <c r="M22" s="108"/>
      <c r="N22" s="128"/>
      <c r="O22" s="108"/>
      <c r="P22" s="128"/>
      <c r="Q22" s="128"/>
      <c r="R22" s="108" t="s">
        <v>153</v>
      </c>
      <c r="S22" s="38"/>
      <c r="T22" s="56">
        <v>4</v>
      </c>
      <c r="U22" s="204" t="s">
        <v>153</v>
      </c>
      <c r="V22" s="108" t="s">
        <v>153</v>
      </c>
      <c r="W22" s="38">
        <v>5</v>
      </c>
      <c r="X22" s="128">
        <v>4</v>
      </c>
      <c r="Y22" s="128"/>
      <c r="Z22" s="108"/>
      <c r="AA22" s="128"/>
      <c r="AB22" s="128"/>
      <c r="AC22" s="38"/>
      <c r="AD22" s="58"/>
      <c r="AE22" s="128"/>
      <c r="AF22" s="128"/>
      <c r="AG22" s="128"/>
      <c r="AH22" s="38"/>
      <c r="AI22" s="128"/>
      <c r="AJ22" s="128"/>
      <c r="AK22" s="128"/>
      <c r="AL22" s="38"/>
      <c r="AM22" s="38"/>
      <c r="AN22" s="128"/>
      <c r="AO22" s="38"/>
      <c r="AP22" s="128"/>
      <c r="AQ22" s="38"/>
      <c r="AR22" s="128"/>
      <c r="AS22" s="27"/>
    </row>
    <row r="23" spans="1:45" x14ac:dyDescent="0.25">
      <c r="A23" s="83" t="s">
        <v>29</v>
      </c>
      <c r="B23" s="28" t="s">
        <v>94</v>
      </c>
      <c r="C23" s="166">
        <v>1</v>
      </c>
      <c r="D23" s="168">
        <v>7</v>
      </c>
      <c r="E23" s="164">
        <v>1</v>
      </c>
      <c r="F23" s="129">
        <f>AVERAGE(M23,T23)</f>
        <v>5</v>
      </c>
      <c r="G23" s="108"/>
      <c r="H23" s="63" t="s">
        <v>153</v>
      </c>
      <c r="I23" s="108" t="s">
        <v>153</v>
      </c>
      <c r="J23" s="108"/>
      <c r="K23" s="128"/>
      <c r="L23" s="108" t="s">
        <v>153</v>
      </c>
      <c r="M23" s="128">
        <v>6</v>
      </c>
      <c r="N23" s="128"/>
      <c r="O23" s="128"/>
      <c r="P23" s="128"/>
      <c r="Q23" s="128"/>
      <c r="R23" s="128"/>
      <c r="S23" s="38"/>
      <c r="T23" s="62">
        <v>4</v>
      </c>
      <c r="U23" s="128"/>
      <c r="V23" s="128"/>
      <c r="W23" s="62" t="s">
        <v>153</v>
      </c>
      <c r="X23" s="108" t="s">
        <v>153</v>
      </c>
      <c r="Y23" s="57" t="s">
        <v>153</v>
      </c>
      <c r="Z23" s="128"/>
      <c r="AA23" s="128"/>
      <c r="AB23" s="128"/>
      <c r="AC23" s="38"/>
      <c r="AD23" s="58"/>
      <c r="AE23" s="128"/>
      <c r="AF23" s="128"/>
      <c r="AG23" s="108"/>
      <c r="AH23" s="62"/>
      <c r="AI23" s="108"/>
      <c r="AJ23" s="108"/>
      <c r="AK23" s="128"/>
      <c r="AL23" s="62"/>
      <c r="AM23" s="38"/>
      <c r="AN23" s="128"/>
      <c r="AO23" s="62"/>
      <c r="AP23" s="128"/>
      <c r="AQ23" s="38"/>
      <c r="AR23" s="108"/>
      <c r="AS23" s="27"/>
    </row>
    <row r="24" spans="1:45" x14ac:dyDescent="0.25">
      <c r="A24" s="83" t="s">
        <v>29</v>
      </c>
      <c r="B24" s="28" t="s">
        <v>95</v>
      </c>
      <c r="C24" s="166">
        <v>3</v>
      </c>
      <c r="D24" s="168">
        <v>4</v>
      </c>
      <c r="E24" s="164"/>
      <c r="F24" s="129">
        <f>AVERAGE(H24,O24,Q24)</f>
        <v>4.666666666666667</v>
      </c>
      <c r="G24" s="108" t="s">
        <v>153</v>
      </c>
      <c r="H24" s="128">
        <v>5</v>
      </c>
      <c r="I24" s="108"/>
      <c r="J24" s="108" t="s">
        <v>153</v>
      </c>
      <c r="K24" s="128"/>
      <c r="L24" s="128"/>
      <c r="M24" s="108" t="s">
        <v>153</v>
      </c>
      <c r="N24" s="128"/>
      <c r="O24" s="128">
        <v>4</v>
      </c>
      <c r="P24" s="108" t="s">
        <v>153</v>
      </c>
      <c r="Q24" s="108">
        <v>5</v>
      </c>
      <c r="R24" s="128"/>
      <c r="S24" s="38"/>
      <c r="T24" s="58"/>
      <c r="U24" s="108"/>
      <c r="V24" s="128"/>
      <c r="W24" s="38"/>
      <c r="X24" s="128"/>
      <c r="Y24" s="128"/>
      <c r="Z24" s="128"/>
      <c r="AA24" s="128"/>
      <c r="AB24" s="128"/>
      <c r="AC24" s="38"/>
      <c r="AD24" s="58"/>
      <c r="AE24" s="128"/>
      <c r="AF24" s="128"/>
      <c r="AG24" s="128"/>
      <c r="AH24" s="38"/>
      <c r="AI24" s="128"/>
      <c r="AJ24" s="108"/>
      <c r="AK24" s="128"/>
      <c r="AL24" s="38"/>
      <c r="AM24" s="62"/>
      <c r="AN24" s="128"/>
      <c r="AO24" s="38"/>
      <c r="AP24" s="108"/>
      <c r="AQ24" s="62"/>
      <c r="AR24" s="128"/>
      <c r="AS24" s="27"/>
    </row>
    <row r="25" spans="1:45" x14ac:dyDescent="0.25">
      <c r="A25" s="237" t="s">
        <v>29</v>
      </c>
      <c r="B25" s="229" t="s">
        <v>326</v>
      </c>
      <c r="C25" s="230"/>
      <c r="D25" s="223">
        <v>1</v>
      </c>
      <c r="E25" s="231"/>
      <c r="F25" s="129"/>
      <c r="G25" s="225" t="s">
        <v>153</v>
      </c>
      <c r="H25" s="223"/>
      <c r="I25" s="222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Y25" s="221"/>
      <c r="Z25" s="221"/>
      <c r="AA25" s="221"/>
      <c r="AB25" s="223"/>
      <c r="AC25" s="221"/>
      <c r="AD25" s="223"/>
      <c r="AE25" s="221"/>
      <c r="AF25" s="223"/>
      <c r="AG25" s="223"/>
      <c r="AH25" s="221"/>
      <c r="AI25" s="221"/>
      <c r="AJ25" s="221"/>
      <c r="AK25" s="221"/>
      <c r="AL25" s="223"/>
      <c r="AM25" s="221"/>
      <c r="AN25" s="221"/>
      <c r="AO25" s="223"/>
      <c r="AP25" s="223"/>
      <c r="AQ25" s="223"/>
      <c r="AR25" s="221"/>
      <c r="AS25" s="27"/>
    </row>
    <row r="26" spans="1:45" x14ac:dyDescent="0.25">
      <c r="A26" s="83" t="s">
        <v>29</v>
      </c>
      <c r="B26" s="28" t="s">
        <v>96</v>
      </c>
      <c r="C26" s="166">
        <v>16</v>
      </c>
      <c r="D26" s="168">
        <v>2</v>
      </c>
      <c r="E26" s="164">
        <v>3</v>
      </c>
      <c r="F26" s="129">
        <f>AVERAGE(W26,H26,I26,J26,G26,K26,L26,M26,N26,P26,Q26,S26,T26,U26,X26,Y26)</f>
        <v>5</v>
      </c>
      <c r="G26" s="128">
        <v>5</v>
      </c>
      <c r="H26" s="57">
        <v>6</v>
      </c>
      <c r="I26" s="294">
        <v>7</v>
      </c>
      <c r="J26" s="128">
        <v>4</v>
      </c>
      <c r="K26" s="128">
        <v>4</v>
      </c>
      <c r="L26" s="128">
        <v>5</v>
      </c>
      <c r="M26" s="128">
        <v>5</v>
      </c>
      <c r="N26" s="128">
        <v>5</v>
      </c>
      <c r="O26" s="108" t="s">
        <v>153</v>
      </c>
      <c r="P26" s="128">
        <v>5</v>
      </c>
      <c r="Q26" s="128">
        <v>4</v>
      </c>
      <c r="R26" s="128"/>
      <c r="S26" s="38">
        <v>4</v>
      </c>
      <c r="T26" s="38">
        <v>4</v>
      </c>
      <c r="U26" s="283">
        <v>7</v>
      </c>
      <c r="V26" s="108" t="s">
        <v>153</v>
      </c>
      <c r="W26" s="38">
        <v>5</v>
      </c>
      <c r="X26" s="128">
        <v>5</v>
      </c>
      <c r="Y26" s="70">
        <v>5</v>
      </c>
      <c r="Z26" s="69"/>
      <c r="AA26" s="128"/>
      <c r="AB26" s="128"/>
      <c r="AC26" s="38"/>
      <c r="AD26" s="38"/>
      <c r="AE26" s="108"/>
      <c r="AF26" s="128"/>
      <c r="AG26" s="128"/>
      <c r="AH26" s="38"/>
      <c r="AI26" s="128"/>
      <c r="AJ26" s="128"/>
      <c r="AK26" s="128"/>
      <c r="AL26" s="38"/>
      <c r="AM26" s="66"/>
      <c r="AN26" s="128"/>
      <c r="AO26" s="38"/>
      <c r="AP26" s="128"/>
      <c r="AQ26" s="38"/>
      <c r="AR26" s="128"/>
      <c r="AS26" s="27"/>
    </row>
    <row r="27" spans="1:45" x14ac:dyDescent="0.25">
      <c r="A27" s="83" t="s">
        <v>29</v>
      </c>
      <c r="B27" s="28" t="s">
        <v>97</v>
      </c>
      <c r="C27" s="166">
        <v>14</v>
      </c>
      <c r="D27" s="168">
        <v>2</v>
      </c>
      <c r="E27" s="164"/>
      <c r="F27" s="129">
        <f>AVERAGE(W27,H27,I27,J27,G27,M27,N27,O27,P27,Q27,U27,X27,Y27)</f>
        <v>4.8461538461538458</v>
      </c>
      <c r="G27" s="128">
        <v>5</v>
      </c>
      <c r="H27" s="281">
        <v>6</v>
      </c>
      <c r="I27" s="108">
        <v>6</v>
      </c>
      <c r="J27" s="128">
        <v>4</v>
      </c>
      <c r="K27" s="108" t="s">
        <v>153</v>
      </c>
      <c r="L27" s="204" t="s">
        <v>153</v>
      </c>
      <c r="M27" s="128">
        <v>5</v>
      </c>
      <c r="N27" s="128">
        <v>5</v>
      </c>
      <c r="O27" s="128">
        <v>5</v>
      </c>
      <c r="P27" s="70">
        <v>5</v>
      </c>
      <c r="Q27" s="108">
        <v>4</v>
      </c>
      <c r="R27" s="128"/>
      <c r="S27" s="38" t="s">
        <v>546</v>
      </c>
      <c r="T27" s="38"/>
      <c r="U27" s="128">
        <v>5</v>
      </c>
      <c r="V27" s="108"/>
      <c r="W27" s="38">
        <v>4</v>
      </c>
      <c r="X27" s="128">
        <v>4</v>
      </c>
      <c r="Y27" s="128">
        <v>5</v>
      </c>
      <c r="Z27" s="128"/>
      <c r="AA27" s="128"/>
      <c r="AB27" s="128"/>
      <c r="AC27" s="38"/>
      <c r="AD27" s="38"/>
      <c r="AE27" s="128"/>
      <c r="AF27" s="128"/>
      <c r="AG27" s="128"/>
      <c r="AH27" s="38"/>
      <c r="AI27" s="128"/>
      <c r="AJ27" s="128"/>
      <c r="AK27" s="128"/>
      <c r="AL27" s="38"/>
      <c r="AM27" s="38"/>
      <c r="AN27" s="128"/>
      <c r="AO27" s="38"/>
      <c r="AP27" s="128"/>
      <c r="AQ27" s="38"/>
      <c r="AR27" s="128"/>
      <c r="AS27" s="27"/>
    </row>
    <row r="28" spans="1:45" s="141" customFormat="1" x14ac:dyDescent="0.25">
      <c r="A28" s="83" t="s">
        <v>29</v>
      </c>
      <c r="B28" s="40" t="s">
        <v>61</v>
      </c>
      <c r="C28" s="166">
        <v>13</v>
      </c>
      <c r="D28" s="168">
        <v>3</v>
      </c>
      <c r="E28" s="164">
        <v>4</v>
      </c>
      <c r="F28" s="129">
        <f>AVERAGE(I28,J28,K28,L28,N28,O28,P28,Q28,R28,S28,U28,V28,Y28)</f>
        <v>5.2307692307692308</v>
      </c>
      <c r="G28" s="128"/>
      <c r="H28" s="71"/>
      <c r="I28" s="108">
        <v>4</v>
      </c>
      <c r="J28" s="69">
        <v>6</v>
      </c>
      <c r="K28" s="128">
        <v>5</v>
      </c>
      <c r="L28" s="70">
        <v>4</v>
      </c>
      <c r="M28" s="108" t="s">
        <v>153</v>
      </c>
      <c r="N28" s="128">
        <v>5</v>
      </c>
      <c r="O28" s="128">
        <v>5</v>
      </c>
      <c r="P28" s="344">
        <v>7</v>
      </c>
      <c r="Q28" s="108">
        <v>4</v>
      </c>
      <c r="R28" s="283">
        <v>7</v>
      </c>
      <c r="S28" s="38">
        <v>4</v>
      </c>
      <c r="T28" s="38" t="s">
        <v>546</v>
      </c>
      <c r="U28" s="283">
        <v>7</v>
      </c>
      <c r="V28" s="108">
        <v>5</v>
      </c>
      <c r="W28" s="67" t="s">
        <v>153</v>
      </c>
      <c r="X28" s="128"/>
      <c r="Y28" s="128">
        <v>5</v>
      </c>
      <c r="Z28" s="128"/>
      <c r="AA28" s="128"/>
      <c r="AB28" s="128"/>
      <c r="AC28" s="38"/>
      <c r="AD28" s="38"/>
      <c r="AE28" s="128"/>
      <c r="AF28" s="128"/>
      <c r="AG28" s="128"/>
      <c r="AH28" s="38"/>
      <c r="AI28" s="128"/>
      <c r="AJ28" s="128"/>
      <c r="AK28" s="128"/>
      <c r="AL28" s="38"/>
      <c r="AM28" s="38"/>
      <c r="AN28" s="128"/>
      <c r="AO28" s="38"/>
      <c r="AP28" s="128"/>
      <c r="AQ28" s="38"/>
      <c r="AR28" s="128"/>
      <c r="AS28" s="174"/>
    </row>
    <row r="29" spans="1:45" s="141" customFormat="1" x14ac:dyDescent="0.25">
      <c r="A29" s="83" t="s">
        <v>29</v>
      </c>
      <c r="B29" s="77" t="s">
        <v>804</v>
      </c>
      <c r="C29" s="166"/>
      <c r="D29" s="168">
        <v>2</v>
      </c>
      <c r="E29" s="164"/>
      <c r="F29" s="129"/>
      <c r="G29" s="128"/>
      <c r="H29" s="71"/>
      <c r="I29" s="108"/>
      <c r="J29" s="69"/>
      <c r="K29" s="128"/>
      <c r="L29" s="70"/>
      <c r="M29" s="108"/>
      <c r="N29" s="128"/>
      <c r="O29" s="128"/>
      <c r="P29" s="70"/>
      <c r="Q29" s="108" t="s">
        <v>153</v>
      </c>
      <c r="R29" s="128"/>
      <c r="S29" s="38"/>
      <c r="T29" s="38"/>
      <c r="U29" s="128"/>
      <c r="V29" s="108"/>
      <c r="W29" s="38"/>
      <c r="X29" s="128"/>
      <c r="Y29" s="108" t="s">
        <v>153</v>
      </c>
      <c r="Z29" s="128"/>
      <c r="AA29" s="128"/>
      <c r="AB29" s="128"/>
      <c r="AC29" s="38"/>
      <c r="AD29" s="38"/>
      <c r="AE29" s="128"/>
      <c r="AF29" s="128"/>
      <c r="AG29" s="128"/>
      <c r="AH29" s="38"/>
      <c r="AI29" s="128"/>
      <c r="AJ29" s="128"/>
      <c r="AK29" s="128"/>
      <c r="AL29" s="38"/>
      <c r="AM29" s="38"/>
      <c r="AN29" s="128"/>
      <c r="AO29" s="38"/>
      <c r="AP29" s="128"/>
      <c r="AQ29" s="38"/>
      <c r="AR29" s="128"/>
      <c r="AS29" s="174"/>
    </row>
    <row r="30" spans="1:45" s="141" customFormat="1" x14ac:dyDescent="0.25">
      <c r="A30" s="13" t="s">
        <v>29</v>
      </c>
      <c r="B30" s="51" t="s">
        <v>183</v>
      </c>
      <c r="C30" s="170">
        <v>10</v>
      </c>
      <c r="D30" s="171">
        <v>4</v>
      </c>
      <c r="E30" s="172"/>
      <c r="F30" s="34">
        <f>AVERAGE(K30,L30,M30,N30,P30,R30,S30,T30,V30,W30,X30)</f>
        <v>4.9090909090909092</v>
      </c>
      <c r="G30" s="128"/>
      <c r="H30" s="68" t="s">
        <v>153</v>
      </c>
      <c r="I30" s="108"/>
      <c r="J30" s="128"/>
      <c r="K30" s="128">
        <v>5</v>
      </c>
      <c r="L30" s="70">
        <v>6</v>
      </c>
      <c r="M30" s="128">
        <v>5</v>
      </c>
      <c r="N30" s="128">
        <v>4</v>
      </c>
      <c r="O30" s="108" t="s">
        <v>153</v>
      </c>
      <c r="P30" s="70">
        <v>5</v>
      </c>
      <c r="Q30" s="108"/>
      <c r="R30" s="128">
        <v>4</v>
      </c>
      <c r="S30" s="38">
        <v>5</v>
      </c>
      <c r="T30" s="38">
        <v>6</v>
      </c>
      <c r="U30" s="128"/>
      <c r="V30" s="108">
        <v>4</v>
      </c>
      <c r="W30" s="38">
        <v>5</v>
      </c>
      <c r="X30" s="128">
        <v>5</v>
      </c>
      <c r="Y30" s="128"/>
      <c r="Z30" s="128"/>
      <c r="AA30" s="128"/>
      <c r="AB30" s="128"/>
      <c r="AC30" s="38"/>
      <c r="AD30" s="38"/>
      <c r="AE30" s="128"/>
      <c r="AF30" s="128"/>
      <c r="AG30" s="128"/>
      <c r="AH30" s="38"/>
      <c r="AI30" s="128"/>
      <c r="AJ30" s="128"/>
      <c r="AK30" s="128"/>
      <c r="AL30" s="38"/>
      <c r="AM30" s="38"/>
      <c r="AN30" s="128"/>
      <c r="AO30" s="38"/>
      <c r="AP30" s="128"/>
      <c r="AQ30" s="38"/>
      <c r="AR30" s="128"/>
      <c r="AS30" s="174"/>
    </row>
    <row r="31" spans="1:45" x14ac:dyDescent="0.25">
      <c r="A31" s="83" t="s">
        <v>30</v>
      </c>
      <c r="B31" s="40" t="s">
        <v>284</v>
      </c>
      <c r="C31" s="166">
        <v>13</v>
      </c>
      <c r="D31" s="168">
        <v>3</v>
      </c>
      <c r="E31" s="164">
        <v>1</v>
      </c>
      <c r="F31" s="129">
        <f>AVERAGE(W31,I31,G31,K31,M31,O31,P31,Q31,R31,T31,U31,V31,X31)</f>
        <v>4.8461538461538458</v>
      </c>
      <c r="G31" s="128">
        <v>5</v>
      </c>
      <c r="H31" s="204" t="s">
        <v>153</v>
      </c>
      <c r="I31" s="108">
        <v>5</v>
      </c>
      <c r="J31" s="108" t="s">
        <v>153</v>
      </c>
      <c r="K31" s="128">
        <v>5</v>
      </c>
      <c r="L31" s="108"/>
      <c r="M31" s="128">
        <v>5</v>
      </c>
      <c r="N31" s="128"/>
      <c r="O31" s="128">
        <v>4</v>
      </c>
      <c r="P31" s="283">
        <v>7</v>
      </c>
      <c r="Q31" s="128">
        <v>4</v>
      </c>
      <c r="R31" s="128">
        <v>5</v>
      </c>
      <c r="S31" s="62" t="s">
        <v>153</v>
      </c>
      <c r="T31" s="38">
        <v>5</v>
      </c>
      <c r="U31" s="108">
        <v>5</v>
      </c>
      <c r="V31" s="128">
        <v>4</v>
      </c>
      <c r="W31" s="38">
        <v>5</v>
      </c>
      <c r="X31" s="108">
        <v>4</v>
      </c>
      <c r="Y31" s="108"/>
      <c r="Z31" s="108"/>
      <c r="AA31" s="128"/>
      <c r="AB31" s="128"/>
      <c r="AC31" s="38"/>
      <c r="AD31" s="58"/>
      <c r="AE31" s="128"/>
      <c r="AF31" s="108"/>
      <c r="AG31" s="108"/>
      <c r="AH31" s="38"/>
      <c r="AI31" s="108"/>
      <c r="AJ31" s="128"/>
      <c r="AK31" s="128"/>
      <c r="AL31" s="38"/>
      <c r="AM31" s="62"/>
      <c r="AN31" s="128"/>
      <c r="AO31" s="62"/>
      <c r="AP31" s="57"/>
      <c r="AQ31" s="38"/>
      <c r="AR31" s="128"/>
      <c r="AS31" s="27"/>
    </row>
    <row r="32" spans="1:45" s="116" customFormat="1" x14ac:dyDescent="0.25">
      <c r="A32" s="83" t="s">
        <v>30</v>
      </c>
      <c r="B32" s="28" t="s">
        <v>91</v>
      </c>
      <c r="C32" s="166">
        <v>4</v>
      </c>
      <c r="D32" s="168">
        <v>1</v>
      </c>
      <c r="E32" s="164">
        <v>1</v>
      </c>
      <c r="F32" s="129">
        <f>AVERAGE(G32,L32,N32,V32)</f>
        <v>4.5</v>
      </c>
      <c r="G32" s="128">
        <v>4</v>
      </c>
      <c r="H32" s="69"/>
      <c r="I32" s="108"/>
      <c r="J32" s="128"/>
      <c r="K32" s="108" t="s">
        <v>153</v>
      </c>
      <c r="L32" s="283">
        <v>7</v>
      </c>
      <c r="M32" s="108"/>
      <c r="N32" s="303">
        <v>3</v>
      </c>
      <c r="O32" s="128"/>
      <c r="P32" s="128"/>
      <c r="Q32" s="128"/>
      <c r="R32" s="108"/>
      <c r="S32" s="62"/>
      <c r="T32" s="58"/>
      <c r="U32" s="128"/>
      <c r="V32" s="128">
        <v>4</v>
      </c>
      <c r="W32" s="38"/>
      <c r="X32" s="128"/>
      <c r="Y32" s="128"/>
      <c r="Z32" s="108"/>
      <c r="AA32" s="128"/>
      <c r="AB32" s="108"/>
      <c r="AC32" s="62"/>
      <c r="AD32" s="58"/>
      <c r="AE32" s="128"/>
      <c r="AF32" s="128"/>
      <c r="AG32" s="128"/>
      <c r="AH32" s="38"/>
      <c r="AI32" s="128"/>
      <c r="AJ32" s="128"/>
      <c r="AK32" s="128"/>
      <c r="AL32" s="38"/>
      <c r="AM32" s="38"/>
      <c r="AN32" s="128"/>
      <c r="AO32" s="38"/>
      <c r="AP32" s="128"/>
      <c r="AQ32" s="38"/>
      <c r="AR32" s="108"/>
      <c r="AS32" s="120"/>
    </row>
    <row r="33" spans="1:45" s="141" customFormat="1" x14ac:dyDescent="0.25">
      <c r="A33" s="83" t="s">
        <v>30</v>
      </c>
      <c r="B33" s="40" t="s">
        <v>506</v>
      </c>
      <c r="C33" s="166">
        <v>2</v>
      </c>
      <c r="D33" s="168">
        <v>7</v>
      </c>
      <c r="E33" s="164"/>
      <c r="F33" s="129">
        <f>AVERAGE(U33,Y33)</f>
        <v>4.5</v>
      </c>
      <c r="G33" s="128"/>
      <c r="H33" s="69"/>
      <c r="I33" s="108" t="s">
        <v>153</v>
      </c>
      <c r="J33" s="108" t="s">
        <v>153</v>
      </c>
      <c r="K33" s="128"/>
      <c r="L33" s="128"/>
      <c r="M33" s="108"/>
      <c r="N33" s="128"/>
      <c r="O33" s="128"/>
      <c r="P33" s="128"/>
      <c r="Q33" s="128"/>
      <c r="R33" s="108" t="s">
        <v>153</v>
      </c>
      <c r="S33" s="62"/>
      <c r="T33" s="56" t="s">
        <v>153</v>
      </c>
      <c r="U33" s="128">
        <v>5</v>
      </c>
      <c r="V33" s="108" t="s">
        <v>153</v>
      </c>
      <c r="W33" s="62" t="s">
        <v>153</v>
      </c>
      <c r="X33" s="108" t="s">
        <v>153</v>
      </c>
      <c r="Y33" s="128">
        <v>4</v>
      </c>
      <c r="Z33" s="108"/>
      <c r="AA33" s="128"/>
      <c r="AB33" s="108"/>
      <c r="AC33" s="62"/>
      <c r="AD33" s="58"/>
      <c r="AE33" s="128"/>
      <c r="AF33" s="128"/>
      <c r="AG33" s="128"/>
      <c r="AH33" s="38"/>
      <c r="AI33" s="128"/>
      <c r="AJ33" s="128"/>
      <c r="AK33" s="128"/>
      <c r="AL33" s="38"/>
      <c r="AM33" s="38"/>
      <c r="AN33" s="128"/>
      <c r="AO33" s="38"/>
      <c r="AP33" s="128"/>
      <c r="AQ33" s="38"/>
      <c r="AR33" s="108"/>
      <c r="AS33" s="174"/>
    </row>
    <row r="34" spans="1:45" s="141" customFormat="1" x14ac:dyDescent="0.25">
      <c r="A34" s="83" t="s">
        <v>30</v>
      </c>
      <c r="B34" s="40" t="s">
        <v>232</v>
      </c>
      <c r="C34" s="166">
        <v>3</v>
      </c>
      <c r="D34" s="168">
        <v>5</v>
      </c>
      <c r="E34" s="164"/>
      <c r="F34" s="129">
        <f>AVERAGE(H34,J34,O34,Q34)</f>
        <v>4.25</v>
      </c>
      <c r="G34" s="128"/>
      <c r="H34" s="70">
        <v>5</v>
      </c>
      <c r="I34" s="128"/>
      <c r="J34" s="128">
        <v>4</v>
      </c>
      <c r="K34" s="128"/>
      <c r="L34" s="108" t="s">
        <v>153</v>
      </c>
      <c r="M34" s="108"/>
      <c r="N34" s="108" t="s">
        <v>153</v>
      </c>
      <c r="O34" s="128">
        <v>4</v>
      </c>
      <c r="P34" s="128"/>
      <c r="Q34" s="108">
        <v>4</v>
      </c>
      <c r="R34" s="108" t="s">
        <v>153</v>
      </c>
      <c r="S34" s="62"/>
      <c r="T34" s="56" t="s">
        <v>153</v>
      </c>
      <c r="U34" s="128"/>
      <c r="V34" s="128"/>
      <c r="W34" s="38"/>
      <c r="X34" s="128"/>
      <c r="Y34" s="128"/>
      <c r="Z34" s="108"/>
      <c r="AA34" s="128"/>
      <c r="AB34" s="108"/>
      <c r="AC34" s="62"/>
      <c r="AD34" s="58"/>
      <c r="AE34" s="128"/>
      <c r="AF34" s="128"/>
      <c r="AG34" s="128"/>
      <c r="AH34" s="38"/>
      <c r="AI34" s="128"/>
      <c r="AJ34" s="128"/>
      <c r="AK34" s="128"/>
      <c r="AL34" s="38"/>
      <c r="AM34" s="38"/>
      <c r="AN34" s="128"/>
      <c r="AO34" s="38"/>
      <c r="AP34" s="128"/>
      <c r="AQ34" s="38"/>
      <c r="AR34" s="108"/>
      <c r="AS34" s="174"/>
    </row>
    <row r="35" spans="1:45" s="141" customFormat="1" x14ac:dyDescent="0.25">
      <c r="A35" s="83" t="s">
        <v>30</v>
      </c>
      <c r="B35" s="77" t="s">
        <v>543</v>
      </c>
      <c r="C35" s="166">
        <v>7</v>
      </c>
      <c r="D35" s="168">
        <v>2</v>
      </c>
      <c r="E35" s="164">
        <v>3</v>
      </c>
      <c r="F35" s="129">
        <f>AVERAGE(L35,N35,O35,P35,Q35,R35,S35)</f>
        <v>5</v>
      </c>
      <c r="G35" s="128"/>
      <c r="H35" s="69"/>
      <c r="I35" s="128"/>
      <c r="J35" s="128"/>
      <c r="K35" s="108" t="s">
        <v>153</v>
      </c>
      <c r="L35" s="69">
        <v>6</v>
      </c>
      <c r="M35" s="108" t="s">
        <v>153</v>
      </c>
      <c r="N35" s="128">
        <v>4</v>
      </c>
      <c r="O35" s="128">
        <v>4</v>
      </c>
      <c r="P35" s="69">
        <v>6</v>
      </c>
      <c r="Q35" s="128">
        <v>4</v>
      </c>
      <c r="R35" s="294">
        <v>7</v>
      </c>
      <c r="S35" s="62">
        <v>4</v>
      </c>
      <c r="T35" s="58"/>
      <c r="U35" s="128"/>
      <c r="V35" s="128"/>
      <c r="W35" s="38"/>
      <c r="X35" s="128"/>
      <c r="Y35" s="128"/>
      <c r="Z35" s="108"/>
      <c r="AA35" s="128"/>
      <c r="AB35" s="108"/>
      <c r="AC35" s="62"/>
      <c r="AD35" s="58"/>
      <c r="AE35" s="128"/>
      <c r="AF35" s="128"/>
      <c r="AG35" s="128"/>
      <c r="AH35" s="38"/>
      <c r="AI35" s="128"/>
      <c r="AJ35" s="128"/>
      <c r="AK35" s="128"/>
      <c r="AL35" s="38"/>
      <c r="AM35" s="38"/>
      <c r="AN35" s="128"/>
      <c r="AO35" s="38"/>
      <c r="AP35" s="128"/>
      <c r="AQ35" s="38"/>
      <c r="AR35" s="108"/>
      <c r="AS35" s="174"/>
    </row>
    <row r="36" spans="1:45" s="141" customFormat="1" ht="15.75" thickBot="1" x14ac:dyDescent="0.3">
      <c r="A36" s="3" t="s">
        <v>30</v>
      </c>
      <c r="B36" s="197" t="s">
        <v>87</v>
      </c>
      <c r="C36" s="167">
        <v>12</v>
      </c>
      <c r="D36" s="169">
        <v>4</v>
      </c>
      <c r="E36" s="165">
        <v>2</v>
      </c>
      <c r="F36" s="33">
        <f>AVERAGE(H36,I36,J36,K36,M36,R36,T36,S36,V36,W36,X36,Y36)</f>
        <v>4.333333333333333</v>
      </c>
      <c r="G36" s="108" t="s">
        <v>153</v>
      </c>
      <c r="H36" s="70">
        <v>4</v>
      </c>
      <c r="I36" s="303">
        <v>3</v>
      </c>
      <c r="J36" s="128">
        <v>5</v>
      </c>
      <c r="K36" s="69">
        <v>6</v>
      </c>
      <c r="L36" s="128"/>
      <c r="M36" s="108">
        <v>4</v>
      </c>
      <c r="N36" s="128"/>
      <c r="O36" s="108" t="s">
        <v>153</v>
      </c>
      <c r="P36" s="108" t="s">
        <v>153</v>
      </c>
      <c r="Q36" s="128"/>
      <c r="R36" s="108">
        <v>6</v>
      </c>
      <c r="S36" s="62">
        <v>4</v>
      </c>
      <c r="T36" s="58">
        <v>4</v>
      </c>
      <c r="U36" s="57" t="s">
        <v>153</v>
      </c>
      <c r="V36" s="128">
        <v>4</v>
      </c>
      <c r="W36" s="38">
        <v>4</v>
      </c>
      <c r="X36" s="128">
        <v>4</v>
      </c>
      <c r="Y36" s="128">
        <v>4</v>
      </c>
      <c r="Z36" s="108"/>
      <c r="AA36" s="128"/>
      <c r="AB36" s="108"/>
      <c r="AC36" s="62"/>
      <c r="AD36" s="58"/>
      <c r="AE36" s="128"/>
      <c r="AF36" s="128"/>
      <c r="AG36" s="128"/>
      <c r="AH36" s="38"/>
      <c r="AI36" s="128"/>
      <c r="AJ36" s="128"/>
      <c r="AK36" s="128"/>
      <c r="AL36" s="38"/>
      <c r="AM36" s="38"/>
      <c r="AN36" s="128"/>
      <c r="AO36" s="38"/>
      <c r="AP36" s="128"/>
      <c r="AQ36" s="38"/>
      <c r="AR36" s="108"/>
      <c r="AS36" s="174"/>
    </row>
    <row r="37" spans="1:45" x14ac:dyDescent="0.25">
      <c r="G37" s="36">
        <f>AVERAGE(G7,G11,G12,G14,G20,G21,G26,G27,G31,G32,G16)</f>
        <v>4.7272727272727275</v>
      </c>
      <c r="H37" s="36">
        <f>AVERAGE(H7,H10,H12,H16,H20,H21,H24,H26,H27,H34,H36)</f>
        <v>5</v>
      </c>
      <c r="I37" s="36">
        <f>AVERAGE(I7,I10,I12,I17,I20,I21,I26,I27,I28,I31,I36)</f>
        <v>5.2727272727272725</v>
      </c>
      <c r="J37" s="36">
        <f>AVERAGE(J7,J12,J14,J16,J20,J21,J26,J27,J28,J34,J36)</f>
        <v>4.9090909090909092</v>
      </c>
      <c r="K37" s="30">
        <f>AVERAGE(K7,K10,K11,K14,K17,K21,K26,K28,K30,K31,K36)</f>
        <v>5.1818181818181817</v>
      </c>
      <c r="L37" s="30">
        <f>AVERAGE(L7,L14,L17,L18,L20,L21,L26,L28,L30,L32,L35)</f>
        <v>5.4545454545454541</v>
      </c>
      <c r="M37" s="36">
        <f>AVERAGE(M7,M10,M11,M13,M20,M23,M26,M27,M30,M31,M36)</f>
        <v>5.2727272727272725</v>
      </c>
      <c r="N37" s="30">
        <f>AVERAGE(N7,N14,N17,N18,N20,N21,N26,N27,N28,N32,N35)</f>
        <v>4.5454545454545459</v>
      </c>
      <c r="O37" s="30">
        <f>AVERAGE(O7,O10,O11,O13,O14,O24,O27,O28,O31,O34,O35)</f>
        <v>4.5454545454545459</v>
      </c>
      <c r="P37" s="30">
        <f>AVERAGE(P7,P10,P11,P14,P16,P26,P27,P28,P30,P31,P35)</f>
        <v>5.5454545454545459</v>
      </c>
      <c r="Q37" s="30">
        <f>AVERAGE(Q7,Q10,Q11,Q14,Q16,Q24,Q26,Q27,Q28,Q31,Q35)</f>
        <v>4.3636363636363633</v>
      </c>
      <c r="R37" s="30">
        <f>AVERAGE(R7,R11,R14,R16,R20,R21,R28,R30,R31,R35,R36)</f>
        <v>5.8181818181818183</v>
      </c>
      <c r="S37" s="30">
        <f>AVERAGE(S7,S11,S14,S16,S20,S21,S26,S30,S35,S36,S28)</f>
        <v>4.5454545454545459</v>
      </c>
      <c r="T37" s="30">
        <f>AVERAGE(T7,T11,T14,T16,T17,T22,T26,T23,T30,T31,T36)</f>
        <v>4.6363636363636367</v>
      </c>
      <c r="U37" s="30">
        <f>AVERAGE(U7,U10,U14,U16,U19,U21,U26,U27,U28,U31,U33)</f>
        <v>5.3636363636363633</v>
      </c>
      <c r="V37" s="30">
        <f>AVERAGE(V7,V11,V14,V16,V20,V21,V28,V30,V31,V32,V36)</f>
        <v>4.7272727272727275</v>
      </c>
      <c r="W37" s="30">
        <f>AVERAGE(W7,W10,W14,W17,W18,W22,W26,W27,W30,W31,W36)</f>
        <v>4.6363636363636367</v>
      </c>
      <c r="X37" s="30">
        <f>AVERAGE(X7,X10,X14,X17,X18,X22,X26,X27,X30,X31,X36)</f>
        <v>4.6363636363636367</v>
      </c>
      <c r="Y37" s="30">
        <f>AVERAGE(Y7,Y10,Y13,Y14,Y18,Y21,Y26,Y27,Y28,Y33,Y36)</f>
        <v>5.1818181818181817</v>
      </c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142"/>
      <c r="AN37" s="30"/>
      <c r="AO37" s="30"/>
      <c r="AP37" s="30"/>
      <c r="AQ37" s="30"/>
      <c r="AR37" s="30"/>
    </row>
    <row r="40" spans="1:45" ht="15.75" customHeight="1" x14ac:dyDescent="0.25">
      <c r="AM40" s="141"/>
    </row>
    <row r="41" spans="1:45" ht="48" customHeight="1" x14ac:dyDescent="0.25">
      <c r="AM41" s="141"/>
    </row>
  </sheetData>
  <mergeCells count="1">
    <mergeCell ref="C5:E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S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6" max="6" width="11.7109375" bestFit="1" customWidth="1"/>
    <col min="7" max="7" width="4.5703125" customWidth="1"/>
    <col min="8" max="44" width="4.7109375" customWidth="1"/>
  </cols>
  <sheetData>
    <row r="1" spans="1:45" x14ac:dyDescent="0.25">
      <c r="A1" t="s">
        <v>72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.75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621</v>
      </c>
      <c r="H7" s="26" t="s">
        <v>545</v>
      </c>
      <c r="I7" s="26" t="s">
        <v>582</v>
      </c>
      <c r="J7" s="26" t="s">
        <v>596</v>
      </c>
      <c r="K7" s="26" t="s">
        <v>646</v>
      </c>
      <c r="L7" s="26" t="s">
        <v>670</v>
      </c>
      <c r="M7" s="26" t="s">
        <v>715</v>
      </c>
      <c r="N7" s="26" t="s">
        <v>717</v>
      </c>
      <c r="O7" s="26" t="s">
        <v>738</v>
      </c>
      <c r="P7" s="79" t="s">
        <v>766</v>
      </c>
      <c r="Q7" s="97" t="s">
        <v>790</v>
      </c>
      <c r="R7" s="101" t="s">
        <v>820</v>
      </c>
      <c r="S7" s="101" t="s">
        <v>834</v>
      </c>
      <c r="T7" s="119" t="s">
        <v>861</v>
      </c>
      <c r="U7" s="101" t="s">
        <v>880</v>
      </c>
      <c r="V7" s="109" t="s">
        <v>919</v>
      </c>
      <c r="W7" s="26" t="s">
        <v>933</v>
      </c>
      <c r="X7" s="119" t="s">
        <v>957</v>
      </c>
      <c r="Y7" s="119" t="s">
        <v>987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43"/>
      <c r="AM7" s="173"/>
      <c r="AN7" s="26"/>
      <c r="AO7" s="26"/>
      <c r="AP7" s="26"/>
      <c r="AQ7" s="26"/>
      <c r="AR7" s="26"/>
    </row>
    <row r="8" spans="1:45" x14ac:dyDescent="0.25">
      <c r="A8" t="s">
        <v>8</v>
      </c>
      <c r="B8" t="s">
        <v>74</v>
      </c>
      <c r="C8" s="149"/>
      <c r="D8" s="150"/>
      <c r="E8" s="148"/>
      <c r="F8" s="17"/>
      <c r="G8" s="5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3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38"/>
      <c r="AG8" s="38"/>
      <c r="AH8" s="128"/>
      <c r="AI8" s="128"/>
      <c r="AJ8" s="128"/>
      <c r="AK8" s="38"/>
      <c r="AL8" s="128"/>
      <c r="AM8" s="128"/>
      <c r="AN8" s="38"/>
      <c r="AO8" s="128"/>
      <c r="AP8" s="38"/>
      <c r="AQ8" s="38"/>
      <c r="AR8" s="128"/>
      <c r="AS8" s="27"/>
    </row>
    <row r="9" spans="1:45" x14ac:dyDescent="0.25">
      <c r="A9" t="s">
        <v>8</v>
      </c>
      <c r="B9" t="s">
        <v>73</v>
      </c>
      <c r="C9" s="166">
        <v>16</v>
      </c>
      <c r="D9" s="168"/>
      <c r="E9" s="164"/>
      <c r="F9" s="32">
        <f>AVERAGE(G9,H9,I9,J9,K9,L9,P9,Q9,R9,S9,T9,U9,V9,W9,X9,Y9)</f>
        <v>5.625</v>
      </c>
      <c r="G9" s="325">
        <v>5</v>
      </c>
      <c r="H9" s="283">
        <v>7</v>
      </c>
      <c r="I9" s="283">
        <v>7</v>
      </c>
      <c r="J9" s="283">
        <v>7</v>
      </c>
      <c r="K9" s="283">
        <v>8</v>
      </c>
      <c r="L9" s="347">
        <v>3</v>
      </c>
      <c r="M9" s="128"/>
      <c r="N9" s="69"/>
      <c r="O9" s="128"/>
      <c r="P9" s="128">
        <v>5</v>
      </c>
      <c r="Q9" s="128">
        <v>5</v>
      </c>
      <c r="R9" s="69">
        <v>6</v>
      </c>
      <c r="S9" s="128">
        <v>5</v>
      </c>
      <c r="T9" s="64">
        <v>5</v>
      </c>
      <c r="U9" s="128">
        <v>5</v>
      </c>
      <c r="V9" s="69">
        <v>5</v>
      </c>
      <c r="W9" s="128">
        <v>6</v>
      </c>
      <c r="X9" s="69">
        <v>6</v>
      </c>
      <c r="Y9" s="128">
        <v>5</v>
      </c>
      <c r="Z9" s="69"/>
      <c r="AA9" s="128"/>
      <c r="AB9" s="128"/>
      <c r="AC9" s="128"/>
      <c r="AD9" s="128"/>
      <c r="AE9" s="69"/>
      <c r="AF9" s="38"/>
      <c r="AG9" s="38"/>
      <c r="AH9" s="69"/>
      <c r="AI9" s="69"/>
      <c r="AJ9" s="128"/>
      <c r="AK9" s="38"/>
      <c r="AL9" s="69"/>
      <c r="AM9" s="69"/>
      <c r="AN9" s="38"/>
      <c r="AO9" s="128"/>
      <c r="AP9" s="38"/>
      <c r="AQ9" s="38"/>
      <c r="AR9" s="128"/>
      <c r="AS9" s="27"/>
    </row>
    <row r="10" spans="1:45" s="141" customFormat="1" x14ac:dyDescent="0.25">
      <c r="A10" s="141" t="s">
        <v>8</v>
      </c>
      <c r="B10" s="42" t="s">
        <v>671</v>
      </c>
      <c r="C10" s="166">
        <v>3</v>
      </c>
      <c r="D10" s="168">
        <v>1</v>
      </c>
      <c r="E10" s="164"/>
      <c r="F10" s="129">
        <f>AVERAGE(N10,M10,O10)</f>
        <v>5.666666666666667</v>
      </c>
      <c r="G10" s="325"/>
      <c r="H10" s="128"/>
      <c r="I10" s="128"/>
      <c r="J10" s="128"/>
      <c r="K10" s="128"/>
      <c r="L10" s="108" t="s">
        <v>153</v>
      </c>
      <c r="M10" s="128">
        <v>5</v>
      </c>
      <c r="N10" s="70">
        <v>6</v>
      </c>
      <c r="O10" s="69">
        <v>6</v>
      </c>
      <c r="P10" s="128"/>
      <c r="Q10" s="128"/>
      <c r="R10" s="128"/>
      <c r="S10" s="128"/>
      <c r="T10" s="66"/>
      <c r="U10" s="128"/>
      <c r="V10" s="128"/>
      <c r="W10" s="128"/>
      <c r="X10" s="69"/>
      <c r="Y10" s="128"/>
      <c r="Z10" s="69"/>
      <c r="AA10" s="128"/>
      <c r="AB10" s="128"/>
      <c r="AC10" s="128"/>
      <c r="AD10" s="128"/>
      <c r="AE10" s="69"/>
      <c r="AF10" s="38"/>
      <c r="AG10" s="38"/>
      <c r="AH10" s="69"/>
      <c r="AI10" s="69"/>
      <c r="AJ10" s="128"/>
      <c r="AK10" s="38"/>
      <c r="AL10" s="69"/>
      <c r="AM10" s="69"/>
      <c r="AN10" s="38"/>
      <c r="AO10" s="128"/>
      <c r="AP10" s="38"/>
      <c r="AQ10" s="38"/>
      <c r="AR10" s="128"/>
      <c r="AS10" s="174"/>
    </row>
    <row r="11" spans="1:45" x14ac:dyDescent="0.25">
      <c r="A11" s="14" t="s">
        <v>8</v>
      </c>
      <c r="B11" s="14" t="s">
        <v>335</v>
      </c>
      <c r="C11" s="170"/>
      <c r="D11" s="171"/>
      <c r="E11" s="172"/>
      <c r="F11" s="19"/>
      <c r="G11" s="5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3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38"/>
      <c r="AG11" s="38"/>
      <c r="AH11" s="128"/>
      <c r="AI11" s="128"/>
      <c r="AJ11" s="128"/>
      <c r="AK11" s="38"/>
      <c r="AL11" s="128"/>
      <c r="AM11" s="128"/>
      <c r="AN11" s="38"/>
      <c r="AO11" s="128"/>
      <c r="AP11" s="38"/>
      <c r="AQ11" s="38"/>
      <c r="AR11" s="128"/>
      <c r="AS11" s="27"/>
    </row>
    <row r="12" spans="1:45" x14ac:dyDescent="0.25">
      <c r="A12" t="s">
        <v>11</v>
      </c>
      <c r="B12" t="s">
        <v>75</v>
      </c>
      <c r="C12" s="166">
        <v>11</v>
      </c>
      <c r="D12" s="168">
        <v>1</v>
      </c>
      <c r="E12" s="164"/>
      <c r="F12" s="32">
        <f>AVERAGE(H12,K12,L12,P12,Q12,R12,S12,U12,V12,W12,X12,Y12)</f>
        <v>5</v>
      </c>
      <c r="G12" s="58"/>
      <c r="H12" s="128">
        <v>5</v>
      </c>
      <c r="I12" s="128"/>
      <c r="J12" s="128"/>
      <c r="K12" s="128">
        <v>5</v>
      </c>
      <c r="L12" s="128">
        <v>5</v>
      </c>
      <c r="M12" s="128"/>
      <c r="N12" s="128"/>
      <c r="O12" s="128"/>
      <c r="P12" s="128">
        <v>5</v>
      </c>
      <c r="Q12" s="128">
        <v>5</v>
      </c>
      <c r="R12" s="128">
        <v>5</v>
      </c>
      <c r="S12" s="128">
        <v>4</v>
      </c>
      <c r="T12" s="38"/>
      <c r="U12" s="128">
        <v>5</v>
      </c>
      <c r="V12" s="128">
        <v>6</v>
      </c>
      <c r="W12" s="128">
        <v>5</v>
      </c>
      <c r="X12" s="128">
        <v>5</v>
      </c>
      <c r="Y12" s="128">
        <v>5</v>
      </c>
      <c r="Z12" s="128"/>
      <c r="AA12" s="128"/>
      <c r="AB12" s="128"/>
      <c r="AC12" s="128"/>
      <c r="AD12" s="128"/>
      <c r="AE12" s="128"/>
      <c r="AF12" s="38"/>
      <c r="AG12" s="38"/>
      <c r="AH12" s="128"/>
      <c r="AI12" s="128"/>
      <c r="AJ12" s="128"/>
      <c r="AK12" s="38"/>
      <c r="AL12" s="128"/>
      <c r="AM12" s="128"/>
      <c r="AN12" s="38"/>
      <c r="AO12" s="128"/>
      <c r="AP12" s="38"/>
      <c r="AQ12" s="38"/>
      <c r="AR12" s="128"/>
      <c r="AS12" s="27"/>
    </row>
    <row r="13" spans="1:45" x14ac:dyDescent="0.25">
      <c r="A13" t="s">
        <v>11</v>
      </c>
      <c r="B13" t="s">
        <v>76</v>
      </c>
      <c r="C13" s="166">
        <v>18</v>
      </c>
      <c r="D13" s="168">
        <v>1</v>
      </c>
      <c r="E13" s="164">
        <v>3</v>
      </c>
      <c r="F13" s="32">
        <f>AVERAGE(V13,G13,H13,I13,J13,K13,L13,N13,M13,O13,P13,Q13,R13,T13,U13,W13,X13,Y13)</f>
        <v>5.4444444444444446</v>
      </c>
      <c r="G13" s="58">
        <v>4</v>
      </c>
      <c r="H13" s="128">
        <v>6</v>
      </c>
      <c r="I13" s="128">
        <v>6</v>
      </c>
      <c r="J13" s="282">
        <v>7</v>
      </c>
      <c r="K13" s="128">
        <v>5</v>
      </c>
      <c r="L13" s="128">
        <v>5</v>
      </c>
      <c r="M13" s="128">
        <v>5</v>
      </c>
      <c r="N13" s="303">
        <v>3</v>
      </c>
      <c r="O13" s="283">
        <v>7</v>
      </c>
      <c r="P13" s="128">
        <v>5</v>
      </c>
      <c r="Q13" s="108">
        <v>5</v>
      </c>
      <c r="R13" s="128">
        <v>5</v>
      </c>
      <c r="S13" s="57" t="s">
        <v>153</v>
      </c>
      <c r="T13" s="38">
        <v>6</v>
      </c>
      <c r="U13" s="128">
        <v>5</v>
      </c>
      <c r="V13" s="128">
        <v>6</v>
      </c>
      <c r="W13" s="128">
        <v>6</v>
      </c>
      <c r="X13" s="69">
        <v>6</v>
      </c>
      <c r="Y13" s="128">
        <v>6</v>
      </c>
      <c r="Z13" s="128"/>
      <c r="AA13" s="128"/>
      <c r="AB13" s="128"/>
      <c r="AC13" s="128"/>
      <c r="AD13" s="128"/>
      <c r="AE13" s="128"/>
      <c r="AF13" s="38"/>
      <c r="AG13" s="38"/>
      <c r="AH13" s="128"/>
      <c r="AI13" s="128"/>
      <c r="AJ13" s="128"/>
      <c r="AK13" s="38"/>
      <c r="AL13" s="128"/>
      <c r="AM13" s="128"/>
      <c r="AN13" s="38"/>
      <c r="AO13" s="69"/>
      <c r="AP13" s="38"/>
      <c r="AQ13" s="38"/>
      <c r="AR13" s="128"/>
      <c r="AS13" s="27"/>
    </row>
    <row r="14" spans="1:45" x14ac:dyDescent="0.25">
      <c r="A14" t="s">
        <v>11</v>
      </c>
      <c r="B14" t="s">
        <v>77</v>
      </c>
      <c r="C14" s="166"/>
      <c r="D14" s="168"/>
      <c r="E14" s="164"/>
      <c r="F14" s="32"/>
      <c r="G14" s="194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3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38"/>
      <c r="AG14" s="38"/>
      <c r="AH14" s="128"/>
      <c r="AI14" s="128"/>
      <c r="AJ14" s="128"/>
      <c r="AK14" s="38"/>
      <c r="AL14" s="128"/>
      <c r="AM14" s="128"/>
      <c r="AN14" s="38"/>
      <c r="AO14" s="128"/>
      <c r="AP14" s="38"/>
      <c r="AQ14" s="38"/>
      <c r="AR14" s="128"/>
      <c r="AS14" s="27"/>
    </row>
    <row r="15" spans="1:45" x14ac:dyDescent="0.25">
      <c r="A15" t="s">
        <v>11</v>
      </c>
      <c r="B15" t="s">
        <v>198</v>
      </c>
      <c r="C15" s="166">
        <v>14</v>
      </c>
      <c r="D15" s="168">
        <v>2</v>
      </c>
      <c r="E15" s="164">
        <v>1</v>
      </c>
      <c r="F15" s="32">
        <f>AVERAGE(G15,I15,J15,K15,M15,O15,Q15,S15,T15,U15,V15,W15,Y15)</f>
        <v>5.3076923076923075</v>
      </c>
      <c r="G15" s="58">
        <v>5</v>
      </c>
      <c r="H15" s="128" t="s">
        <v>546</v>
      </c>
      <c r="I15" s="128">
        <v>6</v>
      </c>
      <c r="J15" s="128">
        <v>5</v>
      </c>
      <c r="K15" s="128">
        <v>5</v>
      </c>
      <c r="L15" s="108" t="s">
        <v>153</v>
      </c>
      <c r="M15" s="128">
        <v>5</v>
      </c>
      <c r="N15" s="108" t="s">
        <v>153</v>
      </c>
      <c r="O15" s="128">
        <v>4</v>
      </c>
      <c r="P15" s="128"/>
      <c r="Q15" s="69">
        <v>6</v>
      </c>
      <c r="R15" s="128"/>
      <c r="S15" s="128">
        <v>5</v>
      </c>
      <c r="T15" s="38">
        <v>5</v>
      </c>
      <c r="U15" s="128">
        <v>5</v>
      </c>
      <c r="V15" s="128">
        <v>6</v>
      </c>
      <c r="W15" s="128">
        <v>6</v>
      </c>
      <c r="X15" s="128"/>
      <c r="Y15" s="128">
        <v>6</v>
      </c>
      <c r="Z15" s="128"/>
      <c r="AA15" s="128"/>
      <c r="AB15" s="128"/>
      <c r="AC15" s="128"/>
      <c r="AD15" s="128"/>
      <c r="AE15" s="128"/>
      <c r="AF15" s="38"/>
      <c r="AG15" s="38"/>
      <c r="AH15" s="128"/>
      <c r="AI15" s="128"/>
      <c r="AJ15" s="128"/>
      <c r="AK15" s="66"/>
      <c r="AL15" s="128"/>
      <c r="AM15" s="128"/>
      <c r="AN15" s="38"/>
      <c r="AO15" s="128"/>
      <c r="AP15" s="38"/>
      <c r="AQ15" s="38"/>
      <c r="AR15" s="128"/>
      <c r="AS15" s="27"/>
    </row>
    <row r="16" spans="1:45" x14ac:dyDescent="0.25">
      <c r="A16" t="s">
        <v>11</v>
      </c>
      <c r="B16" t="s">
        <v>274</v>
      </c>
      <c r="C16" s="166"/>
      <c r="D16" s="168">
        <v>1</v>
      </c>
      <c r="E16" s="164"/>
      <c r="F16" s="32"/>
      <c r="G16" s="5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38"/>
      <c r="U16" s="128"/>
      <c r="V16" s="128"/>
      <c r="W16" s="128"/>
      <c r="X16" s="108" t="s">
        <v>153</v>
      </c>
      <c r="Y16" s="128"/>
      <c r="Z16" s="128"/>
      <c r="AA16" s="128"/>
      <c r="AB16" s="128"/>
      <c r="AC16" s="128"/>
      <c r="AD16" s="128"/>
      <c r="AE16" s="128"/>
      <c r="AF16" s="38"/>
      <c r="AG16" s="38"/>
      <c r="AH16" s="128"/>
      <c r="AI16" s="128"/>
      <c r="AJ16" s="128"/>
      <c r="AK16" s="38"/>
      <c r="AL16" s="128"/>
      <c r="AM16" s="128"/>
      <c r="AN16" s="38"/>
      <c r="AO16" s="128"/>
      <c r="AP16" s="38"/>
      <c r="AQ16" s="38"/>
      <c r="AR16" s="128"/>
      <c r="AS16" s="27"/>
    </row>
    <row r="17" spans="1:45" s="116" customFormat="1" x14ac:dyDescent="0.25">
      <c r="A17" s="116" t="s">
        <v>11</v>
      </c>
      <c r="B17" s="49" t="s">
        <v>381</v>
      </c>
      <c r="C17" s="166">
        <v>4</v>
      </c>
      <c r="D17" s="168">
        <v>3</v>
      </c>
      <c r="E17" s="164"/>
      <c r="F17" s="94">
        <f>AVERAGE(H17,G17,O17,X17)</f>
        <v>5</v>
      </c>
      <c r="G17" s="58">
        <v>5</v>
      </c>
      <c r="H17" s="128">
        <v>5</v>
      </c>
      <c r="I17" s="108" t="s">
        <v>153</v>
      </c>
      <c r="J17" s="128"/>
      <c r="K17" s="128"/>
      <c r="L17" s="128"/>
      <c r="M17" s="128"/>
      <c r="N17" s="108"/>
      <c r="O17" s="128">
        <v>5</v>
      </c>
      <c r="P17" s="108" t="s">
        <v>153</v>
      </c>
      <c r="Q17" s="128"/>
      <c r="R17" s="128"/>
      <c r="S17" s="128"/>
      <c r="T17" s="62"/>
      <c r="U17" s="128"/>
      <c r="V17" s="128"/>
      <c r="W17" s="128"/>
      <c r="X17" s="128">
        <v>5</v>
      </c>
      <c r="Y17" s="108" t="s">
        <v>153</v>
      </c>
      <c r="Z17" s="128"/>
      <c r="AA17" s="128"/>
      <c r="AB17" s="128"/>
      <c r="AC17" s="128"/>
      <c r="AD17" s="128"/>
      <c r="AE17" s="128"/>
      <c r="AF17" s="38"/>
      <c r="AG17" s="38"/>
      <c r="AH17" s="128"/>
      <c r="AI17" s="128"/>
      <c r="AJ17" s="128"/>
      <c r="AK17" s="38"/>
      <c r="AL17" s="128"/>
      <c r="AM17" s="108"/>
      <c r="AN17" s="62"/>
      <c r="AO17" s="128"/>
      <c r="AP17" s="38"/>
      <c r="AQ17" s="62"/>
      <c r="AR17" s="128"/>
      <c r="AS17" s="120"/>
    </row>
    <row r="18" spans="1:45" s="141" customFormat="1" x14ac:dyDescent="0.25">
      <c r="A18" s="141" t="s">
        <v>11</v>
      </c>
      <c r="B18" s="49" t="s">
        <v>482</v>
      </c>
      <c r="C18" s="166">
        <v>2</v>
      </c>
      <c r="D18" s="168">
        <v>3</v>
      </c>
      <c r="E18" s="164"/>
      <c r="F18" s="129">
        <f>AVERAGE(G18,K18,P18)</f>
        <v>5</v>
      </c>
      <c r="G18" s="58">
        <v>5</v>
      </c>
      <c r="H18" s="128"/>
      <c r="I18" s="128"/>
      <c r="J18" s="108" t="s">
        <v>153</v>
      </c>
      <c r="K18" s="128">
        <v>5</v>
      </c>
      <c r="L18" s="128"/>
      <c r="M18" s="128"/>
      <c r="N18" s="108"/>
      <c r="O18" s="128"/>
      <c r="P18" s="128">
        <v>5</v>
      </c>
      <c r="Q18" s="128"/>
      <c r="R18" s="128"/>
      <c r="S18" s="128"/>
      <c r="T18" s="62"/>
      <c r="U18" s="128"/>
      <c r="V18" s="128"/>
      <c r="W18" s="108" t="s">
        <v>153</v>
      </c>
      <c r="X18" s="128"/>
      <c r="Y18" s="128"/>
      <c r="Z18" s="128"/>
      <c r="AA18" s="128"/>
      <c r="AB18" s="128"/>
      <c r="AC18" s="128"/>
      <c r="AD18" s="128"/>
      <c r="AE18" s="128"/>
      <c r="AF18" s="38"/>
      <c r="AG18" s="38"/>
      <c r="AH18" s="128"/>
      <c r="AI18" s="128"/>
      <c r="AJ18" s="128"/>
      <c r="AK18" s="38"/>
      <c r="AL18" s="128"/>
      <c r="AM18" s="108"/>
      <c r="AN18" s="62"/>
      <c r="AO18" s="128"/>
      <c r="AP18" s="38"/>
      <c r="AQ18" s="62"/>
      <c r="AR18" s="128"/>
      <c r="AS18" s="174"/>
    </row>
    <row r="19" spans="1:45" s="141" customFormat="1" x14ac:dyDescent="0.25">
      <c r="A19" s="141" t="s">
        <v>11</v>
      </c>
      <c r="B19" s="49" t="s">
        <v>483</v>
      </c>
      <c r="C19" s="166">
        <v>17</v>
      </c>
      <c r="D19" s="168"/>
      <c r="E19" s="164"/>
      <c r="F19" s="129">
        <f>AVERAGE(H19,I19,J19,G19,K19,L19,N19,M19,O19,P19,Q19,R19,T19,U19,W19,X19,Y19)</f>
        <v>4.9411764705882355</v>
      </c>
      <c r="G19" s="58">
        <v>5</v>
      </c>
      <c r="H19" s="128">
        <v>6</v>
      </c>
      <c r="I19" s="128">
        <v>5</v>
      </c>
      <c r="J19" s="128">
        <v>5</v>
      </c>
      <c r="K19" s="128">
        <v>6</v>
      </c>
      <c r="L19" s="128">
        <v>5</v>
      </c>
      <c r="M19" s="128">
        <v>5</v>
      </c>
      <c r="N19" s="108">
        <v>4</v>
      </c>
      <c r="O19" s="128">
        <v>5</v>
      </c>
      <c r="P19" s="128">
        <v>5</v>
      </c>
      <c r="Q19" s="128">
        <v>4</v>
      </c>
      <c r="R19" s="128">
        <v>5</v>
      </c>
      <c r="S19" s="128"/>
      <c r="T19" s="62">
        <v>5</v>
      </c>
      <c r="U19" s="303">
        <v>3</v>
      </c>
      <c r="V19" s="128"/>
      <c r="W19" s="128">
        <v>5</v>
      </c>
      <c r="X19" s="128">
        <v>6</v>
      </c>
      <c r="Y19" s="128">
        <v>5</v>
      </c>
      <c r="Z19" s="128"/>
      <c r="AA19" s="128"/>
      <c r="AB19" s="128"/>
      <c r="AC19" s="128"/>
      <c r="AD19" s="128"/>
      <c r="AE19" s="128"/>
      <c r="AF19" s="38"/>
      <c r="AG19" s="38"/>
      <c r="AH19" s="128"/>
      <c r="AI19" s="128"/>
      <c r="AJ19" s="128"/>
      <c r="AK19" s="38"/>
      <c r="AL19" s="128"/>
      <c r="AM19" s="108"/>
      <c r="AN19" s="62"/>
      <c r="AO19" s="128"/>
      <c r="AP19" s="38"/>
      <c r="AQ19" s="62"/>
      <c r="AR19" s="128"/>
      <c r="AS19" s="174"/>
    </row>
    <row r="20" spans="1:45" s="141" customFormat="1" x14ac:dyDescent="0.25">
      <c r="A20" s="141" t="s">
        <v>11</v>
      </c>
      <c r="B20" s="49" t="s">
        <v>647</v>
      </c>
      <c r="C20" s="166">
        <v>6</v>
      </c>
      <c r="D20" s="168">
        <v>2</v>
      </c>
      <c r="E20" s="164"/>
      <c r="F20" s="129">
        <f>AVERAGE(N20,O20,P20,R20,S20,V20)</f>
        <v>4.5</v>
      </c>
      <c r="G20" s="58"/>
      <c r="H20" s="128"/>
      <c r="I20" s="128"/>
      <c r="J20" s="128"/>
      <c r="K20" s="108" t="s">
        <v>153</v>
      </c>
      <c r="L20" s="128"/>
      <c r="M20" s="128"/>
      <c r="N20" s="108">
        <v>4</v>
      </c>
      <c r="O20" s="128">
        <v>5</v>
      </c>
      <c r="P20" s="303">
        <v>3</v>
      </c>
      <c r="Q20" s="128"/>
      <c r="R20" s="128">
        <v>5</v>
      </c>
      <c r="S20" s="128">
        <v>4</v>
      </c>
      <c r="T20" s="62"/>
      <c r="U20" s="108" t="s">
        <v>153</v>
      </c>
      <c r="V20" s="128">
        <v>6</v>
      </c>
      <c r="W20" s="128"/>
      <c r="X20" s="128"/>
      <c r="Y20" s="128"/>
      <c r="Z20" s="128"/>
      <c r="AA20" s="128"/>
      <c r="AB20" s="128"/>
      <c r="AC20" s="128"/>
      <c r="AD20" s="128"/>
      <c r="AE20" s="128"/>
      <c r="AF20" s="38"/>
      <c r="AG20" s="38"/>
      <c r="AH20" s="128"/>
      <c r="AI20" s="128"/>
      <c r="AJ20" s="128"/>
      <c r="AK20" s="38"/>
      <c r="AL20" s="128"/>
      <c r="AM20" s="108"/>
      <c r="AN20" s="62"/>
      <c r="AO20" s="128"/>
      <c r="AP20" s="38"/>
      <c r="AQ20" s="62"/>
      <c r="AR20" s="128"/>
      <c r="AS20" s="174"/>
    </row>
    <row r="21" spans="1:45" x14ac:dyDescent="0.25">
      <c r="A21" s="14" t="s">
        <v>11</v>
      </c>
      <c r="B21" s="72" t="s">
        <v>78</v>
      </c>
      <c r="C21" s="170">
        <v>8</v>
      </c>
      <c r="D21" s="171"/>
      <c r="E21" s="153"/>
      <c r="F21" s="34">
        <f>AVERAGE(I21,J21,K21,L21,N21,M21,S21,T21)</f>
        <v>5.125</v>
      </c>
      <c r="G21" s="58"/>
      <c r="H21" s="128"/>
      <c r="I21" s="128">
        <v>6</v>
      </c>
      <c r="J21" s="128">
        <v>5</v>
      </c>
      <c r="K21" s="128">
        <v>5</v>
      </c>
      <c r="L21" s="128">
        <v>5</v>
      </c>
      <c r="M21" s="128">
        <v>5</v>
      </c>
      <c r="N21" s="128">
        <v>4</v>
      </c>
      <c r="O21" s="128"/>
      <c r="P21" s="128"/>
      <c r="Q21" s="128"/>
      <c r="R21" s="128"/>
      <c r="S21" s="128">
        <v>6</v>
      </c>
      <c r="T21" s="38">
        <v>5</v>
      </c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38"/>
      <c r="AG21" s="38"/>
      <c r="AH21" s="128"/>
      <c r="AI21" s="128"/>
      <c r="AJ21" s="128"/>
      <c r="AK21" s="38"/>
      <c r="AL21" s="128"/>
      <c r="AM21" s="128"/>
      <c r="AN21" s="66"/>
      <c r="AO21" s="128"/>
      <c r="AP21" s="38"/>
      <c r="AQ21" s="38"/>
      <c r="AR21" s="128"/>
      <c r="AS21" s="27"/>
    </row>
    <row r="22" spans="1:45" x14ac:dyDescent="0.25">
      <c r="A22" t="s">
        <v>29</v>
      </c>
      <c r="B22" s="49" t="s">
        <v>79</v>
      </c>
      <c r="C22" s="166">
        <v>14</v>
      </c>
      <c r="D22" s="168"/>
      <c r="E22" s="164"/>
      <c r="F22" s="32">
        <f>AVERAGE(H22,I22,J22,G22,K22,P22,Q22,R22,T22,U22,V22,X22,Y22)</f>
        <v>5</v>
      </c>
      <c r="G22" s="326">
        <v>5</v>
      </c>
      <c r="H22" s="128">
        <v>4</v>
      </c>
      <c r="I22" s="128">
        <v>5</v>
      </c>
      <c r="J22" s="108">
        <v>5</v>
      </c>
      <c r="K22" s="128">
        <v>4</v>
      </c>
      <c r="L22" s="108"/>
      <c r="M22" s="128"/>
      <c r="N22" s="128"/>
      <c r="O22" s="128"/>
      <c r="P22" s="128">
        <v>5</v>
      </c>
      <c r="Q22" s="128">
        <v>4</v>
      </c>
      <c r="R22" s="128">
        <v>5</v>
      </c>
      <c r="S22" s="128"/>
      <c r="T22" s="348">
        <v>7</v>
      </c>
      <c r="U22" s="108">
        <v>5</v>
      </c>
      <c r="V22" s="128">
        <v>6</v>
      </c>
      <c r="W22" s="128" t="s">
        <v>546</v>
      </c>
      <c r="X22" s="128">
        <v>6</v>
      </c>
      <c r="Y22" s="128">
        <v>4</v>
      </c>
      <c r="Z22" s="128"/>
      <c r="AA22" s="128"/>
      <c r="AB22" s="128"/>
      <c r="AC22" s="108"/>
      <c r="AD22" s="108"/>
      <c r="AE22" s="128"/>
      <c r="AF22" s="38"/>
      <c r="AG22" s="38"/>
      <c r="AH22" s="128"/>
      <c r="AI22" s="128"/>
      <c r="AJ22" s="128"/>
      <c r="AK22" s="38"/>
      <c r="AL22" s="128"/>
      <c r="AM22" s="128"/>
      <c r="AN22" s="38"/>
      <c r="AO22" s="128"/>
      <c r="AP22" s="38"/>
      <c r="AQ22" s="38"/>
      <c r="AR22" s="69"/>
      <c r="AS22" s="27"/>
    </row>
    <row r="23" spans="1:45" x14ac:dyDescent="0.25">
      <c r="A23" t="s">
        <v>29</v>
      </c>
      <c r="B23" s="49" t="s">
        <v>82</v>
      </c>
      <c r="C23" s="166">
        <v>4</v>
      </c>
      <c r="D23" s="168">
        <v>7</v>
      </c>
      <c r="E23" s="164"/>
      <c r="F23" s="32">
        <f>AVERAGE(Q23,U23,V23,W23)</f>
        <v>4.75</v>
      </c>
      <c r="G23" s="58"/>
      <c r="H23" s="62"/>
      <c r="I23" s="128"/>
      <c r="J23" s="128"/>
      <c r="K23" s="128"/>
      <c r="L23" s="128"/>
      <c r="M23" s="108" t="s">
        <v>153</v>
      </c>
      <c r="N23" s="128"/>
      <c r="O23" s="128"/>
      <c r="P23" s="108" t="s">
        <v>153</v>
      </c>
      <c r="Q23" s="128">
        <v>4</v>
      </c>
      <c r="R23" s="204" t="s">
        <v>153</v>
      </c>
      <c r="S23" s="108" t="s">
        <v>153</v>
      </c>
      <c r="T23" s="62" t="s">
        <v>153</v>
      </c>
      <c r="U23" s="128">
        <v>4</v>
      </c>
      <c r="V23" s="128">
        <v>6</v>
      </c>
      <c r="W23" s="108">
        <v>5</v>
      </c>
      <c r="X23" s="108" t="s">
        <v>153</v>
      </c>
      <c r="Y23" s="108" t="s">
        <v>153</v>
      </c>
      <c r="Z23" s="128"/>
      <c r="AA23" s="128"/>
      <c r="AB23" s="128"/>
      <c r="AC23" s="128"/>
      <c r="AD23" s="128"/>
      <c r="AE23" s="128"/>
      <c r="AF23" s="38"/>
      <c r="AG23" s="38"/>
      <c r="AH23" s="128"/>
      <c r="AI23" s="128"/>
      <c r="AJ23" s="128"/>
      <c r="AK23" s="38"/>
      <c r="AL23" s="128"/>
      <c r="AM23" s="128"/>
      <c r="AN23" s="38"/>
      <c r="AO23" s="128"/>
      <c r="AP23" s="38"/>
      <c r="AQ23" s="38"/>
      <c r="AR23" s="128"/>
      <c r="AS23" s="27"/>
    </row>
    <row r="24" spans="1:45" x14ac:dyDescent="0.25">
      <c r="A24" t="s">
        <v>29</v>
      </c>
      <c r="B24" s="49" t="s">
        <v>83</v>
      </c>
      <c r="C24" s="166"/>
      <c r="D24" s="168">
        <v>3</v>
      </c>
      <c r="E24" s="164"/>
      <c r="F24" s="32"/>
      <c r="G24" s="58"/>
      <c r="H24" s="108" t="s">
        <v>153</v>
      </c>
      <c r="I24" s="128"/>
      <c r="J24" s="128"/>
      <c r="K24" s="128"/>
      <c r="L24" s="128"/>
      <c r="M24" s="128"/>
      <c r="N24" s="128"/>
      <c r="O24" s="128"/>
      <c r="P24" s="128"/>
      <c r="Q24" s="204" t="s">
        <v>153</v>
      </c>
      <c r="R24" s="128"/>
      <c r="S24" s="108"/>
      <c r="T24" s="38"/>
      <c r="U24" s="128"/>
      <c r="V24" s="108" t="s">
        <v>153</v>
      </c>
      <c r="W24" s="128"/>
      <c r="X24" s="108"/>
      <c r="Y24" s="108"/>
      <c r="Z24" s="128"/>
      <c r="AA24" s="128"/>
      <c r="AB24" s="128"/>
      <c r="AC24" s="128"/>
      <c r="AD24" s="128"/>
      <c r="AE24" s="128"/>
      <c r="AF24" s="38"/>
      <c r="AG24" s="38"/>
      <c r="AH24" s="108"/>
      <c r="AI24" s="108"/>
      <c r="AJ24" s="128"/>
      <c r="AK24" s="62"/>
      <c r="AL24" s="128"/>
      <c r="AM24" s="128"/>
      <c r="AN24" s="38"/>
      <c r="AO24" s="128"/>
      <c r="AP24" s="38"/>
      <c r="AQ24" s="38"/>
      <c r="AR24" s="108"/>
      <c r="AS24" s="27"/>
    </row>
    <row r="25" spans="1:45" s="116" customFormat="1" x14ac:dyDescent="0.25">
      <c r="A25" s="116" t="s">
        <v>29</v>
      </c>
      <c r="B25" s="49" t="s">
        <v>377</v>
      </c>
      <c r="C25" s="166">
        <v>15</v>
      </c>
      <c r="D25" s="168"/>
      <c r="E25" s="164">
        <v>5</v>
      </c>
      <c r="F25" s="94">
        <f>AVERAGE(H25,I25,J25,G25,L25,N25,M25,O25,P25,Q25,R25,S25,W25,X25,Y25)</f>
        <v>5.8666666666666663</v>
      </c>
      <c r="G25" s="58">
        <v>5</v>
      </c>
      <c r="H25" s="128">
        <v>5</v>
      </c>
      <c r="I25" s="282">
        <v>7</v>
      </c>
      <c r="J25" s="283">
        <v>7</v>
      </c>
      <c r="K25" s="128"/>
      <c r="L25" s="283">
        <v>7</v>
      </c>
      <c r="M25" s="282">
        <v>7</v>
      </c>
      <c r="N25" s="128">
        <v>5</v>
      </c>
      <c r="O25" s="283">
        <v>8</v>
      </c>
      <c r="P25" s="69">
        <v>6</v>
      </c>
      <c r="Q25" s="128">
        <v>4</v>
      </c>
      <c r="R25" s="128">
        <v>5</v>
      </c>
      <c r="S25" s="108">
        <v>4</v>
      </c>
      <c r="T25" s="38"/>
      <c r="U25" s="128"/>
      <c r="V25" s="128"/>
      <c r="W25" s="128">
        <v>4</v>
      </c>
      <c r="X25" s="290">
        <v>7</v>
      </c>
      <c r="Y25" s="294">
        <v>7</v>
      </c>
      <c r="Z25" s="128"/>
      <c r="AA25" s="128"/>
      <c r="AB25" s="108"/>
      <c r="AC25" s="128"/>
      <c r="AD25" s="128"/>
      <c r="AE25" s="128"/>
      <c r="AF25" s="38"/>
      <c r="AG25" s="38"/>
      <c r="AH25" s="128"/>
      <c r="AI25" s="128"/>
      <c r="AJ25" s="108"/>
      <c r="AK25" s="38"/>
      <c r="AL25" s="69"/>
      <c r="AM25" s="128"/>
      <c r="AN25" s="38"/>
      <c r="AO25" s="69"/>
      <c r="AP25" s="66"/>
      <c r="AQ25" s="38"/>
      <c r="AR25" s="128"/>
      <c r="AS25" s="120"/>
    </row>
    <row r="26" spans="1:45" s="141" customFormat="1" x14ac:dyDescent="0.25">
      <c r="A26" s="178" t="s">
        <v>29</v>
      </c>
      <c r="B26" s="49" t="s">
        <v>60</v>
      </c>
      <c r="C26" s="166">
        <v>16</v>
      </c>
      <c r="D26" s="168">
        <v>1</v>
      </c>
      <c r="E26" s="164">
        <v>2</v>
      </c>
      <c r="F26" s="129">
        <f>AVERAGE(V26,H26,I26,J26,G26,K26,L26,N26,M26,R26,S26,T26,U26,W26,X26,Y26)</f>
        <v>4.75</v>
      </c>
      <c r="G26" s="58">
        <v>4</v>
      </c>
      <c r="H26" s="128">
        <v>5</v>
      </c>
      <c r="I26" s="128">
        <v>5</v>
      </c>
      <c r="J26" s="128">
        <v>4</v>
      </c>
      <c r="K26" s="128">
        <v>5</v>
      </c>
      <c r="L26" s="128">
        <v>4</v>
      </c>
      <c r="M26" s="128">
        <v>5</v>
      </c>
      <c r="N26" s="128">
        <v>4</v>
      </c>
      <c r="O26" s="108" t="s">
        <v>153</v>
      </c>
      <c r="P26" s="128"/>
      <c r="Q26" s="128"/>
      <c r="R26" s="128">
        <v>5</v>
      </c>
      <c r="S26" s="108">
        <v>4</v>
      </c>
      <c r="T26" s="38">
        <v>4</v>
      </c>
      <c r="U26" s="128">
        <v>4</v>
      </c>
      <c r="V26" s="128">
        <v>6</v>
      </c>
      <c r="W26" s="108">
        <v>5</v>
      </c>
      <c r="X26" s="294">
        <v>7</v>
      </c>
      <c r="Y26" s="108">
        <v>5</v>
      </c>
      <c r="Z26" s="128"/>
      <c r="AA26" s="128"/>
      <c r="AB26" s="108"/>
      <c r="AC26" s="128"/>
      <c r="AD26" s="128"/>
      <c r="AE26" s="128"/>
      <c r="AF26" s="38"/>
      <c r="AG26" s="38"/>
      <c r="AH26" s="128"/>
      <c r="AI26" s="128"/>
      <c r="AJ26" s="108"/>
      <c r="AK26" s="38"/>
      <c r="AL26" s="69"/>
      <c r="AM26" s="128"/>
      <c r="AN26" s="38"/>
      <c r="AO26" s="69"/>
      <c r="AP26" s="66"/>
      <c r="AQ26" s="38"/>
      <c r="AR26" s="128"/>
      <c r="AS26" s="174"/>
    </row>
    <row r="27" spans="1:45" s="141" customFormat="1" x14ac:dyDescent="0.25">
      <c r="A27" s="178" t="s">
        <v>29</v>
      </c>
      <c r="B27" s="49" t="s">
        <v>485</v>
      </c>
      <c r="C27" s="166">
        <v>11</v>
      </c>
      <c r="D27" s="168">
        <v>3</v>
      </c>
      <c r="E27" s="164"/>
      <c r="F27" s="129">
        <f>AVERAGE(H27,I27,L27,N27,M27,O27,P27,R27,S27,W27,X27,Y27)</f>
        <v>5.166666666666667</v>
      </c>
      <c r="G27" s="56" t="s">
        <v>153</v>
      </c>
      <c r="H27" s="128">
        <v>4</v>
      </c>
      <c r="I27" s="128">
        <v>4</v>
      </c>
      <c r="J27" s="108" t="s">
        <v>153</v>
      </c>
      <c r="K27" s="128"/>
      <c r="L27" s="128">
        <v>5</v>
      </c>
      <c r="M27" s="128">
        <v>5</v>
      </c>
      <c r="N27" s="128">
        <v>5</v>
      </c>
      <c r="O27" s="128">
        <v>6</v>
      </c>
      <c r="P27" s="282">
        <v>7</v>
      </c>
      <c r="Q27" s="128"/>
      <c r="R27" s="128">
        <v>4</v>
      </c>
      <c r="S27" s="108">
        <v>6</v>
      </c>
      <c r="T27" s="38"/>
      <c r="U27" s="128"/>
      <c r="V27" s="128"/>
      <c r="W27" s="108">
        <v>5</v>
      </c>
      <c r="X27" s="108">
        <v>6</v>
      </c>
      <c r="Y27" s="108">
        <v>5</v>
      </c>
      <c r="Z27" s="128"/>
      <c r="AA27" s="128"/>
      <c r="AB27" s="108"/>
      <c r="AC27" s="128"/>
      <c r="AD27" s="128"/>
      <c r="AE27" s="128"/>
      <c r="AF27" s="38"/>
      <c r="AG27" s="38"/>
      <c r="AH27" s="128"/>
      <c r="AI27" s="128"/>
      <c r="AJ27" s="108"/>
      <c r="AK27" s="38"/>
      <c r="AL27" s="69"/>
      <c r="AM27" s="128"/>
      <c r="AN27" s="38"/>
      <c r="AO27" s="69"/>
      <c r="AP27" s="66"/>
      <c r="AQ27" s="38"/>
      <c r="AR27" s="128"/>
      <c r="AS27" s="174"/>
    </row>
    <row r="28" spans="1:45" s="141" customFormat="1" x14ac:dyDescent="0.25">
      <c r="A28" s="178" t="s">
        <v>29</v>
      </c>
      <c r="B28" s="42" t="s">
        <v>791</v>
      </c>
      <c r="C28" s="166">
        <v>1</v>
      </c>
      <c r="D28" s="168">
        <v>2</v>
      </c>
      <c r="E28" s="164"/>
      <c r="F28" s="129">
        <f>AVERAGE(S28)</f>
        <v>5</v>
      </c>
      <c r="G28" s="56"/>
      <c r="H28" s="128"/>
      <c r="I28" s="128"/>
      <c r="J28" s="108"/>
      <c r="K28" s="128"/>
      <c r="L28" s="128"/>
      <c r="M28" s="128"/>
      <c r="N28" s="128"/>
      <c r="O28" s="128"/>
      <c r="P28" s="128"/>
      <c r="Q28" s="204" t="s">
        <v>153</v>
      </c>
      <c r="R28" s="204" t="s">
        <v>153</v>
      </c>
      <c r="S28" s="108">
        <v>5</v>
      </c>
      <c r="T28" s="38"/>
      <c r="U28" s="128"/>
      <c r="V28" s="128"/>
      <c r="W28" s="128"/>
      <c r="X28" s="108"/>
      <c r="Y28" s="108"/>
      <c r="Z28" s="128"/>
      <c r="AA28" s="128"/>
      <c r="AB28" s="108"/>
      <c r="AC28" s="128"/>
      <c r="AD28" s="128"/>
      <c r="AE28" s="128"/>
      <c r="AF28" s="38"/>
      <c r="AG28" s="38"/>
      <c r="AH28" s="128"/>
      <c r="AI28" s="128"/>
      <c r="AJ28" s="108"/>
      <c r="AK28" s="38"/>
      <c r="AL28" s="69"/>
      <c r="AM28" s="128"/>
      <c r="AN28" s="38"/>
      <c r="AO28" s="69"/>
      <c r="AP28" s="66"/>
      <c r="AQ28" s="38"/>
      <c r="AR28" s="128"/>
      <c r="AS28" s="174"/>
    </row>
    <row r="29" spans="1:45" s="141" customFormat="1" x14ac:dyDescent="0.25">
      <c r="A29" s="178" t="s">
        <v>29</v>
      </c>
      <c r="B29" s="42" t="s">
        <v>862</v>
      </c>
      <c r="C29" s="166">
        <v>1</v>
      </c>
      <c r="D29" s="168"/>
      <c r="E29" s="164"/>
      <c r="F29" s="129">
        <f>AVERAGE(T29)</f>
        <v>4</v>
      </c>
      <c r="G29" s="56"/>
      <c r="H29" s="128"/>
      <c r="I29" s="128"/>
      <c r="J29" s="108"/>
      <c r="K29" s="128"/>
      <c r="L29" s="128"/>
      <c r="M29" s="128"/>
      <c r="N29" s="128"/>
      <c r="O29" s="128"/>
      <c r="P29" s="128"/>
      <c r="Q29" s="204"/>
      <c r="R29" s="204"/>
      <c r="S29" s="108"/>
      <c r="T29" s="38">
        <v>4</v>
      </c>
      <c r="U29" s="128"/>
      <c r="V29" s="128"/>
      <c r="W29" s="128"/>
      <c r="X29" s="108"/>
      <c r="Y29" s="108"/>
      <c r="Z29" s="128"/>
      <c r="AA29" s="128"/>
      <c r="AB29" s="108"/>
      <c r="AC29" s="128"/>
      <c r="AD29" s="128"/>
      <c r="AE29" s="128"/>
      <c r="AF29" s="38"/>
      <c r="AG29" s="38"/>
      <c r="AH29" s="128"/>
      <c r="AI29" s="128"/>
      <c r="AJ29" s="108"/>
      <c r="AK29" s="38"/>
      <c r="AL29" s="69"/>
      <c r="AM29" s="128"/>
      <c r="AN29" s="38"/>
      <c r="AO29" s="69"/>
      <c r="AP29" s="66"/>
      <c r="AQ29" s="38"/>
      <c r="AR29" s="128"/>
      <c r="AS29" s="174"/>
    </row>
    <row r="30" spans="1:45" x14ac:dyDescent="0.25">
      <c r="A30" s="14" t="s">
        <v>29</v>
      </c>
      <c r="B30" s="72" t="s">
        <v>84</v>
      </c>
      <c r="C30" s="170">
        <v>18</v>
      </c>
      <c r="D30" s="171"/>
      <c r="E30" s="172"/>
      <c r="F30" s="34">
        <f>AVERAGE(V30,H30,I30,J30,G30,K30,L30,N30,M30,O30,Q30,R30,S30,T30,U30,W30,X30,Y30)</f>
        <v>5.0555555555555554</v>
      </c>
      <c r="G30" s="58">
        <v>5</v>
      </c>
      <c r="H30" s="128">
        <v>5</v>
      </c>
      <c r="I30" s="128">
        <v>5</v>
      </c>
      <c r="J30" s="128">
        <v>5</v>
      </c>
      <c r="K30" s="128">
        <v>5</v>
      </c>
      <c r="L30" s="128">
        <v>5</v>
      </c>
      <c r="M30" s="128">
        <v>5</v>
      </c>
      <c r="N30" s="128">
        <v>5</v>
      </c>
      <c r="O30" s="128">
        <v>5</v>
      </c>
      <c r="P30" s="69"/>
      <c r="Q30" s="128">
        <v>5</v>
      </c>
      <c r="R30" s="128">
        <v>5</v>
      </c>
      <c r="S30" s="128">
        <v>5</v>
      </c>
      <c r="T30" s="38">
        <v>5</v>
      </c>
      <c r="U30" s="128">
        <v>6</v>
      </c>
      <c r="V30" s="128">
        <v>5</v>
      </c>
      <c r="W30" s="128">
        <v>5</v>
      </c>
      <c r="X30" s="128">
        <v>5</v>
      </c>
      <c r="Y30" s="128">
        <v>5</v>
      </c>
      <c r="Z30" s="128"/>
      <c r="AA30" s="128"/>
      <c r="AB30" s="128"/>
      <c r="AC30" s="128"/>
      <c r="AD30" s="128"/>
      <c r="AE30" s="128"/>
      <c r="AF30" s="38"/>
      <c r="AG30" s="38"/>
      <c r="AH30" s="128"/>
      <c r="AI30" s="128"/>
      <c r="AJ30" s="128"/>
      <c r="AK30" s="38"/>
      <c r="AL30" s="128"/>
      <c r="AM30" s="128"/>
      <c r="AN30" s="38"/>
      <c r="AO30" s="128"/>
      <c r="AP30" s="38"/>
      <c r="AQ30" s="38"/>
      <c r="AR30" s="128"/>
      <c r="AS30" s="27"/>
    </row>
    <row r="31" spans="1:45" x14ac:dyDescent="0.25">
      <c r="A31" s="58" t="s">
        <v>30</v>
      </c>
      <c r="B31" s="49" t="s">
        <v>351</v>
      </c>
      <c r="C31" s="166"/>
      <c r="D31" s="168"/>
      <c r="E31" s="164"/>
      <c r="F31" s="32"/>
      <c r="G31" s="58"/>
      <c r="H31" s="108"/>
      <c r="I31" s="128"/>
      <c r="J31" s="128"/>
      <c r="K31" s="108"/>
      <c r="L31" s="128"/>
      <c r="M31" s="108"/>
      <c r="N31" s="128"/>
      <c r="O31" s="128"/>
      <c r="P31" s="108"/>
      <c r="Q31" s="128"/>
      <c r="R31" s="69"/>
      <c r="S31" s="108"/>
      <c r="T31" s="62"/>
      <c r="U31" s="128"/>
      <c r="V31" s="108"/>
      <c r="W31" s="108"/>
      <c r="X31" s="128"/>
      <c r="Y31" s="108"/>
      <c r="Z31" s="69"/>
      <c r="AA31" s="128"/>
      <c r="AB31" s="128"/>
      <c r="AC31" s="128"/>
      <c r="AD31" s="128"/>
      <c r="AE31" s="128"/>
      <c r="AF31" s="38"/>
      <c r="AG31" s="38"/>
      <c r="AH31" s="128"/>
      <c r="AI31" s="128"/>
      <c r="AJ31" s="128"/>
      <c r="AK31" s="38"/>
      <c r="AL31" s="128"/>
      <c r="AM31" s="128"/>
      <c r="AN31" s="38"/>
      <c r="AO31" s="128"/>
      <c r="AP31" s="38"/>
      <c r="AQ31" s="38"/>
      <c r="AR31" s="128"/>
      <c r="AS31" s="27"/>
    </row>
    <row r="32" spans="1:45" x14ac:dyDescent="0.25">
      <c r="A32" s="255" t="s">
        <v>30</v>
      </c>
      <c r="B32" s="255" t="s">
        <v>85</v>
      </c>
      <c r="C32" s="156"/>
      <c r="D32" s="157">
        <v>3</v>
      </c>
      <c r="E32" s="158"/>
      <c r="F32" s="32"/>
      <c r="G32" s="255">
        <v>4</v>
      </c>
      <c r="H32" s="251"/>
      <c r="I32" s="251" t="s">
        <v>153</v>
      </c>
      <c r="J32" s="251" t="s">
        <v>153</v>
      </c>
      <c r="K32" s="250"/>
      <c r="L32" s="250"/>
      <c r="M32" s="250"/>
      <c r="N32" s="250"/>
      <c r="O32" s="250"/>
      <c r="P32" s="250"/>
      <c r="Q32" s="250"/>
      <c r="R32" s="251"/>
      <c r="S32" s="250"/>
      <c r="T32" s="157"/>
      <c r="U32" s="250"/>
      <c r="V32" s="250"/>
      <c r="W32" s="250"/>
      <c r="X32" s="270"/>
      <c r="Y32" s="250"/>
      <c r="Z32" s="250"/>
      <c r="AA32" s="250"/>
      <c r="AB32" s="250"/>
      <c r="AC32" s="250"/>
      <c r="AD32" s="250"/>
      <c r="AE32" s="251"/>
      <c r="AF32" s="317"/>
      <c r="AG32" s="157"/>
      <c r="AH32" s="250"/>
      <c r="AI32" s="251"/>
      <c r="AJ32" s="250"/>
      <c r="AK32" s="278"/>
      <c r="AL32" s="250"/>
      <c r="AM32" s="250"/>
      <c r="AN32" s="157"/>
      <c r="AO32" s="251"/>
      <c r="AP32" s="278"/>
      <c r="AQ32" s="278"/>
      <c r="AR32" s="250"/>
      <c r="AS32" s="27"/>
    </row>
    <row r="33" spans="1:45" x14ac:dyDescent="0.25">
      <c r="A33" s="255" t="s">
        <v>30</v>
      </c>
      <c r="B33" s="255" t="s">
        <v>86</v>
      </c>
      <c r="C33" s="156">
        <v>1</v>
      </c>
      <c r="D33" s="157"/>
      <c r="E33" s="158"/>
      <c r="F33" s="32"/>
      <c r="G33" s="249"/>
      <c r="H33" s="250"/>
      <c r="I33" s="251"/>
      <c r="J33" s="251">
        <v>4</v>
      </c>
      <c r="K33" s="250"/>
      <c r="L33" s="250"/>
      <c r="M33" s="250"/>
      <c r="N33" s="251"/>
      <c r="O33" s="250"/>
      <c r="P33" s="250"/>
      <c r="Q33" s="251"/>
      <c r="R33" s="250"/>
      <c r="S33" s="250"/>
      <c r="T33" s="157"/>
      <c r="U33" s="251"/>
      <c r="V33" s="250"/>
      <c r="W33" s="250"/>
      <c r="X33" s="251"/>
      <c r="Y33" s="251"/>
      <c r="Z33" s="250"/>
      <c r="AA33" s="250"/>
      <c r="AB33" s="250"/>
      <c r="AC33" s="250"/>
      <c r="AD33" s="250"/>
      <c r="AE33" s="250"/>
      <c r="AF33" s="157"/>
      <c r="AG33" s="157"/>
      <c r="AH33" s="250"/>
      <c r="AI33" s="250"/>
      <c r="AJ33" s="250"/>
      <c r="AK33" s="157"/>
      <c r="AL33" s="250"/>
      <c r="AM33" s="250"/>
      <c r="AN33" s="157"/>
      <c r="AO33" s="250"/>
      <c r="AP33" s="157"/>
      <c r="AQ33" s="157"/>
      <c r="AR33" s="250"/>
      <c r="AS33" s="27"/>
    </row>
    <row r="34" spans="1:45" s="116" customFormat="1" x14ac:dyDescent="0.25">
      <c r="A34" s="54" t="s">
        <v>30</v>
      </c>
      <c r="B34" s="122" t="s">
        <v>378</v>
      </c>
      <c r="C34" s="156"/>
      <c r="D34" s="157"/>
      <c r="E34" s="158"/>
      <c r="F34" s="129"/>
      <c r="G34" s="249"/>
      <c r="H34" s="157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157"/>
      <c r="AC34" s="250"/>
      <c r="AD34" s="157"/>
      <c r="AE34" s="250"/>
      <c r="AF34" s="157"/>
      <c r="AG34" s="157"/>
      <c r="AH34" s="250"/>
      <c r="AI34" s="250"/>
      <c r="AJ34" s="250"/>
      <c r="AK34" s="250"/>
      <c r="AL34" s="157"/>
      <c r="AM34" s="250"/>
      <c r="AN34" s="250"/>
      <c r="AO34" s="157"/>
      <c r="AP34" s="157"/>
      <c r="AQ34" s="157"/>
      <c r="AR34" s="250"/>
      <c r="AS34" s="120"/>
    </row>
    <row r="35" spans="1:45" x14ac:dyDescent="0.25">
      <c r="A35" t="s">
        <v>30</v>
      </c>
      <c r="B35" t="s">
        <v>88</v>
      </c>
      <c r="C35" s="166"/>
      <c r="D35" s="168">
        <v>1</v>
      </c>
      <c r="E35" s="164"/>
      <c r="F35" s="9"/>
      <c r="G35" s="5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62" t="s">
        <v>153</v>
      </c>
      <c r="U35" s="128"/>
      <c r="V35" s="128"/>
      <c r="W35" s="128"/>
      <c r="X35" s="108"/>
      <c r="Y35" s="128"/>
      <c r="Z35" s="128"/>
      <c r="AA35" s="128"/>
      <c r="AB35" s="128"/>
      <c r="AC35" s="128"/>
      <c r="AD35" s="128"/>
      <c r="AE35" s="128"/>
      <c r="AF35" s="38"/>
      <c r="AG35" s="38"/>
      <c r="AH35" s="128"/>
      <c r="AI35" s="128"/>
      <c r="AJ35" s="128"/>
      <c r="AK35" s="38"/>
      <c r="AL35" s="128"/>
      <c r="AM35" s="128"/>
      <c r="AN35" s="38"/>
      <c r="AO35" s="128"/>
      <c r="AP35" s="38"/>
      <c r="AQ35" s="38"/>
      <c r="AR35" s="128"/>
      <c r="AS35" s="27"/>
    </row>
    <row r="36" spans="1:45" s="141" customFormat="1" x14ac:dyDescent="0.25">
      <c r="A36" s="141" t="s">
        <v>30</v>
      </c>
      <c r="B36" s="141" t="s">
        <v>486</v>
      </c>
      <c r="C36" s="166">
        <v>8</v>
      </c>
      <c r="D36" s="168">
        <v>6</v>
      </c>
      <c r="E36" s="164"/>
      <c r="F36" s="129">
        <f>AVERAGE(K36,L36,N36,O36,P36,U36,V36)</f>
        <v>4</v>
      </c>
      <c r="G36" s="56" t="s">
        <v>153</v>
      </c>
      <c r="H36" s="108" t="s">
        <v>153</v>
      </c>
      <c r="I36" s="128"/>
      <c r="J36" s="128"/>
      <c r="K36" s="128">
        <v>4</v>
      </c>
      <c r="L36" s="128">
        <v>5</v>
      </c>
      <c r="M36" s="128" t="s">
        <v>546</v>
      </c>
      <c r="N36" s="128">
        <v>4</v>
      </c>
      <c r="O36" s="128">
        <v>4</v>
      </c>
      <c r="P36" s="128">
        <v>4</v>
      </c>
      <c r="Q36" s="128"/>
      <c r="R36" s="128"/>
      <c r="S36" s="108" t="s">
        <v>153</v>
      </c>
      <c r="T36" s="38"/>
      <c r="U36" s="303">
        <v>3</v>
      </c>
      <c r="V36" s="128">
        <v>4</v>
      </c>
      <c r="W36" s="108" t="s">
        <v>153</v>
      </c>
      <c r="X36" s="108" t="s">
        <v>153</v>
      </c>
      <c r="Y36" s="108" t="s">
        <v>153</v>
      </c>
      <c r="Z36" s="128"/>
      <c r="AA36" s="128"/>
      <c r="AB36" s="128"/>
      <c r="AC36" s="128"/>
      <c r="AD36" s="128"/>
      <c r="AE36" s="128"/>
      <c r="AF36" s="38"/>
      <c r="AG36" s="38"/>
      <c r="AH36" s="128"/>
      <c r="AI36" s="128"/>
      <c r="AJ36" s="128"/>
      <c r="AK36" s="38"/>
      <c r="AL36" s="128"/>
      <c r="AM36" s="128"/>
      <c r="AN36" s="38"/>
      <c r="AO36" s="128"/>
      <c r="AP36" s="38"/>
      <c r="AQ36" s="38"/>
      <c r="AR36" s="128"/>
      <c r="AS36" s="174"/>
    </row>
    <row r="37" spans="1:45" s="141" customFormat="1" x14ac:dyDescent="0.25">
      <c r="A37" s="132" t="s">
        <v>30</v>
      </c>
      <c r="B37" s="141" t="s">
        <v>517</v>
      </c>
      <c r="C37" s="166">
        <v>5</v>
      </c>
      <c r="D37" s="168">
        <v>5</v>
      </c>
      <c r="E37" s="164"/>
      <c r="F37" s="129">
        <f>AVERAGE(H37,I37,J37,M37,Q37,R37)</f>
        <v>4.5</v>
      </c>
      <c r="G37" s="58"/>
      <c r="H37" s="128">
        <v>5</v>
      </c>
      <c r="I37" s="128">
        <v>4</v>
      </c>
      <c r="J37" s="128">
        <v>4</v>
      </c>
      <c r="K37" s="128"/>
      <c r="L37" s="108" t="s">
        <v>153</v>
      </c>
      <c r="M37" s="128">
        <v>4</v>
      </c>
      <c r="N37" s="128"/>
      <c r="O37" s="128"/>
      <c r="P37" s="108" t="s">
        <v>153</v>
      </c>
      <c r="Q37" s="128">
        <v>5</v>
      </c>
      <c r="R37" s="128">
        <v>5</v>
      </c>
      <c r="S37" s="128"/>
      <c r="T37" s="38"/>
      <c r="U37" s="108" t="s">
        <v>153</v>
      </c>
      <c r="V37" s="108" t="s">
        <v>153</v>
      </c>
      <c r="W37" s="128"/>
      <c r="X37" s="128"/>
      <c r="Y37" s="128"/>
      <c r="Z37" s="128"/>
      <c r="AA37" s="128"/>
      <c r="AB37" s="128"/>
      <c r="AC37" s="128"/>
      <c r="AD37" s="128"/>
      <c r="AE37" s="128"/>
      <c r="AF37" s="38"/>
      <c r="AG37" s="38"/>
      <c r="AH37" s="128"/>
      <c r="AI37" s="128"/>
      <c r="AJ37" s="128"/>
      <c r="AK37" s="38"/>
      <c r="AL37" s="128"/>
      <c r="AM37" s="128"/>
      <c r="AN37" s="38"/>
      <c r="AO37" s="128"/>
      <c r="AP37" s="38"/>
      <c r="AQ37" s="38"/>
      <c r="AR37" s="128"/>
      <c r="AS37" s="174"/>
    </row>
    <row r="38" spans="1:45" s="141" customFormat="1" x14ac:dyDescent="0.25">
      <c r="A38" s="132" t="s">
        <v>30</v>
      </c>
      <c r="B38" s="141" t="s">
        <v>315</v>
      </c>
      <c r="C38" s="166">
        <v>3</v>
      </c>
      <c r="D38" s="168">
        <v>5</v>
      </c>
      <c r="E38" s="164"/>
      <c r="F38" s="129">
        <f>AVERAGE(N38,O38,P38,U38)</f>
        <v>4</v>
      </c>
      <c r="G38" s="58"/>
      <c r="H38" s="128"/>
      <c r="I38" s="128"/>
      <c r="J38" s="128"/>
      <c r="K38" s="108" t="s">
        <v>153</v>
      </c>
      <c r="L38" s="128"/>
      <c r="M38" s="108" t="s">
        <v>153</v>
      </c>
      <c r="N38" s="128">
        <v>4</v>
      </c>
      <c r="O38" s="128">
        <v>4</v>
      </c>
      <c r="P38" s="128">
        <v>4</v>
      </c>
      <c r="Q38" s="128"/>
      <c r="R38" s="128"/>
      <c r="S38" s="128"/>
      <c r="T38" s="62" t="s">
        <v>153</v>
      </c>
      <c r="U38" s="128">
        <v>4</v>
      </c>
      <c r="V38" s="108" t="s">
        <v>153</v>
      </c>
      <c r="W38" s="128"/>
      <c r="X38" s="128"/>
      <c r="Y38" s="128"/>
      <c r="Z38" s="128"/>
      <c r="AA38" s="128"/>
      <c r="AB38" s="128"/>
      <c r="AC38" s="128"/>
      <c r="AD38" s="128"/>
      <c r="AE38" s="128"/>
      <c r="AF38" s="38"/>
      <c r="AG38" s="38"/>
      <c r="AH38" s="128"/>
      <c r="AI38" s="128"/>
      <c r="AJ38" s="128"/>
      <c r="AK38" s="38"/>
      <c r="AL38" s="128"/>
      <c r="AM38" s="128"/>
      <c r="AN38" s="38"/>
      <c r="AO38" s="128"/>
      <c r="AP38" s="38"/>
      <c r="AQ38" s="38"/>
      <c r="AR38" s="128"/>
      <c r="AS38" s="174"/>
    </row>
    <row r="39" spans="1:45" s="141" customFormat="1" x14ac:dyDescent="0.25">
      <c r="A39" s="132" t="s">
        <v>30</v>
      </c>
      <c r="B39" s="141" t="s">
        <v>613</v>
      </c>
      <c r="C39" s="166">
        <v>10</v>
      </c>
      <c r="D39" s="168">
        <v>2</v>
      </c>
      <c r="E39" s="164">
        <v>4</v>
      </c>
      <c r="F39" s="129">
        <f>AVERAGE(K39,L39,N39,M39,Q39,T39,V39,W39,X39,Y39)</f>
        <v>5</v>
      </c>
      <c r="G39" s="58"/>
      <c r="H39" s="128"/>
      <c r="I39" s="128"/>
      <c r="J39" s="128"/>
      <c r="K39" s="128">
        <v>4</v>
      </c>
      <c r="L39" s="128">
        <v>5</v>
      </c>
      <c r="M39" s="128">
        <v>4</v>
      </c>
      <c r="N39" s="128">
        <v>4</v>
      </c>
      <c r="O39" s="108" t="s">
        <v>153</v>
      </c>
      <c r="P39" s="128"/>
      <c r="Q39" s="128">
        <v>5</v>
      </c>
      <c r="R39" s="128"/>
      <c r="S39" s="128"/>
      <c r="T39" s="66">
        <v>6</v>
      </c>
      <c r="U39" s="108" t="s">
        <v>153</v>
      </c>
      <c r="V39" s="283">
        <v>7</v>
      </c>
      <c r="W39" s="283">
        <v>7</v>
      </c>
      <c r="X39" s="128">
        <v>4</v>
      </c>
      <c r="Y39" s="128">
        <v>4</v>
      </c>
      <c r="Z39" s="128"/>
      <c r="AA39" s="128"/>
      <c r="AB39" s="128"/>
      <c r="AC39" s="128"/>
      <c r="AD39" s="128"/>
      <c r="AE39" s="128"/>
      <c r="AF39" s="38"/>
      <c r="AG39" s="38"/>
      <c r="AH39" s="128"/>
      <c r="AI39" s="128"/>
      <c r="AJ39" s="128"/>
      <c r="AK39" s="38"/>
      <c r="AL39" s="128"/>
      <c r="AM39" s="128"/>
      <c r="AN39" s="38"/>
      <c r="AO39" s="128"/>
      <c r="AP39" s="38"/>
      <c r="AQ39" s="38"/>
      <c r="AR39" s="128"/>
      <c r="AS39" s="174"/>
    </row>
    <row r="40" spans="1:45" ht="15.75" thickBot="1" x14ac:dyDescent="0.3">
      <c r="A40" s="200" t="s">
        <v>30</v>
      </c>
      <c r="B40" s="247" t="s">
        <v>484</v>
      </c>
      <c r="C40" s="201">
        <v>3</v>
      </c>
      <c r="D40" s="202">
        <v>5</v>
      </c>
      <c r="E40" s="203"/>
      <c r="F40" s="360">
        <f>AVERAGE(G40,S40,T40)</f>
        <v>4.666666666666667</v>
      </c>
      <c r="G40" s="179">
        <v>4</v>
      </c>
      <c r="H40" s="180"/>
      <c r="I40" s="204" t="s">
        <v>153</v>
      </c>
      <c r="J40" s="70"/>
      <c r="K40" s="70"/>
      <c r="L40" s="70"/>
      <c r="M40" s="180"/>
      <c r="N40" s="204" t="s">
        <v>153</v>
      </c>
      <c r="O40" s="204" t="s">
        <v>153</v>
      </c>
      <c r="P40" s="180"/>
      <c r="Q40" s="204" t="s">
        <v>153</v>
      </c>
      <c r="R40" s="204" t="s">
        <v>153</v>
      </c>
      <c r="S40" s="70">
        <v>5</v>
      </c>
      <c r="T40" s="64">
        <v>5</v>
      </c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2"/>
      <c r="AG40" s="182"/>
      <c r="AH40" s="180"/>
      <c r="AI40" s="180"/>
      <c r="AJ40" s="180"/>
      <c r="AK40" s="182"/>
      <c r="AL40" s="180"/>
      <c r="AM40" s="180"/>
      <c r="AN40" s="182"/>
      <c r="AO40" s="180"/>
      <c r="AP40" s="182"/>
      <c r="AQ40" s="182"/>
      <c r="AR40" s="180"/>
      <c r="AS40" s="27"/>
    </row>
    <row r="41" spans="1:45" x14ac:dyDescent="0.25">
      <c r="G41" s="36">
        <f>AVERAGE(G9,G13,G15,G17,G18,G19,G22,G25,G26,G30,G40)</f>
        <v>4.7272727272727275</v>
      </c>
      <c r="H41" s="36">
        <f>AVERAGE(H9,H13,H12,H17,H19,H22,H26,H25,H27,H30,H37)</f>
        <v>5.1818181818181817</v>
      </c>
      <c r="I41" s="36">
        <f>AVERAGE(I9,I13,I15,I19,I21,I22,I25,I26,I27,I30,I37)</f>
        <v>5.4545454545454541</v>
      </c>
      <c r="J41" s="30">
        <f>AVERAGE(J9,J13,J15,J19,J21,J22,J25,J26,J30,J33,J37)</f>
        <v>5.2727272727272725</v>
      </c>
      <c r="K41" s="30">
        <f>AVERAGE(K9,K12,K13,K15,K19,K21,K22,K26,K30,K35,K39)</f>
        <v>5.2</v>
      </c>
      <c r="L41" s="36">
        <f>AVERAGE(L9,L12,L13,L19,L21,L25,L26,L27,L30,L36,L39)</f>
        <v>4.9090909090909092</v>
      </c>
      <c r="M41" s="30">
        <f>AVERAGE(M10,M13,M15,M19,M21,M25,M26,M27,M30,M39,M37)</f>
        <v>5</v>
      </c>
      <c r="N41" s="30">
        <f>AVERAGE(N10,N13,N19,N20,N21,N25,N26,N27,N30,N36,N39)</f>
        <v>4.3636363636363633</v>
      </c>
      <c r="O41" s="30">
        <f>AVERAGE(O10,O13,O15,O17,O19,O20,O25,O27,O30,O36,O38)</f>
        <v>5.3636363636363633</v>
      </c>
      <c r="P41" s="30">
        <f>AVERAGE(P9,P12,P13,P18,P19,P20,P22,P25,P27,P36,P38)</f>
        <v>4.9090909090909092</v>
      </c>
      <c r="Q41" s="30">
        <f>AVERAGE(Q9,Q12,Q13,Q15,Q19,Q22,Q23,Q25,Q30,Q37,Q39)</f>
        <v>4.7272727272727275</v>
      </c>
      <c r="R41" s="30">
        <f>AVERAGE(R9,R12,R13,R19,R20,R22,R25,R26,R27,R30,R37)</f>
        <v>5</v>
      </c>
      <c r="S41" s="30">
        <f>AVERAGE(S9,S12,S15,S20,S21,S25,S26,S28,S27,S30,S40)</f>
        <v>4.8181818181818183</v>
      </c>
      <c r="T41" s="30">
        <f>AVERAGE(T9,T13,T15,T19,T21,T22,T26,T29,T30,T39,T40)</f>
        <v>5.1818181818181817</v>
      </c>
      <c r="U41" s="30">
        <f>AVERAGE(U9,U12,U13,U15,U19,U22,U23,U26,U30,U36,U38)</f>
        <v>4.4545454545454541</v>
      </c>
      <c r="V41" s="30">
        <f>AVERAGE(V9,V12,V13,V15,V20,V23,V22,V26,V30,V36,V39)</f>
        <v>5.7272727272727275</v>
      </c>
      <c r="W41" s="30">
        <f>AVERAGE(W9,W12,W13,W15,W19,W27,W23,W25,W26,W30,W39)</f>
        <v>5.3636363636363633</v>
      </c>
      <c r="X41" s="30">
        <f>AVERAGE(X9,X12,X13,X17,X19,X22,X25,X26,X27,X30,X39)</f>
        <v>5.7272727272727275</v>
      </c>
      <c r="Y41" s="30">
        <f>AVERAGE(Y9,Y12,Y13,Y15,Y19,Y22,Y25,Y26,Y27,Y30,Y39)</f>
        <v>5.1818181818181817</v>
      </c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S40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44" width="4.7109375" customWidth="1"/>
  </cols>
  <sheetData>
    <row r="1" spans="1:45" x14ac:dyDescent="0.25">
      <c r="A1" s="116" t="s">
        <v>375</v>
      </c>
    </row>
    <row r="4" spans="1:45" ht="15.75" thickBot="1" x14ac:dyDescent="0.3">
      <c r="A4" t="s">
        <v>2</v>
      </c>
    </row>
    <row r="5" spans="1:45" ht="15.75" thickBot="1" x14ac:dyDescent="0.3">
      <c r="C5" s="375" t="s">
        <v>101</v>
      </c>
      <c r="D5" s="376"/>
      <c r="E5" s="377"/>
    </row>
    <row r="6" spans="1:45" ht="48" customHeight="1" thickBot="1" x14ac:dyDescent="0.3">
      <c r="A6" s="5" t="s">
        <v>3</v>
      </c>
      <c r="B6" s="6" t="s">
        <v>4</v>
      </c>
      <c r="C6" s="11" t="s">
        <v>7</v>
      </c>
      <c r="D6" s="12" t="s">
        <v>99</v>
      </c>
      <c r="E6" s="7" t="s">
        <v>5</v>
      </c>
      <c r="F6" s="8" t="s">
        <v>100</v>
      </c>
      <c r="G6" s="26" t="s">
        <v>633</v>
      </c>
      <c r="H6" s="26" t="s">
        <v>548</v>
      </c>
      <c r="I6" s="26" t="s">
        <v>583</v>
      </c>
      <c r="J6" s="26" t="s">
        <v>603</v>
      </c>
      <c r="K6" s="26" t="s">
        <v>643</v>
      </c>
      <c r="L6" s="26" t="s">
        <v>684</v>
      </c>
      <c r="M6" s="26" t="s">
        <v>706</v>
      </c>
      <c r="N6" s="26" t="s">
        <v>720</v>
      </c>
      <c r="O6" s="26" t="s">
        <v>752</v>
      </c>
      <c r="P6" s="79" t="s">
        <v>777</v>
      </c>
      <c r="Q6" s="84" t="s">
        <v>788</v>
      </c>
      <c r="R6" s="101" t="s">
        <v>814</v>
      </c>
      <c r="S6" s="101" t="s">
        <v>844</v>
      </c>
      <c r="T6" s="101" t="s">
        <v>871</v>
      </c>
      <c r="U6" s="101" t="s">
        <v>895</v>
      </c>
      <c r="V6" s="110" t="s">
        <v>918</v>
      </c>
      <c r="W6" s="119" t="s">
        <v>940</v>
      </c>
      <c r="X6" s="119" t="s">
        <v>965</v>
      </c>
      <c r="Y6" s="119" t="s">
        <v>992</v>
      </c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26"/>
      <c r="AK6" s="126"/>
      <c r="AL6" s="144"/>
      <c r="AM6" s="173"/>
      <c r="AN6" s="26"/>
      <c r="AO6" s="26"/>
      <c r="AP6" s="26"/>
      <c r="AQ6" s="26"/>
      <c r="AR6" s="26"/>
    </row>
    <row r="7" spans="1:45" x14ac:dyDescent="0.25">
      <c r="A7" s="1" t="s">
        <v>8</v>
      </c>
      <c r="B7" t="s">
        <v>102</v>
      </c>
      <c r="C7" s="166">
        <v>17</v>
      </c>
      <c r="D7" s="168"/>
      <c r="E7" s="176" t="s">
        <v>617</v>
      </c>
      <c r="F7" s="32">
        <f>AVERAGE(J7,G7,K7,L7,M7,N7,O7,P7,Q7,R7,T7,U7,V7,W7,X7,Y7)</f>
        <v>5.0625</v>
      </c>
      <c r="G7" s="70">
        <v>5</v>
      </c>
      <c r="H7" s="128"/>
      <c r="I7" s="128"/>
      <c r="J7" s="69">
        <v>6</v>
      </c>
      <c r="K7" s="128">
        <v>4</v>
      </c>
      <c r="L7" s="128">
        <v>5</v>
      </c>
      <c r="M7" s="128">
        <v>4</v>
      </c>
      <c r="N7" s="128">
        <v>5</v>
      </c>
      <c r="O7" s="128">
        <v>4</v>
      </c>
      <c r="P7" s="69">
        <v>5</v>
      </c>
      <c r="Q7" s="69">
        <v>6</v>
      </c>
      <c r="R7" s="128">
        <v>4</v>
      </c>
      <c r="S7" s="128" t="s">
        <v>546</v>
      </c>
      <c r="T7" s="128">
        <v>5</v>
      </c>
      <c r="U7" s="70">
        <v>5</v>
      </c>
      <c r="V7" s="70">
        <v>6</v>
      </c>
      <c r="W7" s="69">
        <v>6</v>
      </c>
      <c r="X7" s="128">
        <v>5</v>
      </c>
      <c r="Y7" s="128">
        <v>6</v>
      </c>
      <c r="Z7" s="69"/>
      <c r="AA7" s="128"/>
      <c r="AB7" s="69"/>
      <c r="AC7" s="128"/>
      <c r="AD7" s="69"/>
      <c r="AE7" s="69"/>
      <c r="AF7" s="38"/>
      <c r="AG7" s="128"/>
      <c r="AH7" s="38"/>
      <c r="AI7" s="128"/>
      <c r="AJ7" s="128"/>
      <c r="AK7" s="38"/>
      <c r="AL7" s="69"/>
      <c r="AM7" s="38"/>
      <c r="AN7" s="38"/>
      <c r="AO7" s="66"/>
      <c r="AP7" s="128"/>
      <c r="AQ7" s="38"/>
      <c r="AR7" s="128"/>
      <c r="AS7" s="27"/>
    </row>
    <row r="8" spans="1:45" x14ac:dyDescent="0.25">
      <c r="A8" s="13" t="s">
        <v>8</v>
      </c>
      <c r="B8" s="216" t="s">
        <v>451</v>
      </c>
      <c r="C8" s="170">
        <v>2</v>
      </c>
      <c r="D8" s="171">
        <v>1</v>
      </c>
      <c r="E8" s="153"/>
      <c r="F8" s="19">
        <f>AVERAGE(H8,I8,S8)</f>
        <v>6</v>
      </c>
      <c r="G8" s="128"/>
      <c r="H8" s="128">
        <v>5</v>
      </c>
      <c r="I8" s="283">
        <v>7</v>
      </c>
      <c r="J8" s="128"/>
      <c r="K8" s="128"/>
      <c r="L8" s="128"/>
      <c r="M8" s="128"/>
      <c r="N8" s="128"/>
      <c r="O8" s="128"/>
      <c r="P8" s="128"/>
      <c r="Q8" s="128"/>
      <c r="R8" s="128"/>
      <c r="S8" s="128">
        <v>6</v>
      </c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38"/>
      <c r="AG8" s="128"/>
      <c r="AH8" s="38"/>
      <c r="AI8" s="128"/>
      <c r="AJ8" s="128"/>
      <c r="AK8" s="38"/>
      <c r="AL8" s="128"/>
      <c r="AM8" s="38"/>
      <c r="AN8" s="38"/>
      <c r="AO8" s="38"/>
      <c r="AP8" s="128"/>
      <c r="AQ8" s="38"/>
      <c r="AR8" s="128"/>
      <c r="AS8" s="27"/>
    </row>
    <row r="9" spans="1:45" x14ac:dyDescent="0.25">
      <c r="A9" s="1" t="s">
        <v>11</v>
      </c>
      <c r="B9" t="s">
        <v>103</v>
      </c>
      <c r="C9" s="166">
        <v>6</v>
      </c>
      <c r="D9" s="168"/>
      <c r="E9" s="164"/>
      <c r="F9" s="32">
        <f>AVERAGE(P9,Q9,R9,S9,T9,U9)</f>
        <v>5.166666666666667</v>
      </c>
      <c r="G9" s="128"/>
      <c r="H9" s="128"/>
      <c r="I9" s="128"/>
      <c r="J9" s="128"/>
      <c r="K9" s="128"/>
      <c r="L9" s="128"/>
      <c r="M9" s="128"/>
      <c r="N9" s="128"/>
      <c r="O9" s="128"/>
      <c r="P9" s="128">
        <v>6</v>
      </c>
      <c r="Q9" s="128">
        <v>5</v>
      </c>
      <c r="R9" s="128">
        <v>5</v>
      </c>
      <c r="S9" s="128">
        <v>6</v>
      </c>
      <c r="T9" s="108">
        <v>5</v>
      </c>
      <c r="U9" s="128">
        <v>4</v>
      </c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38"/>
      <c r="AG9" s="128"/>
      <c r="AH9" s="38"/>
      <c r="AI9" s="69"/>
      <c r="AJ9" s="128"/>
      <c r="AK9" s="38"/>
      <c r="AL9" s="128"/>
      <c r="AM9" s="38"/>
      <c r="AN9" s="38"/>
      <c r="AO9" s="38"/>
      <c r="AP9" s="128"/>
      <c r="AQ9" s="38"/>
      <c r="AR9" s="128"/>
      <c r="AS9" s="27"/>
    </row>
    <row r="10" spans="1:45" x14ac:dyDescent="0.25">
      <c r="A10" s="1" t="s">
        <v>11</v>
      </c>
      <c r="B10" s="40" t="s">
        <v>286</v>
      </c>
      <c r="C10" s="166">
        <v>13</v>
      </c>
      <c r="D10" s="168"/>
      <c r="E10" s="176" t="s">
        <v>617</v>
      </c>
      <c r="F10" s="32">
        <f>AVERAGE(H10,I10,J10,G10,K10,L10,M10,N10,O10,P10,R10,S10)</f>
        <v>4.916666666666667</v>
      </c>
      <c r="G10" s="128">
        <v>5</v>
      </c>
      <c r="H10" s="128">
        <v>5</v>
      </c>
      <c r="I10" s="108">
        <v>5</v>
      </c>
      <c r="J10" s="128">
        <v>6</v>
      </c>
      <c r="K10" s="128">
        <v>5</v>
      </c>
      <c r="L10" s="128">
        <v>5</v>
      </c>
      <c r="M10" s="303">
        <v>3</v>
      </c>
      <c r="N10" s="128">
        <v>5</v>
      </c>
      <c r="O10" s="128">
        <v>5</v>
      </c>
      <c r="P10" s="128">
        <v>5</v>
      </c>
      <c r="Q10" s="128"/>
      <c r="R10" s="128">
        <v>5</v>
      </c>
      <c r="S10" s="128">
        <v>5</v>
      </c>
      <c r="T10" s="128" t="s">
        <v>546</v>
      </c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38"/>
      <c r="AG10" s="128"/>
      <c r="AH10" s="38"/>
      <c r="AI10" s="128"/>
      <c r="AJ10" s="128"/>
      <c r="AK10" s="38"/>
      <c r="AL10" s="128"/>
      <c r="AM10" s="38"/>
      <c r="AN10" s="38"/>
      <c r="AO10" s="38"/>
      <c r="AP10" s="128"/>
      <c r="AQ10" s="38"/>
      <c r="AR10" s="128"/>
      <c r="AS10" s="27"/>
    </row>
    <row r="11" spans="1:45" x14ac:dyDescent="0.25">
      <c r="A11" s="1" t="s">
        <v>11</v>
      </c>
      <c r="B11" s="49" t="s">
        <v>340</v>
      </c>
      <c r="C11" s="166">
        <v>9</v>
      </c>
      <c r="D11" s="168">
        <v>1</v>
      </c>
      <c r="E11" s="164">
        <v>1</v>
      </c>
      <c r="F11" s="32">
        <f>AVERAGE(H11,S11,T11,U11,V11,W11,X11,Y11)</f>
        <v>5.375</v>
      </c>
      <c r="G11" s="128"/>
      <c r="H11" s="128">
        <v>5</v>
      </c>
      <c r="I11" s="108"/>
      <c r="J11" s="128"/>
      <c r="K11" s="108" t="s">
        <v>153</v>
      </c>
      <c r="L11" s="108" t="s">
        <v>546</v>
      </c>
      <c r="M11" s="128"/>
      <c r="N11" s="128"/>
      <c r="O11" s="128"/>
      <c r="P11" s="128"/>
      <c r="Q11" s="108"/>
      <c r="R11" s="128"/>
      <c r="S11" s="128">
        <v>6</v>
      </c>
      <c r="T11" s="69">
        <v>6</v>
      </c>
      <c r="U11" s="128">
        <v>5</v>
      </c>
      <c r="V11" s="128">
        <v>6</v>
      </c>
      <c r="W11" s="128">
        <v>5</v>
      </c>
      <c r="X11" s="128">
        <v>5</v>
      </c>
      <c r="Y11" s="128">
        <v>5</v>
      </c>
      <c r="Z11" s="128"/>
      <c r="AA11" s="128"/>
      <c r="AB11" s="128"/>
      <c r="AC11" s="128"/>
      <c r="AD11" s="128"/>
      <c r="AE11" s="128"/>
      <c r="AF11" s="38"/>
      <c r="AG11" s="128"/>
      <c r="AH11" s="38"/>
      <c r="AI11" s="128"/>
      <c r="AJ11" s="128"/>
      <c r="AK11" s="38"/>
      <c r="AL11" s="128"/>
      <c r="AM11" s="62"/>
      <c r="AN11" s="38"/>
      <c r="AO11" s="38"/>
      <c r="AP11" s="128"/>
      <c r="AQ11" s="38"/>
      <c r="AR11" s="128"/>
      <c r="AS11" s="27"/>
    </row>
    <row r="12" spans="1:45" x14ac:dyDescent="0.25">
      <c r="A12" s="1" t="s">
        <v>11</v>
      </c>
      <c r="B12" s="28" t="s">
        <v>104</v>
      </c>
      <c r="C12" s="166">
        <v>9</v>
      </c>
      <c r="D12" s="168"/>
      <c r="E12" s="164"/>
      <c r="F12" s="32">
        <f>AVERAGE(I12,J12,G12,K12,M12,N12,O12,Q12,R12)</f>
        <v>5.1111111111111107</v>
      </c>
      <c r="G12" s="128">
        <v>5</v>
      </c>
      <c r="H12" s="128"/>
      <c r="I12" s="108">
        <v>6</v>
      </c>
      <c r="J12" s="128">
        <v>5</v>
      </c>
      <c r="K12" s="128">
        <v>4</v>
      </c>
      <c r="L12" s="128"/>
      <c r="M12" s="128">
        <v>5</v>
      </c>
      <c r="N12" s="128">
        <v>5</v>
      </c>
      <c r="O12" s="128">
        <v>6</v>
      </c>
      <c r="P12" s="128"/>
      <c r="Q12" s="128">
        <v>5</v>
      </c>
      <c r="R12" s="128">
        <v>5</v>
      </c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69"/>
      <c r="AD12" s="128"/>
      <c r="AE12" s="128"/>
      <c r="AF12" s="38"/>
      <c r="AG12" s="128"/>
      <c r="AH12" s="38"/>
      <c r="AI12" s="128"/>
      <c r="AJ12" s="128"/>
      <c r="AK12" s="38"/>
      <c r="AL12" s="128"/>
      <c r="AM12" s="38"/>
      <c r="AN12" s="38"/>
      <c r="AO12" s="38"/>
      <c r="AP12" s="128"/>
      <c r="AQ12" s="38"/>
      <c r="AR12" s="128"/>
      <c r="AS12" s="27"/>
    </row>
    <row r="13" spans="1:45" s="82" customFormat="1" x14ac:dyDescent="0.25">
      <c r="A13" s="83" t="s">
        <v>11</v>
      </c>
      <c r="B13" s="28" t="s">
        <v>359</v>
      </c>
      <c r="C13" s="166">
        <v>11</v>
      </c>
      <c r="D13" s="168">
        <v>1</v>
      </c>
      <c r="E13" s="164">
        <v>2</v>
      </c>
      <c r="F13" s="86">
        <f>AVERAGE(H13,I13,J13,G13,L13,S13,T13,U13,V13,W13,X13,Y13)</f>
        <v>5.083333333333333</v>
      </c>
      <c r="G13" s="128">
        <v>4</v>
      </c>
      <c r="H13" s="128">
        <v>5</v>
      </c>
      <c r="I13" s="108">
        <v>5</v>
      </c>
      <c r="J13" s="128">
        <v>5</v>
      </c>
      <c r="K13" s="128"/>
      <c r="L13" s="128">
        <v>5</v>
      </c>
      <c r="M13" s="128"/>
      <c r="N13" s="128"/>
      <c r="O13" s="128"/>
      <c r="P13" s="128"/>
      <c r="Q13" s="128"/>
      <c r="R13" s="128"/>
      <c r="S13" s="69">
        <v>6</v>
      </c>
      <c r="T13" s="128">
        <v>5</v>
      </c>
      <c r="U13" s="128">
        <v>5</v>
      </c>
      <c r="V13" s="128">
        <v>5</v>
      </c>
      <c r="W13" s="283">
        <v>7</v>
      </c>
      <c r="X13" s="128">
        <v>4</v>
      </c>
      <c r="Y13" s="128">
        <v>5</v>
      </c>
      <c r="Z13" s="108"/>
      <c r="AA13" s="128"/>
      <c r="AB13" s="128"/>
      <c r="AC13" s="128"/>
      <c r="AD13" s="128"/>
      <c r="AE13" s="128"/>
      <c r="AF13" s="38"/>
      <c r="AG13" s="128"/>
      <c r="AH13" s="38"/>
      <c r="AI13" s="128"/>
      <c r="AJ13" s="128"/>
      <c r="AK13" s="38"/>
      <c r="AL13" s="69"/>
      <c r="AM13" s="38"/>
      <c r="AN13" s="38"/>
      <c r="AO13" s="38"/>
      <c r="AP13" s="128"/>
      <c r="AQ13" s="38"/>
      <c r="AR13" s="128"/>
      <c r="AS13" s="85"/>
    </row>
    <row r="14" spans="1:45" s="124" customFormat="1" x14ac:dyDescent="0.25">
      <c r="A14" s="83" t="s">
        <v>11</v>
      </c>
      <c r="B14" s="28" t="s">
        <v>393</v>
      </c>
      <c r="C14" s="166">
        <v>12</v>
      </c>
      <c r="D14" s="168">
        <v>1</v>
      </c>
      <c r="E14" s="164"/>
      <c r="F14" s="129">
        <f>AVERAGE(H14,G14,K14,M14,P14,T14,V14,W14,X14,Y14)</f>
        <v>5</v>
      </c>
      <c r="G14" s="128">
        <v>4</v>
      </c>
      <c r="H14" s="128">
        <v>5</v>
      </c>
      <c r="I14" s="108" t="s">
        <v>153</v>
      </c>
      <c r="J14" s="128"/>
      <c r="K14" s="128">
        <v>5</v>
      </c>
      <c r="L14" s="128"/>
      <c r="M14" s="128">
        <v>4</v>
      </c>
      <c r="N14" s="128"/>
      <c r="O14" s="128"/>
      <c r="P14" s="128">
        <v>6</v>
      </c>
      <c r="Q14" s="128" t="s">
        <v>546</v>
      </c>
      <c r="R14" s="128"/>
      <c r="S14" s="128"/>
      <c r="T14" s="128">
        <v>5</v>
      </c>
      <c r="U14" s="108" t="s">
        <v>555</v>
      </c>
      <c r="V14" s="128">
        <v>6</v>
      </c>
      <c r="W14" s="128">
        <v>5</v>
      </c>
      <c r="X14" s="128">
        <v>5</v>
      </c>
      <c r="Y14" s="128">
        <v>5</v>
      </c>
      <c r="Z14" s="108"/>
      <c r="AA14" s="128"/>
      <c r="AB14" s="128"/>
      <c r="AC14" s="128"/>
      <c r="AD14" s="128"/>
      <c r="AE14" s="128"/>
      <c r="AF14" s="38"/>
      <c r="AG14" s="128"/>
      <c r="AH14" s="38"/>
      <c r="AI14" s="128"/>
      <c r="AJ14" s="128"/>
      <c r="AK14" s="62"/>
      <c r="AL14" s="128"/>
      <c r="AM14" s="38"/>
      <c r="AN14" s="38"/>
      <c r="AO14" s="38"/>
      <c r="AP14" s="128"/>
      <c r="AQ14" s="38"/>
      <c r="AR14" s="128"/>
      <c r="AS14" s="127"/>
    </row>
    <row r="15" spans="1:45" s="141" customFormat="1" x14ac:dyDescent="0.25">
      <c r="A15" s="83" t="s">
        <v>11</v>
      </c>
      <c r="B15" s="77" t="s">
        <v>481</v>
      </c>
      <c r="C15" s="166">
        <v>6</v>
      </c>
      <c r="D15" s="168">
        <v>2</v>
      </c>
      <c r="E15" s="164">
        <v>1</v>
      </c>
      <c r="F15" s="129">
        <f>AVERAGE(I15,J15,K15,L15,O15,Q15,R15)</f>
        <v>4.5714285714285712</v>
      </c>
      <c r="G15" s="128"/>
      <c r="H15" s="128"/>
      <c r="I15" s="108">
        <v>5</v>
      </c>
      <c r="J15" s="69">
        <v>6</v>
      </c>
      <c r="K15" s="128">
        <v>4</v>
      </c>
      <c r="L15" s="128">
        <v>4</v>
      </c>
      <c r="M15" s="128"/>
      <c r="N15" s="108" t="s">
        <v>555</v>
      </c>
      <c r="O15" s="128">
        <v>4</v>
      </c>
      <c r="P15" s="128"/>
      <c r="Q15" s="128">
        <v>5</v>
      </c>
      <c r="R15" s="128">
        <v>4</v>
      </c>
      <c r="S15" s="128"/>
      <c r="T15" s="128"/>
      <c r="U15" s="128"/>
      <c r="V15" s="128"/>
      <c r="W15" s="128"/>
      <c r="X15" s="128"/>
      <c r="Y15" s="128"/>
      <c r="Z15" s="108"/>
      <c r="AA15" s="128"/>
      <c r="AB15" s="128"/>
      <c r="AC15" s="128"/>
      <c r="AD15" s="128"/>
      <c r="AE15" s="128"/>
      <c r="AF15" s="38"/>
      <c r="AG15" s="128"/>
      <c r="AH15" s="38"/>
      <c r="AI15" s="128"/>
      <c r="AJ15" s="128"/>
      <c r="AK15" s="62"/>
      <c r="AL15" s="128"/>
      <c r="AM15" s="38"/>
      <c r="AN15" s="38"/>
      <c r="AO15" s="38"/>
      <c r="AP15" s="128"/>
      <c r="AQ15" s="38"/>
      <c r="AR15" s="128"/>
      <c r="AS15" s="174"/>
    </row>
    <row r="16" spans="1:45" s="141" customFormat="1" x14ac:dyDescent="0.25">
      <c r="A16" s="83" t="s">
        <v>11</v>
      </c>
      <c r="B16" s="40" t="s">
        <v>269</v>
      </c>
      <c r="C16" s="166"/>
      <c r="D16" s="168">
        <v>1</v>
      </c>
      <c r="E16" s="164"/>
      <c r="F16" s="129"/>
      <c r="G16" s="132"/>
      <c r="H16" s="128"/>
      <c r="I16" s="108"/>
      <c r="J16" s="69"/>
      <c r="K16" s="128"/>
      <c r="L16" s="128"/>
      <c r="M16" s="128"/>
      <c r="N16" s="108"/>
      <c r="O16" s="128"/>
      <c r="P16" s="128"/>
      <c r="Q16" s="128"/>
      <c r="R16" s="128"/>
      <c r="S16" s="128"/>
      <c r="T16" s="128"/>
      <c r="U16" s="128"/>
      <c r="V16" s="108" t="s">
        <v>153</v>
      </c>
      <c r="W16" s="128"/>
      <c r="X16" s="128"/>
      <c r="Y16" s="128"/>
      <c r="Z16" s="108"/>
      <c r="AA16" s="128"/>
      <c r="AB16" s="128"/>
      <c r="AC16" s="128"/>
      <c r="AD16" s="128"/>
      <c r="AE16" s="128"/>
      <c r="AF16" s="38"/>
      <c r="AG16" s="128"/>
      <c r="AH16" s="128"/>
      <c r="AI16" s="128"/>
      <c r="AJ16" s="128"/>
      <c r="AK16" s="108"/>
      <c r="AL16" s="128"/>
      <c r="AM16" s="128"/>
      <c r="AN16" s="128"/>
      <c r="AO16" s="38"/>
      <c r="AP16" s="128"/>
      <c r="AQ16" s="38"/>
      <c r="AR16" s="128"/>
      <c r="AS16" s="174"/>
    </row>
    <row r="17" spans="1:45" s="141" customFormat="1" x14ac:dyDescent="0.25">
      <c r="A17" s="83" t="s">
        <v>11</v>
      </c>
      <c r="B17" s="77" t="s">
        <v>968</v>
      </c>
      <c r="C17" s="166"/>
      <c r="D17" s="168">
        <v>1</v>
      </c>
      <c r="E17" s="164"/>
      <c r="F17" s="129"/>
      <c r="G17" s="132"/>
      <c r="H17" s="128"/>
      <c r="I17" s="108"/>
      <c r="J17" s="69"/>
      <c r="K17" s="128"/>
      <c r="L17" s="128"/>
      <c r="M17" s="128"/>
      <c r="N17" s="108"/>
      <c r="O17" s="128"/>
      <c r="P17" s="128"/>
      <c r="Q17" s="128"/>
      <c r="R17" s="128"/>
      <c r="S17" s="128"/>
      <c r="T17" s="128"/>
      <c r="U17" s="128"/>
      <c r="V17" s="108"/>
      <c r="W17" s="128"/>
      <c r="X17" s="108" t="s">
        <v>153</v>
      </c>
      <c r="Y17" s="128"/>
      <c r="Z17" s="108"/>
      <c r="AA17" s="128"/>
      <c r="AB17" s="128"/>
      <c r="AC17" s="128"/>
      <c r="AD17" s="128"/>
      <c r="AE17" s="128"/>
      <c r="AF17" s="38"/>
      <c r="AG17" s="128"/>
      <c r="AH17" s="128"/>
      <c r="AI17" s="128"/>
      <c r="AJ17" s="128"/>
      <c r="AK17" s="108"/>
      <c r="AL17" s="128"/>
      <c r="AM17" s="128"/>
      <c r="AN17" s="128"/>
      <c r="AO17" s="38"/>
      <c r="AP17" s="128"/>
      <c r="AQ17" s="38"/>
      <c r="AR17" s="128"/>
      <c r="AS17" s="174"/>
    </row>
    <row r="18" spans="1:45" s="141" customFormat="1" x14ac:dyDescent="0.25">
      <c r="A18" s="83" t="s">
        <v>11</v>
      </c>
      <c r="B18" s="77" t="s">
        <v>614</v>
      </c>
      <c r="C18" s="166">
        <v>8</v>
      </c>
      <c r="D18" s="168"/>
      <c r="E18" s="164">
        <v>1</v>
      </c>
      <c r="F18" s="129">
        <f>AVERAGE(K18,L18,M18,N18,O18,P18,Q18,W18)</f>
        <v>4.875</v>
      </c>
      <c r="G18" s="132"/>
      <c r="H18" s="128"/>
      <c r="I18" s="108"/>
      <c r="J18" s="69"/>
      <c r="K18" s="128">
        <v>4</v>
      </c>
      <c r="L18" s="128">
        <v>5</v>
      </c>
      <c r="M18" s="128">
        <v>4</v>
      </c>
      <c r="N18" s="69">
        <v>6</v>
      </c>
      <c r="O18" s="128">
        <v>5</v>
      </c>
      <c r="P18" s="128">
        <v>6</v>
      </c>
      <c r="Q18" s="128">
        <v>5</v>
      </c>
      <c r="R18" s="128"/>
      <c r="S18" s="128"/>
      <c r="T18" s="128"/>
      <c r="U18" s="128"/>
      <c r="V18" s="128"/>
      <c r="W18" s="128">
        <v>4</v>
      </c>
      <c r="X18" s="128"/>
      <c r="Y18" s="128"/>
      <c r="Z18" s="108"/>
      <c r="AA18" s="128"/>
      <c r="AB18" s="128"/>
      <c r="AC18" s="128"/>
      <c r="AD18" s="128"/>
      <c r="AE18" s="128"/>
      <c r="AF18" s="38"/>
      <c r="AG18" s="128"/>
      <c r="AH18" s="128"/>
      <c r="AI18" s="128"/>
      <c r="AJ18" s="128"/>
      <c r="AK18" s="108"/>
      <c r="AL18" s="128"/>
      <c r="AM18" s="128"/>
      <c r="AN18" s="128"/>
      <c r="AO18" s="38"/>
      <c r="AP18" s="128"/>
      <c r="AQ18" s="38"/>
      <c r="AR18" s="128"/>
      <c r="AS18" s="174"/>
    </row>
    <row r="19" spans="1:45" x14ac:dyDescent="0.25">
      <c r="A19" s="239" t="s">
        <v>11</v>
      </c>
      <c r="B19" s="240" t="s">
        <v>261</v>
      </c>
      <c r="C19" s="241"/>
      <c r="D19" s="242"/>
      <c r="E19" s="243"/>
      <c r="F19" s="34"/>
      <c r="G19" s="225"/>
      <c r="H19" s="223"/>
      <c r="I19" s="222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3"/>
      <c r="AC19" s="221"/>
      <c r="AD19" s="223"/>
      <c r="AE19" s="221"/>
      <c r="AF19" s="223"/>
      <c r="AG19" s="223"/>
      <c r="AH19" s="221"/>
      <c r="AI19" s="221"/>
      <c r="AJ19" s="221"/>
      <c r="AK19" s="221"/>
      <c r="AL19" s="223"/>
      <c r="AM19" s="221"/>
      <c r="AN19" s="221"/>
      <c r="AO19" s="223"/>
      <c r="AP19" s="223"/>
      <c r="AQ19" s="223"/>
      <c r="AR19" s="221"/>
      <c r="AS19" s="27"/>
    </row>
    <row r="20" spans="1:45" x14ac:dyDescent="0.25">
      <c r="A20" s="1" t="s">
        <v>29</v>
      </c>
      <c r="B20" s="2" t="s">
        <v>105</v>
      </c>
      <c r="C20" s="166">
        <v>1</v>
      </c>
      <c r="D20" s="168"/>
      <c r="E20" s="164"/>
      <c r="F20" s="32"/>
      <c r="G20" s="128" t="s">
        <v>546</v>
      </c>
      <c r="H20" s="128"/>
      <c r="I20" s="57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08"/>
      <c r="V20" s="128"/>
      <c r="W20" s="108"/>
      <c r="X20" s="128"/>
      <c r="Y20" s="128"/>
      <c r="Z20" s="128"/>
      <c r="AA20" s="128"/>
      <c r="AB20" s="128"/>
      <c r="AC20" s="128"/>
      <c r="AD20" s="128"/>
      <c r="AE20" s="128"/>
      <c r="AF20" s="62"/>
      <c r="AG20" s="108"/>
      <c r="AH20" s="38"/>
      <c r="AI20" s="128"/>
      <c r="AJ20" s="128"/>
      <c r="AK20" s="38"/>
      <c r="AL20" s="128"/>
      <c r="AM20" s="38"/>
      <c r="AN20" s="38"/>
      <c r="AO20" s="38"/>
      <c r="AP20" s="128"/>
      <c r="AQ20" s="38"/>
      <c r="AR20" s="128"/>
      <c r="AS20" s="27"/>
    </row>
    <row r="21" spans="1:45" x14ac:dyDescent="0.25">
      <c r="A21" s="1" t="s">
        <v>29</v>
      </c>
      <c r="B21" s="2" t="s">
        <v>106</v>
      </c>
      <c r="C21" s="166">
        <v>10</v>
      </c>
      <c r="D21" s="168">
        <v>5</v>
      </c>
      <c r="E21" s="164"/>
      <c r="F21" s="32">
        <f>AVERAGE(H21,G21,K21,L21,N21,O21,R21,S21,U21,X21,Y21)</f>
        <v>4.5454545454545459</v>
      </c>
      <c r="G21" s="128">
        <v>4</v>
      </c>
      <c r="H21" s="128">
        <v>4</v>
      </c>
      <c r="I21" s="108" t="s">
        <v>153</v>
      </c>
      <c r="J21" s="108" t="s">
        <v>153</v>
      </c>
      <c r="K21" s="128">
        <v>4</v>
      </c>
      <c r="L21" s="128">
        <v>5</v>
      </c>
      <c r="M21" s="108" t="s">
        <v>153</v>
      </c>
      <c r="N21" s="128">
        <v>5</v>
      </c>
      <c r="O21" s="128">
        <v>4</v>
      </c>
      <c r="P21" s="128"/>
      <c r="Q21" s="128"/>
      <c r="R21" s="128">
        <v>4</v>
      </c>
      <c r="S21" s="108">
        <v>5</v>
      </c>
      <c r="T21" s="128"/>
      <c r="U21" s="128">
        <v>4</v>
      </c>
      <c r="V21" s="128"/>
      <c r="W21" s="108" t="s">
        <v>153</v>
      </c>
      <c r="X21" s="128">
        <v>5</v>
      </c>
      <c r="Y21" s="108">
        <v>6</v>
      </c>
      <c r="Z21" s="128"/>
      <c r="AA21" s="128"/>
      <c r="AB21" s="128"/>
      <c r="AC21" s="108"/>
      <c r="AD21" s="128"/>
      <c r="AE21" s="128"/>
      <c r="AF21" s="38"/>
      <c r="AG21" s="128"/>
      <c r="AH21" s="38"/>
      <c r="AI21" s="128"/>
      <c r="AJ21" s="128"/>
      <c r="AK21" s="38"/>
      <c r="AL21" s="108"/>
      <c r="AM21" s="38"/>
      <c r="AN21" s="62"/>
      <c r="AO21" s="38"/>
      <c r="AP21" s="128"/>
      <c r="AQ21" s="38"/>
      <c r="AR21" s="128"/>
      <c r="AS21" s="27"/>
    </row>
    <row r="22" spans="1:45" x14ac:dyDescent="0.25">
      <c r="A22" s="1" t="s">
        <v>29</v>
      </c>
      <c r="B22" s="25" t="s">
        <v>166</v>
      </c>
      <c r="C22" s="166">
        <v>17</v>
      </c>
      <c r="D22" s="168"/>
      <c r="E22" s="164">
        <v>5</v>
      </c>
      <c r="F22" s="32">
        <f>AVERAGE(U22,T22,H22,J22,G22,K22,L22,M22,N22,O22,P22,Q22,R22,S22,W22,X22,Y22)</f>
        <v>5.882352941176471</v>
      </c>
      <c r="G22" s="283">
        <v>7</v>
      </c>
      <c r="H22" s="70">
        <v>5</v>
      </c>
      <c r="I22" s="108"/>
      <c r="J22" s="283">
        <v>7</v>
      </c>
      <c r="K22" s="283">
        <v>8</v>
      </c>
      <c r="L22" s="344">
        <v>7</v>
      </c>
      <c r="M22" s="128">
        <v>4</v>
      </c>
      <c r="N22" s="294">
        <v>8</v>
      </c>
      <c r="O22" s="344">
        <v>7</v>
      </c>
      <c r="P22" s="108">
        <v>5</v>
      </c>
      <c r="Q22" s="128">
        <v>5</v>
      </c>
      <c r="R22" s="128">
        <v>4</v>
      </c>
      <c r="S22" s="70">
        <v>5</v>
      </c>
      <c r="T22" s="128">
        <v>5</v>
      </c>
      <c r="U22" s="128">
        <v>4</v>
      </c>
      <c r="V22" s="128"/>
      <c r="W22" s="344">
        <v>7</v>
      </c>
      <c r="X22" s="128">
        <v>5</v>
      </c>
      <c r="Y22" s="283">
        <v>7</v>
      </c>
      <c r="Z22" s="128"/>
      <c r="AA22" s="128"/>
      <c r="AB22" s="128"/>
      <c r="AC22" s="128"/>
      <c r="AD22" s="69"/>
      <c r="AE22" s="128"/>
      <c r="AF22" s="66"/>
      <c r="AG22" s="128"/>
      <c r="AH22" s="38"/>
      <c r="AI22" s="69"/>
      <c r="AJ22" s="128"/>
      <c r="AK22" s="38"/>
      <c r="AL22" s="128"/>
      <c r="AM22" s="38"/>
      <c r="AN22" s="66"/>
      <c r="AO22" s="38"/>
      <c r="AP22" s="128"/>
      <c r="AQ22" s="62"/>
      <c r="AR22" s="128"/>
      <c r="AS22" s="27"/>
    </row>
    <row r="23" spans="1:45" x14ac:dyDescent="0.25">
      <c r="A23" s="1" t="s">
        <v>29</v>
      </c>
      <c r="B23" s="2" t="s">
        <v>107</v>
      </c>
      <c r="C23" s="166">
        <v>11</v>
      </c>
      <c r="D23" s="168">
        <v>2</v>
      </c>
      <c r="E23" s="164">
        <v>3</v>
      </c>
      <c r="F23" s="32">
        <f>AVERAGE(M23,N23,O23,P23,Q23,R23,S23,T23,V23,W23,X23,Y23)</f>
        <v>5.25</v>
      </c>
      <c r="G23" s="128"/>
      <c r="H23" s="128"/>
      <c r="I23" s="108"/>
      <c r="J23" s="128"/>
      <c r="K23" s="128"/>
      <c r="L23" s="128"/>
      <c r="M23" s="57">
        <v>6</v>
      </c>
      <c r="N23" s="69">
        <v>6</v>
      </c>
      <c r="O23" s="128">
        <v>5</v>
      </c>
      <c r="P23" s="128">
        <v>5</v>
      </c>
      <c r="Q23" s="128">
        <v>5</v>
      </c>
      <c r="R23" s="128">
        <v>5</v>
      </c>
      <c r="S23" s="69">
        <v>6</v>
      </c>
      <c r="T23" s="108">
        <v>4</v>
      </c>
      <c r="U23" s="108" t="s">
        <v>153</v>
      </c>
      <c r="V23" s="128">
        <v>4</v>
      </c>
      <c r="W23" s="128">
        <v>6</v>
      </c>
      <c r="X23" s="128">
        <v>6</v>
      </c>
      <c r="Y23" s="128">
        <v>5</v>
      </c>
      <c r="Z23" s="128"/>
      <c r="AA23" s="128"/>
      <c r="AB23" s="128"/>
      <c r="AC23" s="128"/>
      <c r="AD23" s="128"/>
      <c r="AE23" s="128"/>
      <c r="AF23" s="38"/>
      <c r="AG23" s="128"/>
      <c r="AH23" s="38"/>
      <c r="AI23" s="128"/>
      <c r="AJ23" s="128"/>
      <c r="AK23" s="38"/>
      <c r="AL23" s="128"/>
      <c r="AM23" s="38"/>
      <c r="AN23" s="38"/>
      <c r="AO23" s="38"/>
      <c r="AP23" s="128"/>
      <c r="AQ23" s="38"/>
      <c r="AR23" s="128"/>
      <c r="AS23" s="27"/>
    </row>
    <row r="24" spans="1:45" x14ac:dyDescent="0.25">
      <c r="A24" s="1" t="s">
        <v>29</v>
      </c>
      <c r="B24" s="2" t="s">
        <v>108</v>
      </c>
      <c r="C24" s="166">
        <v>13</v>
      </c>
      <c r="D24" s="168">
        <v>3</v>
      </c>
      <c r="E24" s="164">
        <v>1</v>
      </c>
      <c r="F24" s="32">
        <f>AVERAGE(H24,I24,J24,K24,L24,M24,N24,P24,S24,T24,U24,V24,W24,X24)</f>
        <v>5.2142857142857144</v>
      </c>
      <c r="G24" s="108" t="s">
        <v>153</v>
      </c>
      <c r="H24" s="128">
        <v>5</v>
      </c>
      <c r="I24" s="57">
        <v>6</v>
      </c>
      <c r="J24" s="128">
        <v>6</v>
      </c>
      <c r="K24" s="128">
        <v>5</v>
      </c>
      <c r="L24" s="128">
        <v>4</v>
      </c>
      <c r="M24" s="108">
        <v>5</v>
      </c>
      <c r="N24" s="128">
        <v>4</v>
      </c>
      <c r="O24" s="108" t="s">
        <v>153</v>
      </c>
      <c r="P24" s="128">
        <v>5</v>
      </c>
      <c r="Q24" s="128"/>
      <c r="R24" s="128"/>
      <c r="S24" s="69">
        <v>6</v>
      </c>
      <c r="T24" s="128">
        <v>5</v>
      </c>
      <c r="U24" s="128">
        <v>6</v>
      </c>
      <c r="V24" s="108">
        <v>6</v>
      </c>
      <c r="W24" s="128">
        <v>5</v>
      </c>
      <c r="X24" s="128">
        <v>5</v>
      </c>
      <c r="Y24" s="108"/>
      <c r="Z24" s="128"/>
      <c r="AA24" s="128"/>
      <c r="AB24" s="128"/>
      <c r="AC24" s="128"/>
      <c r="AD24" s="108"/>
      <c r="AE24" s="128"/>
      <c r="AF24" s="62"/>
      <c r="AG24" s="108"/>
      <c r="AH24" s="38"/>
      <c r="AI24" s="108"/>
      <c r="AJ24" s="108"/>
      <c r="AK24" s="67"/>
      <c r="AL24" s="108"/>
      <c r="AM24" s="62"/>
      <c r="AN24" s="62"/>
      <c r="AO24" s="38"/>
      <c r="AP24" s="108"/>
      <c r="AQ24" s="62"/>
      <c r="AR24" s="108"/>
      <c r="AS24" s="27"/>
    </row>
    <row r="25" spans="1:45" x14ac:dyDescent="0.25">
      <c r="A25" s="1" t="s">
        <v>29</v>
      </c>
      <c r="B25" s="2" t="s">
        <v>109</v>
      </c>
      <c r="C25" s="166">
        <v>3</v>
      </c>
      <c r="D25" s="168">
        <v>1</v>
      </c>
      <c r="E25" s="164"/>
      <c r="F25" s="32">
        <f>AVERAGE(K25,X25,Y25)</f>
        <v>4.333333333333333</v>
      </c>
      <c r="G25" s="128"/>
      <c r="H25" s="128"/>
      <c r="I25" s="108"/>
      <c r="J25" s="128"/>
      <c r="K25" s="108">
        <v>4</v>
      </c>
      <c r="L25" s="128"/>
      <c r="M25" s="128"/>
      <c r="N25" s="128"/>
      <c r="O25" s="128"/>
      <c r="P25" s="128"/>
      <c r="Q25" s="128"/>
      <c r="R25" s="128"/>
      <c r="S25" s="108"/>
      <c r="T25" s="108"/>
      <c r="U25" s="128"/>
      <c r="V25" s="128"/>
      <c r="W25" s="108" t="s">
        <v>153</v>
      </c>
      <c r="X25" s="128">
        <v>4</v>
      </c>
      <c r="Y25" s="128">
        <v>5</v>
      </c>
      <c r="Z25" s="128"/>
      <c r="AA25" s="128"/>
      <c r="AB25" s="128"/>
      <c r="AC25" s="128"/>
      <c r="AD25" s="108"/>
      <c r="AE25" s="108"/>
      <c r="AF25" s="38"/>
      <c r="AG25" s="128"/>
      <c r="AH25" s="38"/>
      <c r="AI25" s="108"/>
      <c r="AJ25" s="108"/>
      <c r="AK25" s="38"/>
      <c r="AL25" s="128"/>
      <c r="AM25" s="38"/>
      <c r="AN25" s="38"/>
      <c r="AO25" s="38"/>
      <c r="AP25" s="128"/>
      <c r="AQ25" s="38"/>
      <c r="AR25" s="128"/>
      <c r="AS25" s="27"/>
    </row>
    <row r="26" spans="1:45" s="141" customFormat="1" x14ac:dyDescent="0.25">
      <c r="A26" s="83" t="s">
        <v>29</v>
      </c>
      <c r="B26" s="77" t="s">
        <v>478</v>
      </c>
      <c r="C26" s="166"/>
      <c r="D26" s="168"/>
      <c r="E26" s="164"/>
      <c r="F26" s="129"/>
      <c r="G26" s="128"/>
      <c r="H26" s="128"/>
      <c r="I26" s="108"/>
      <c r="J26" s="128"/>
      <c r="K26" s="108"/>
      <c r="L26" s="128"/>
      <c r="M26" s="128"/>
      <c r="N26" s="128"/>
      <c r="O26" s="128"/>
      <c r="P26" s="128"/>
      <c r="Q26" s="128"/>
      <c r="R26" s="128"/>
      <c r="S26" s="108"/>
      <c r="T26" s="108"/>
      <c r="U26" s="128"/>
      <c r="V26" s="128"/>
      <c r="W26" s="108"/>
      <c r="X26" s="128"/>
      <c r="Y26" s="128"/>
      <c r="Z26" s="128"/>
      <c r="AA26" s="128"/>
      <c r="AB26" s="128"/>
      <c r="AC26" s="128"/>
      <c r="AD26" s="108"/>
      <c r="AE26" s="108"/>
      <c r="AF26" s="38"/>
      <c r="AG26" s="128"/>
      <c r="AH26" s="38"/>
      <c r="AI26" s="108"/>
      <c r="AJ26" s="108"/>
      <c r="AK26" s="38"/>
      <c r="AL26" s="128"/>
      <c r="AM26" s="38"/>
      <c r="AN26" s="38"/>
      <c r="AO26" s="38"/>
      <c r="AP26" s="128"/>
      <c r="AQ26" s="38"/>
      <c r="AR26" s="128"/>
      <c r="AS26" s="174"/>
    </row>
    <row r="27" spans="1:45" s="116" customFormat="1" x14ac:dyDescent="0.25">
      <c r="A27" s="83" t="s">
        <v>29</v>
      </c>
      <c r="B27" s="102" t="s">
        <v>21</v>
      </c>
      <c r="C27" s="166">
        <v>12</v>
      </c>
      <c r="D27" s="168"/>
      <c r="E27" s="164"/>
      <c r="F27" s="94">
        <f>AVERAGE(H27,I27,J27,G27,L27,M27,N27,Q27,R27,T27,U27,V27)</f>
        <v>5.25</v>
      </c>
      <c r="G27" s="128">
        <v>6</v>
      </c>
      <c r="H27" s="128">
        <v>5</v>
      </c>
      <c r="I27" s="108">
        <v>6</v>
      </c>
      <c r="J27" s="128">
        <v>6</v>
      </c>
      <c r="K27" s="108"/>
      <c r="L27" s="128">
        <v>5</v>
      </c>
      <c r="M27" s="128">
        <v>4</v>
      </c>
      <c r="N27" s="128">
        <v>6</v>
      </c>
      <c r="O27" s="128"/>
      <c r="P27" s="128"/>
      <c r="Q27" s="128">
        <v>6</v>
      </c>
      <c r="R27" s="128">
        <v>5</v>
      </c>
      <c r="S27" s="108"/>
      <c r="T27" s="108">
        <v>4</v>
      </c>
      <c r="U27" s="128">
        <v>5</v>
      </c>
      <c r="V27" s="128">
        <v>5</v>
      </c>
      <c r="W27" s="108"/>
      <c r="X27" s="128"/>
      <c r="Y27" s="128"/>
      <c r="Z27" s="128"/>
      <c r="AA27" s="128"/>
      <c r="AB27" s="128"/>
      <c r="AC27" s="128"/>
      <c r="AD27" s="128"/>
      <c r="AE27" s="128"/>
      <c r="AF27" s="38"/>
      <c r="AG27" s="128"/>
      <c r="AH27" s="38"/>
      <c r="AI27" s="128"/>
      <c r="AJ27" s="128"/>
      <c r="AK27" s="38"/>
      <c r="AL27" s="128"/>
      <c r="AM27" s="38"/>
      <c r="AN27" s="38"/>
      <c r="AO27" s="38"/>
      <c r="AP27" s="128"/>
      <c r="AQ27" s="38"/>
      <c r="AR27" s="128"/>
      <c r="AS27" s="120"/>
    </row>
    <row r="28" spans="1:45" s="141" customFormat="1" x14ac:dyDescent="0.25">
      <c r="A28" s="83" t="s">
        <v>29</v>
      </c>
      <c r="B28" s="77" t="s">
        <v>753</v>
      </c>
      <c r="C28" s="166">
        <v>3</v>
      </c>
      <c r="D28" s="168">
        <v>5</v>
      </c>
      <c r="E28" s="164">
        <v>2</v>
      </c>
      <c r="F28" s="129">
        <f>AVERAGE(P28,W28,Y28)</f>
        <v>5</v>
      </c>
      <c r="G28" s="132"/>
      <c r="H28" s="128"/>
      <c r="I28" s="108"/>
      <c r="J28" s="128"/>
      <c r="K28" s="108"/>
      <c r="L28" s="128"/>
      <c r="M28" s="128"/>
      <c r="N28" s="128"/>
      <c r="O28" s="57" t="s">
        <v>153</v>
      </c>
      <c r="P28" s="128">
        <v>4</v>
      </c>
      <c r="Q28" s="57" t="s">
        <v>153</v>
      </c>
      <c r="R28" s="128"/>
      <c r="S28" s="108" t="s">
        <v>153</v>
      </c>
      <c r="T28" s="108" t="s">
        <v>153</v>
      </c>
      <c r="U28" s="128"/>
      <c r="V28" s="108" t="s">
        <v>153</v>
      </c>
      <c r="W28" s="108">
        <v>6</v>
      </c>
      <c r="X28" s="128"/>
      <c r="Y28" s="128">
        <v>5</v>
      </c>
      <c r="Z28" s="128"/>
      <c r="AA28" s="128"/>
      <c r="AB28" s="128"/>
      <c r="AC28" s="128"/>
      <c r="AD28" s="128"/>
      <c r="AE28" s="128"/>
      <c r="AF28" s="38"/>
      <c r="AG28" s="128"/>
      <c r="AH28" s="128"/>
      <c r="AI28" s="128"/>
      <c r="AJ28" s="128"/>
      <c r="AK28" s="128"/>
      <c r="AL28" s="128"/>
      <c r="AM28" s="128"/>
      <c r="AN28" s="128"/>
      <c r="AO28" s="38"/>
      <c r="AP28" s="128"/>
      <c r="AQ28" s="38"/>
      <c r="AR28" s="128"/>
      <c r="AS28" s="174"/>
    </row>
    <row r="29" spans="1:45" s="141" customFormat="1" x14ac:dyDescent="0.25">
      <c r="A29" s="83" t="s">
        <v>29</v>
      </c>
      <c r="B29" s="77" t="s">
        <v>967</v>
      </c>
      <c r="C29" s="166"/>
      <c r="D29" s="168">
        <v>2</v>
      </c>
      <c r="E29" s="164"/>
      <c r="F29" s="129"/>
      <c r="G29" s="132"/>
      <c r="H29" s="128"/>
      <c r="I29" s="108"/>
      <c r="J29" s="128"/>
      <c r="K29" s="108"/>
      <c r="L29" s="128"/>
      <c r="M29" s="128"/>
      <c r="N29" s="128"/>
      <c r="O29" s="57"/>
      <c r="P29" s="128"/>
      <c r="Q29" s="57"/>
      <c r="R29" s="128"/>
      <c r="S29" s="108"/>
      <c r="T29" s="108"/>
      <c r="U29" s="128"/>
      <c r="V29" s="108"/>
      <c r="W29" s="108"/>
      <c r="X29" s="108" t="s">
        <v>153</v>
      </c>
      <c r="Y29" s="108" t="s">
        <v>153</v>
      </c>
      <c r="Z29" s="128"/>
      <c r="AA29" s="128"/>
      <c r="AB29" s="128"/>
      <c r="AC29" s="128"/>
      <c r="AD29" s="128"/>
      <c r="AE29" s="128"/>
      <c r="AF29" s="38"/>
      <c r="AG29" s="128"/>
      <c r="AH29" s="128"/>
      <c r="AI29" s="128"/>
      <c r="AJ29" s="128"/>
      <c r="AK29" s="128"/>
      <c r="AL29" s="128"/>
      <c r="AM29" s="128"/>
      <c r="AN29" s="128"/>
      <c r="AO29" s="38"/>
      <c r="AP29" s="128"/>
      <c r="AQ29" s="38"/>
      <c r="AR29" s="128"/>
      <c r="AS29" s="174"/>
    </row>
    <row r="30" spans="1:45" s="141" customFormat="1" x14ac:dyDescent="0.25">
      <c r="A30" s="83" t="s">
        <v>29</v>
      </c>
      <c r="B30" s="77" t="s">
        <v>536</v>
      </c>
      <c r="C30" s="166">
        <v>1</v>
      </c>
      <c r="D30" s="168">
        <v>1</v>
      </c>
      <c r="E30" s="164"/>
      <c r="F30" s="129">
        <f>AVERAGE(I30)</f>
        <v>4</v>
      </c>
      <c r="G30" s="132"/>
      <c r="H30" s="128"/>
      <c r="I30" s="108">
        <v>4</v>
      </c>
      <c r="J30" s="128"/>
      <c r="K30" s="108"/>
      <c r="L30" s="128"/>
      <c r="M30" s="128"/>
      <c r="N30" s="128"/>
      <c r="O30" s="128"/>
      <c r="P30" s="128"/>
      <c r="Q30" s="128"/>
      <c r="R30" s="128"/>
      <c r="S30" s="108"/>
      <c r="T30" s="108"/>
      <c r="U30" s="128"/>
      <c r="V30" s="108" t="s">
        <v>153</v>
      </c>
      <c r="W30" s="108"/>
      <c r="X30" s="128"/>
      <c r="Y30" s="128"/>
      <c r="Z30" s="128"/>
      <c r="AA30" s="128"/>
      <c r="AB30" s="128"/>
      <c r="AC30" s="128"/>
      <c r="AD30" s="128"/>
      <c r="AE30" s="128"/>
      <c r="AF30" s="38"/>
      <c r="AG30" s="128"/>
      <c r="AH30" s="128"/>
      <c r="AI30" s="128"/>
      <c r="AJ30" s="128"/>
      <c r="AK30" s="128"/>
      <c r="AL30" s="128"/>
      <c r="AM30" s="128"/>
      <c r="AN30" s="128"/>
      <c r="AO30" s="38"/>
      <c r="AP30" s="128"/>
      <c r="AQ30" s="38"/>
      <c r="AR30" s="128"/>
      <c r="AS30" s="174"/>
    </row>
    <row r="31" spans="1:45" x14ac:dyDescent="0.25">
      <c r="A31" s="239" t="s">
        <v>29</v>
      </c>
      <c r="B31" s="240" t="s">
        <v>273</v>
      </c>
      <c r="C31" s="241"/>
      <c r="D31" s="242"/>
      <c r="E31" s="243"/>
      <c r="F31" s="34"/>
      <c r="G31" s="225"/>
      <c r="H31" s="223"/>
      <c r="I31" s="222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3"/>
      <c r="AC31" s="221"/>
      <c r="AD31" s="223"/>
      <c r="AE31" s="221"/>
      <c r="AF31" s="223"/>
      <c r="AG31" s="223"/>
      <c r="AH31" s="221"/>
      <c r="AI31" s="221"/>
      <c r="AJ31" s="221"/>
      <c r="AK31" s="221"/>
      <c r="AL31" s="223"/>
      <c r="AM31" s="221"/>
      <c r="AN31" s="221"/>
      <c r="AO31" s="223"/>
      <c r="AP31" s="223"/>
      <c r="AQ31" s="223"/>
      <c r="AR31" s="221"/>
      <c r="AS31" s="27"/>
    </row>
    <row r="32" spans="1:45" x14ac:dyDescent="0.25">
      <c r="A32" s="1" t="s">
        <v>30</v>
      </c>
      <c r="B32" t="s">
        <v>110</v>
      </c>
      <c r="C32" s="166">
        <v>17</v>
      </c>
      <c r="D32" s="168"/>
      <c r="E32" s="164">
        <v>2</v>
      </c>
      <c r="F32" s="32">
        <f>AVERAGE(V32,U32,T32,H32,I32,J32,G32,K32,M32,N32,O32,P32,Q32,R32,S32,W32,Y32)</f>
        <v>5.4117647058823533</v>
      </c>
      <c r="G32" s="128">
        <v>5</v>
      </c>
      <c r="H32" s="283">
        <v>7</v>
      </c>
      <c r="I32" s="108">
        <v>5</v>
      </c>
      <c r="J32" s="128">
        <v>6</v>
      </c>
      <c r="K32" s="69">
        <v>6</v>
      </c>
      <c r="L32" s="128"/>
      <c r="M32" s="128">
        <v>5</v>
      </c>
      <c r="N32" s="128">
        <v>5</v>
      </c>
      <c r="O32" s="128">
        <v>5</v>
      </c>
      <c r="P32" s="128">
        <v>6</v>
      </c>
      <c r="Q32" s="128">
        <v>6</v>
      </c>
      <c r="R32" s="128">
        <v>4</v>
      </c>
      <c r="S32" s="128">
        <v>5</v>
      </c>
      <c r="T32" s="128">
        <v>6</v>
      </c>
      <c r="U32" s="108">
        <v>5</v>
      </c>
      <c r="V32" s="128">
        <v>5</v>
      </c>
      <c r="W32" s="128">
        <v>6</v>
      </c>
      <c r="X32" s="108"/>
      <c r="Y32" s="128">
        <v>5</v>
      </c>
      <c r="Z32" s="128"/>
      <c r="AA32" s="128"/>
      <c r="AB32" s="128"/>
      <c r="AC32" s="128"/>
      <c r="AD32" s="128"/>
      <c r="AE32" s="108"/>
      <c r="AF32" s="38"/>
      <c r="AG32" s="128"/>
      <c r="AH32" s="38"/>
      <c r="AI32" s="128"/>
      <c r="AJ32" s="108"/>
      <c r="AK32" s="38"/>
      <c r="AL32" s="108"/>
      <c r="AM32" s="38"/>
      <c r="AN32" s="38"/>
      <c r="AO32" s="38"/>
      <c r="AP32" s="128"/>
      <c r="AQ32" s="38"/>
      <c r="AR32" s="128"/>
      <c r="AS32" s="27"/>
    </row>
    <row r="33" spans="1:45" x14ac:dyDescent="0.25">
      <c r="A33" s="1" t="s">
        <v>30</v>
      </c>
      <c r="B33" t="s">
        <v>111</v>
      </c>
      <c r="C33" s="166">
        <v>2</v>
      </c>
      <c r="D33" s="168">
        <v>8</v>
      </c>
      <c r="E33" s="164"/>
      <c r="F33" s="32">
        <f>AVERAGE(P33,V33)</f>
        <v>4.5</v>
      </c>
      <c r="G33" s="128"/>
      <c r="H33" s="128"/>
      <c r="I33" s="108" t="s">
        <v>153</v>
      </c>
      <c r="J33" s="128"/>
      <c r="K33" s="108" t="s">
        <v>153</v>
      </c>
      <c r="L33" s="108" t="s">
        <v>153</v>
      </c>
      <c r="M33" s="108" t="s">
        <v>153</v>
      </c>
      <c r="N33" s="108" t="s">
        <v>153</v>
      </c>
      <c r="O33" s="108" t="s">
        <v>153</v>
      </c>
      <c r="P33" s="128">
        <v>4</v>
      </c>
      <c r="Q33" s="128"/>
      <c r="R33" s="108" t="s">
        <v>153</v>
      </c>
      <c r="S33" s="128"/>
      <c r="T33" s="128"/>
      <c r="U33" s="128"/>
      <c r="V33" s="128">
        <v>5</v>
      </c>
      <c r="W33" s="128"/>
      <c r="X33" s="128"/>
      <c r="Y33" s="128"/>
      <c r="Z33" s="128"/>
      <c r="AA33" s="128"/>
      <c r="AB33" s="128"/>
      <c r="AC33" s="128"/>
      <c r="AD33" s="128"/>
      <c r="AE33" s="128"/>
      <c r="AF33" s="38"/>
      <c r="AG33" s="128"/>
      <c r="AH33" s="38"/>
      <c r="AI33" s="128"/>
      <c r="AJ33" s="128"/>
      <c r="AK33" s="38"/>
      <c r="AL33" s="128"/>
      <c r="AM33" s="38"/>
      <c r="AN33" s="38"/>
      <c r="AO33" s="38"/>
      <c r="AP33" s="128"/>
      <c r="AQ33" s="38"/>
      <c r="AR33" s="128"/>
      <c r="AS33" s="27"/>
    </row>
    <row r="34" spans="1:45" x14ac:dyDescent="0.25">
      <c r="A34" s="1" t="s">
        <v>30</v>
      </c>
      <c r="B34" t="s">
        <v>112</v>
      </c>
      <c r="C34" s="166">
        <v>4</v>
      </c>
      <c r="D34" s="168">
        <v>3</v>
      </c>
      <c r="E34" s="164"/>
      <c r="F34" s="32">
        <f>AVERAGE(H34,G34,U34,W34)</f>
        <v>4.25</v>
      </c>
      <c r="G34" s="70">
        <v>4</v>
      </c>
      <c r="H34" s="128">
        <v>5</v>
      </c>
      <c r="I34" s="57"/>
      <c r="J34" s="128"/>
      <c r="K34" s="69"/>
      <c r="L34" s="128"/>
      <c r="M34" s="128"/>
      <c r="N34" s="128"/>
      <c r="O34" s="128"/>
      <c r="P34" s="204" t="s">
        <v>153</v>
      </c>
      <c r="Q34" s="128"/>
      <c r="R34" s="108"/>
      <c r="S34" s="204" t="s">
        <v>153</v>
      </c>
      <c r="T34" s="128"/>
      <c r="U34" s="70">
        <v>4</v>
      </c>
      <c r="V34" s="128"/>
      <c r="W34" s="204">
        <v>4</v>
      </c>
      <c r="X34" s="128"/>
      <c r="Y34" s="108" t="s">
        <v>153</v>
      </c>
      <c r="Z34" s="128"/>
      <c r="AA34" s="128"/>
      <c r="AB34" s="128"/>
      <c r="AC34" s="128"/>
      <c r="AD34" s="128"/>
      <c r="AE34" s="128"/>
      <c r="AF34" s="38"/>
      <c r="AG34" s="128"/>
      <c r="AH34" s="38"/>
      <c r="AI34" s="128"/>
      <c r="AJ34" s="128"/>
      <c r="AK34" s="38"/>
      <c r="AL34" s="128"/>
      <c r="AM34" s="38"/>
      <c r="AN34" s="38"/>
      <c r="AO34" s="38"/>
      <c r="AP34" s="128"/>
      <c r="AQ34" s="38"/>
      <c r="AR34" s="128"/>
      <c r="AS34" s="27"/>
    </row>
    <row r="35" spans="1:45" x14ac:dyDescent="0.25">
      <c r="A35" s="1" t="s">
        <v>30</v>
      </c>
      <c r="B35" s="2" t="s">
        <v>211</v>
      </c>
      <c r="C35" s="166">
        <v>3</v>
      </c>
      <c r="D35" s="168">
        <v>5</v>
      </c>
      <c r="E35" s="164"/>
      <c r="F35" s="32">
        <f>AVERAGE(I35,J35,G35)</f>
        <v>4.666666666666667</v>
      </c>
      <c r="G35" s="128">
        <v>4</v>
      </c>
      <c r="H35" s="108" t="s">
        <v>153</v>
      </c>
      <c r="I35" s="108">
        <v>5</v>
      </c>
      <c r="J35" s="108">
        <v>5</v>
      </c>
      <c r="K35" s="108"/>
      <c r="L35" s="108"/>
      <c r="M35" s="128"/>
      <c r="N35" s="69"/>
      <c r="O35" s="128"/>
      <c r="P35" s="108" t="s">
        <v>153</v>
      </c>
      <c r="Q35" s="108" t="s">
        <v>153</v>
      </c>
      <c r="R35" s="108" t="s">
        <v>153</v>
      </c>
      <c r="S35" s="128"/>
      <c r="T35" s="204" t="s">
        <v>153</v>
      </c>
      <c r="U35" s="128"/>
      <c r="V35" s="128"/>
      <c r="W35" s="128"/>
      <c r="X35" s="128"/>
      <c r="Y35" s="128"/>
      <c r="Z35" s="128"/>
      <c r="AA35" s="128"/>
      <c r="AB35" s="128"/>
      <c r="AC35" s="128"/>
      <c r="AD35" s="108"/>
      <c r="AE35" s="128"/>
      <c r="AF35" s="38"/>
      <c r="AG35" s="108"/>
      <c r="AH35" s="62"/>
      <c r="AI35" s="128"/>
      <c r="AJ35" s="128"/>
      <c r="AK35" s="62"/>
      <c r="AL35" s="128"/>
      <c r="AM35" s="38"/>
      <c r="AN35" s="38"/>
      <c r="AO35" s="38"/>
      <c r="AP35" s="128"/>
      <c r="AQ35" s="38"/>
      <c r="AR35" s="128"/>
      <c r="AS35" s="27"/>
    </row>
    <row r="36" spans="1:45" x14ac:dyDescent="0.25">
      <c r="A36" s="1" t="s">
        <v>30</v>
      </c>
      <c r="B36" s="25" t="s">
        <v>264</v>
      </c>
      <c r="C36" s="166">
        <v>10</v>
      </c>
      <c r="D36" s="168">
        <v>4</v>
      </c>
      <c r="E36" s="164">
        <v>3</v>
      </c>
      <c r="F36" s="32">
        <f>AVERAGE(I36,J36,K36,M36,Q36,R36,S36,T36,V36,X36,Y36)</f>
        <v>5.0909090909090908</v>
      </c>
      <c r="G36" s="128"/>
      <c r="H36" s="128"/>
      <c r="I36" s="108">
        <v>5</v>
      </c>
      <c r="J36" s="108">
        <v>6</v>
      </c>
      <c r="K36" s="128">
        <v>5</v>
      </c>
      <c r="L36" s="57" t="s">
        <v>153</v>
      </c>
      <c r="M36" s="128">
        <v>5</v>
      </c>
      <c r="N36" s="108"/>
      <c r="O36" s="128"/>
      <c r="P36" s="108" t="s">
        <v>153</v>
      </c>
      <c r="Q36" s="128">
        <v>5</v>
      </c>
      <c r="R36" s="128">
        <v>4</v>
      </c>
      <c r="S36" s="128">
        <v>5</v>
      </c>
      <c r="T36" s="283">
        <v>7</v>
      </c>
      <c r="U36" s="57" t="s">
        <v>153</v>
      </c>
      <c r="V36" s="108">
        <v>4</v>
      </c>
      <c r="W36" s="128"/>
      <c r="X36" s="108">
        <v>5</v>
      </c>
      <c r="Y36" s="128">
        <v>5</v>
      </c>
      <c r="Z36" s="128"/>
      <c r="AA36" s="128"/>
      <c r="AB36" s="108"/>
      <c r="AC36" s="108"/>
      <c r="AD36" s="128"/>
      <c r="AE36" s="128"/>
      <c r="AF36" s="38"/>
      <c r="AG36" s="128"/>
      <c r="AH36" s="38"/>
      <c r="AI36" s="108"/>
      <c r="AJ36" s="128"/>
      <c r="AK36" s="38"/>
      <c r="AL36" s="128"/>
      <c r="AM36" s="38"/>
      <c r="AN36" s="62"/>
      <c r="AO36" s="62"/>
      <c r="AP36" s="108"/>
      <c r="AQ36" s="66"/>
      <c r="AR36" s="108"/>
      <c r="AS36" s="27"/>
    </row>
    <row r="37" spans="1:45" s="116" customFormat="1" x14ac:dyDescent="0.25">
      <c r="A37" s="83" t="s">
        <v>30</v>
      </c>
      <c r="B37" s="40" t="s">
        <v>379</v>
      </c>
      <c r="C37" s="166">
        <v>2</v>
      </c>
      <c r="D37" s="168">
        <v>3</v>
      </c>
      <c r="E37" s="164"/>
      <c r="F37" s="94">
        <f>AVERAGE(L37,O37)</f>
        <v>4</v>
      </c>
      <c r="G37" s="128"/>
      <c r="H37" s="108" t="s">
        <v>153</v>
      </c>
      <c r="I37" s="128"/>
      <c r="J37" s="108" t="s">
        <v>153</v>
      </c>
      <c r="K37" s="128"/>
      <c r="L37" s="128">
        <v>4</v>
      </c>
      <c r="M37" s="128"/>
      <c r="N37" s="108" t="s">
        <v>153</v>
      </c>
      <c r="O37" s="128">
        <v>4</v>
      </c>
      <c r="P37" s="128"/>
      <c r="Q37" s="128"/>
      <c r="R37" s="128"/>
      <c r="S37" s="128"/>
      <c r="T37" s="128"/>
      <c r="U37" s="128"/>
      <c r="V37" s="108"/>
      <c r="W37" s="128"/>
      <c r="X37" s="108"/>
      <c r="Y37" s="128"/>
      <c r="Z37" s="128"/>
      <c r="AA37" s="108"/>
      <c r="AB37" s="128"/>
      <c r="AC37" s="128"/>
      <c r="AD37" s="128"/>
      <c r="AE37" s="128"/>
      <c r="AF37" s="38"/>
      <c r="AG37" s="69"/>
      <c r="AH37" s="38"/>
      <c r="AI37" s="128"/>
      <c r="AJ37" s="128"/>
      <c r="AK37" s="38"/>
      <c r="AL37" s="128"/>
      <c r="AM37" s="38"/>
      <c r="AN37" s="38"/>
      <c r="AO37" s="62"/>
      <c r="AP37" s="128"/>
      <c r="AQ37" s="62"/>
      <c r="AR37" s="128"/>
      <c r="AS37" s="120"/>
    </row>
    <row r="38" spans="1:45" s="141" customFormat="1" x14ac:dyDescent="0.25">
      <c r="A38" s="83" t="s">
        <v>30</v>
      </c>
      <c r="B38" s="77" t="s">
        <v>966</v>
      </c>
      <c r="C38" s="166"/>
      <c r="D38" s="168">
        <v>1</v>
      </c>
      <c r="E38" s="164"/>
      <c r="F38" s="129"/>
      <c r="G38" s="128"/>
      <c r="H38" s="108"/>
      <c r="I38" s="128"/>
      <c r="J38" s="108"/>
      <c r="K38" s="128"/>
      <c r="L38" s="128"/>
      <c r="M38" s="128"/>
      <c r="N38" s="108"/>
      <c r="O38" s="128"/>
      <c r="P38" s="128"/>
      <c r="Q38" s="128"/>
      <c r="R38" s="128"/>
      <c r="S38" s="128"/>
      <c r="T38" s="128"/>
      <c r="U38" s="128"/>
      <c r="V38" s="108"/>
      <c r="W38" s="128"/>
      <c r="X38" s="108" t="s">
        <v>153</v>
      </c>
      <c r="Y38" s="128"/>
      <c r="Z38" s="128"/>
      <c r="AA38" s="108"/>
      <c r="AB38" s="128"/>
      <c r="AC38" s="128"/>
      <c r="AD38" s="128"/>
      <c r="AE38" s="128"/>
      <c r="AF38" s="38"/>
      <c r="AG38" s="69"/>
      <c r="AH38" s="38"/>
      <c r="AI38" s="128"/>
      <c r="AJ38" s="128"/>
      <c r="AK38" s="38"/>
      <c r="AL38" s="128"/>
      <c r="AM38" s="38"/>
      <c r="AN38" s="38"/>
      <c r="AO38" s="62"/>
      <c r="AP38" s="128"/>
      <c r="AQ38" s="62"/>
      <c r="AR38" s="128"/>
      <c r="AS38" s="174"/>
    </row>
    <row r="39" spans="1:45" ht="15.75" thickBot="1" x14ac:dyDescent="0.3">
      <c r="A39" s="3" t="s">
        <v>30</v>
      </c>
      <c r="B39" s="4" t="s">
        <v>113</v>
      </c>
      <c r="C39" s="167">
        <v>7</v>
      </c>
      <c r="D39" s="169">
        <v>7</v>
      </c>
      <c r="E39" s="165">
        <v>2</v>
      </c>
      <c r="F39" s="33">
        <f>AVERAGE(L39,N39,O39,Q39,R39,U39,V39,X39)</f>
        <v>4.75</v>
      </c>
      <c r="G39" s="108" t="s">
        <v>153</v>
      </c>
      <c r="H39" s="204" t="s">
        <v>153</v>
      </c>
      <c r="I39" s="168"/>
      <c r="J39" s="204" t="s">
        <v>153</v>
      </c>
      <c r="K39" s="128"/>
      <c r="L39" s="70">
        <v>4</v>
      </c>
      <c r="M39" s="108" t="s">
        <v>153</v>
      </c>
      <c r="N39" s="128">
        <v>6</v>
      </c>
      <c r="O39" s="69">
        <v>6</v>
      </c>
      <c r="P39" s="128"/>
      <c r="Q39" s="128">
        <v>4</v>
      </c>
      <c r="R39" s="204">
        <v>4</v>
      </c>
      <c r="S39" s="108"/>
      <c r="T39" s="108"/>
      <c r="U39" s="128">
        <v>4</v>
      </c>
      <c r="V39" s="108">
        <v>4</v>
      </c>
      <c r="W39" s="108" t="s">
        <v>153</v>
      </c>
      <c r="X39" s="57">
        <v>6</v>
      </c>
      <c r="Y39" s="108" t="s">
        <v>153</v>
      </c>
      <c r="Z39" s="128"/>
      <c r="AA39" s="69"/>
      <c r="AB39" s="108"/>
      <c r="AC39" s="128"/>
      <c r="AD39" s="128"/>
      <c r="AE39" s="69"/>
      <c r="AF39" s="38"/>
      <c r="AG39" s="128"/>
      <c r="AH39" s="66"/>
      <c r="AI39" s="69"/>
      <c r="AJ39" s="69"/>
      <c r="AK39" s="38"/>
      <c r="AL39" s="128"/>
      <c r="AM39" s="38"/>
      <c r="AN39" s="38"/>
      <c r="AO39" s="38"/>
      <c r="AP39" s="69"/>
      <c r="AQ39" s="38"/>
      <c r="AR39" s="69"/>
      <c r="AS39" s="27"/>
    </row>
    <row r="40" spans="1:45" x14ac:dyDescent="0.25">
      <c r="G40" s="30">
        <f>AVERAGE(G7,G10,G12,G14,G21,G22,G32,G27,G34,G35,G13)</f>
        <v>4.8181818181818183</v>
      </c>
      <c r="H40" s="30">
        <f>AVERAGE(H8,H10,H11,H13,H14,H21,H22,H24,H27,H32,H34)</f>
        <v>5.0909090909090908</v>
      </c>
      <c r="I40" s="36">
        <f>AVERAGE(I8,I10,I12,I13,I15,I24,I27,I30,I32,I35,I36)</f>
        <v>5.3636363636363633</v>
      </c>
      <c r="J40" s="36">
        <f>AVERAGE(J7,J10,J12,J13,J15,J22,J24,J27,J32,J35,J36)</f>
        <v>5.8181818181818183</v>
      </c>
      <c r="K40" s="36">
        <f>AVERAGE(K7,K10,K12,K14,K18,K21,K22,K25,K32,K36,K24)</f>
        <v>4.9090909090909092</v>
      </c>
      <c r="L40" s="36">
        <f>AVERAGE(L7,L10,L13,L15,L18,L21,L22,L27,L37,L39,L24)</f>
        <v>4.8181818181818183</v>
      </c>
      <c r="M40" s="36">
        <f>AVERAGE(M7,M10,M12,M14,M18,M22,M23,M24,M27,M32,M36)</f>
        <v>4.4545454545454541</v>
      </c>
      <c r="N40" s="36">
        <f>AVERAGE(N7,N10,N12,N18,N21,N22,N23,N24,N27,N32,N39)</f>
        <v>5.5454545454545459</v>
      </c>
      <c r="O40" s="36">
        <f>AVERAGE(O7,O10,O12,O15,O18,O21,O22,O23,O32,O37,O39)</f>
        <v>5</v>
      </c>
      <c r="P40" s="36">
        <f>AVERAGE(P7,P9,P10,P14,P18,P22,P23,P24,P28,P32,P33)</f>
        <v>5.1818181818181817</v>
      </c>
      <c r="Q40" s="36">
        <f>AVERAGE(Q7,Q9,Q12,Q15,Q18,Q23,Q22,Q27,Q32,Q36,Q39)</f>
        <v>5.1818181818181817</v>
      </c>
      <c r="R40" s="36">
        <f>AVERAGE(R7,R9,R10,R12,R15,R21,R22,R23,R27,R32,R39)</f>
        <v>4.4545454545454541</v>
      </c>
      <c r="S40" s="36">
        <f>AVERAGE(S8,S9,S10,S11,S13,S22,S21,S24,S23,S32,S36)</f>
        <v>5.5454545454545459</v>
      </c>
      <c r="T40" s="36">
        <f>AVERAGE(T7,T23,T9,T11,T13,T14,T22,T24,T27,T32,T36)</f>
        <v>5.1818181818181817</v>
      </c>
      <c r="U40" s="36">
        <f>AVERAGE(U7,U9,U11,U13,U21,U22,U24,U27,U32,U34,U39)</f>
        <v>4.6363636363636367</v>
      </c>
      <c r="V40" s="36">
        <f>AVERAGE(V7,V11,V13,V14,V23,V24,V27,V32,V33,V36,V39)</f>
        <v>5.0909090909090908</v>
      </c>
      <c r="W40" s="36">
        <f>AVERAGE(W7,W11,W14,W13,W18,W22,W23,W24,W28,W32,W34)</f>
        <v>5.5454545454545459</v>
      </c>
      <c r="X40" s="36">
        <f>AVERAGE(X7,X11,X13,X14,X21,X22,X23,X24,X25,X36,X39)</f>
        <v>5</v>
      </c>
      <c r="Y40" s="36">
        <f>AVERAGE(Y7,Y11,Y13,Y14,Y21,Y22,Y23,Y25,Y28,Y32,Y36)</f>
        <v>5.3636363636363633</v>
      </c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</row>
  </sheetData>
  <mergeCells count="1">
    <mergeCell ref="C5:E5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S35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2" max="2" width="12.85546875" customWidth="1"/>
    <col min="7" max="10" width="4.5703125" customWidth="1"/>
    <col min="11" max="44" width="4.7109375" customWidth="1"/>
  </cols>
  <sheetData>
    <row r="1" spans="1:45" x14ac:dyDescent="0.25">
      <c r="A1" t="s">
        <v>114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638</v>
      </c>
      <c r="H7" s="26" t="s">
        <v>564</v>
      </c>
      <c r="I7" s="26" t="s">
        <v>584</v>
      </c>
      <c r="J7" s="26" t="s">
        <v>599</v>
      </c>
      <c r="K7" s="26" t="s">
        <v>651</v>
      </c>
      <c r="L7" s="26" t="s">
        <v>688</v>
      </c>
      <c r="M7" s="26" t="s">
        <v>701</v>
      </c>
      <c r="N7" s="26" t="s">
        <v>733</v>
      </c>
      <c r="O7" s="26" t="s">
        <v>751</v>
      </c>
      <c r="P7" s="79" t="s">
        <v>775</v>
      </c>
      <c r="Q7" s="90" t="s">
        <v>801</v>
      </c>
      <c r="R7" s="101" t="s">
        <v>810</v>
      </c>
      <c r="S7" s="101" t="s">
        <v>832</v>
      </c>
      <c r="T7" s="101" t="s">
        <v>853</v>
      </c>
      <c r="U7" s="101" t="s">
        <v>885</v>
      </c>
      <c r="V7" s="101" t="s">
        <v>903</v>
      </c>
      <c r="W7" s="119" t="s">
        <v>937</v>
      </c>
      <c r="X7" s="119" t="s">
        <v>958</v>
      </c>
      <c r="Y7" s="119" t="s">
        <v>981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26"/>
      <c r="AL7" s="145"/>
      <c r="AM7" s="173"/>
      <c r="AN7" s="26"/>
      <c r="AO7" s="26"/>
      <c r="AP7" s="26"/>
      <c r="AQ7" s="26"/>
      <c r="AR7" s="26"/>
    </row>
    <row r="8" spans="1:45" x14ac:dyDescent="0.25">
      <c r="A8" s="22" t="s">
        <v>8</v>
      </c>
      <c r="B8" s="41" t="s">
        <v>258</v>
      </c>
      <c r="C8" s="149">
        <v>1</v>
      </c>
      <c r="D8" s="150">
        <v>1</v>
      </c>
      <c r="E8" s="41"/>
      <c r="F8" s="35">
        <f>AVERAGE(I8,J8)</f>
        <v>5</v>
      </c>
      <c r="G8" s="56"/>
      <c r="H8" s="108"/>
      <c r="I8" s="108">
        <v>5</v>
      </c>
      <c r="J8" s="108">
        <v>5</v>
      </c>
      <c r="K8" s="128"/>
      <c r="L8" s="128"/>
      <c r="M8" s="38"/>
      <c r="N8" s="108"/>
      <c r="O8" s="128"/>
      <c r="P8" s="108"/>
      <c r="Q8" s="128"/>
      <c r="R8" s="128"/>
      <c r="S8" s="128"/>
      <c r="T8" s="128"/>
      <c r="U8" s="128"/>
      <c r="V8" s="108"/>
      <c r="W8" s="128"/>
      <c r="X8" s="128"/>
      <c r="Y8" s="128"/>
      <c r="Z8" s="128"/>
      <c r="AA8" s="128"/>
      <c r="AB8" s="128"/>
      <c r="AC8" s="38"/>
      <c r="AD8" s="58"/>
      <c r="AE8" s="128"/>
      <c r="AF8" s="128"/>
      <c r="AG8" s="128"/>
      <c r="AH8" s="128"/>
      <c r="AI8" s="108"/>
      <c r="AJ8" s="38"/>
      <c r="AK8" s="128"/>
      <c r="AL8" s="38"/>
      <c r="AM8" s="128"/>
      <c r="AN8" s="38"/>
      <c r="AO8" s="128"/>
      <c r="AP8" s="38"/>
      <c r="AQ8" s="62"/>
      <c r="AR8" s="108"/>
      <c r="AS8" s="27"/>
    </row>
    <row r="9" spans="1:45" x14ac:dyDescent="0.25">
      <c r="A9" s="13" t="s">
        <v>8</v>
      </c>
      <c r="B9" s="14" t="s">
        <v>115</v>
      </c>
      <c r="C9" s="170">
        <v>18</v>
      </c>
      <c r="D9" s="171"/>
      <c r="E9" s="14"/>
      <c r="F9" s="34">
        <f>AVERAGE(X9,H9,G9,K9,L9,M9,N9,O9,P9,Q9,R9,S9,T9,U9,V9,W9,Y9)</f>
        <v>5.4705882352941178</v>
      </c>
      <c r="G9" s="339">
        <v>7</v>
      </c>
      <c r="H9" s="204">
        <v>5</v>
      </c>
      <c r="I9" s="108" t="s">
        <v>554</v>
      </c>
      <c r="J9" s="57"/>
      <c r="K9" s="128">
        <v>4</v>
      </c>
      <c r="L9" s="128">
        <v>5</v>
      </c>
      <c r="M9" s="66">
        <v>6</v>
      </c>
      <c r="N9" s="108">
        <v>5</v>
      </c>
      <c r="O9" s="70">
        <v>5</v>
      </c>
      <c r="P9" s="290">
        <v>7</v>
      </c>
      <c r="Q9" s="128">
        <v>5</v>
      </c>
      <c r="R9" s="128">
        <v>5</v>
      </c>
      <c r="S9" s="128">
        <v>6</v>
      </c>
      <c r="T9" s="70">
        <v>5</v>
      </c>
      <c r="U9" s="128">
        <v>5</v>
      </c>
      <c r="V9" s="294">
        <v>7</v>
      </c>
      <c r="W9" s="128">
        <v>4</v>
      </c>
      <c r="X9" s="128">
        <v>5</v>
      </c>
      <c r="Y9" s="283">
        <v>7</v>
      </c>
      <c r="Z9" s="128"/>
      <c r="AA9" s="69"/>
      <c r="AB9" s="128"/>
      <c r="AC9" s="66"/>
      <c r="AD9" s="128"/>
      <c r="AE9" s="128"/>
      <c r="AF9" s="128"/>
      <c r="AG9" s="69"/>
      <c r="AH9" s="128"/>
      <c r="AI9" s="108"/>
      <c r="AJ9" s="38"/>
      <c r="AK9" s="128"/>
      <c r="AL9" s="66"/>
      <c r="AM9" s="128"/>
      <c r="AN9" s="38"/>
      <c r="AO9" s="69"/>
      <c r="AP9" s="66"/>
      <c r="AQ9" s="62"/>
      <c r="AR9" s="108"/>
      <c r="AS9" s="27"/>
    </row>
    <row r="10" spans="1:45" x14ac:dyDescent="0.25">
      <c r="A10" s="83" t="s">
        <v>11</v>
      </c>
      <c r="B10" s="160" t="s">
        <v>116</v>
      </c>
      <c r="C10" s="166">
        <v>16</v>
      </c>
      <c r="D10" s="168"/>
      <c r="E10" s="160"/>
      <c r="F10" s="129">
        <f>AVERAGE(X10,U10,H10,I10,J10,G10,K10,L10,M10,N10,O10,Q10,R10,S10,T10,W10)</f>
        <v>4.875</v>
      </c>
      <c r="G10" s="56">
        <v>6</v>
      </c>
      <c r="H10" s="108">
        <v>5</v>
      </c>
      <c r="I10" s="108">
        <v>6</v>
      </c>
      <c r="J10" s="108">
        <v>4</v>
      </c>
      <c r="K10" s="128">
        <v>6</v>
      </c>
      <c r="L10" s="128">
        <v>5</v>
      </c>
      <c r="M10" s="38">
        <v>6</v>
      </c>
      <c r="N10" s="302">
        <v>3</v>
      </c>
      <c r="O10" s="128">
        <v>5</v>
      </c>
      <c r="P10" s="108"/>
      <c r="Q10" s="128">
        <v>5</v>
      </c>
      <c r="R10" s="128">
        <v>4</v>
      </c>
      <c r="S10" s="128">
        <v>4</v>
      </c>
      <c r="T10" s="128">
        <v>5</v>
      </c>
      <c r="U10" s="128">
        <v>5</v>
      </c>
      <c r="V10" s="108"/>
      <c r="W10" s="128">
        <v>5</v>
      </c>
      <c r="X10" s="128">
        <v>4</v>
      </c>
      <c r="Y10" s="128"/>
      <c r="Z10" s="128"/>
      <c r="AA10" s="128"/>
      <c r="AB10" s="128"/>
      <c r="AC10" s="38"/>
      <c r="AD10" s="193"/>
      <c r="AE10" s="128"/>
      <c r="AF10" s="128"/>
      <c r="AG10" s="128"/>
      <c r="AH10" s="128"/>
      <c r="AI10" s="108"/>
      <c r="AJ10" s="38"/>
      <c r="AK10" s="128"/>
      <c r="AL10" s="38"/>
      <c r="AM10" s="128"/>
      <c r="AN10" s="38"/>
      <c r="AO10" s="128"/>
      <c r="AP10" s="38"/>
      <c r="AQ10" s="62"/>
      <c r="AR10" s="108"/>
      <c r="AS10" s="27"/>
    </row>
    <row r="11" spans="1:45" x14ac:dyDescent="0.25">
      <c r="A11" s="54" t="s">
        <v>11</v>
      </c>
      <c r="B11" s="122" t="s">
        <v>332</v>
      </c>
      <c r="C11" s="156"/>
      <c r="D11" s="157"/>
      <c r="E11" s="122"/>
      <c r="F11" s="129"/>
      <c r="G11" s="271"/>
      <c r="H11" s="258"/>
      <c r="I11" s="258"/>
      <c r="J11" s="258"/>
      <c r="K11" s="257"/>
      <c r="L11" s="257"/>
      <c r="M11" s="253"/>
      <c r="N11" s="258"/>
      <c r="O11" s="257"/>
      <c r="P11" s="258"/>
      <c r="Q11" s="257"/>
      <c r="R11" s="257"/>
      <c r="S11" s="258"/>
      <c r="T11" s="257"/>
      <c r="U11" s="257"/>
      <c r="V11" s="258"/>
      <c r="W11" s="258"/>
      <c r="X11" s="258"/>
      <c r="Y11" s="257"/>
      <c r="Z11" s="257"/>
      <c r="AA11" s="257"/>
      <c r="AB11" s="257"/>
      <c r="AC11" s="253"/>
      <c r="AD11" s="252"/>
      <c r="AE11" s="257"/>
      <c r="AF11" s="257"/>
      <c r="AG11" s="257"/>
      <c r="AH11" s="257"/>
      <c r="AI11" s="258"/>
      <c r="AJ11" s="253"/>
      <c r="AK11" s="257"/>
      <c r="AL11" s="253"/>
      <c r="AM11" s="257"/>
      <c r="AN11" s="253"/>
      <c r="AO11" s="257"/>
      <c r="AP11" s="253"/>
      <c r="AQ11" s="269"/>
      <c r="AR11" s="258"/>
      <c r="AS11" s="27"/>
    </row>
    <row r="12" spans="1:45" x14ac:dyDescent="0.25">
      <c r="A12" s="83" t="s">
        <v>11</v>
      </c>
      <c r="B12" s="28" t="s">
        <v>348</v>
      </c>
      <c r="C12" s="166">
        <v>14</v>
      </c>
      <c r="D12" s="168">
        <v>3</v>
      </c>
      <c r="E12" s="160"/>
      <c r="F12" s="129">
        <f>AVERAGE(X12,H12,I12,J12,G12,M12,O12,P12,Q12,R12,S12,T12,U12,W12)</f>
        <v>4.8571428571428568</v>
      </c>
      <c r="G12" s="56">
        <v>5</v>
      </c>
      <c r="H12" s="108">
        <v>4</v>
      </c>
      <c r="I12" s="108">
        <v>5</v>
      </c>
      <c r="J12" s="108">
        <v>5</v>
      </c>
      <c r="K12" s="128"/>
      <c r="L12" s="108" t="s">
        <v>153</v>
      </c>
      <c r="M12" s="38">
        <v>5</v>
      </c>
      <c r="N12" s="108"/>
      <c r="O12" s="128">
        <v>5</v>
      </c>
      <c r="P12" s="108">
        <v>5</v>
      </c>
      <c r="Q12" s="128">
        <v>5</v>
      </c>
      <c r="R12" s="128">
        <v>5</v>
      </c>
      <c r="S12" s="128">
        <v>5</v>
      </c>
      <c r="T12" s="128">
        <v>4</v>
      </c>
      <c r="U12" s="128">
        <v>5</v>
      </c>
      <c r="V12" s="108" t="s">
        <v>153</v>
      </c>
      <c r="W12" s="128">
        <v>5</v>
      </c>
      <c r="X12" s="128">
        <v>5</v>
      </c>
      <c r="Y12" s="108" t="s">
        <v>153</v>
      </c>
      <c r="Z12" s="128"/>
      <c r="AA12" s="128"/>
      <c r="AB12" s="128"/>
      <c r="AC12" s="38"/>
      <c r="AD12" s="38"/>
      <c r="AE12" s="128"/>
      <c r="AF12" s="128"/>
      <c r="AG12" s="69"/>
      <c r="AH12" s="128"/>
      <c r="AI12" s="108"/>
      <c r="AJ12" s="38"/>
      <c r="AK12" s="128"/>
      <c r="AL12" s="38"/>
      <c r="AM12" s="128"/>
      <c r="AN12" s="66"/>
      <c r="AO12" s="128"/>
      <c r="AP12" s="38"/>
      <c r="AQ12" s="62"/>
      <c r="AR12" s="108"/>
      <c r="AS12" s="27"/>
    </row>
    <row r="13" spans="1:45" x14ac:dyDescent="0.25">
      <c r="A13" s="83" t="s">
        <v>11</v>
      </c>
      <c r="B13" s="28" t="s">
        <v>317</v>
      </c>
      <c r="C13" s="166">
        <v>15</v>
      </c>
      <c r="D13" s="168">
        <v>3</v>
      </c>
      <c r="E13" s="160"/>
      <c r="F13" s="129">
        <f>AVERAGE(X13,V13,H13,I13,J13,G13,K13,M13,N13,O13,P13,Q13,R13,T13,W13)</f>
        <v>5</v>
      </c>
      <c r="G13" s="56">
        <v>6</v>
      </c>
      <c r="H13" s="108">
        <v>5</v>
      </c>
      <c r="I13" s="108">
        <v>5</v>
      </c>
      <c r="J13" s="108">
        <v>5</v>
      </c>
      <c r="K13" s="128">
        <v>5</v>
      </c>
      <c r="L13" s="108"/>
      <c r="M13" s="38">
        <v>5</v>
      </c>
      <c r="N13" s="302">
        <v>3</v>
      </c>
      <c r="O13" s="128">
        <v>5</v>
      </c>
      <c r="P13" s="108">
        <v>6</v>
      </c>
      <c r="Q13" s="128">
        <v>5</v>
      </c>
      <c r="R13" s="128">
        <v>4</v>
      </c>
      <c r="S13" s="108" t="s">
        <v>153</v>
      </c>
      <c r="T13" s="128">
        <v>5</v>
      </c>
      <c r="U13" s="108" t="s">
        <v>153</v>
      </c>
      <c r="V13" s="290">
        <v>7</v>
      </c>
      <c r="W13" s="70">
        <v>4</v>
      </c>
      <c r="X13" s="128">
        <v>5</v>
      </c>
      <c r="Y13" s="108" t="s">
        <v>153</v>
      </c>
      <c r="Z13" s="128"/>
      <c r="AA13" s="128"/>
      <c r="AB13" s="128"/>
      <c r="AC13" s="38"/>
      <c r="AD13" s="38"/>
      <c r="AE13" s="128"/>
      <c r="AF13" s="128"/>
      <c r="AG13" s="128"/>
      <c r="AH13" s="128"/>
      <c r="AI13" s="108"/>
      <c r="AJ13" s="38"/>
      <c r="AK13" s="128"/>
      <c r="AL13" s="38"/>
      <c r="AM13" s="128"/>
      <c r="AN13" s="38"/>
      <c r="AO13" s="128"/>
      <c r="AP13" s="38"/>
      <c r="AQ13" s="62"/>
      <c r="AR13" s="108"/>
      <c r="AS13" s="27"/>
    </row>
    <row r="14" spans="1:45" x14ac:dyDescent="0.25">
      <c r="A14" s="83" t="s">
        <v>11</v>
      </c>
      <c r="B14" s="160" t="s">
        <v>118</v>
      </c>
      <c r="C14" s="166">
        <v>15</v>
      </c>
      <c r="D14" s="168">
        <v>1</v>
      </c>
      <c r="E14" s="151"/>
      <c r="F14" s="129">
        <f>AVERAGE(X14,V14,I14,J14,K14,L14,N14,O14,P14,Q14,R14,S14,T14,U14,W14,Y14)</f>
        <v>4.875</v>
      </c>
      <c r="G14" s="56"/>
      <c r="H14" s="108"/>
      <c r="I14" s="209">
        <v>5</v>
      </c>
      <c r="J14" s="297">
        <v>6</v>
      </c>
      <c r="K14" s="128">
        <v>5</v>
      </c>
      <c r="L14" s="128">
        <v>4</v>
      </c>
      <c r="M14" s="38"/>
      <c r="N14" s="108">
        <v>4</v>
      </c>
      <c r="O14" s="128">
        <v>4</v>
      </c>
      <c r="P14" s="108">
        <v>5</v>
      </c>
      <c r="Q14" s="303">
        <v>3</v>
      </c>
      <c r="R14" s="128">
        <v>5</v>
      </c>
      <c r="S14" s="128">
        <v>5</v>
      </c>
      <c r="T14" s="128">
        <v>5</v>
      </c>
      <c r="U14" s="128">
        <v>5</v>
      </c>
      <c r="V14" s="108">
        <v>5</v>
      </c>
      <c r="W14" s="128">
        <v>5</v>
      </c>
      <c r="X14" s="128">
        <v>5</v>
      </c>
      <c r="Y14" s="344">
        <v>7</v>
      </c>
      <c r="Z14" s="128"/>
      <c r="AA14" s="128"/>
      <c r="AB14" s="128"/>
      <c r="AC14" s="38"/>
      <c r="AD14" s="58"/>
      <c r="AE14" s="128"/>
      <c r="AF14" s="128"/>
      <c r="AG14" s="128"/>
      <c r="AH14" s="128"/>
      <c r="AI14" s="108"/>
      <c r="AJ14" s="38"/>
      <c r="AK14" s="128"/>
      <c r="AL14" s="38"/>
      <c r="AM14" s="128"/>
      <c r="AN14" s="38"/>
      <c r="AO14" s="128"/>
      <c r="AP14" s="66"/>
      <c r="AQ14" s="62"/>
      <c r="AR14" s="108"/>
      <c r="AS14" s="27"/>
    </row>
    <row r="15" spans="1:45" s="141" customFormat="1" x14ac:dyDescent="0.25">
      <c r="A15" s="83" t="s">
        <v>11</v>
      </c>
      <c r="B15" s="132" t="s">
        <v>615</v>
      </c>
      <c r="C15" s="166">
        <v>13</v>
      </c>
      <c r="D15" s="168"/>
      <c r="E15" s="151">
        <v>1</v>
      </c>
      <c r="F15" s="129">
        <f>AVERAGE(X15,L15,M15,O15,P15,Q15,R15,S15,T15,U15,V15,W15,Y15)</f>
        <v>5.2307692307692308</v>
      </c>
      <c r="G15" s="56"/>
      <c r="H15" s="108"/>
      <c r="I15" s="209"/>
      <c r="J15" s="209"/>
      <c r="K15" s="128"/>
      <c r="L15" s="128">
        <v>5</v>
      </c>
      <c r="M15" s="38">
        <v>6</v>
      </c>
      <c r="N15" s="108"/>
      <c r="O15" s="283">
        <v>7</v>
      </c>
      <c r="P15" s="108">
        <v>5</v>
      </c>
      <c r="Q15" s="128">
        <v>5</v>
      </c>
      <c r="R15" s="128">
        <v>4</v>
      </c>
      <c r="S15" s="128">
        <v>5</v>
      </c>
      <c r="T15" s="128">
        <v>5</v>
      </c>
      <c r="U15" s="128">
        <v>5</v>
      </c>
      <c r="V15" s="108">
        <v>6</v>
      </c>
      <c r="W15" s="128">
        <v>5</v>
      </c>
      <c r="X15" s="128">
        <v>5</v>
      </c>
      <c r="Y15" s="128">
        <v>5</v>
      </c>
      <c r="Z15" s="128"/>
      <c r="AA15" s="128"/>
      <c r="AB15" s="128"/>
      <c r="AC15" s="38"/>
      <c r="AD15" s="58"/>
      <c r="AE15" s="128"/>
      <c r="AF15" s="128"/>
      <c r="AG15" s="128"/>
      <c r="AH15" s="128"/>
      <c r="AI15" s="108"/>
      <c r="AJ15" s="38"/>
      <c r="AK15" s="128"/>
      <c r="AL15" s="38"/>
      <c r="AM15" s="128"/>
      <c r="AN15" s="38"/>
      <c r="AO15" s="128"/>
      <c r="AP15" s="66"/>
      <c r="AQ15" s="62"/>
      <c r="AR15" s="108"/>
      <c r="AS15" s="174"/>
    </row>
    <row r="16" spans="1:45" s="141" customFormat="1" x14ac:dyDescent="0.25">
      <c r="A16" s="83" t="s">
        <v>11</v>
      </c>
      <c r="B16" s="77" t="s">
        <v>734</v>
      </c>
      <c r="C16" s="166">
        <v>3</v>
      </c>
      <c r="D16" s="168">
        <v>1</v>
      </c>
      <c r="E16" s="151"/>
      <c r="F16" s="129">
        <f>AVERAGE(P16,V16,Y16)</f>
        <v>5.333333333333333</v>
      </c>
      <c r="G16" s="56"/>
      <c r="H16" s="108"/>
      <c r="I16" s="209"/>
      <c r="J16" s="209"/>
      <c r="K16" s="128"/>
      <c r="L16" s="128"/>
      <c r="M16" s="38"/>
      <c r="N16" s="108" t="s">
        <v>153</v>
      </c>
      <c r="O16" s="128"/>
      <c r="P16" s="108">
        <v>5</v>
      </c>
      <c r="Q16" s="128"/>
      <c r="R16" s="128"/>
      <c r="S16" s="128"/>
      <c r="T16" s="128"/>
      <c r="U16" s="128"/>
      <c r="V16" s="108">
        <v>6</v>
      </c>
      <c r="W16" s="128"/>
      <c r="X16" s="128"/>
      <c r="Y16" s="128">
        <v>5</v>
      </c>
      <c r="Z16" s="128"/>
      <c r="AA16" s="128"/>
      <c r="AB16" s="128"/>
      <c r="AC16" s="38"/>
      <c r="AD16" s="58"/>
      <c r="AE16" s="128"/>
      <c r="AF16" s="128"/>
      <c r="AG16" s="128"/>
      <c r="AH16" s="128"/>
      <c r="AI16" s="108"/>
      <c r="AJ16" s="38"/>
      <c r="AK16" s="128"/>
      <c r="AL16" s="38"/>
      <c r="AM16" s="128"/>
      <c r="AN16" s="38"/>
      <c r="AO16" s="128"/>
      <c r="AP16" s="66"/>
      <c r="AQ16" s="62"/>
      <c r="AR16" s="108"/>
      <c r="AS16" s="174"/>
    </row>
    <row r="17" spans="1:45" x14ac:dyDescent="0.25">
      <c r="A17" s="13" t="s">
        <v>11</v>
      </c>
      <c r="B17" s="14" t="s">
        <v>119</v>
      </c>
      <c r="C17" s="170">
        <v>8</v>
      </c>
      <c r="D17" s="171">
        <v>1</v>
      </c>
      <c r="E17" s="14"/>
      <c r="F17" s="34">
        <f>AVERAGE(H17,I17,J17,G17,K17,M17,N17,O17)</f>
        <v>5.25</v>
      </c>
      <c r="G17" s="56">
        <v>5</v>
      </c>
      <c r="H17" s="290">
        <v>7</v>
      </c>
      <c r="I17" s="108">
        <v>5</v>
      </c>
      <c r="J17" s="108">
        <v>4</v>
      </c>
      <c r="K17" s="128">
        <v>6</v>
      </c>
      <c r="L17" s="128"/>
      <c r="M17" s="38">
        <v>5</v>
      </c>
      <c r="N17" s="108">
        <v>5</v>
      </c>
      <c r="O17" s="128">
        <v>5</v>
      </c>
      <c r="P17" s="108"/>
      <c r="Q17" s="108" t="s">
        <v>153</v>
      </c>
      <c r="R17" s="128"/>
      <c r="S17" s="128"/>
      <c r="T17" s="128"/>
      <c r="U17" s="128"/>
      <c r="V17" s="108"/>
      <c r="W17" s="128"/>
      <c r="X17" s="128"/>
      <c r="Y17" s="128"/>
      <c r="Z17" s="128"/>
      <c r="AA17" s="128"/>
      <c r="AB17" s="128"/>
      <c r="AC17" s="38"/>
      <c r="AD17" s="38"/>
      <c r="AE17" s="128"/>
      <c r="AF17" s="128"/>
      <c r="AG17" s="128"/>
      <c r="AH17" s="128"/>
      <c r="AI17" s="108"/>
      <c r="AJ17" s="38"/>
      <c r="AK17" s="128"/>
      <c r="AL17" s="38"/>
      <c r="AM17" s="128"/>
      <c r="AN17" s="38"/>
      <c r="AO17" s="128"/>
      <c r="AP17" s="38"/>
      <c r="AQ17" s="62"/>
      <c r="AR17" s="108"/>
      <c r="AS17" s="27"/>
    </row>
    <row r="18" spans="1:45" x14ac:dyDescent="0.25">
      <c r="A18" s="83" t="s">
        <v>29</v>
      </c>
      <c r="B18" s="160" t="s">
        <v>120</v>
      </c>
      <c r="C18" s="166">
        <v>6</v>
      </c>
      <c r="D18" s="168">
        <v>2</v>
      </c>
      <c r="E18" s="160"/>
      <c r="F18" s="129">
        <f>AVERAGE(M18,N18,O18,S18,T18,W18)</f>
        <v>5.5</v>
      </c>
      <c r="G18" s="56" t="s">
        <v>153</v>
      </c>
      <c r="H18" s="108"/>
      <c r="I18" s="108"/>
      <c r="J18" s="108"/>
      <c r="K18" s="128"/>
      <c r="L18" s="128"/>
      <c r="M18" s="38">
        <v>6</v>
      </c>
      <c r="N18" s="290">
        <v>7</v>
      </c>
      <c r="O18" s="128">
        <v>4</v>
      </c>
      <c r="P18" s="108" t="s">
        <v>153</v>
      </c>
      <c r="Q18" s="128"/>
      <c r="R18" s="128"/>
      <c r="S18" s="128">
        <v>5</v>
      </c>
      <c r="T18" s="108">
        <v>5</v>
      </c>
      <c r="U18" s="128"/>
      <c r="V18" s="108"/>
      <c r="W18" s="128">
        <v>6</v>
      </c>
      <c r="X18" s="128"/>
      <c r="Y18" s="128"/>
      <c r="Z18" s="128"/>
      <c r="AA18" s="128"/>
      <c r="AB18" s="108"/>
      <c r="AC18" s="38"/>
      <c r="AD18" s="56"/>
      <c r="AE18" s="108"/>
      <c r="AF18" s="108"/>
      <c r="AG18" s="108"/>
      <c r="AH18" s="108"/>
      <c r="AI18" s="108"/>
      <c r="AJ18" s="38"/>
      <c r="AK18" s="128"/>
      <c r="AL18" s="38"/>
      <c r="AM18" s="128"/>
      <c r="AN18" s="62"/>
      <c r="AO18" s="108"/>
      <c r="AP18" s="62"/>
      <c r="AQ18" s="62"/>
      <c r="AR18" s="108"/>
      <c r="AS18" s="27"/>
    </row>
    <row r="19" spans="1:45" s="141" customFormat="1" x14ac:dyDescent="0.25">
      <c r="A19" s="54" t="s">
        <v>29</v>
      </c>
      <c r="B19" s="122" t="s">
        <v>639</v>
      </c>
      <c r="C19" s="156">
        <v>1</v>
      </c>
      <c r="D19" s="157"/>
      <c r="E19" s="122"/>
      <c r="F19" s="310">
        <f>AVERAGE(G19)</f>
        <v>5</v>
      </c>
      <c r="G19" s="249">
        <v>5</v>
      </c>
      <c r="H19" s="251"/>
      <c r="I19" s="251"/>
      <c r="J19" s="251"/>
      <c r="K19" s="250"/>
      <c r="L19" s="250"/>
      <c r="M19" s="157"/>
      <c r="N19" s="251"/>
      <c r="O19" s="250"/>
      <c r="P19" s="251"/>
      <c r="Q19" s="250"/>
      <c r="R19" s="250"/>
      <c r="S19" s="250"/>
      <c r="T19" s="251"/>
      <c r="U19" s="250"/>
      <c r="V19" s="251"/>
      <c r="W19" s="250"/>
      <c r="X19" s="250"/>
      <c r="Y19" s="250"/>
      <c r="Z19" s="250"/>
      <c r="AA19" s="250"/>
      <c r="AB19" s="251"/>
      <c r="AC19" s="157"/>
      <c r="AD19" s="249"/>
      <c r="AE19" s="251"/>
      <c r="AF19" s="251"/>
      <c r="AG19" s="251"/>
      <c r="AH19" s="251"/>
      <c r="AI19" s="251"/>
      <c r="AJ19" s="157"/>
      <c r="AK19" s="250"/>
      <c r="AL19" s="157"/>
      <c r="AM19" s="250"/>
      <c r="AN19" s="278"/>
      <c r="AO19" s="251"/>
      <c r="AP19" s="278"/>
      <c r="AQ19" s="278"/>
      <c r="AR19" s="251"/>
      <c r="AS19" s="174"/>
    </row>
    <row r="20" spans="1:45" x14ac:dyDescent="0.25">
      <c r="A20" s="83" t="s">
        <v>29</v>
      </c>
      <c r="B20" s="28" t="s">
        <v>280</v>
      </c>
      <c r="C20" s="166">
        <v>10</v>
      </c>
      <c r="D20" s="168">
        <v>3</v>
      </c>
      <c r="E20" s="160">
        <v>1</v>
      </c>
      <c r="F20" s="129">
        <f>AVERAGE(H20,I20,J20,G20,K20,P20,R20,U20,W20,Y20)</f>
        <v>5.5</v>
      </c>
      <c r="G20" s="56">
        <v>6</v>
      </c>
      <c r="H20" s="108">
        <v>5</v>
      </c>
      <c r="I20" s="108">
        <v>5</v>
      </c>
      <c r="J20" s="108">
        <v>5</v>
      </c>
      <c r="K20" s="128">
        <v>5</v>
      </c>
      <c r="L20" s="128"/>
      <c r="M20" s="38"/>
      <c r="N20" s="108"/>
      <c r="O20" s="108" t="s">
        <v>153</v>
      </c>
      <c r="P20" s="108">
        <v>5</v>
      </c>
      <c r="Q20" s="108"/>
      <c r="R20" s="128">
        <v>5</v>
      </c>
      <c r="S20" s="108" t="s">
        <v>153</v>
      </c>
      <c r="T20" s="128"/>
      <c r="U20" s="128">
        <v>5</v>
      </c>
      <c r="V20" s="108"/>
      <c r="W20" s="283">
        <v>7</v>
      </c>
      <c r="X20" s="108" t="s">
        <v>153</v>
      </c>
      <c r="Y20" s="282">
        <v>7</v>
      </c>
      <c r="Z20" s="128"/>
      <c r="AA20" s="128"/>
      <c r="AB20" s="128"/>
      <c r="AC20" s="38"/>
      <c r="AD20" s="128"/>
      <c r="AE20" s="128"/>
      <c r="AF20" s="128"/>
      <c r="AG20" s="128"/>
      <c r="AH20" s="128"/>
      <c r="AI20" s="108"/>
      <c r="AJ20" s="38"/>
      <c r="AK20" s="128"/>
      <c r="AL20" s="38"/>
      <c r="AM20" s="128"/>
      <c r="AN20" s="38"/>
      <c r="AO20" s="128"/>
      <c r="AP20" s="38"/>
      <c r="AQ20" s="62"/>
      <c r="AR20" s="108"/>
      <c r="AS20" s="27"/>
    </row>
    <row r="21" spans="1:45" x14ac:dyDescent="0.25">
      <c r="A21" s="83" t="s">
        <v>29</v>
      </c>
      <c r="B21" s="28" t="s">
        <v>121</v>
      </c>
      <c r="C21" s="166">
        <v>12</v>
      </c>
      <c r="D21" s="168">
        <v>2</v>
      </c>
      <c r="E21" s="160">
        <v>1</v>
      </c>
      <c r="F21" s="129">
        <f>AVERAGE(K21,L21,M21,O21,P21,Q21,R21,S21,U21,V21,X21,Y21)</f>
        <v>5.25</v>
      </c>
      <c r="G21" s="56"/>
      <c r="H21" s="68"/>
      <c r="I21" s="108"/>
      <c r="J21" s="108"/>
      <c r="K21" s="283">
        <v>7</v>
      </c>
      <c r="L21" s="128">
        <v>6</v>
      </c>
      <c r="M21" s="38">
        <v>5</v>
      </c>
      <c r="N21" s="108" t="s">
        <v>153</v>
      </c>
      <c r="O21" s="128">
        <v>5</v>
      </c>
      <c r="P21" s="108">
        <v>4</v>
      </c>
      <c r="Q21" s="128">
        <v>5</v>
      </c>
      <c r="R21" s="128">
        <v>4</v>
      </c>
      <c r="S21" s="282">
        <v>7</v>
      </c>
      <c r="T21" s="108" t="s">
        <v>153</v>
      </c>
      <c r="U21" s="128">
        <v>4</v>
      </c>
      <c r="V21" s="108">
        <v>6</v>
      </c>
      <c r="W21" s="128"/>
      <c r="X21" s="128">
        <v>4</v>
      </c>
      <c r="Y21" s="128">
        <v>6</v>
      </c>
      <c r="Z21" s="128"/>
      <c r="AA21" s="128"/>
      <c r="AB21" s="128"/>
      <c r="AC21" s="38"/>
      <c r="AD21" s="58"/>
      <c r="AE21" s="128"/>
      <c r="AF21" s="128"/>
      <c r="AG21" s="128"/>
      <c r="AH21" s="128"/>
      <c r="AI21" s="108"/>
      <c r="AJ21" s="62"/>
      <c r="AK21" s="108"/>
      <c r="AL21" s="62"/>
      <c r="AM21" s="128"/>
      <c r="AN21" s="38"/>
      <c r="AO21" s="128"/>
      <c r="AP21" s="62"/>
      <c r="AQ21" s="62"/>
      <c r="AR21" s="108"/>
      <c r="AS21" s="27"/>
    </row>
    <row r="22" spans="1:45" x14ac:dyDescent="0.25">
      <c r="A22" s="83" t="s">
        <v>29</v>
      </c>
      <c r="B22" s="28" t="s">
        <v>36</v>
      </c>
      <c r="C22" s="166">
        <v>2</v>
      </c>
      <c r="D22" s="168">
        <v>6</v>
      </c>
      <c r="E22" s="160">
        <v>1</v>
      </c>
      <c r="F22" s="129">
        <f>AVERAGE(L22,N22)</f>
        <v>5.5</v>
      </c>
      <c r="G22" s="60"/>
      <c r="H22" s="108"/>
      <c r="I22" s="108"/>
      <c r="J22" s="108" t="s">
        <v>153</v>
      </c>
      <c r="K22" s="108" t="s">
        <v>153</v>
      </c>
      <c r="L22" s="128">
        <v>5</v>
      </c>
      <c r="M22" s="62" t="s">
        <v>153</v>
      </c>
      <c r="N22" s="57">
        <v>6</v>
      </c>
      <c r="O22" s="128"/>
      <c r="P22" s="108"/>
      <c r="Q22" s="108" t="s">
        <v>153</v>
      </c>
      <c r="R22" s="108" t="s">
        <v>153</v>
      </c>
      <c r="S22" s="108" t="s">
        <v>153</v>
      </c>
      <c r="T22" s="128"/>
      <c r="U22" s="128"/>
      <c r="V22" s="108"/>
      <c r="W22" s="128"/>
      <c r="X22" s="128"/>
      <c r="Y22" s="128"/>
      <c r="Z22" s="128"/>
      <c r="AA22" s="128"/>
      <c r="AB22" s="108"/>
      <c r="AC22" s="38"/>
      <c r="AD22" s="58"/>
      <c r="AE22" s="128"/>
      <c r="AF22" s="128"/>
      <c r="AG22" s="128"/>
      <c r="AH22" s="128"/>
      <c r="AI22" s="108"/>
      <c r="AJ22" s="38"/>
      <c r="AK22" s="108"/>
      <c r="AL22" s="38"/>
      <c r="AM22" s="128"/>
      <c r="AN22" s="62"/>
      <c r="AO22" s="128"/>
      <c r="AP22" s="62"/>
      <c r="AQ22" s="62"/>
      <c r="AR22" s="108"/>
      <c r="AS22" s="27"/>
    </row>
    <row r="23" spans="1:45" s="116" customFormat="1" x14ac:dyDescent="0.25">
      <c r="A23" s="83" t="s">
        <v>29</v>
      </c>
      <c r="B23" s="28" t="s">
        <v>387</v>
      </c>
      <c r="C23" s="166">
        <v>18</v>
      </c>
      <c r="D23" s="168"/>
      <c r="E23" s="160">
        <v>2</v>
      </c>
      <c r="F23" s="129">
        <f>AVERAGE(X23,V23,U23,H23,I23,J23,K23,L23,M23,N23,O23,P23,Q23,R23,S23,T23,W23,Y23)</f>
        <v>5.2222222222222223</v>
      </c>
      <c r="G23" s="60"/>
      <c r="H23" s="108">
        <v>5</v>
      </c>
      <c r="I23" s="302">
        <v>3</v>
      </c>
      <c r="J23" s="108">
        <v>5</v>
      </c>
      <c r="K23" s="108">
        <v>5</v>
      </c>
      <c r="L23" s="283">
        <v>7</v>
      </c>
      <c r="M23" s="38">
        <v>6</v>
      </c>
      <c r="N23" s="108">
        <v>5</v>
      </c>
      <c r="O23" s="128">
        <v>5</v>
      </c>
      <c r="P23" s="108">
        <v>4</v>
      </c>
      <c r="Q23" s="128">
        <v>6</v>
      </c>
      <c r="R23" s="128">
        <v>5</v>
      </c>
      <c r="S23" s="283">
        <v>7</v>
      </c>
      <c r="T23" s="128">
        <v>5</v>
      </c>
      <c r="U23" s="128">
        <v>5</v>
      </c>
      <c r="V23" s="108">
        <v>6</v>
      </c>
      <c r="W23" s="128">
        <v>5</v>
      </c>
      <c r="X23" s="128">
        <v>5</v>
      </c>
      <c r="Y23" s="128">
        <v>5</v>
      </c>
      <c r="Z23" s="128"/>
      <c r="AA23" s="128"/>
      <c r="AB23" s="108"/>
      <c r="AC23" s="38"/>
      <c r="AD23" s="56"/>
      <c r="AE23" s="128"/>
      <c r="AF23" s="108"/>
      <c r="AG23" s="108"/>
      <c r="AH23" s="128"/>
      <c r="AI23" s="108"/>
      <c r="AJ23" s="38"/>
      <c r="AK23" s="128"/>
      <c r="AL23" s="38"/>
      <c r="AM23" s="128"/>
      <c r="AN23" s="38"/>
      <c r="AO23" s="128"/>
      <c r="AP23" s="38"/>
      <c r="AQ23" s="62"/>
      <c r="AR23" s="108"/>
      <c r="AS23" s="120"/>
    </row>
    <row r="24" spans="1:45" s="141" customFormat="1" x14ac:dyDescent="0.25">
      <c r="A24" s="83" t="s">
        <v>29</v>
      </c>
      <c r="B24" s="160" t="s">
        <v>117</v>
      </c>
      <c r="C24" s="166">
        <v>13</v>
      </c>
      <c r="D24" s="168">
        <v>3</v>
      </c>
      <c r="E24" s="132">
        <v>1</v>
      </c>
      <c r="F24" s="129">
        <f>AVERAGE(X24,H24,I24,J24,G24,K24,L24,Q24,S24,T24,U24,V24,Y24)</f>
        <v>5.1538461538461542</v>
      </c>
      <c r="G24" s="327">
        <v>5</v>
      </c>
      <c r="H24" s="108">
        <v>5</v>
      </c>
      <c r="I24" s="108">
        <v>4</v>
      </c>
      <c r="J24" s="297">
        <v>5</v>
      </c>
      <c r="K24" s="108">
        <v>5</v>
      </c>
      <c r="L24" s="128">
        <v>5</v>
      </c>
      <c r="M24" s="62" t="s">
        <v>153</v>
      </c>
      <c r="N24" s="108"/>
      <c r="O24" s="128"/>
      <c r="P24" s="108" t="s">
        <v>153</v>
      </c>
      <c r="Q24" s="69">
        <v>6</v>
      </c>
      <c r="R24" s="108" t="s">
        <v>153</v>
      </c>
      <c r="S24" s="282">
        <v>7</v>
      </c>
      <c r="T24" s="128">
        <v>5</v>
      </c>
      <c r="U24" s="128">
        <v>5</v>
      </c>
      <c r="V24" s="108">
        <v>4</v>
      </c>
      <c r="W24" s="128"/>
      <c r="X24" s="128">
        <v>5</v>
      </c>
      <c r="Y24" s="128">
        <v>6</v>
      </c>
      <c r="Z24" s="128"/>
      <c r="AA24" s="128"/>
      <c r="AB24" s="108"/>
      <c r="AC24" s="38"/>
      <c r="AD24" s="56"/>
      <c r="AE24" s="128"/>
      <c r="AF24" s="108"/>
      <c r="AG24" s="108"/>
      <c r="AH24" s="128"/>
      <c r="AI24" s="108"/>
      <c r="AJ24" s="38"/>
      <c r="AK24" s="128"/>
      <c r="AL24" s="38"/>
      <c r="AM24" s="128"/>
      <c r="AN24" s="38"/>
      <c r="AO24" s="128"/>
      <c r="AP24" s="38"/>
      <c r="AQ24" s="62"/>
      <c r="AR24" s="108"/>
      <c r="AS24" s="174"/>
    </row>
    <row r="25" spans="1:45" s="116" customFormat="1" x14ac:dyDescent="0.25">
      <c r="A25" s="83" t="s">
        <v>29</v>
      </c>
      <c r="B25" s="28" t="s">
        <v>386</v>
      </c>
      <c r="C25" s="166">
        <v>6</v>
      </c>
      <c r="D25" s="168">
        <v>10</v>
      </c>
      <c r="E25" s="160"/>
      <c r="F25" s="129">
        <f>AVERAGE(L25,N25,P25,U25,W25,Y25)</f>
        <v>4.666666666666667</v>
      </c>
      <c r="G25" s="60" t="s">
        <v>153</v>
      </c>
      <c r="H25" s="108"/>
      <c r="I25" s="108" t="s">
        <v>153</v>
      </c>
      <c r="J25" s="108"/>
      <c r="K25" s="108" t="s">
        <v>153</v>
      </c>
      <c r="L25" s="282">
        <v>7</v>
      </c>
      <c r="M25" s="62" t="s">
        <v>153</v>
      </c>
      <c r="N25" s="108">
        <v>4</v>
      </c>
      <c r="O25" s="108" t="s">
        <v>153</v>
      </c>
      <c r="P25" s="108">
        <v>4</v>
      </c>
      <c r="Q25" s="108" t="s">
        <v>153</v>
      </c>
      <c r="R25" s="108" t="s">
        <v>153</v>
      </c>
      <c r="S25" s="128"/>
      <c r="T25" s="108" t="s">
        <v>153</v>
      </c>
      <c r="U25" s="128">
        <v>4</v>
      </c>
      <c r="V25" s="108" t="s">
        <v>153</v>
      </c>
      <c r="W25" s="128">
        <v>5</v>
      </c>
      <c r="X25" s="108" t="s">
        <v>153</v>
      </c>
      <c r="Y25" s="128">
        <v>4</v>
      </c>
      <c r="Z25" s="128"/>
      <c r="AA25" s="128"/>
      <c r="AB25" s="108"/>
      <c r="AC25" s="38"/>
      <c r="AD25" s="58"/>
      <c r="AE25" s="128"/>
      <c r="AF25" s="128"/>
      <c r="AG25" s="128"/>
      <c r="AH25" s="128"/>
      <c r="AI25" s="108"/>
      <c r="AJ25" s="38"/>
      <c r="AK25" s="128"/>
      <c r="AL25" s="62"/>
      <c r="AM25" s="108"/>
      <c r="AN25" s="66"/>
      <c r="AO25" s="128"/>
      <c r="AP25" s="66"/>
      <c r="AQ25" s="62"/>
      <c r="AR25" s="108"/>
      <c r="AS25" s="120"/>
    </row>
    <row r="26" spans="1:45" s="141" customFormat="1" x14ac:dyDescent="0.25">
      <c r="A26" s="83" t="s">
        <v>29</v>
      </c>
      <c r="B26" s="40" t="s">
        <v>776</v>
      </c>
      <c r="C26" s="168">
        <v>1</v>
      </c>
      <c r="D26" s="168">
        <v>3</v>
      </c>
      <c r="E26" s="160"/>
      <c r="F26" s="129">
        <f>AVERAGE(V26)</f>
        <v>5</v>
      </c>
      <c r="G26" s="60"/>
      <c r="H26" s="108"/>
      <c r="I26" s="108"/>
      <c r="J26" s="108"/>
      <c r="K26" s="108"/>
      <c r="L26" s="108"/>
      <c r="M26" s="62"/>
      <c r="N26" s="108"/>
      <c r="O26" s="108"/>
      <c r="P26" s="108" t="s">
        <v>153</v>
      </c>
      <c r="Q26" s="128"/>
      <c r="R26" s="128"/>
      <c r="S26" s="128"/>
      <c r="T26" s="108" t="s">
        <v>153</v>
      </c>
      <c r="U26" s="128"/>
      <c r="V26" s="108">
        <v>5</v>
      </c>
      <c r="W26" s="108" t="s">
        <v>153</v>
      </c>
      <c r="X26" s="128"/>
      <c r="Y26" s="128"/>
      <c r="Z26" s="128"/>
      <c r="AA26" s="128"/>
      <c r="AB26" s="108"/>
      <c r="AC26" s="38"/>
      <c r="AD26" s="58"/>
      <c r="AE26" s="128"/>
      <c r="AF26" s="128"/>
      <c r="AG26" s="128"/>
      <c r="AH26" s="128"/>
      <c r="AI26" s="108"/>
      <c r="AJ26" s="38"/>
      <c r="AK26" s="128"/>
      <c r="AL26" s="62"/>
      <c r="AM26" s="108"/>
      <c r="AN26" s="66"/>
      <c r="AO26" s="128"/>
      <c r="AP26" s="66"/>
      <c r="AQ26" s="62"/>
      <c r="AR26" s="108"/>
      <c r="AS26" s="174"/>
    </row>
    <row r="27" spans="1:45" x14ac:dyDescent="0.25">
      <c r="A27" s="206" t="s">
        <v>29</v>
      </c>
      <c r="B27" s="51" t="s">
        <v>109</v>
      </c>
      <c r="C27" s="320"/>
      <c r="D27" s="320">
        <v>1</v>
      </c>
      <c r="E27" s="51"/>
      <c r="F27" s="34"/>
      <c r="G27" s="213" t="s">
        <v>153</v>
      </c>
      <c r="H27" s="192"/>
      <c r="I27" s="192"/>
      <c r="J27" s="192"/>
      <c r="K27" s="180"/>
      <c r="L27" s="192"/>
      <c r="M27" s="181"/>
      <c r="N27" s="192"/>
      <c r="O27" s="180"/>
      <c r="P27" s="192"/>
      <c r="Q27" s="180"/>
      <c r="R27" s="180"/>
      <c r="S27" s="180"/>
      <c r="T27" s="180"/>
      <c r="U27" s="180"/>
      <c r="V27" s="192"/>
      <c r="W27" s="180"/>
      <c r="X27" s="180"/>
      <c r="Y27" s="180"/>
      <c r="Z27" s="180"/>
      <c r="AA27" s="180"/>
      <c r="AB27" s="180"/>
      <c r="AC27" s="182"/>
      <c r="AD27" s="183"/>
      <c r="AE27" s="180"/>
      <c r="AF27" s="180"/>
      <c r="AG27" s="180"/>
      <c r="AH27" s="180"/>
      <c r="AI27" s="192"/>
      <c r="AJ27" s="182"/>
      <c r="AK27" s="180"/>
      <c r="AL27" s="182"/>
      <c r="AM27" s="180"/>
      <c r="AN27" s="182"/>
      <c r="AO27" s="180"/>
      <c r="AP27" s="182"/>
      <c r="AQ27" s="181"/>
      <c r="AR27" s="192"/>
      <c r="AS27" s="27"/>
    </row>
    <row r="28" spans="1:45" x14ac:dyDescent="0.25">
      <c r="A28" s="83" t="s">
        <v>30</v>
      </c>
      <c r="B28" s="160" t="s">
        <v>279</v>
      </c>
      <c r="C28" s="166">
        <v>7</v>
      </c>
      <c r="D28" s="168">
        <v>6</v>
      </c>
      <c r="E28" s="160">
        <v>5</v>
      </c>
      <c r="F28" s="129">
        <f>AVERAGE(H28,J28,G28,S28,T28,V28,W28)</f>
        <v>4.8571428571428568</v>
      </c>
      <c r="G28" s="56">
        <v>4</v>
      </c>
      <c r="H28" s="108">
        <v>4</v>
      </c>
      <c r="I28" s="108" t="s">
        <v>153</v>
      </c>
      <c r="J28" s="204">
        <v>4</v>
      </c>
      <c r="K28" s="57" t="s">
        <v>153</v>
      </c>
      <c r="L28" s="57" t="s">
        <v>546</v>
      </c>
      <c r="M28" s="38"/>
      <c r="N28" s="108"/>
      <c r="O28" s="128"/>
      <c r="P28" s="108"/>
      <c r="Q28" s="128"/>
      <c r="R28" s="108"/>
      <c r="S28" s="57">
        <v>6</v>
      </c>
      <c r="T28" s="108">
        <v>5</v>
      </c>
      <c r="U28" s="204" t="s">
        <v>153</v>
      </c>
      <c r="V28" s="108">
        <v>4</v>
      </c>
      <c r="W28" s="283">
        <v>7</v>
      </c>
      <c r="X28" s="204" t="s">
        <v>153</v>
      </c>
      <c r="Y28" s="108" t="s">
        <v>153</v>
      </c>
      <c r="Z28" s="69"/>
      <c r="AA28" s="128"/>
      <c r="AB28" s="69"/>
      <c r="AC28" s="38"/>
      <c r="AD28" s="66"/>
      <c r="AE28" s="128"/>
      <c r="AF28" s="128"/>
      <c r="AG28" s="128"/>
      <c r="AH28" s="128"/>
      <c r="AI28" s="108"/>
      <c r="AJ28" s="62"/>
      <c r="AK28" s="128"/>
      <c r="AL28" s="38"/>
      <c r="AM28" s="128"/>
      <c r="AN28" s="38"/>
      <c r="AO28" s="128"/>
      <c r="AP28" s="38"/>
      <c r="AQ28" s="62"/>
      <c r="AR28" s="108"/>
      <c r="AS28" s="27"/>
    </row>
    <row r="29" spans="1:45" s="91" customFormat="1" x14ac:dyDescent="0.25">
      <c r="A29" s="83" t="s">
        <v>30</v>
      </c>
      <c r="B29" s="28" t="s">
        <v>362</v>
      </c>
      <c r="C29" s="166">
        <v>3</v>
      </c>
      <c r="D29" s="168">
        <v>1</v>
      </c>
      <c r="E29" s="160">
        <v>1</v>
      </c>
      <c r="F29" s="129">
        <f>AVERAGE(G29,J29)</f>
        <v>5.5</v>
      </c>
      <c r="G29" s="56">
        <v>5</v>
      </c>
      <c r="H29" s="68" t="s">
        <v>153</v>
      </c>
      <c r="I29" s="68" t="s">
        <v>555</v>
      </c>
      <c r="J29" s="57">
        <v>6</v>
      </c>
      <c r="K29" s="128"/>
      <c r="L29" s="128"/>
      <c r="M29" s="62"/>
      <c r="N29" s="108"/>
      <c r="O29" s="128"/>
      <c r="P29" s="108"/>
      <c r="Q29" s="69"/>
      <c r="R29" s="108"/>
      <c r="S29" s="128"/>
      <c r="T29" s="128"/>
      <c r="U29" s="128"/>
      <c r="V29" s="108"/>
      <c r="W29" s="128"/>
      <c r="X29" s="128"/>
      <c r="Y29" s="128"/>
      <c r="Z29" s="128"/>
      <c r="AA29" s="128"/>
      <c r="AB29" s="128"/>
      <c r="AC29" s="38"/>
      <c r="AD29" s="58"/>
      <c r="AE29" s="128"/>
      <c r="AF29" s="128"/>
      <c r="AG29" s="128"/>
      <c r="AH29" s="128"/>
      <c r="AI29" s="108"/>
      <c r="AJ29" s="38"/>
      <c r="AK29" s="128"/>
      <c r="AL29" s="38"/>
      <c r="AM29" s="128"/>
      <c r="AN29" s="38"/>
      <c r="AO29" s="128"/>
      <c r="AP29" s="38"/>
      <c r="AQ29" s="62"/>
      <c r="AR29" s="108"/>
      <c r="AS29" s="103"/>
    </row>
    <row r="30" spans="1:45" x14ac:dyDescent="0.25">
      <c r="A30" s="83" t="s">
        <v>30</v>
      </c>
      <c r="B30" s="28" t="s">
        <v>333</v>
      </c>
      <c r="C30" s="166">
        <v>1</v>
      </c>
      <c r="D30" s="168">
        <v>3</v>
      </c>
      <c r="E30" s="160"/>
      <c r="F30" s="129">
        <f>AVERAGE(X30)</f>
        <v>4</v>
      </c>
      <c r="G30" s="198"/>
      <c r="H30" s="108"/>
      <c r="I30" s="108"/>
      <c r="J30" s="57"/>
      <c r="K30" s="108"/>
      <c r="L30" s="108"/>
      <c r="M30" s="62"/>
      <c r="N30" s="108"/>
      <c r="O30" s="128"/>
      <c r="P30" s="108"/>
      <c r="Q30" s="108"/>
      <c r="R30" s="128"/>
      <c r="S30" s="128"/>
      <c r="T30" s="128"/>
      <c r="U30" s="108" t="s">
        <v>153</v>
      </c>
      <c r="V30" s="108" t="s">
        <v>153</v>
      </c>
      <c r="W30" s="108" t="s">
        <v>153</v>
      </c>
      <c r="X30" s="128">
        <v>4</v>
      </c>
      <c r="Y30" s="128"/>
      <c r="Z30" s="128"/>
      <c r="AA30" s="128"/>
      <c r="AB30" s="108"/>
      <c r="AC30" s="62"/>
      <c r="AD30" s="58"/>
      <c r="AE30" s="108"/>
      <c r="AF30" s="128"/>
      <c r="AG30" s="128"/>
      <c r="AH30" s="128"/>
      <c r="AI30" s="108"/>
      <c r="AJ30" s="38"/>
      <c r="AK30" s="128"/>
      <c r="AL30" s="38"/>
      <c r="AM30" s="128"/>
      <c r="AN30" s="38"/>
      <c r="AO30" s="128"/>
      <c r="AP30" s="38"/>
      <c r="AQ30" s="62"/>
      <c r="AR30" s="108"/>
      <c r="AS30" s="27"/>
    </row>
    <row r="31" spans="1:45" s="141" customFormat="1" x14ac:dyDescent="0.25">
      <c r="A31" s="83" t="s">
        <v>30</v>
      </c>
      <c r="B31" s="40" t="s">
        <v>318</v>
      </c>
      <c r="C31" s="166">
        <v>17</v>
      </c>
      <c r="D31" s="168">
        <v>2</v>
      </c>
      <c r="E31" s="160">
        <v>11</v>
      </c>
      <c r="F31" s="129">
        <f>AVERAGE(X31,V31,U31,H31,I31,J31,G31,K31,L31,M31,N31,O31,P31,Q31,R31,S31,T31,Y31)</f>
        <v>5.2777777777777777</v>
      </c>
      <c r="G31" s="213">
        <v>4</v>
      </c>
      <c r="H31" s="57">
        <v>6</v>
      </c>
      <c r="I31" s="108">
        <v>5</v>
      </c>
      <c r="J31" s="204">
        <v>4</v>
      </c>
      <c r="K31" s="108">
        <v>4</v>
      </c>
      <c r="L31" s="57">
        <v>6</v>
      </c>
      <c r="M31" s="67">
        <v>6</v>
      </c>
      <c r="N31" s="108">
        <v>4</v>
      </c>
      <c r="O31" s="69">
        <v>6</v>
      </c>
      <c r="P31" s="57">
        <v>5</v>
      </c>
      <c r="Q31" s="108">
        <v>5</v>
      </c>
      <c r="R31" s="283">
        <v>7</v>
      </c>
      <c r="S31" s="283">
        <v>8</v>
      </c>
      <c r="T31" s="69">
        <v>6</v>
      </c>
      <c r="U31" s="69">
        <v>6</v>
      </c>
      <c r="V31" s="108">
        <v>4</v>
      </c>
      <c r="W31" s="108" t="s">
        <v>153</v>
      </c>
      <c r="X31" s="128">
        <v>4</v>
      </c>
      <c r="Y31" s="128">
        <v>5</v>
      </c>
      <c r="Z31" s="128"/>
      <c r="AA31" s="128"/>
      <c r="AB31" s="108"/>
      <c r="AC31" s="62"/>
      <c r="AD31" s="58"/>
      <c r="AE31" s="108"/>
      <c r="AF31" s="128"/>
      <c r="AG31" s="128"/>
      <c r="AH31" s="128"/>
      <c r="AI31" s="108"/>
      <c r="AJ31" s="38"/>
      <c r="AK31" s="128"/>
      <c r="AL31" s="38"/>
      <c r="AM31" s="128"/>
      <c r="AN31" s="38"/>
      <c r="AO31" s="128"/>
      <c r="AP31" s="38"/>
      <c r="AQ31" s="62"/>
      <c r="AR31" s="108"/>
      <c r="AS31" s="174"/>
    </row>
    <row r="32" spans="1:45" s="141" customFormat="1" x14ac:dyDescent="0.25">
      <c r="A32" s="83" t="s">
        <v>30</v>
      </c>
      <c r="B32" s="40" t="s">
        <v>519</v>
      </c>
      <c r="C32" s="166">
        <v>9</v>
      </c>
      <c r="D32" s="168"/>
      <c r="E32" s="160">
        <v>3</v>
      </c>
      <c r="F32" s="129">
        <f>AVERAGE(H32,K32,L32,M32,N32,O32,Q32,Y32)</f>
        <v>5.125</v>
      </c>
      <c r="G32" s="198"/>
      <c r="H32" s="108">
        <v>4</v>
      </c>
      <c r="I32" s="108"/>
      <c r="J32" s="57"/>
      <c r="K32" s="294">
        <v>7</v>
      </c>
      <c r="L32" s="108">
        <v>4</v>
      </c>
      <c r="M32" s="67">
        <v>6</v>
      </c>
      <c r="N32" s="108">
        <v>4</v>
      </c>
      <c r="O32" s="69">
        <v>6</v>
      </c>
      <c r="P32" s="108"/>
      <c r="Q32" s="108">
        <v>6</v>
      </c>
      <c r="R32" s="128" t="s">
        <v>554</v>
      </c>
      <c r="S32" s="128"/>
      <c r="T32" s="128"/>
      <c r="U32" s="128"/>
      <c r="V32" s="108"/>
      <c r="W32" s="128"/>
      <c r="X32" s="128"/>
      <c r="Y32" s="128">
        <v>4</v>
      </c>
      <c r="Z32" s="128"/>
      <c r="AA32" s="128"/>
      <c r="AB32" s="108"/>
      <c r="AC32" s="62"/>
      <c r="AD32" s="58"/>
      <c r="AE32" s="108"/>
      <c r="AF32" s="128"/>
      <c r="AG32" s="128"/>
      <c r="AH32" s="128"/>
      <c r="AI32" s="108"/>
      <c r="AJ32" s="38"/>
      <c r="AK32" s="128"/>
      <c r="AL32" s="38"/>
      <c r="AM32" s="128"/>
      <c r="AN32" s="38"/>
      <c r="AO32" s="128"/>
      <c r="AP32" s="38"/>
      <c r="AQ32" s="62"/>
      <c r="AR32" s="108"/>
      <c r="AS32" s="174"/>
    </row>
    <row r="33" spans="1:45" s="141" customFormat="1" x14ac:dyDescent="0.25">
      <c r="A33" s="83" t="s">
        <v>30</v>
      </c>
      <c r="B33" s="77" t="s">
        <v>187</v>
      </c>
      <c r="C33" s="166"/>
      <c r="D33" s="168">
        <v>3</v>
      </c>
      <c r="E33" s="160"/>
      <c r="F33" s="129"/>
      <c r="G33" s="198"/>
      <c r="H33" s="108" t="s">
        <v>153</v>
      </c>
      <c r="I33" s="108"/>
      <c r="J33" s="204" t="s">
        <v>153</v>
      </c>
      <c r="K33" s="108"/>
      <c r="L33" s="108"/>
      <c r="M33" s="62"/>
      <c r="N33" s="108" t="s">
        <v>153</v>
      </c>
      <c r="O33" s="128"/>
      <c r="P33" s="108"/>
      <c r="Q33" s="108"/>
      <c r="R33" s="128"/>
      <c r="S33" s="128"/>
      <c r="T33" s="128"/>
      <c r="U33" s="128"/>
      <c r="V33" s="108"/>
      <c r="W33" s="128"/>
      <c r="X33" s="128"/>
      <c r="Y33" s="128"/>
      <c r="Z33" s="128"/>
      <c r="AA33" s="128"/>
      <c r="AB33" s="108"/>
      <c r="AC33" s="62"/>
      <c r="AD33" s="58"/>
      <c r="AE33" s="108"/>
      <c r="AF33" s="128"/>
      <c r="AG33" s="128"/>
      <c r="AH33" s="128"/>
      <c r="AI33" s="108"/>
      <c r="AJ33" s="38"/>
      <c r="AK33" s="128"/>
      <c r="AL33" s="38"/>
      <c r="AM33" s="128"/>
      <c r="AN33" s="38"/>
      <c r="AO33" s="128"/>
      <c r="AP33" s="38"/>
      <c r="AQ33" s="62"/>
      <c r="AR33" s="108"/>
      <c r="AS33" s="174"/>
    </row>
    <row r="34" spans="1:45" s="116" customFormat="1" ht="15.75" thickBot="1" x14ac:dyDescent="0.3">
      <c r="A34" s="3" t="s">
        <v>30</v>
      </c>
      <c r="B34" s="197" t="s">
        <v>374</v>
      </c>
      <c r="C34" s="167"/>
      <c r="D34" s="169">
        <v>2</v>
      </c>
      <c r="E34" s="4"/>
      <c r="F34" s="33"/>
      <c r="G34" s="56"/>
      <c r="H34" s="108" t="s">
        <v>153</v>
      </c>
      <c r="I34" s="108"/>
      <c r="J34" s="108"/>
      <c r="K34" s="128"/>
      <c r="L34" s="108" t="s">
        <v>153</v>
      </c>
      <c r="M34" s="38"/>
      <c r="N34" s="108"/>
      <c r="O34" s="128"/>
      <c r="P34" s="108"/>
      <c r="Q34" s="108"/>
      <c r="R34" s="128"/>
      <c r="S34" s="128"/>
      <c r="T34" s="128"/>
      <c r="U34" s="108"/>
      <c r="V34" s="108"/>
      <c r="W34" s="128"/>
      <c r="X34" s="108"/>
      <c r="Y34" s="128"/>
      <c r="Z34" s="108"/>
      <c r="AA34" s="108"/>
      <c r="AB34" s="128"/>
      <c r="AC34" s="38"/>
      <c r="AD34" s="58"/>
      <c r="AE34" s="128"/>
      <c r="AF34" s="128"/>
      <c r="AG34" s="128"/>
      <c r="AH34" s="128"/>
      <c r="AI34" s="108"/>
      <c r="AJ34" s="38"/>
      <c r="AK34" s="128"/>
      <c r="AL34" s="38"/>
      <c r="AM34" s="128"/>
      <c r="AN34" s="38"/>
      <c r="AO34" s="128"/>
      <c r="AP34" s="38"/>
      <c r="AQ34" s="62"/>
      <c r="AR34" s="108"/>
      <c r="AS34" s="120"/>
    </row>
    <row r="35" spans="1:45" x14ac:dyDescent="0.25">
      <c r="G35" s="36">
        <f>AVERAGE(G9,G10,G12,G13,G24,G17,G20,G28,G29,G31)</f>
        <v>5.3</v>
      </c>
      <c r="H35" s="36">
        <f>AVERAGE(H9,H12,H10,H13,H24,H17,H20,H23,H28,H31,H32)</f>
        <v>5</v>
      </c>
      <c r="I35" s="36">
        <f>AVERAGE(I8,I10,I12,I13,I24,I14,I17,I20,I23,I31)</f>
        <v>4.8</v>
      </c>
      <c r="J35" s="36">
        <f>AVERAGE(J8,J10,J12,J13,J24,J14,J17,J20,J23,J29,J31)</f>
        <v>4.9090909090909092</v>
      </c>
      <c r="K35" s="36">
        <f>AVERAGE(K9,K10,K13,K14,K17,K20,K21,K23,K24,K31,K32)</f>
        <v>5.3636363636363633</v>
      </c>
      <c r="L35" s="36">
        <f>AVERAGE(L9,L10,L14,L15,L21,L22,L23,L24,L25,L31,L32)</f>
        <v>5.3636363636363633</v>
      </c>
      <c r="M35" s="30">
        <f>AVERAGE(M9,M10,M12,M13,M15,M17,M18,M21,M23,M31,M32)</f>
        <v>5.6363636363636367</v>
      </c>
      <c r="N35" s="30">
        <f>AVERAGE(N9,N10,N13,N14,N17,N18,N22,N23,N25,N31,N32)</f>
        <v>4.5454545454545459</v>
      </c>
      <c r="O35" s="30">
        <f>AVERAGE(O9,O10,O12,O13,O15,O17,O18,O21,O23,O31,O32)</f>
        <v>5.2727272727272725</v>
      </c>
      <c r="P35" s="30">
        <f>AVERAGE(P9,P12,P13,P14,P15,P16,P20,P21,P23,P25,P31)</f>
        <v>5</v>
      </c>
      <c r="Q35" s="30">
        <f>AVERAGE(Q9,Q10,Q12,Q13,Q14,Q15,Q21,Q23,Q24,Q31,Q32)</f>
        <v>5.0909090909090908</v>
      </c>
      <c r="R35" s="30">
        <f>AVERAGE(R9,R10,R12,R13,R14,R15,R20,R21,R23,R31)</f>
        <v>4.8</v>
      </c>
      <c r="S35" s="30">
        <f>AVERAGE(S9,S10,S12,S14,S15,S18,S21,S23,S24,S28,S31)</f>
        <v>5.9090909090909092</v>
      </c>
      <c r="T35" s="30">
        <f>AVERAGE(T9,T10,T12,T13,T14,T15,T18,T23,T24,T28,T31)</f>
        <v>5</v>
      </c>
      <c r="U35" s="30">
        <f>AVERAGE(U9,U10,U12,U14,U15,U20,U21,U23,U24,U25,U31)</f>
        <v>4.9090909090909092</v>
      </c>
      <c r="V35" s="30">
        <f>AVERAGE(V9,V13,V14,V15,V16,V21,V23,V24,V26,V28,V31)</f>
        <v>5.4545454545454541</v>
      </c>
      <c r="W35" s="30">
        <f>AVERAGE(W9,W10,W12,W13,W14,W15,W18,W20,W23,W25,W28)</f>
        <v>5.2727272727272725</v>
      </c>
      <c r="X35" s="30">
        <f>AVERAGE(X9,X10,X12,X13,X14,X15,X21,X24,X23,X30,X31)</f>
        <v>4.6363636363636367</v>
      </c>
      <c r="Y35" s="30">
        <f>AVERAGE(Y9,Y14,Y15,Y16,Y20,Y21,Y23,Y24,Y25,Y31,Y32)</f>
        <v>5.5454545454545459</v>
      </c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S37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2" max="2" width="11.7109375" customWidth="1"/>
    <col min="7" max="7" width="4.5703125" customWidth="1"/>
    <col min="8" max="35" width="4.7109375" customWidth="1"/>
    <col min="36" max="36" width="4.5703125" customWidth="1"/>
    <col min="37" max="44" width="4.7109375" customWidth="1"/>
  </cols>
  <sheetData>
    <row r="1" spans="1:45" x14ac:dyDescent="0.25">
      <c r="A1" t="s">
        <v>123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24" t="s">
        <v>625</v>
      </c>
      <c r="H7" s="24" t="s">
        <v>561</v>
      </c>
      <c r="I7" s="24" t="s">
        <v>568</v>
      </c>
      <c r="J7" s="26" t="s">
        <v>595</v>
      </c>
      <c r="K7" s="26" t="s">
        <v>653</v>
      </c>
      <c r="L7" s="26" t="s">
        <v>683</v>
      </c>
      <c r="M7" s="26" t="s">
        <v>712</v>
      </c>
      <c r="N7" s="26" t="s">
        <v>732</v>
      </c>
      <c r="O7" s="26" t="s">
        <v>739</v>
      </c>
      <c r="P7" s="79" t="s">
        <v>778</v>
      </c>
      <c r="Q7" s="96" t="s">
        <v>797</v>
      </c>
      <c r="R7" s="101" t="s">
        <v>818</v>
      </c>
      <c r="S7" s="101" t="s">
        <v>836</v>
      </c>
      <c r="T7" s="101" t="s">
        <v>863</v>
      </c>
      <c r="U7" s="101" t="s">
        <v>875</v>
      </c>
      <c r="V7" s="112" t="s">
        <v>914</v>
      </c>
      <c r="W7" s="119" t="s">
        <v>939</v>
      </c>
      <c r="X7" s="119" t="s">
        <v>959</v>
      </c>
      <c r="Y7" s="119" t="s">
        <v>974</v>
      </c>
      <c r="Z7" s="119"/>
      <c r="AA7" s="119"/>
      <c r="AB7" s="119"/>
      <c r="AC7" s="119"/>
      <c r="AD7" s="119"/>
      <c r="AE7" s="126"/>
      <c r="AF7" s="119"/>
      <c r="AG7" s="119"/>
      <c r="AH7" s="119"/>
      <c r="AI7" s="119"/>
      <c r="AJ7" s="126"/>
      <c r="AK7" s="126"/>
      <c r="AL7" s="146"/>
      <c r="AM7" s="173"/>
      <c r="AN7" s="26"/>
      <c r="AO7" s="26"/>
      <c r="AP7" s="26"/>
      <c r="AQ7" s="26"/>
      <c r="AR7" s="26"/>
    </row>
    <row r="8" spans="1:45" x14ac:dyDescent="0.25">
      <c r="A8" s="22" t="s">
        <v>8</v>
      </c>
      <c r="B8" s="41" t="s">
        <v>124</v>
      </c>
      <c r="C8" s="149">
        <v>2</v>
      </c>
      <c r="D8" s="150"/>
      <c r="E8" s="148"/>
      <c r="F8" s="35">
        <f>AVERAGE(H8,G8)</f>
        <v>5.5</v>
      </c>
      <c r="G8" s="56">
        <v>6</v>
      </c>
      <c r="H8" s="61">
        <v>5</v>
      </c>
      <c r="I8" s="67"/>
      <c r="J8" s="128"/>
      <c r="K8" s="69"/>
      <c r="L8" s="69"/>
      <c r="M8" s="128"/>
      <c r="N8" s="128"/>
      <c r="O8" s="128"/>
      <c r="P8" s="128"/>
      <c r="Q8" s="128"/>
      <c r="R8" s="69"/>
      <c r="S8" s="128"/>
      <c r="T8" s="69"/>
      <c r="U8" s="128"/>
      <c r="V8" s="128"/>
      <c r="W8" s="128"/>
      <c r="X8" s="128"/>
      <c r="Y8" s="128"/>
      <c r="Z8" s="128"/>
      <c r="AA8" s="128"/>
      <c r="AB8" s="69"/>
      <c r="AC8" s="69"/>
      <c r="AD8" s="128"/>
      <c r="AE8" s="69"/>
      <c r="AF8" s="66"/>
      <c r="AG8" s="128"/>
      <c r="AH8" s="128"/>
      <c r="AI8" s="128"/>
      <c r="AJ8" s="38"/>
      <c r="AK8" s="38"/>
      <c r="AL8" s="128"/>
      <c r="AM8" s="66"/>
      <c r="AN8" s="128"/>
      <c r="AO8" s="69"/>
      <c r="AP8" s="38"/>
      <c r="AQ8" s="128"/>
      <c r="AR8" s="38"/>
      <c r="AS8" s="27"/>
    </row>
    <row r="9" spans="1:45" x14ac:dyDescent="0.25">
      <c r="A9" s="83" t="s">
        <v>8</v>
      </c>
      <c r="B9" s="160" t="s">
        <v>125</v>
      </c>
      <c r="C9" s="166">
        <v>5</v>
      </c>
      <c r="D9" s="168"/>
      <c r="E9" s="164"/>
      <c r="F9" s="129">
        <f>AVERAGE(I9,J9,K9,L9,M9)</f>
        <v>5.4</v>
      </c>
      <c r="G9" s="56"/>
      <c r="H9" s="128"/>
      <c r="I9" s="128">
        <v>6</v>
      </c>
      <c r="J9" s="69">
        <v>6</v>
      </c>
      <c r="K9" s="128">
        <v>5</v>
      </c>
      <c r="L9" s="128">
        <v>6</v>
      </c>
      <c r="M9" s="128">
        <v>4</v>
      </c>
      <c r="N9" s="128"/>
      <c r="O9" s="128"/>
      <c r="P9" s="128"/>
      <c r="Q9" s="128"/>
      <c r="R9" s="128"/>
      <c r="S9" s="128"/>
      <c r="T9" s="128"/>
      <c r="U9" s="128"/>
      <c r="V9" s="128"/>
      <c r="W9" s="69"/>
      <c r="X9" s="128"/>
      <c r="Y9" s="69"/>
      <c r="Z9" s="128"/>
      <c r="AA9" s="128"/>
      <c r="AB9" s="128"/>
      <c r="AC9" s="128"/>
      <c r="AD9" s="128"/>
      <c r="AE9" s="128"/>
      <c r="AF9" s="38"/>
      <c r="AG9" s="128"/>
      <c r="AH9" s="128"/>
      <c r="AI9" s="128"/>
      <c r="AJ9" s="38"/>
      <c r="AK9" s="38"/>
      <c r="AL9" s="128"/>
      <c r="AM9" s="38"/>
      <c r="AN9" s="128"/>
      <c r="AO9" s="128"/>
      <c r="AP9" s="66"/>
      <c r="AQ9" s="128"/>
      <c r="AR9" s="38"/>
      <c r="AS9" s="27"/>
    </row>
    <row r="10" spans="1:45" x14ac:dyDescent="0.25">
      <c r="A10" s="13" t="s">
        <v>8</v>
      </c>
      <c r="B10" s="14" t="s">
        <v>126</v>
      </c>
      <c r="C10" s="170">
        <v>12</v>
      </c>
      <c r="D10" s="171"/>
      <c r="E10" s="172"/>
      <c r="F10" s="34">
        <f>AVERAGE(N10,O10,P10,Q10,R10,S10,T10,U10,V10,W10,X10,Y10)</f>
        <v>5.416666666666667</v>
      </c>
      <c r="G10" s="56"/>
      <c r="H10" s="128"/>
      <c r="I10" s="128"/>
      <c r="J10" s="128"/>
      <c r="K10" s="128"/>
      <c r="L10" s="128"/>
      <c r="M10" s="128"/>
      <c r="N10" s="128">
        <v>6</v>
      </c>
      <c r="O10" s="128">
        <v>5</v>
      </c>
      <c r="P10" s="283">
        <v>7</v>
      </c>
      <c r="Q10" s="69">
        <v>5</v>
      </c>
      <c r="R10" s="128">
        <v>6</v>
      </c>
      <c r="S10" s="128">
        <v>5</v>
      </c>
      <c r="T10" s="128">
        <v>5</v>
      </c>
      <c r="U10" s="128">
        <v>5</v>
      </c>
      <c r="V10" s="128">
        <v>4</v>
      </c>
      <c r="W10" s="128">
        <v>6</v>
      </c>
      <c r="X10" s="128">
        <v>5</v>
      </c>
      <c r="Y10" s="128">
        <v>6</v>
      </c>
      <c r="Z10" s="128"/>
      <c r="AA10" s="128"/>
      <c r="AB10" s="128"/>
      <c r="AC10" s="128"/>
      <c r="AD10" s="128"/>
      <c r="AE10" s="128"/>
      <c r="AF10" s="38"/>
      <c r="AG10" s="128"/>
      <c r="AH10" s="128"/>
      <c r="AI10" s="128"/>
      <c r="AJ10" s="38"/>
      <c r="AK10" s="38"/>
      <c r="AL10" s="128"/>
      <c r="AM10" s="38"/>
      <c r="AN10" s="128"/>
      <c r="AO10" s="128"/>
      <c r="AP10" s="38"/>
      <c r="AQ10" s="128"/>
      <c r="AR10" s="38"/>
      <c r="AS10" s="27"/>
    </row>
    <row r="11" spans="1:45" x14ac:dyDescent="0.25">
      <c r="A11" s="83" t="s">
        <v>11</v>
      </c>
      <c r="B11" s="160" t="s">
        <v>127</v>
      </c>
      <c r="C11" s="166">
        <v>18</v>
      </c>
      <c r="D11" s="168"/>
      <c r="E11" s="164">
        <v>1</v>
      </c>
      <c r="F11" s="129">
        <f>AVERAGE(Y11,W11,V11,T11,H11,I11,G11,K11,L11,M11,N11,O11,P11,Q11,R11,S11,U11,X11)</f>
        <v>5.2777777777777777</v>
      </c>
      <c r="G11" s="327">
        <v>5</v>
      </c>
      <c r="H11" s="108">
        <v>6</v>
      </c>
      <c r="I11" s="128">
        <v>5</v>
      </c>
      <c r="J11" s="108"/>
      <c r="K11" s="128">
        <v>5</v>
      </c>
      <c r="L11" s="128">
        <v>5</v>
      </c>
      <c r="M11" s="283">
        <v>7</v>
      </c>
      <c r="N11" s="128">
        <v>5</v>
      </c>
      <c r="O11" s="108">
        <v>5</v>
      </c>
      <c r="P11" s="282">
        <v>7</v>
      </c>
      <c r="Q11" s="128">
        <v>5</v>
      </c>
      <c r="R11" s="128">
        <v>5</v>
      </c>
      <c r="S11" s="128">
        <v>5</v>
      </c>
      <c r="T11" s="128">
        <v>5</v>
      </c>
      <c r="U11" s="128">
        <v>6</v>
      </c>
      <c r="V11" s="128">
        <v>4</v>
      </c>
      <c r="W11" s="128">
        <v>5</v>
      </c>
      <c r="X11" s="128">
        <v>5</v>
      </c>
      <c r="Y11" s="128">
        <v>5</v>
      </c>
      <c r="Z11" s="128"/>
      <c r="AA11" s="128"/>
      <c r="AB11" s="128"/>
      <c r="AC11" s="128"/>
      <c r="AD11" s="128"/>
      <c r="AE11" s="128"/>
      <c r="AF11" s="38"/>
      <c r="AG11" s="128"/>
      <c r="AH11" s="128"/>
      <c r="AI11" s="128"/>
      <c r="AJ11" s="38"/>
      <c r="AK11" s="38"/>
      <c r="AL11" s="128"/>
      <c r="AM11" s="38"/>
      <c r="AN11" s="128"/>
      <c r="AO11" s="128"/>
      <c r="AP11" s="38"/>
      <c r="AQ11" s="128"/>
      <c r="AR11" s="38"/>
      <c r="AS11" s="27"/>
    </row>
    <row r="12" spans="1:45" x14ac:dyDescent="0.25">
      <c r="A12" s="83" t="s">
        <v>11</v>
      </c>
      <c r="B12" s="160" t="s">
        <v>270</v>
      </c>
      <c r="C12" s="166">
        <v>12</v>
      </c>
      <c r="D12" s="168">
        <v>4</v>
      </c>
      <c r="E12" s="164"/>
      <c r="F12" s="129">
        <f>AVERAGE(Y12,H12,G12,K12,L12,M12,P12,Q12,R12,S12,U12,W12)</f>
        <v>4.75</v>
      </c>
      <c r="G12" s="327">
        <v>5</v>
      </c>
      <c r="H12" s="108">
        <v>4</v>
      </c>
      <c r="I12" s="108" t="s">
        <v>153</v>
      </c>
      <c r="J12" s="108" t="s">
        <v>153</v>
      </c>
      <c r="K12" s="128">
        <v>5</v>
      </c>
      <c r="L12" s="128">
        <v>5</v>
      </c>
      <c r="M12" s="128">
        <v>5</v>
      </c>
      <c r="N12" s="128"/>
      <c r="O12" s="128"/>
      <c r="P12" s="128">
        <v>6</v>
      </c>
      <c r="Q12" s="128">
        <v>5</v>
      </c>
      <c r="R12" s="128">
        <v>4</v>
      </c>
      <c r="S12" s="128">
        <v>4</v>
      </c>
      <c r="T12" s="108" t="s">
        <v>153</v>
      </c>
      <c r="U12" s="128">
        <v>5</v>
      </c>
      <c r="V12" s="128"/>
      <c r="W12" s="128">
        <v>5</v>
      </c>
      <c r="X12" s="108" t="s">
        <v>555</v>
      </c>
      <c r="Y12" s="108">
        <v>4</v>
      </c>
      <c r="Z12" s="108"/>
      <c r="AA12" s="108"/>
      <c r="AB12" s="108"/>
      <c r="AC12" s="108"/>
      <c r="AD12" s="128"/>
      <c r="AE12" s="128"/>
      <c r="AF12" s="38"/>
      <c r="AG12" s="128"/>
      <c r="AH12" s="128"/>
      <c r="AI12" s="108"/>
      <c r="AJ12" s="38"/>
      <c r="AK12" s="62"/>
      <c r="AL12" s="128"/>
      <c r="AM12" s="38"/>
      <c r="AN12" s="128"/>
      <c r="AO12" s="128"/>
      <c r="AP12" s="38"/>
      <c r="AQ12" s="128"/>
      <c r="AR12" s="38"/>
      <c r="AS12" s="27"/>
    </row>
    <row r="13" spans="1:45" x14ac:dyDescent="0.25">
      <c r="A13" s="83" t="s">
        <v>11</v>
      </c>
      <c r="B13" s="28" t="s">
        <v>319</v>
      </c>
      <c r="C13" s="166"/>
      <c r="D13" s="168"/>
      <c r="E13" s="176"/>
      <c r="F13" s="129"/>
      <c r="G13" s="56"/>
      <c r="H13" s="108"/>
      <c r="I13" s="108"/>
      <c r="J13" s="10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38"/>
      <c r="AG13" s="128"/>
      <c r="AH13" s="128"/>
      <c r="AI13" s="128"/>
      <c r="AJ13" s="38"/>
      <c r="AK13" s="38"/>
      <c r="AL13" s="128"/>
      <c r="AM13" s="38"/>
      <c r="AN13" s="128"/>
      <c r="AO13" s="128"/>
      <c r="AP13" s="38"/>
      <c r="AQ13" s="128"/>
      <c r="AR13" s="38"/>
      <c r="AS13" s="27"/>
    </row>
    <row r="14" spans="1:45" x14ac:dyDescent="0.25">
      <c r="A14" s="83" t="s">
        <v>11</v>
      </c>
      <c r="B14" s="28" t="s">
        <v>128</v>
      </c>
      <c r="C14" s="166">
        <v>18</v>
      </c>
      <c r="D14" s="168"/>
      <c r="E14" s="164">
        <v>1</v>
      </c>
      <c r="F14" s="129">
        <f>AVERAGE(Y14,W14,V14,T14,H14,I14,J14,K14,L14,M14,N14,O14,P14,Q14,R14,S14,U14,X14)</f>
        <v>5.2777777777777777</v>
      </c>
      <c r="G14" s="60"/>
      <c r="H14" s="62">
        <v>5</v>
      </c>
      <c r="I14" s="108">
        <v>6</v>
      </c>
      <c r="J14" s="108">
        <v>5</v>
      </c>
      <c r="K14" s="128">
        <v>6</v>
      </c>
      <c r="L14" s="128">
        <v>5</v>
      </c>
      <c r="M14" s="128">
        <v>5</v>
      </c>
      <c r="N14" s="128">
        <v>5</v>
      </c>
      <c r="O14" s="70">
        <v>5</v>
      </c>
      <c r="P14" s="128">
        <v>6</v>
      </c>
      <c r="Q14" s="128">
        <v>6</v>
      </c>
      <c r="R14" s="128">
        <v>6</v>
      </c>
      <c r="S14" s="283">
        <v>7</v>
      </c>
      <c r="T14" s="128">
        <v>5</v>
      </c>
      <c r="U14" s="70">
        <v>4</v>
      </c>
      <c r="V14" s="128">
        <v>4</v>
      </c>
      <c r="W14" s="128">
        <v>5</v>
      </c>
      <c r="X14" s="128">
        <v>5</v>
      </c>
      <c r="Y14" s="128">
        <v>5</v>
      </c>
      <c r="Z14" s="128"/>
      <c r="AA14" s="128"/>
      <c r="AB14" s="128"/>
      <c r="AC14" s="128"/>
      <c r="AD14" s="128"/>
      <c r="AE14" s="128"/>
      <c r="AF14" s="38"/>
      <c r="AG14" s="128"/>
      <c r="AH14" s="128"/>
      <c r="AI14" s="128"/>
      <c r="AJ14" s="38"/>
      <c r="AK14" s="38"/>
      <c r="AL14" s="128"/>
      <c r="AM14" s="66"/>
      <c r="AN14" s="128"/>
      <c r="AO14" s="128"/>
      <c r="AP14" s="38"/>
      <c r="AQ14" s="128"/>
      <c r="AR14" s="38"/>
      <c r="AS14" s="27"/>
    </row>
    <row r="15" spans="1:45" s="116" customFormat="1" x14ac:dyDescent="0.25">
      <c r="A15" s="83" t="s">
        <v>11</v>
      </c>
      <c r="B15" s="28" t="s">
        <v>370</v>
      </c>
      <c r="C15" s="166">
        <v>17</v>
      </c>
      <c r="D15" s="168">
        <v>1</v>
      </c>
      <c r="E15" s="164">
        <v>1</v>
      </c>
      <c r="F15" s="129">
        <f>AVERAGE(W15,V15,T15,H15,I15,J15,G15,K15,L15,M15,N15,O15,Q15,R15,S15,U15,X15,Y15)</f>
        <v>5.3888888888888893</v>
      </c>
      <c r="G15" s="56">
        <v>5</v>
      </c>
      <c r="H15" s="108">
        <v>4</v>
      </c>
      <c r="I15" s="108">
        <v>5</v>
      </c>
      <c r="J15" s="108">
        <v>5</v>
      </c>
      <c r="K15" s="128">
        <v>5</v>
      </c>
      <c r="L15" s="128">
        <v>5</v>
      </c>
      <c r="M15" s="282">
        <v>7</v>
      </c>
      <c r="N15" s="128">
        <v>5</v>
      </c>
      <c r="O15" s="128">
        <v>5</v>
      </c>
      <c r="P15" s="128"/>
      <c r="Q15" s="128">
        <v>4</v>
      </c>
      <c r="R15" s="128">
        <v>6</v>
      </c>
      <c r="S15" s="128">
        <v>6</v>
      </c>
      <c r="T15" s="283">
        <v>8</v>
      </c>
      <c r="U15" s="128">
        <v>6</v>
      </c>
      <c r="V15" s="128">
        <v>5</v>
      </c>
      <c r="W15" s="128">
        <v>4</v>
      </c>
      <c r="X15" s="282">
        <v>7</v>
      </c>
      <c r="Y15" s="108">
        <v>5</v>
      </c>
      <c r="Z15" s="128"/>
      <c r="AA15" s="128"/>
      <c r="AB15" s="128"/>
      <c r="AC15" s="128"/>
      <c r="AD15" s="69"/>
      <c r="AE15" s="128"/>
      <c r="AF15" s="38"/>
      <c r="AG15" s="69"/>
      <c r="AH15" s="128"/>
      <c r="AI15" s="128"/>
      <c r="AJ15" s="38"/>
      <c r="AK15" s="38"/>
      <c r="AL15" s="128"/>
      <c r="AM15" s="38"/>
      <c r="AN15" s="128"/>
      <c r="AO15" s="128"/>
      <c r="AP15" s="38"/>
      <c r="AQ15" s="128"/>
      <c r="AR15" s="38"/>
      <c r="AS15" s="120"/>
    </row>
    <row r="16" spans="1:45" s="141" customFormat="1" x14ac:dyDescent="0.25">
      <c r="A16" s="83" t="s">
        <v>11</v>
      </c>
      <c r="B16" s="28" t="s">
        <v>172</v>
      </c>
      <c r="C16" s="166">
        <v>1</v>
      </c>
      <c r="D16" s="168">
        <v>4</v>
      </c>
      <c r="E16" s="164"/>
      <c r="F16" s="129">
        <f>AVERAGE(S16)</f>
        <v>5</v>
      </c>
      <c r="G16" s="56" t="s">
        <v>153</v>
      </c>
      <c r="H16" s="108"/>
      <c r="I16" s="108"/>
      <c r="J16" s="108"/>
      <c r="K16" s="128"/>
      <c r="L16" s="128"/>
      <c r="M16" s="128"/>
      <c r="N16" s="128"/>
      <c r="O16" s="128"/>
      <c r="P16" s="108" t="s">
        <v>153</v>
      </c>
      <c r="Q16" s="128"/>
      <c r="R16" s="108" t="s">
        <v>153</v>
      </c>
      <c r="S16" s="128">
        <v>5</v>
      </c>
      <c r="T16" s="128"/>
      <c r="U16" s="128"/>
      <c r="V16" s="128"/>
      <c r="W16" s="204" t="s">
        <v>153</v>
      </c>
      <c r="X16" s="128"/>
      <c r="Y16" s="128"/>
      <c r="Z16" s="128"/>
      <c r="AA16" s="128"/>
      <c r="AB16" s="128"/>
      <c r="AC16" s="128"/>
      <c r="AD16" s="69"/>
      <c r="AE16" s="128"/>
      <c r="AF16" s="38"/>
      <c r="AG16" s="69"/>
      <c r="AH16" s="128"/>
      <c r="AI16" s="128"/>
      <c r="AJ16" s="38"/>
      <c r="AK16" s="38"/>
      <c r="AL16" s="128"/>
      <c r="AM16" s="38"/>
      <c r="AN16" s="128"/>
      <c r="AO16" s="128"/>
      <c r="AP16" s="38"/>
      <c r="AQ16" s="128"/>
      <c r="AR16" s="38"/>
      <c r="AS16" s="174"/>
    </row>
    <row r="17" spans="1:45" s="141" customFormat="1" x14ac:dyDescent="0.25">
      <c r="A17" s="83" t="s">
        <v>11</v>
      </c>
      <c r="B17" s="87" t="s">
        <v>399</v>
      </c>
      <c r="C17" s="166">
        <v>11</v>
      </c>
      <c r="D17" s="168">
        <v>1</v>
      </c>
      <c r="E17" s="164"/>
      <c r="F17" s="129">
        <f>AVERAGE(J17,M17,N17,O17,P17,Q17,T17,U17,V17,W17,Y17)</f>
        <v>5.5454545454545459</v>
      </c>
      <c r="G17" s="56"/>
      <c r="H17" s="108"/>
      <c r="I17" s="108"/>
      <c r="J17" s="108">
        <v>6</v>
      </c>
      <c r="K17" s="128"/>
      <c r="L17" s="108" t="s">
        <v>153</v>
      </c>
      <c r="M17" s="128">
        <v>6</v>
      </c>
      <c r="N17" s="128">
        <v>5</v>
      </c>
      <c r="O17" s="128">
        <v>5</v>
      </c>
      <c r="P17" s="128">
        <v>5</v>
      </c>
      <c r="Q17" s="282">
        <v>7</v>
      </c>
      <c r="R17" s="128"/>
      <c r="S17" s="128"/>
      <c r="T17" s="128">
        <v>5</v>
      </c>
      <c r="U17" s="282">
        <v>7</v>
      </c>
      <c r="V17" s="128">
        <v>5</v>
      </c>
      <c r="W17" s="128">
        <v>5</v>
      </c>
      <c r="X17" s="128"/>
      <c r="Y17" s="128">
        <v>5</v>
      </c>
      <c r="Z17" s="128"/>
      <c r="AA17" s="128"/>
      <c r="AB17" s="128"/>
      <c r="AC17" s="128"/>
      <c r="AD17" s="69"/>
      <c r="AE17" s="128"/>
      <c r="AF17" s="38"/>
      <c r="AG17" s="69"/>
      <c r="AH17" s="128"/>
      <c r="AI17" s="128"/>
      <c r="AJ17" s="38"/>
      <c r="AK17" s="38"/>
      <c r="AL17" s="128"/>
      <c r="AM17" s="38"/>
      <c r="AN17" s="128"/>
      <c r="AO17" s="128"/>
      <c r="AP17" s="38"/>
      <c r="AQ17" s="128"/>
      <c r="AR17" s="38"/>
      <c r="AS17" s="174"/>
    </row>
    <row r="18" spans="1:45" s="141" customFormat="1" x14ac:dyDescent="0.25">
      <c r="A18" s="83" t="s">
        <v>11</v>
      </c>
      <c r="B18" s="28" t="s">
        <v>520</v>
      </c>
      <c r="C18" s="166">
        <v>15</v>
      </c>
      <c r="D18" s="168">
        <v>2</v>
      </c>
      <c r="E18" s="164">
        <v>2</v>
      </c>
      <c r="F18" s="129">
        <f>AVERAGE(W18,V18,I18,J18,L18,M18,N18,O18,P18,Q18,R18,S18,T18,U18,X18,Y18)</f>
        <v>4.875</v>
      </c>
      <c r="G18" s="56"/>
      <c r="H18" s="108"/>
      <c r="I18" s="108">
        <v>4</v>
      </c>
      <c r="J18" s="108">
        <v>5</v>
      </c>
      <c r="K18" s="108" t="s">
        <v>153</v>
      </c>
      <c r="L18" s="128">
        <v>5</v>
      </c>
      <c r="M18" s="128">
        <v>5</v>
      </c>
      <c r="N18" s="128">
        <v>6</v>
      </c>
      <c r="O18" s="128">
        <v>5</v>
      </c>
      <c r="P18" s="128">
        <v>5</v>
      </c>
      <c r="Q18" s="128">
        <v>5</v>
      </c>
      <c r="R18" s="69">
        <v>5</v>
      </c>
      <c r="S18" s="69">
        <v>6</v>
      </c>
      <c r="T18" s="128">
        <v>4</v>
      </c>
      <c r="U18" s="128">
        <v>5</v>
      </c>
      <c r="V18" s="128">
        <v>6</v>
      </c>
      <c r="W18" s="128">
        <v>4</v>
      </c>
      <c r="X18" s="128">
        <v>4</v>
      </c>
      <c r="Y18" s="108">
        <v>4</v>
      </c>
      <c r="Z18" s="128"/>
      <c r="AA18" s="128"/>
      <c r="AB18" s="128"/>
      <c r="AC18" s="128"/>
      <c r="AD18" s="69"/>
      <c r="AE18" s="128"/>
      <c r="AF18" s="38"/>
      <c r="AG18" s="69"/>
      <c r="AH18" s="128"/>
      <c r="AI18" s="128"/>
      <c r="AJ18" s="38"/>
      <c r="AK18" s="38"/>
      <c r="AL18" s="128"/>
      <c r="AM18" s="38"/>
      <c r="AN18" s="128"/>
      <c r="AO18" s="128"/>
      <c r="AP18" s="38"/>
      <c r="AQ18" s="128"/>
      <c r="AR18" s="38"/>
      <c r="AS18" s="174"/>
    </row>
    <row r="19" spans="1:45" s="141" customFormat="1" x14ac:dyDescent="0.25">
      <c r="A19" s="13" t="s">
        <v>11</v>
      </c>
      <c r="B19" s="216" t="s">
        <v>491</v>
      </c>
      <c r="C19" s="170">
        <v>12</v>
      </c>
      <c r="D19" s="171">
        <v>2</v>
      </c>
      <c r="E19" s="172">
        <v>1</v>
      </c>
      <c r="F19" s="34">
        <f>AVERAGE(H19,I19,G19,K19,N19,O19,R19,S19,T19,U19,W19,Y19)</f>
        <v>4.916666666666667</v>
      </c>
      <c r="G19" s="56">
        <v>4</v>
      </c>
      <c r="H19" s="108">
        <v>5</v>
      </c>
      <c r="I19" s="108">
        <v>5</v>
      </c>
      <c r="J19" s="108"/>
      <c r="K19" s="128">
        <v>5</v>
      </c>
      <c r="L19" s="128"/>
      <c r="M19" s="108" t="s">
        <v>153</v>
      </c>
      <c r="N19" s="69">
        <v>6</v>
      </c>
      <c r="O19" s="128">
        <v>5</v>
      </c>
      <c r="P19" s="128"/>
      <c r="Q19" s="108" t="s">
        <v>153</v>
      </c>
      <c r="R19" s="128">
        <v>5</v>
      </c>
      <c r="S19" s="128">
        <v>5</v>
      </c>
      <c r="T19" s="128">
        <v>4</v>
      </c>
      <c r="U19" s="128">
        <v>5</v>
      </c>
      <c r="V19" s="128"/>
      <c r="W19" s="128">
        <v>5</v>
      </c>
      <c r="X19" s="108" t="s">
        <v>153</v>
      </c>
      <c r="Y19" s="128">
        <v>5</v>
      </c>
      <c r="Z19" s="128"/>
      <c r="AA19" s="128"/>
      <c r="AB19" s="128"/>
      <c r="AC19" s="128"/>
      <c r="AD19" s="69"/>
      <c r="AE19" s="128"/>
      <c r="AF19" s="38"/>
      <c r="AG19" s="69"/>
      <c r="AH19" s="128"/>
      <c r="AI19" s="128"/>
      <c r="AJ19" s="38"/>
      <c r="AK19" s="38"/>
      <c r="AL19" s="128"/>
      <c r="AM19" s="38"/>
      <c r="AN19" s="128"/>
      <c r="AO19" s="128"/>
      <c r="AP19" s="38"/>
      <c r="AQ19" s="128"/>
      <c r="AR19" s="38"/>
      <c r="AS19" s="174"/>
    </row>
    <row r="20" spans="1:45" x14ac:dyDescent="0.25">
      <c r="A20" s="83" t="s">
        <v>29</v>
      </c>
      <c r="B20" s="28" t="s">
        <v>331</v>
      </c>
      <c r="C20" s="166"/>
      <c r="D20" s="168"/>
      <c r="E20" s="164"/>
      <c r="F20" s="114"/>
      <c r="G20" s="56"/>
      <c r="H20" s="108"/>
      <c r="I20" s="108"/>
      <c r="J20" s="108"/>
      <c r="K20" s="128"/>
      <c r="L20" s="128"/>
      <c r="M20" s="128"/>
      <c r="N20" s="128"/>
      <c r="O20" s="128"/>
      <c r="P20" s="128"/>
      <c r="Q20" s="128"/>
      <c r="R20" s="128"/>
      <c r="S20" s="128"/>
      <c r="T20" s="108"/>
      <c r="U20" s="108"/>
      <c r="V20" s="128"/>
      <c r="W20" s="108"/>
      <c r="X20" s="128"/>
      <c r="Y20" s="128"/>
      <c r="Z20" s="128"/>
      <c r="AA20" s="128"/>
      <c r="AB20" s="128"/>
      <c r="AC20" s="128"/>
      <c r="AD20" s="128"/>
      <c r="AE20" s="128"/>
      <c r="AF20" s="38"/>
      <c r="AG20" s="128"/>
      <c r="AH20" s="128"/>
      <c r="AI20" s="128"/>
      <c r="AJ20" s="38"/>
      <c r="AK20" s="38"/>
      <c r="AL20" s="128"/>
      <c r="AM20" s="38"/>
      <c r="AN20" s="128"/>
      <c r="AO20" s="128"/>
      <c r="AP20" s="62"/>
      <c r="AQ20" s="128"/>
      <c r="AR20" s="38"/>
      <c r="AS20" s="27"/>
    </row>
    <row r="21" spans="1:45" x14ac:dyDescent="0.25">
      <c r="A21" s="83" t="s">
        <v>29</v>
      </c>
      <c r="B21" s="160" t="s">
        <v>203</v>
      </c>
      <c r="C21" s="166">
        <v>6</v>
      </c>
      <c r="D21" s="168">
        <v>3</v>
      </c>
      <c r="E21" s="164"/>
      <c r="F21" s="129">
        <f>AVERAGE(H21,I21,J21,G21,K21,L21,P21)</f>
        <v>4.5714285714285712</v>
      </c>
      <c r="G21" s="56">
        <v>4</v>
      </c>
      <c r="H21" s="108">
        <v>5</v>
      </c>
      <c r="I21" s="108">
        <v>4</v>
      </c>
      <c r="J21" s="108">
        <v>5</v>
      </c>
      <c r="K21" s="108">
        <v>5</v>
      </c>
      <c r="L21" s="128">
        <v>4</v>
      </c>
      <c r="M21" s="128"/>
      <c r="N21" s="108" t="s">
        <v>153</v>
      </c>
      <c r="O21" s="204" t="s">
        <v>153</v>
      </c>
      <c r="P21" s="128">
        <v>5</v>
      </c>
      <c r="Q21" s="128"/>
      <c r="R21" s="128"/>
      <c r="S21" s="128"/>
      <c r="T21" s="108"/>
      <c r="U21" s="108"/>
      <c r="V21" s="128"/>
      <c r="W21" s="128"/>
      <c r="X21" s="108"/>
      <c r="Y21" s="128"/>
      <c r="Z21" s="69"/>
      <c r="AA21" s="128"/>
      <c r="AB21" s="69"/>
      <c r="AC21" s="128"/>
      <c r="AD21" s="128"/>
      <c r="AE21" s="128"/>
      <c r="AF21" s="62"/>
      <c r="AG21" s="108"/>
      <c r="AH21" s="128"/>
      <c r="AI21" s="128"/>
      <c r="AJ21" s="38"/>
      <c r="AK21" s="38"/>
      <c r="AL21" s="128"/>
      <c r="AM21" s="62"/>
      <c r="AN21" s="128"/>
      <c r="AO21" s="128"/>
      <c r="AP21" s="38"/>
      <c r="AQ21" s="128"/>
      <c r="AR21" s="38"/>
      <c r="AS21" s="27"/>
    </row>
    <row r="22" spans="1:45" x14ac:dyDescent="0.25">
      <c r="A22" s="83" t="s">
        <v>29</v>
      </c>
      <c r="B22" s="160" t="s">
        <v>129</v>
      </c>
      <c r="C22" s="166">
        <v>18</v>
      </c>
      <c r="D22" s="168"/>
      <c r="E22" s="164">
        <v>2</v>
      </c>
      <c r="F22" s="129">
        <f>AVERAGE(Y22,W22,V22,T22,H22,I22,J22,G22,L22,M22,N22,O22,P22,Q22,R22,S22,U22,X22)</f>
        <v>5.3888888888888893</v>
      </c>
      <c r="G22" s="56">
        <v>6</v>
      </c>
      <c r="H22" s="108">
        <v>6</v>
      </c>
      <c r="I22" s="62">
        <v>5</v>
      </c>
      <c r="J22" s="108">
        <v>6</v>
      </c>
      <c r="K22" s="128"/>
      <c r="L22" s="69">
        <v>6</v>
      </c>
      <c r="M22" s="128">
        <v>5</v>
      </c>
      <c r="N22" s="283">
        <v>7</v>
      </c>
      <c r="O22" s="128">
        <v>4</v>
      </c>
      <c r="P22" s="128">
        <v>5</v>
      </c>
      <c r="Q22" s="128">
        <v>6</v>
      </c>
      <c r="R22" s="282">
        <v>7</v>
      </c>
      <c r="S22" s="128">
        <v>5</v>
      </c>
      <c r="T22" s="128">
        <v>5</v>
      </c>
      <c r="U22" s="128">
        <v>5</v>
      </c>
      <c r="V22" s="128">
        <v>5</v>
      </c>
      <c r="W22" s="70">
        <v>4</v>
      </c>
      <c r="X22" s="128">
        <v>5</v>
      </c>
      <c r="Y22" s="128">
        <v>5</v>
      </c>
      <c r="Z22" s="128"/>
      <c r="AA22" s="128"/>
      <c r="AB22" s="128"/>
      <c r="AC22" s="128"/>
      <c r="AD22" s="128"/>
      <c r="AE22" s="108"/>
      <c r="AF22" s="38"/>
      <c r="AG22" s="128"/>
      <c r="AH22" s="128"/>
      <c r="AI22" s="128"/>
      <c r="AJ22" s="38"/>
      <c r="AK22" s="38"/>
      <c r="AL22" s="128"/>
      <c r="AM22" s="38"/>
      <c r="AN22" s="128"/>
      <c r="AO22" s="128"/>
      <c r="AP22" s="38"/>
      <c r="AQ22" s="128"/>
      <c r="AR22" s="38"/>
      <c r="AS22" s="27"/>
    </row>
    <row r="23" spans="1:45" x14ac:dyDescent="0.25">
      <c r="A23" s="83" t="s">
        <v>29</v>
      </c>
      <c r="B23" s="160" t="s">
        <v>130</v>
      </c>
      <c r="C23" s="166">
        <v>5</v>
      </c>
      <c r="D23" s="168">
        <v>2</v>
      </c>
      <c r="E23" s="164">
        <v>1</v>
      </c>
      <c r="F23" s="129">
        <f>AVERAGE(J23,G23,K23,L23)</f>
        <v>5.5</v>
      </c>
      <c r="G23" s="56">
        <v>5</v>
      </c>
      <c r="H23" s="108"/>
      <c r="I23" s="108" t="s">
        <v>153</v>
      </c>
      <c r="J23" s="108">
        <v>5</v>
      </c>
      <c r="K23" s="283">
        <v>7</v>
      </c>
      <c r="L23" s="108">
        <v>5</v>
      </c>
      <c r="M23" s="108"/>
      <c r="N23" s="108" t="s">
        <v>153</v>
      </c>
      <c r="O23" s="108"/>
      <c r="P23" s="128" t="s">
        <v>546</v>
      </c>
      <c r="Q23" s="128"/>
      <c r="R23" s="108"/>
      <c r="S23" s="128"/>
      <c r="T23" s="128"/>
      <c r="U23" s="128"/>
      <c r="V23" s="128"/>
      <c r="W23" s="128"/>
      <c r="X23" s="128"/>
      <c r="Y23" s="128"/>
      <c r="Z23" s="128"/>
      <c r="AA23" s="128"/>
      <c r="AB23" s="108"/>
      <c r="AC23" s="128"/>
      <c r="AD23" s="128"/>
      <c r="AE23" s="128"/>
      <c r="AF23" s="38"/>
      <c r="AG23" s="128"/>
      <c r="AH23" s="128"/>
      <c r="AI23" s="108"/>
      <c r="AJ23" s="38"/>
      <c r="AK23" s="38"/>
      <c r="AL23" s="128"/>
      <c r="AM23" s="62"/>
      <c r="AN23" s="128"/>
      <c r="AO23" s="108"/>
      <c r="AP23" s="38"/>
      <c r="AQ23" s="128"/>
      <c r="AR23" s="38"/>
      <c r="AS23" s="27"/>
    </row>
    <row r="24" spans="1:45" x14ac:dyDescent="0.25">
      <c r="A24" s="83" t="s">
        <v>29</v>
      </c>
      <c r="B24" s="160" t="s">
        <v>131</v>
      </c>
      <c r="C24" s="166">
        <v>1</v>
      </c>
      <c r="D24" s="168">
        <v>1</v>
      </c>
      <c r="E24" s="164"/>
      <c r="F24" s="129">
        <f>AVERAGE(Y24)</f>
        <v>4</v>
      </c>
      <c r="G24" s="56"/>
      <c r="H24" s="108"/>
      <c r="I24" s="108"/>
      <c r="J24" s="10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08" t="s">
        <v>153</v>
      </c>
      <c r="Y24" s="128">
        <v>4</v>
      </c>
      <c r="Z24" s="128"/>
      <c r="AA24" s="128"/>
      <c r="AB24" s="128"/>
      <c r="AC24" s="128"/>
      <c r="AD24" s="128"/>
      <c r="AE24" s="128"/>
      <c r="AF24" s="38"/>
      <c r="AG24" s="128"/>
      <c r="AH24" s="128"/>
      <c r="AI24" s="128"/>
      <c r="AJ24" s="38"/>
      <c r="AK24" s="38"/>
      <c r="AL24" s="128"/>
      <c r="AM24" s="38"/>
      <c r="AN24" s="128"/>
      <c r="AO24" s="128"/>
      <c r="AP24" s="38"/>
      <c r="AQ24" s="128"/>
      <c r="AR24" s="38"/>
      <c r="AS24" s="27"/>
    </row>
    <row r="25" spans="1:45" s="124" customFormat="1" x14ac:dyDescent="0.25">
      <c r="A25" s="83" t="s">
        <v>29</v>
      </c>
      <c r="B25" s="28" t="s">
        <v>391</v>
      </c>
      <c r="C25" s="166">
        <v>1</v>
      </c>
      <c r="D25" s="168"/>
      <c r="E25" s="164"/>
      <c r="F25" s="129">
        <f>AVERAGE(O25)</f>
        <v>5</v>
      </c>
      <c r="G25" s="56"/>
      <c r="H25" s="108"/>
      <c r="I25" s="108"/>
      <c r="J25" s="108"/>
      <c r="K25" s="128"/>
      <c r="L25" s="128"/>
      <c r="M25" s="128"/>
      <c r="N25" s="128"/>
      <c r="O25" s="128">
        <v>5</v>
      </c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38"/>
      <c r="AG25" s="128"/>
      <c r="AH25" s="128"/>
      <c r="AI25" s="128"/>
      <c r="AJ25" s="62"/>
      <c r="AK25" s="38"/>
      <c r="AL25" s="128"/>
      <c r="AM25" s="38"/>
      <c r="AN25" s="128"/>
      <c r="AO25" s="128"/>
      <c r="AP25" s="38"/>
      <c r="AQ25" s="128"/>
      <c r="AR25" s="38"/>
      <c r="AS25" s="127"/>
    </row>
    <row r="26" spans="1:45" s="141" customFormat="1" x14ac:dyDescent="0.25">
      <c r="A26" s="83" t="s">
        <v>29</v>
      </c>
      <c r="B26" s="28" t="s">
        <v>397</v>
      </c>
      <c r="C26" s="166"/>
      <c r="D26" s="168"/>
      <c r="E26" s="164"/>
      <c r="F26" s="129"/>
      <c r="G26" s="56"/>
      <c r="H26" s="108"/>
      <c r="I26" s="108"/>
      <c r="J26" s="10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38"/>
      <c r="AG26" s="128"/>
      <c r="AH26" s="128"/>
      <c r="AI26" s="128"/>
      <c r="AJ26" s="62"/>
      <c r="AK26" s="38"/>
      <c r="AL26" s="128"/>
      <c r="AM26" s="38"/>
      <c r="AN26" s="128"/>
      <c r="AO26" s="128"/>
      <c r="AP26" s="128"/>
      <c r="AQ26" s="128"/>
      <c r="AR26" s="38"/>
      <c r="AS26" s="174"/>
    </row>
    <row r="27" spans="1:45" s="141" customFormat="1" x14ac:dyDescent="0.25">
      <c r="A27" s="83" t="s">
        <v>29</v>
      </c>
      <c r="B27" s="40" t="s">
        <v>200</v>
      </c>
      <c r="C27" s="166">
        <v>18</v>
      </c>
      <c r="D27" s="168">
        <v>1</v>
      </c>
      <c r="E27" s="164">
        <v>1</v>
      </c>
      <c r="F27" s="129">
        <f>AVERAGE(Y27,W27,V27,I27,J27,G27,K27,L27,M27,N27,O27,P27,Q27,R27,S27,T27,U27,X27)</f>
        <v>5.5555555555555554</v>
      </c>
      <c r="G27" s="56">
        <v>5</v>
      </c>
      <c r="H27" s="108" t="s">
        <v>153</v>
      </c>
      <c r="I27" s="108">
        <v>5</v>
      </c>
      <c r="J27" s="108">
        <v>5</v>
      </c>
      <c r="K27" s="282">
        <v>7</v>
      </c>
      <c r="L27" s="128">
        <v>5</v>
      </c>
      <c r="M27" s="128">
        <v>6</v>
      </c>
      <c r="N27" s="128">
        <v>5</v>
      </c>
      <c r="O27" s="128">
        <v>4</v>
      </c>
      <c r="P27" s="128">
        <v>5</v>
      </c>
      <c r="Q27" s="283">
        <v>7</v>
      </c>
      <c r="R27" s="128">
        <v>5</v>
      </c>
      <c r="S27" s="128">
        <v>6</v>
      </c>
      <c r="T27" s="282">
        <v>7</v>
      </c>
      <c r="U27" s="128">
        <v>6</v>
      </c>
      <c r="V27" s="128">
        <v>6</v>
      </c>
      <c r="W27" s="128">
        <v>5</v>
      </c>
      <c r="X27" s="282">
        <v>7</v>
      </c>
      <c r="Y27" s="128">
        <v>4</v>
      </c>
      <c r="Z27" s="128"/>
      <c r="AA27" s="128"/>
      <c r="AB27" s="128"/>
      <c r="AC27" s="128"/>
      <c r="AD27" s="128"/>
      <c r="AE27" s="128"/>
      <c r="AF27" s="38"/>
      <c r="AG27" s="128"/>
      <c r="AH27" s="128"/>
      <c r="AI27" s="128"/>
      <c r="AJ27" s="62"/>
      <c r="AK27" s="38"/>
      <c r="AL27" s="128"/>
      <c r="AM27" s="38"/>
      <c r="AN27" s="128"/>
      <c r="AO27" s="128"/>
      <c r="AP27" s="128"/>
      <c r="AQ27" s="128"/>
      <c r="AR27" s="38"/>
      <c r="AS27" s="174"/>
    </row>
    <row r="28" spans="1:45" s="141" customFormat="1" x14ac:dyDescent="0.25">
      <c r="A28" s="83" t="s">
        <v>29</v>
      </c>
      <c r="B28" s="77" t="s">
        <v>538</v>
      </c>
      <c r="C28" s="166">
        <v>1</v>
      </c>
      <c r="D28" s="168">
        <v>4</v>
      </c>
      <c r="E28" s="164"/>
      <c r="F28" s="129">
        <f>AVERAGE(K28)</f>
        <v>5</v>
      </c>
      <c r="G28" s="56"/>
      <c r="H28" s="108"/>
      <c r="I28" s="108"/>
      <c r="J28" s="108" t="s">
        <v>153</v>
      </c>
      <c r="K28" s="128">
        <v>5</v>
      </c>
      <c r="L28" s="108" t="s">
        <v>153</v>
      </c>
      <c r="M28" s="128"/>
      <c r="N28" s="128"/>
      <c r="O28" s="204" t="s">
        <v>153</v>
      </c>
      <c r="P28" s="108" t="s">
        <v>153</v>
      </c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38"/>
      <c r="AG28" s="128"/>
      <c r="AH28" s="128"/>
      <c r="AI28" s="128"/>
      <c r="AJ28" s="62"/>
      <c r="AK28" s="38"/>
      <c r="AL28" s="128"/>
      <c r="AM28" s="38"/>
      <c r="AN28" s="128"/>
      <c r="AO28" s="128"/>
      <c r="AP28" s="128"/>
      <c r="AQ28" s="128"/>
      <c r="AR28" s="38"/>
      <c r="AS28" s="174"/>
    </row>
    <row r="29" spans="1:45" x14ac:dyDescent="0.25">
      <c r="A29" s="13" t="s">
        <v>29</v>
      </c>
      <c r="B29" s="14" t="s">
        <v>132</v>
      </c>
      <c r="C29" s="170">
        <v>3</v>
      </c>
      <c r="D29" s="171">
        <v>3</v>
      </c>
      <c r="E29" s="172"/>
      <c r="F29" s="34">
        <f>AVERAGE(V29,X29,Y29)</f>
        <v>4.333333333333333</v>
      </c>
      <c r="G29" s="60"/>
      <c r="H29" s="57"/>
      <c r="I29" s="108"/>
      <c r="J29" s="108"/>
      <c r="K29" s="128"/>
      <c r="L29" s="128"/>
      <c r="M29" s="128"/>
      <c r="N29" s="128"/>
      <c r="O29" s="128"/>
      <c r="P29" s="128"/>
      <c r="Q29" s="128"/>
      <c r="R29" s="128"/>
      <c r="S29" s="128"/>
      <c r="T29" s="108" t="s">
        <v>153</v>
      </c>
      <c r="U29" s="108" t="s">
        <v>153</v>
      </c>
      <c r="V29" s="128">
        <v>5</v>
      </c>
      <c r="W29" s="204" t="s">
        <v>153</v>
      </c>
      <c r="X29" s="70">
        <v>4</v>
      </c>
      <c r="Y29" s="128">
        <v>4</v>
      </c>
      <c r="Z29" s="128"/>
      <c r="AA29" s="128"/>
      <c r="AB29" s="128"/>
      <c r="AC29" s="128"/>
      <c r="AD29" s="128"/>
      <c r="AE29" s="128"/>
      <c r="AF29" s="66"/>
      <c r="AG29" s="128"/>
      <c r="AH29" s="128"/>
      <c r="AI29" s="69"/>
      <c r="AJ29" s="38"/>
      <c r="AK29" s="66"/>
      <c r="AL29" s="128"/>
      <c r="AM29" s="38"/>
      <c r="AN29" s="128"/>
      <c r="AO29" s="128"/>
      <c r="AP29" s="38"/>
      <c r="AQ29" s="128"/>
      <c r="AR29" s="38"/>
      <c r="AS29" s="27"/>
    </row>
    <row r="30" spans="1:45" x14ac:dyDescent="0.25">
      <c r="A30" s="83" t="s">
        <v>30</v>
      </c>
      <c r="B30" s="160" t="s">
        <v>133</v>
      </c>
      <c r="C30" s="166">
        <v>2</v>
      </c>
      <c r="D30" s="168">
        <v>2</v>
      </c>
      <c r="E30" s="164"/>
      <c r="F30" s="129">
        <f>AVERAGE(I30,K30)</f>
        <v>3.5</v>
      </c>
      <c r="G30" s="56"/>
      <c r="H30" s="108" t="s">
        <v>153</v>
      </c>
      <c r="I30" s="108">
        <v>4</v>
      </c>
      <c r="J30" s="108" t="s">
        <v>153</v>
      </c>
      <c r="K30" s="303">
        <v>3</v>
      </c>
      <c r="L30" s="128"/>
      <c r="M30" s="128"/>
      <c r="N30" s="128"/>
      <c r="O30" s="128"/>
      <c r="P30" s="128"/>
      <c r="Q30" s="128"/>
      <c r="R30" s="108"/>
      <c r="S30" s="128"/>
      <c r="T30" s="108"/>
      <c r="U30" s="108"/>
      <c r="V30" s="108"/>
      <c r="W30" s="128"/>
      <c r="X30" s="108"/>
      <c r="Y30" s="128"/>
      <c r="Z30" s="108"/>
      <c r="AA30" s="128"/>
      <c r="AB30" s="128"/>
      <c r="AC30" s="108"/>
      <c r="AD30" s="128"/>
      <c r="AE30" s="128"/>
      <c r="AF30" s="62"/>
      <c r="AG30" s="108"/>
      <c r="AH30" s="108"/>
      <c r="AI30" s="128"/>
      <c r="AJ30" s="62"/>
      <c r="AK30" s="38"/>
      <c r="AL30" s="128"/>
      <c r="AM30" s="38"/>
      <c r="AN30" s="128"/>
      <c r="AO30" s="128"/>
      <c r="AP30" s="38"/>
      <c r="AQ30" s="128"/>
      <c r="AR30" s="67"/>
      <c r="AS30" s="27"/>
    </row>
    <row r="31" spans="1:45" x14ac:dyDescent="0.25">
      <c r="A31" s="83" t="s">
        <v>30</v>
      </c>
      <c r="B31" s="160" t="s">
        <v>330</v>
      </c>
      <c r="C31" s="166">
        <v>4</v>
      </c>
      <c r="D31" s="168">
        <v>3</v>
      </c>
      <c r="E31" s="164"/>
      <c r="F31" s="129">
        <f>AVERAGE(H31,J31,G31,K31,M31,N31)</f>
        <v>4.8</v>
      </c>
      <c r="G31" s="56">
        <v>5</v>
      </c>
      <c r="H31" s="108">
        <v>4</v>
      </c>
      <c r="I31" s="108"/>
      <c r="J31" s="108">
        <v>6</v>
      </c>
      <c r="K31" s="128">
        <v>5</v>
      </c>
      <c r="L31" s="108" t="s">
        <v>153</v>
      </c>
      <c r="M31" s="128">
        <v>4</v>
      </c>
      <c r="N31" s="128" t="s">
        <v>546</v>
      </c>
      <c r="O31" s="128"/>
      <c r="P31" s="128"/>
      <c r="Q31" s="128"/>
      <c r="R31" s="69"/>
      <c r="S31" s="128"/>
      <c r="T31" s="128"/>
      <c r="U31" s="128"/>
      <c r="V31" s="128"/>
      <c r="W31" s="128"/>
      <c r="X31" s="128"/>
      <c r="Y31" s="108"/>
      <c r="Z31" s="69"/>
      <c r="AA31" s="108"/>
      <c r="AB31" s="69"/>
      <c r="AC31" s="128"/>
      <c r="AD31" s="128"/>
      <c r="AE31" s="108"/>
      <c r="AF31" s="66"/>
      <c r="AG31" s="128"/>
      <c r="AH31" s="128"/>
      <c r="AI31" s="128"/>
      <c r="AJ31" s="38"/>
      <c r="AK31" s="38"/>
      <c r="AL31" s="128"/>
      <c r="AM31" s="38"/>
      <c r="AN31" s="108"/>
      <c r="AO31" s="128"/>
      <c r="AP31" s="62"/>
      <c r="AQ31" s="128"/>
      <c r="AR31" s="38"/>
      <c r="AS31" s="27"/>
    </row>
    <row r="32" spans="1:45" x14ac:dyDescent="0.25">
      <c r="A32" s="184" t="s">
        <v>30</v>
      </c>
      <c r="B32" s="40" t="s">
        <v>134</v>
      </c>
      <c r="C32" s="185">
        <v>8</v>
      </c>
      <c r="D32" s="64">
        <v>8</v>
      </c>
      <c r="E32" s="187">
        <v>3</v>
      </c>
      <c r="F32" s="129">
        <f>AVERAGE(H32,J32,G32,N32,O32,Q32,R32,S32,X32)</f>
        <v>4.7777777777777777</v>
      </c>
      <c r="G32" s="327">
        <v>4</v>
      </c>
      <c r="H32" s="108">
        <v>5</v>
      </c>
      <c r="I32" s="204" t="s">
        <v>153</v>
      </c>
      <c r="J32" s="108">
        <v>4</v>
      </c>
      <c r="K32" s="108"/>
      <c r="L32" s="108"/>
      <c r="M32" s="108" t="s">
        <v>153</v>
      </c>
      <c r="N32" s="70">
        <v>5</v>
      </c>
      <c r="O32" s="128">
        <v>4</v>
      </c>
      <c r="P32" s="128"/>
      <c r="Q32" s="108">
        <v>5</v>
      </c>
      <c r="R32" s="108">
        <v>4</v>
      </c>
      <c r="S32" s="108">
        <v>5</v>
      </c>
      <c r="T32" s="57" t="s">
        <v>153</v>
      </c>
      <c r="U32" s="57" t="s">
        <v>153</v>
      </c>
      <c r="V32" s="204" t="s">
        <v>153</v>
      </c>
      <c r="W32" s="204" t="s">
        <v>153</v>
      </c>
      <c r="X32" s="294">
        <v>7</v>
      </c>
      <c r="Y32" s="108" t="s">
        <v>153</v>
      </c>
      <c r="Z32" s="108"/>
      <c r="AA32" s="108"/>
      <c r="AB32" s="108"/>
      <c r="AC32" s="128"/>
      <c r="AD32" s="108"/>
      <c r="AE32" s="108"/>
      <c r="AF32" s="38"/>
      <c r="AG32" s="108"/>
      <c r="AH32" s="108"/>
      <c r="AI32" s="108"/>
      <c r="AJ32" s="62"/>
      <c r="AK32" s="38"/>
      <c r="AL32" s="108"/>
      <c r="AM32" s="62"/>
      <c r="AN32" s="108"/>
      <c r="AO32" s="108"/>
      <c r="AP32" s="62"/>
      <c r="AQ32" s="108"/>
      <c r="AR32" s="62"/>
      <c r="AS32" s="27"/>
    </row>
    <row r="33" spans="1:45" s="141" customFormat="1" x14ac:dyDescent="0.25">
      <c r="A33" s="237" t="s">
        <v>30</v>
      </c>
      <c r="B33" s="229" t="s">
        <v>492</v>
      </c>
      <c r="C33" s="230"/>
      <c r="D33" s="223">
        <v>2</v>
      </c>
      <c r="E33" s="231"/>
      <c r="F33" s="129"/>
      <c r="G33" s="358" t="s">
        <v>153</v>
      </c>
      <c r="H33" s="222" t="s">
        <v>153</v>
      </c>
      <c r="I33" s="356"/>
      <c r="J33" s="222"/>
      <c r="K33" s="222"/>
      <c r="L33" s="222"/>
      <c r="M33" s="222"/>
      <c r="N33" s="357"/>
      <c r="O33" s="221"/>
      <c r="P33" s="221"/>
      <c r="Q33" s="222"/>
      <c r="R33" s="222"/>
      <c r="S33" s="222"/>
      <c r="T33" s="357"/>
      <c r="U33" s="221"/>
      <c r="V33" s="221"/>
      <c r="W33" s="222"/>
      <c r="X33" s="221"/>
      <c r="Y33" s="222"/>
      <c r="Z33" s="222"/>
      <c r="AA33" s="222"/>
      <c r="AB33" s="222"/>
      <c r="AC33" s="221"/>
      <c r="AD33" s="222"/>
      <c r="AE33" s="222"/>
      <c r="AF33" s="223"/>
      <c r="AG33" s="222"/>
      <c r="AH33" s="222"/>
      <c r="AI33" s="222"/>
      <c r="AJ33" s="224"/>
      <c r="AK33" s="223"/>
      <c r="AL33" s="222"/>
      <c r="AM33" s="224"/>
      <c r="AN33" s="222"/>
      <c r="AO33" s="222"/>
      <c r="AP33" s="224"/>
      <c r="AQ33" s="222"/>
      <c r="AR33" s="224"/>
      <c r="AS33" s="174"/>
    </row>
    <row r="34" spans="1:45" s="141" customFormat="1" x14ac:dyDescent="0.25">
      <c r="A34" s="184" t="s">
        <v>30</v>
      </c>
      <c r="B34" s="40" t="s">
        <v>616</v>
      </c>
      <c r="C34" s="185">
        <v>6</v>
      </c>
      <c r="D34" s="64">
        <v>4</v>
      </c>
      <c r="E34" s="187">
        <v>1</v>
      </c>
      <c r="F34" s="129">
        <f>AVERAGE(K34,L34,M34,N34,T34,V34,X34)</f>
        <v>4.5714285714285712</v>
      </c>
      <c r="G34" s="60"/>
      <c r="H34" s="108"/>
      <c r="I34" s="57"/>
      <c r="J34" s="108"/>
      <c r="K34" s="108">
        <v>4</v>
      </c>
      <c r="L34" s="108">
        <v>4</v>
      </c>
      <c r="M34" s="108">
        <v>5</v>
      </c>
      <c r="N34" s="70">
        <v>4</v>
      </c>
      <c r="O34" s="128"/>
      <c r="P34" s="128"/>
      <c r="Q34" s="108" t="s">
        <v>153</v>
      </c>
      <c r="R34" s="108" t="s">
        <v>153</v>
      </c>
      <c r="S34" s="108" t="s">
        <v>153</v>
      </c>
      <c r="T34" s="69">
        <v>6</v>
      </c>
      <c r="U34" s="108" t="s">
        <v>153</v>
      </c>
      <c r="V34" s="128">
        <v>4</v>
      </c>
      <c r="W34" s="108"/>
      <c r="X34" s="128">
        <v>5</v>
      </c>
      <c r="Y34" s="108"/>
      <c r="Z34" s="108"/>
      <c r="AA34" s="108"/>
      <c r="AB34" s="108"/>
      <c r="AC34" s="128"/>
      <c r="AD34" s="108"/>
      <c r="AE34" s="108"/>
      <c r="AF34" s="38"/>
      <c r="AG34" s="108"/>
      <c r="AH34" s="108"/>
      <c r="AI34" s="108"/>
      <c r="AJ34" s="62"/>
      <c r="AK34" s="38"/>
      <c r="AL34" s="108"/>
      <c r="AM34" s="62"/>
      <c r="AN34" s="108"/>
      <c r="AO34" s="108"/>
      <c r="AP34" s="62"/>
      <c r="AQ34" s="108"/>
      <c r="AR34" s="62"/>
      <c r="AS34" s="174"/>
    </row>
    <row r="35" spans="1:45" s="141" customFormat="1" x14ac:dyDescent="0.25">
      <c r="A35" s="184" t="s">
        <v>30</v>
      </c>
      <c r="B35" s="77" t="s">
        <v>779</v>
      </c>
      <c r="C35" s="185">
        <v>8</v>
      </c>
      <c r="D35" s="64">
        <v>3</v>
      </c>
      <c r="E35" s="187">
        <v>6</v>
      </c>
      <c r="F35" s="129">
        <f>AVERAGE(P35,Q35,R35,S35,T35,U35,V35,W35,X35,Y35)</f>
        <v>5.2</v>
      </c>
      <c r="G35" s="60"/>
      <c r="H35" s="108"/>
      <c r="I35" s="57"/>
      <c r="J35" s="108"/>
      <c r="K35" s="108"/>
      <c r="L35" s="108"/>
      <c r="M35" s="108"/>
      <c r="N35" s="70"/>
      <c r="O35" s="128"/>
      <c r="P35" s="128">
        <v>4</v>
      </c>
      <c r="Q35" s="57">
        <v>6</v>
      </c>
      <c r="R35" s="302">
        <v>3</v>
      </c>
      <c r="S35" s="108">
        <v>5</v>
      </c>
      <c r="T35" s="70">
        <v>4</v>
      </c>
      <c r="U35" s="283">
        <v>8</v>
      </c>
      <c r="V35" s="128">
        <v>4</v>
      </c>
      <c r="W35" s="294">
        <v>8</v>
      </c>
      <c r="X35" s="69">
        <v>5</v>
      </c>
      <c r="Y35" s="108">
        <v>5</v>
      </c>
      <c r="Z35" s="108"/>
      <c r="AA35" s="108"/>
      <c r="AB35" s="108"/>
      <c r="AC35" s="128"/>
      <c r="AD35" s="108"/>
      <c r="AE35" s="108"/>
      <c r="AF35" s="38"/>
      <c r="AG35" s="108"/>
      <c r="AH35" s="108"/>
      <c r="AI35" s="108"/>
      <c r="AJ35" s="62"/>
      <c r="AK35" s="38"/>
      <c r="AL35" s="108"/>
      <c r="AM35" s="62"/>
      <c r="AN35" s="108"/>
      <c r="AO35" s="108"/>
      <c r="AP35" s="62"/>
      <c r="AQ35" s="108"/>
      <c r="AR35" s="62"/>
      <c r="AS35" s="174"/>
    </row>
    <row r="36" spans="1:45" ht="15.75" thickBot="1" x14ac:dyDescent="0.3">
      <c r="A36" s="207" t="s">
        <v>30</v>
      </c>
      <c r="B36" s="200" t="s">
        <v>253</v>
      </c>
      <c r="C36" s="201">
        <v>2</v>
      </c>
      <c r="D36" s="202">
        <v>5</v>
      </c>
      <c r="E36" s="203"/>
      <c r="F36" s="33">
        <f>AVERAGE(P36,Q36)</f>
        <v>4</v>
      </c>
      <c r="G36" s="199"/>
      <c r="H36" s="180"/>
      <c r="I36" s="180"/>
      <c r="J36" s="180"/>
      <c r="K36" s="180"/>
      <c r="L36" s="180"/>
      <c r="M36" s="204" t="s">
        <v>153</v>
      </c>
      <c r="N36" s="180"/>
      <c r="O36" s="204" t="s">
        <v>153</v>
      </c>
      <c r="P36" s="204">
        <v>4</v>
      </c>
      <c r="Q36" s="204">
        <v>4</v>
      </c>
      <c r="R36" s="204" t="s">
        <v>153</v>
      </c>
      <c r="S36" s="204" t="s">
        <v>153</v>
      </c>
      <c r="T36" s="180"/>
      <c r="U36" s="180"/>
      <c r="V36" s="204" t="s">
        <v>153</v>
      </c>
      <c r="W36" s="180"/>
      <c r="X36" s="180"/>
      <c r="Y36" s="180"/>
      <c r="Z36" s="180"/>
      <c r="AA36" s="180"/>
      <c r="AB36" s="180"/>
      <c r="AC36" s="180"/>
      <c r="AD36" s="180"/>
      <c r="AE36" s="180"/>
      <c r="AF36" s="182"/>
      <c r="AG36" s="180"/>
      <c r="AH36" s="180"/>
      <c r="AI36" s="180"/>
      <c r="AJ36" s="182"/>
      <c r="AK36" s="182"/>
      <c r="AL36" s="180"/>
      <c r="AM36" s="182"/>
      <c r="AN36" s="180"/>
      <c r="AO36" s="180"/>
      <c r="AP36" s="182"/>
      <c r="AQ36" s="180"/>
      <c r="AR36" s="182"/>
      <c r="AS36" s="27"/>
    </row>
    <row r="37" spans="1:45" x14ac:dyDescent="0.25">
      <c r="G37" s="36">
        <f>AVERAGE(G8,G11,G12,G15,G19,G21,G22,G23,G27,G32)</f>
        <v>4.9000000000000004</v>
      </c>
      <c r="H37" s="30">
        <f>AVERAGE(H8,H11,H12,H14,H15,H19,H22,H21,H31,H32)</f>
        <v>4.9000000000000004</v>
      </c>
      <c r="I37" s="30">
        <f>AVERAGE(I9,I11,I14,I15,I18,I19,I21,I22,I27,I30)</f>
        <v>4.9000000000000004</v>
      </c>
      <c r="J37" s="30">
        <f>AVERAGE(J9,J14,J15,J17,J18,J21,J22,J23,J27,J31,J32)</f>
        <v>5.2727272727272725</v>
      </c>
      <c r="K37" s="30">
        <f>AVERAGE(K9,K11,K12,K14,K15,K19,K23,K27,K28,K30,K31)</f>
        <v>5.2727272727272725</v>
      </c>
      <c r="L37" s="30">
        <f>AVERAGE(L9,L11,L12,L14,L15,L18,L21,L22,L23,L27,L34)</f>
        <v>5</v>
      </c>
      <c r="M37" s="30">
        <f>AVERAGE(M9,M11,M12,M14,M15,M17,M18,M22,M27,M31,M34)</f>
        <v>5.3636363636363633</v>
      </c>
      <c r="N37" s="30">
        <f>AVERAGE(N10,N11,N14,N15,N17,N18,N19,N22,N27,N32,N34)</f>
        <v>5.3636363636363633</v>
      </c>
      <c r="O37" s="30">
        <f>AVERAGE(O10,O11,O14,O15,O17,O18,O19,O22,O25,O27,O32)</f>
        <v>4.7272727272727275</v>
      </c>
      <c r="P37" s="30">
        <f>AVERAGE(P10,P11,P12,P14,P17,P18,P21,P22,P35,P27,P36)</f>
        <v>5.3636363636363633</v>
      </c>
      <c r="Q37" s="30">
        <f>AVERAGE(Q10,Q11,Q12,Q15,Q14,Q17,Q18,Q22,Q27,Q32,Q36)</f>
        <v>5.3636363636363633</v>
      </c>
      <c r="R37" s="30">
        <f>AVERAGE(R10,R11,R12,R14,R15,R18,R19,R22,R27,R32,R35)</f>
        <v>5.0909090909090908</v>
      </c>
      <c r="S37" s="30">
        <f>AVERAGE(S10,S11,S14,S15,S16,S18,S19,S22,S27,S32,S35)</f>
        <v>5.4545454545454541</v>
      </c>
      <c r="T37" s="30">
        <f>AVERAGE(T10,T11,T14,T15,T17,T18,T19,T22,T27,T34,T35)</f>
        <v>5.2727272727272725</v>
      </c>
      <c r="U37" s="30">
        <f>AVERAGE(U10,U11,U12,U14,U15,U17,U18,U19,U22,U27,U35)</f>
        <v>5.6363636363636367</v>
      </c>
      <c r="V37" s="30">
        <f>AVERAGE(V10,V11,V14,V15,V17,V18,V22,V27,V29,V34,V35)</f>
        <v>4.7272727272727275</v>
      </c>
      <c r="W37" s="30">
        <f>AVERAGE(W10,W11,W12,W14,W15,W17,W18,W19,W22,W27,W35)</f>
        <v>5.0909090909090908</v>
      </c>
      <c r="X37" s="30">
        <f>AVERAGE(X10,X11,X32,X14,X15,X18,X22,X27,X29,X34,X35)</f>
        <v>5.3636363636363633</v>
      </c>
      <c r="Y37" s="30">
        <f>AVERAGE(Y11,Y10,Y12,Y14,Y17,Y19,Y22,Y24,Y27,Y29,Y35)</f>
        <v>4.7272727272727275</v>
      </c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S42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11" width="4.5703125" customWidth="1"/>
    <col min="12" max="44" width="4.7109375" customWidth="1"/>
  </cols>
  <sheetData>
    <row r="1" spans="1:45" x14ac:dyDescent="0.25">
      <c r="A1" t="s">
        <v>136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6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635</v>
      </c>
      <c r="H7" s="26" t="s">
        <v>558</v>
      </c>
      <c r="I7" s="26" t="s">
        <v>580</v>
      </c>
      <c r="J7" s="26" t="s">
        <v>589</v>
      </c>
      <c r="K7" s="26" t="s">
        <v>659</v>
      </c>
      <c r="L7" s="26" t="s">
        <v>685</v>
      </c>
      <c r="M7" s="26" t="s">
        <v>709</v>
      </c>
      <c r="N7" s="26" t="s">
        <v>723</v>
      </c>
      <c r="O7" s="26" t="s">
        <v>748</v>
      </c>
      <c r="P7" s="79" t="s">
        <v>772</v>
      </c>
      <c r="Q7" s="79" t="s">
        <v>785</v>
      </c>
      <c r="R7" s="101" t="s">
        <v>817</v>
      </c>
      <c r="S7" s="101" t="s">
        <v>831</v>
      </c>
      <c r="T7" s="101" t="s">
        <v>859</v>
      </c>
      <c r="U7" s="101" t="s">
        <v>888</v>
      </c>
      <c r="V7" s="101" t="s">
        <v>913</v>
      </c>
      <c r="W7" s="26" t="s">
        <v>936</v>
      </c>
      <c r="X7" s="119" t="s">
        <v>956</v>
      </c>
      <c r="Y7" s="119" t="s">
        <v>986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47"/>
      <c r="AM7" s="173"/>
      <c r="AN7" s="26"/>
      <c r="AO7" s="26"/>
      <c r="AP7" s="26"/>
      <c r="AQ7" s="26"/>
      <c r="AR7" s="26"/>
    </row>
    <row r="8" spans="1:45" x14ac:dyDescent="0.25">
      <c r="A8" t="s">
        <v>8</v>
      </c>
      <c r="B8" s="42" t="s">
        <v>889</v>
      </c>
      <c r="C8" s="166">
        <v>5</v>
      </c>
      <c r="D8" s="168"/>
      <c r="E8" s="164"/>
      <c r="F8" s="129">
        <f>AVERAGE(U8,V8,W8,X8,Y8)</f>
        <v>5.6</v>
      </c>
      <c r="G8" s="56"/>
      <c r="H8" s="128"/>
      <c r="I8" s="128"/>
      <c r="J8" s="128"/>
      <c r="K8" s="108"/>
      <c r="L8" s="128"/>
      <c r="M8" s="128"/>
      <c r="N8" s="128"/>
      <c r="O8" s="128"/>
      <c r="P8" s="128"/>
      <c r="Q8" s="128"/>
      <c r="R8" s="108"/>
      <c r="S8" s="128"/>
      <c r="T8" s="128"/>
      <c r="U8" s="69">
        <v>6</v>
      </c>
      <c r="V8" s="283">
        <v>7</v>
      </c>
      <c r="W8" s="128">
        <v>4</v>
      </c>
      <c r="X8" s="128">
        <v>5</v>
      </c>
      <c r="Y8" s="128">
        <v>6</v>
      </c>
      <c r="Z8" s="128"/>
      <c r="AA8" s="128"/>
      <c r="AB8" s="38"/>
      <c r="AC8" s="123"/>
      <c r="AD8" s="58"/>
      <c r="AE8" s="128"/>
      <c r="AF8" s="128"/>
      <c r="AG8" s="128"/>
      <c r="AH8" s="128"/>
      <c r="AI8" s="128"/>
      <c r="AJ8" s="38"/>
      <c r="AK8" s="38"/>
      <c r="AL8" s="38"/>
      <c r="AM8" s="38"/>
      <c r="AN8" s="128"/>
      <c r="AO8" s="38"/>
      <c r="AP8" s="38"/>
      <c r="AQ8" s="38"/>
      <c r="AR8" s="128"/>
      <c r="AS8" s="27"/>
    </row>
    <row r="9" spans="1:45" s="141" customFormat="1" x14ac:dyDescent="0.25">
      <c r="A9" s="49" t="s">
        <v>8</v>
      </c>
      <c r="B9" s="42" t="s">
        <v>489</v>
      </c>
      <c r="C9" s="166">
        <v>8</v>
      </c>
      <c r="D9" s="168"/>
      <c r="E9" s="164"/>
      <c r="F9" s="129">
        <f>AVERAGE(H9,I9,J9,G9,K9,L9,M9,N9)</f>
        <v>4.625</v>
      </c>
      <c r="G9" s="56">
        <v>5</v>
      </c>
      <c r="H9" s="128">
        <v>5</v>
      </c>
      <c r="I9" s="128">
        <v>5</v>
      </c>
      <c r="J9" s="303">
        <v>3</v>
      </c>
      <c r="K9" s="108">
        <v>5</v>
      </c>
      <c r="L9" s="128">
        <v>5</v>
      </c>
      <c r="M9" s="128">
        <v>5</v>
      </c>
      <c r="N9" s="128">
        <v>4</v>
      </c>
      <c r="O9" s="128"/>
      <c r="P9" s="128"/>
      <c r="Q9" s="128"/>
      <c r="R9" s="108"/>
      <c r="S9" s="128"/>
      <c r="T9" s="128"/>
      <c r="U9" s="128"/>
      <c r="V9" s="128"/>
      <c r="W9" s="128"/>
      <c r="X9" s="128"/>
      <c r="Y9" s="128"/>
      <c r="Z9" s="128"/>
      <c r="AA9" s="128"/>
      <c r="AB9" s="38"/>
      <c r="AC9" s="123"/>
      <c r="AD9" s="58"/>
      <c r="AE9" s="128"/>
      <c r="AF9" s="128"/>
      <c r="AG9" s="128"/>
      <c r="AH9" s="128"/>
      <c r="AI9" s="128"/>
      <c r="AJ9" s="38"/>
      <c r="AK9" s="38"/>
      <c r="AL9" s="38"/>
      <c r="AM9" s="38"/>
      <c r="AN9" s="128"/>
      <c r="AO9" s="38"/>
      <c r="AP9" s="38"/>
      <c r="AQ9" s="38"/>
      <c r="AR9" s="128"/>
      <c r="AS9" s="174"/>
    </row>
    <row r="10" spans="1:45" x14ac:dyDescent="0.25">
      <c r="A10" s="14" t="s">
        <v>8</v>
      </c>
      <c r="B10" s="14" t="s">
        <v>137</v>
      </c>
      <c r="C10" s="170">
        <v>6</v>
      </c>
      <c r="D10" s="171"/>
      <c r="E10" s="153"/>
      <c r="F10" s="34">
        <f>AVERAGE(O10,P10,Q10,R10,S10,T10)</f>
        <v>4.5</v>
      </c>
      <c r="G10" s="56"/>
      <c r="H10" s="128"/>
      <c r="I10" s="128"/>
      <c r="J10" s="108"/>
      <c r="K10" s="108"/>
      <c r="L10" s="128"/>
      <c r="M10" s="128"/>
      <c r="N10" s="128"/>
      <c r="O10" s="128">
        <v>5</v>
      </c>
      <c r="P10" s="128">
        <v>4</v>
      </c>
      <c r="Q10" s="128">
        <v>5</v>
      </c>
      <c r="R10" s="108">
        <v>5</v>
      </c>
      <c r="S10" s="70">
        <v>4</v>
      </c>
      <c r="T10" s="128">
        <v>4</v>
      </c>
      <c r="U10" s="128"/>
      <c r="V10" s="128"/>
      <c r="W10" s="128"/>
      <c r="X10" s="128"/>
      <c r="Y10" s="128"/>
      <c r="Z10" s="128"/>
      <c r="AA10" s="128"/>
      <c r="AB10" s="38"/>
      <c r="AC10" s="208"/>
      <c r="AD10" s="38"/>
      <c r="AE10" s="128"/>
      <c r="AF10" s="128"/>
      <c r="AG10" s="128"/>
      <c r="AH10" s="128"/>
      <c r="AI10" s="128"/>
      <c r="AJ10" s="64"/>
      <c r="AK10" s="38"/>
      <c r="AL10" s="66"/>
      <c r="AM10" s="66"/>
      <c r="AN10" s="128"/>
      <c r="AO10" s="38"/>
      <c r="AP10" s="38"/>
      <c r="AQ10" s="38"/>
      <c r="AR10" s="128"/>
      <c r="AS10" s="27"/>
    </row>
    <row r="11" spans="1:45" x14ac:dyDescent="0.25">
      <c r="A11" t="s">
        <v>11</v>
      </c>
      <c r="B11" t="s">
        <v>138</v>
      </c>
      <c r="C11" s="166">
        <v>18</v>
      </c>
      <c r="D11" s="168"/>
      <c r="E11" s="164">
        <v>1</v>
      </c>
      <c r="F11" s="32">
        <f>AVERAGE(Y11,V11,U11,T11,H11,I11,J11,G11,K11,L11,M11,N11,O11,Q11,R11,S11,W11,X11)</f>
        <v>5.0555555555555554</v>
      </c>
      <c r="G11" s="56">
        <v>5</v>
      </c>
      <c r="H11" s="67">
        <v>5</v>
      </c>
      <c r="I11" s="281">
        <v>6</v>
      </c>
      <c r="J11" s="108">
        <v>5</v>
      </c>
      <c r="K11" s="108">
        <v>5</v>
      </c>
      <c r="L11" s="108">
        <v>5</v>
      </c>
      <c r="M11" s="128">
        <v>5</v>
      </c>
      <c r="N11" s="128">
        <v>5</v>
      </c>
      <c r="O11" s="128">
        <v>4</v>
      </c>
      <c r="P11" s="128"/>
      <c r="Q11" s="128">
        <v>4</v>
      </c>
      <c r="R11" s="108">
        <v>4</v>
      </c>
      <c r="S11" s="128">
        <v>4</v>
      </c>
      <c r="T11" s="128">
        <v>4</v>
      </c>
      <c r="U11" s="128">
        <v>5</v>
      </c>
      <c r="V11" s="283">
        <v>8</v>
      </c>
      <c r="W11" s="108">
        <v>6</v>
      </c>
      <c r="X11" s="128">
        <v>6</v>
      </c>
      <c r="Y11" s="108">
        <v>5</v>
      </c>
      <c r="Z11" s="128"/>
      <c r="AA11" s="128"/>
      <c r="AB11" s="38"/>
      <c r="AC11" s="123"/>
      <c r="AD11" s="58"/>
      <c r="AE11" s="128"/>
      <c r="AF11" s="128"/>
      <c r="AG11" s="69"/>
      <c r="AH11" s="128"/>
      <c r="AI11" s="128"/>
      <c r="AJ11" s="38"/>
      <c r="AK11" s="38"/>
      <c r="AL11" s="38"/>
      <c r="AM11" s="38"/>
      <c r="AN11" s="128"/>
      <c r="AO11" s="38"/>
      <c r="AP11" s="38"/>
      <c r="AQ11" s="38"/>
      <c r="AR11" s="128"/>
      <c r="AS11" s="27"/>
    </row>
    <row r="12" spans="1:45" x14ac:dyDescent="0.25">
      <c r="A12" t="s">
        <v>11</v>
      </c>
      <c r="B12" t="s">
        <v>140</v>
      </c>
      <c r="C12" s="166">
        <v>4</v>
      </c>
      <c r="D12" s="168">
        <v>3</v>
      </c>
      <c r="E12" s="164"/>
      <c r="F12" s="32">
        <f>AVERAGE(H12,G12,L12,N12,X12)</f>
        <v>4.4000000000000004</v>
      </c>
      <c r="G12" s="56">
        <v>5</v>
      </c>
      <c r="H12" s="281">
        <v>4</v>
      </c>
      <c r="I12" s="71"/>
      <c r="J12" s="128"/>
      <c r="K12" s="68"/>
      <c r="L12" s="128">
        <v>4</v>
      </c>
      <c r="M12" s="108" t="s">
        <v>153</v>
      </c>
      <c r="N12" s="128">
        <v>4</v>
      </c>
      <c r="O12" s="128"/>
      <c r="P12" s="128"/>
      <c r="Q12" s="128"/>
      <c r="R12" s="108"/>
      <c r="S12" s="128"/>
      <c r="T12" s="128"/>
      <c r="U12" s="128"/>
      <c r="V12" s="108" t="s">
        <v>153</v>
      </c>
      <c r="W12" s="128"/>
      <c r="X12" s="128">
        <v>5</v>
      </c>
      <c r="Y12" s="128"/>
      <c r="Z12" s="128"/>
      <c r="AA12" s="128"/>
      <c r="AB12" s="38"/>
      <c r="AC12" s="123"/>
      <c r="AD12" s="58"/>
      <c r="AE12" s="128"/>
      <c r="AF12" s="128"/>
      <c r="AG12" s="128"/>
      <c r="AH12" s="128"/>
      <c r="AI12" s="128"/>
      <c r="AJ12" s="38"/>
      <c r="AK12" s="38"/>
      <c r="AL12" s="38"/>
      <c r="AM12" s="38"/>
      <c r="AN12" s="128"/>
      <c r="AO12" s="38"/>
      <c r="AP12" s="38"/>
      <c r="AQ12" s="38"/>
      <c r="AR12" s="128"/>
      <c r="AS12" s="27"/>
    </row>
    <row r="13" spans="1:45" x14ac:dyDescent="0.25">
      <c r="A13" t="s">
        <v>11</v>
      </c>
      <c r="B13" t="s">
        <v>142</v>
      </c>
      <c r="C13" s="166">
        <v>8</v>
      </c>
      <c r="D13" s="168">
        <v>3</v>
      </c>
      <c r="E13" s="176" t="s">
        <v>617</v>
      </c>
      <c r="F13" s="32">
        <f>AVERAGE(I13,J13,K13,L13,M13,O13,P13,Q13)</f>
        <v>4.625</v>
      </c>
      <c r="G13" s="56"/>
      <c r="H13" s="128"/>
      <c r="I13" s="128">
        <v>5</v>
      </c>
      <c r="J13" s="128">
        <v>4</v>
      </c>
      <c r="K13" s="209">
        <v>4</v>
      </c>
      <c r="L13" s="128">
        <v>5</v>
      </c>
      <c r="M13" s="128">
        <v>5</v>
      </c>
      <c r="N13" s="128"/>
      <c r="O13" s="128">
        <v>5</v>
      </c>
      <c r="P13" s="128">
        <v>5</v>
      </c>
      <c r="Q13" s="128">
        <v>4</v>
      </c>
      <c r="R13" s="108"/>
      <c r="S13" s="128"/>
      <c r="T13" s="108" t="s">
        <v>153</v>
      </c>
      <c r="U13" s="128"/>
      <c r="V13" s="108"/>
      <c r="W13" s="128"/>
      <c r="X13" s="108" t="s">
        <v>153</v>
      </c>
      <c r="Y13" s="204" t="s">
        <v>153</v>
      </c>
      <c r="Z13" s="128"/>
      <c r="AA13" s="128"/>
      <c r="AB13" s="38"/>
      <c r="AC13" s="123"/>
      <c r="AD13" s="58"/>
      <c r="AE13" s="128"/>
      <c r="AF13" s="128"/>
      <c r="AG13" s="128"/>
      <c r="AH13" s="128"/>
      <c r="AI13" s="128"/>
      <c r="AJ13" s="38"/>
      <c r="AK13" s="38"/>
      <c r="AL13" s="38"/>
      <c r="AM13" s="38"/>
      <c r="AN13" s="128"/>
      <c r="AO13" s="38"/>
      <c r="AP13" s="38"/>
      <c r="AQ13" s="38"/>
      <c r="AR13" s="128"/>
      <c r="AS13" s="27"/>
    </row>
    <row r="14" spans="1:45" x14ac:dyDescent="0.25">
      <c r="A14" t="s">
        <v>11</v>
      </c>
      <c r="B14" s="49" t="s">
        <v>289</v>
      </c>
      <c r="C14" s="166"/>
      <c r="D14" s="168"/>
      <c r="E14" s="164"/>
      <c r="F14" s="32"/>
      <c r="G14" s="56"/>
      <c r="H14" s="128"/>
      <c r="I14" s="128"/>
      <c r="J14" s="128"/>
      <c r="K14" s="68"/>
      <c r="L14" s="128"/>
      <c r="M14" s="128"/>
      <c r="N14" s="128"/>
      <c r="O14" s="128"/>
      <c r="P14" s="128"/>
      <c r="Q14" s="128"/>
      <c r="R14" s="108"/>
      <c r="S14" s="128"/>
      <c r="T14" s="128"/>
      <c r="U14" s="128"/>
      <c r="V14" s="128"/>
      <c r="W14" s="128"/>
      <c r="X14" s="128"/>
      <c r="Y14" s="128"/>
      <c r="Z14" s="128"/>
      <c r="AA14" s="128"/>
      <c r="AB14" s="38"/>
      <c r="AC14" s="123"/>
      <c r="AD14" s="58"/>
      <c r="AE14" s="128"/>
      <c r="AF14" s="128"/>
      <c r="AG14" s="128"/>
      <c r="AH14" s="128"/>
      <c r="AI14" s="128"/>
      <c r="AJ14" s="38"/>
      <c r="AK14" s="38"/>
      <c r="AL14" s="38"/>
      <c r="AM14" s="38"/>
      <c r="AN14" s="128"/>
      <c r="AO14" s="38"/>
      <c r="AP14" s="38"/>
      <c r="AQ14" s="38"/>
      <c r="AR14" s="128"/>
      <c r="AS14" s="27"/>
    </row>
    <row r="15" spans="1:45" x14ac:dyDescent="0.25">
      <c r="A15" s="255" t="s">
        <v>11</v>
      </c>
      <c r="B15" s="255" t="s">
        <v>288</v>
      </c>
      <c r="C15" s="156"/>
      <c r="D15" s="157"/>
      <c r="E15" s="158"/>
      <c r="F15" s="32"/>
      <c r="G15" s="271"/>
      <c r="H15" s="257"/>
      <c r="I15" s="267"/>
      <c r="J15" s="257"/>
      <c r="K15" s="359"/>
      <c r="L15" s="257"/>
      <c r="M15" s="257"/>
      <c r="N15" s="257"/>
      <c r="O15" s="257"/>
      <c r="P15" s="257"/>
      <c r="Q15" s="257"/>
      <c r="R15" s="258"/>
      <c r="S15" s="257"/>
      <c r="T15" s="257"/>
      <c r="U15" s="257"/>
      <c r="V15" s="257"/>
      <c r="W15" s="257"/>
      <c r="X15" s="257"/>
      <c r="Y15" s="257"/>
      <c r="Z15" s="257"/>
      <c r="AA15" s="257"/>
      <c r="AB15" s="253"/>
      <c r="AC15" s="277"/>
      <c r="AD15" s="252"/>
      <c r="AE15" s="257"/>
      <c r="AF15" s="257"/>
      <c r="AG15" s="257"/>
      <c r="AH15" s="257"/>
      <c r="AI15" s="257"/>
      <c r="AJ15" s="253"/>
      <c r="AK15" s="253"/>
      <c r="AL15" s="253"/>
      <c r="AM15" s="253"/>
      <c r="AN15" s="258"/>
      <c r="AO15" s="269"/>
      <c r="AP15" s="253"/>
      <c r="AQ15" s="253"/>
      <c r="AR15" s="257"/>
      <c r="AS15" s="27"/>
    </row>
    <row r="16" spans="1:45" x14ac:dyDescent="0.25">
      <c r="A16" t="s">
        <v>11</v>
      </c>
      <c r="B16" s="49" t="s">
        <v>143</v>
      </c>
      <c r="C16" s="166">
        <v>4</v>
      </c>
      <c r="D16" s="168"/>
      <c r="E16" s="164"/>
      <c r="F16" s="32">
        <f>AVERAGE(H16,I16,J16,S16)</f>
        <v>4.75</v>
      </c>
      <c r="G16" s="56"/>
      <c r="H16" s="128">
        <v>6</v>
      </c>
      <c r="I16" s="108">
        <v>5</v>
      </c>
      <c r="J16" s="281">
        <v>4</v>
      </c>
      <c r="K16" s="68"/>
      <c r="L16" s="69"/>
      <c r="M16" s="108"/>
      <c r="N16" s="128"/>
      <c r="O16" s="128"/>
      <c r="P16" s="128"/>
      <c r="Q16" s="128"/>
      <c r="R16" s="108"/>
      <c r="S16" s="108">
        <v>4</v>
      </c>
      <c r="T16" s="128"/>
      <c r="U16" s="108"/>
      <c r="V16" s="108"/>
      <c r="W16" s="128"/>
      <c r="X16" s="128"/>
      <c r="Y16" s="128"/>
      <c r="Z16" s="128"/>
      <c r="AA16" s="128"/>
      <c r="AB16" s="38"/>
      <c r="AC16" s="123"/>
      <c r="AD16" s="58"/>
      <c r="AE16" s="128"/>
      <c r="AF16" s="128"/>
      <c r="AG16" s="128"/>
      <c r="AH16" s="128"/>
      <c r="AI16" s="128"/>
      <c r="AJ16" s="38"/>
      <c r="AK16" s="38"/>
      <c r="AL16" s="38"/>
      <c r="AM16" s="38"/>
      <c r="AN16" s="128"/>
      <c r="AO16" s="38"/>
      <c r="AP16" s="38"/>
      <c r="AQ16" s="38"/>
      <c r="AR16" s="128"/>
      <c r="AS16" s="27"/>
    </row>
    <row r="17" spans="1:45" x14ac:dyDescent="0.25">
      <c r="A17" t="s">
        <v>11</v>
      </c>
      <c r="B17" s="49" t="s">
        <v>324</v>
      </c>
      <c r="C17" s="166">
        <v>10</v>
      </c>
      <c r="D17" s="168"/>
      <c r="E17" s="164"/>
      <c r="F17" s="32">
        <f>AVERAGE(I17,G17,R17,S17,T17,U17,V17,W17,X17,Y17)</f>
        <v>5</v>
      </c>
      <c r="G17" s="128">
        <v>5</v>
      </c>
      <c r="H17" s="71"/>
      <c r="I17" s="128">
        <v>5</v>
      </c>
      <c r="J17" s="128"/>
      <c r="K17" s="68"/>
      <c r="L17" s="128"/>
      <c r="M17" s="128"/>
      <c r="N17" s="128"/>
      <c r="O17" s="128"/>
      <c r="P17" s="128"/>
      <c r="Q17" s="128"/>
      <c r="R17" s="108">
        <v>5</v>
      </c>
      <c r="S17" s="128">
        <v>4</v>
      </c>
      <c r="T17" s="128">
        <v>5</v>
      </c>
      <c r="U17" s="128">
        <v>5</v>
      </c>
      <c r="V17" s="108">
        <v>6</v>
      </c>
      <c r="W17" s="128">
        <v>5</v>
      </c>
      <c r="X17" s="128">
        <v>4</v>
      </c>
      <c r="Y17" s="128">
        <v>6</v>
      </c>
      <c r="Z17" s="128"/>
      <c r="AA17" s="128"/>
      <c r="AB17" s="38"/>
      <c r="AC17" s="123"/>
      <c r="AD17" s="58"/>
      <c r="AE17" s="128"/>
      <c r="AF17" s="108"/>
      <c r="AG17" s="108"/>
      <c r="AH17" s="70"/>
      <c r="AI17" s="108"/>
      <c r="AJ17" s="38"/>
      <c r="AK17" s="38"/>
      <c r="AL17" s="38"/>
      <c r="AM17" s="38"/>
      <c r="AN17" s="128"/>
      <c r="AO17" s="38"/>
      <c r="AP17" s="38"/>
      <c r="AQ17" s="38"/>
      <c r="AR17" s="128"/>
      <c r="AS17" s="27"/>
    </row>
    <row r="18" spans="1:45" x14ac:dyDescent="0.25">
      <c r="A18" t="s">
        <v>11</v>
      </c>
      <c r="B18" t="s">
        <v>267</v>
      </c>
      <c r="C18" s="166"/>
      <c r="D18" s="168"/>
      <c r="E18" s="164"/>
      <c r="F18" s="32"/>
      <c r="G18" s="56"/>
      <c r="H18" s="128"/>
      <c r="I18" s="128"/>
      <c r="J18" s="128"/>
      <c r="K18" s="68"/>
      <c r="L18" s="128"/>
      <c r="M18" s="128"/>
      <c r="N18" s="128"/>
      <c r="O18" s="128"/>
      <c r="P18" s="128"/>
      <c r="Q18" s="128"/>
      <c r="R18" s="108"/>
      <c r="S18" s="128"/>
      <c r="T18" s="128"/>
      <c r="U18" s="128"/>
      <c r="V18" s="128"/>
      <c r="W18" s="128"/>
      <c r="X18" s="128"/>
      <c r="Y18" s="128"/>
      <c r="Z18" s="128"/>
      <c r="AA18" s="128"/>
      <c r="AB18" s="38"/>
      <c r="AC18" s="123"/>
      <c r="AD18" s="58"/>
      <c r="AE18" s="128"/>
      <c r="AF18" s="128"/>
      <c r="AG18" s="128"/>
      <c r="AH18" s="128"/>
      <c r="AI18" s="128"/>
      <c r="AJ18" s="38"/>
      <c r="AK18" s="38"/>
      <c r="AL18" s="38"/>
      <c r="AM18" s="38"/>
      <c r="AN18" s="128"/>
      <c r="AO18" s="38"/>
      <c r="AP18" s="38"/>
      <c r="AQ18" s="38"/>
      <c r="AR18" s="128"/>
      <c r="AS18" s="27"/>
    </row>
    <row r="19" spans="1:45" x14ac:dyDescent="0.25">
      <c r="A19" s="255" t="s">
        <v>11</v>
      </c>
      <c r="B19" s="255" t="s">
        <v>271</v>
      </c>
      <c r="C19" s="156"/>
      <c r="D19" s="157"/>
      <c r="E19" s="158"/>
      <c r="F19" s="32"/>
      <c r="G19" s="256"/>
      <c r="H19" s="267"/>
      <c r="I19" s="257"/>
      <c r="J19" s="257"/>
      <c r="K19" s="318"/>
      <c r="L19" s="257"/>
      <c r="M19" s="257"/>
      <c r="N19" s="257"/>
      <c r="O19" s="257"/>
      <c r="P19" s="257"/>
      <c r="Q19" s="257"/>
      <c r="R19" s="258"/>
      <c r="S19" s="257"/>
      <c r="T19" s="257"/>
      <c r="U19" s="257"/>
      <c r="V19" s="257"/>
      <c r="W19" s="257"/>
      <c r="X19" s="257"/>
      <c r="Y19" s="257"/>
      <c r="Z19" s="257"/>
      <c r="AA19" s="257"/>
      <c r="AB19" s="253"/>
      <c r="AC19" s="277"/>
      <c r="AD19" s="252"/>
      <c r="AE19" s="257"/>
      <c r="AF19" s="257"/>
      <c r="AG19" s="257"/>
      <c r="AH19" s="257"/>
      <c r="AI19" s="257"/>
      <c r="AJ19" s="253"/>
      <c r="AK19" s="253"/>
      <c r="AL19" s="253"/>
      <c r="AM19" s="253"/>
      <c r="AN19" s="257"/>
      <c r="AO19" s="253"/>
      <c r="AP19" s="253"/>
      <c r="AQ19" s="253"/>
      <c r="AR19" s="257"/>
      <c r="AS19" s="27"/>
    </row>
    <row r="20" spans="1:45" s="116" customFormat="1" x14ac:dyDescent="0.25">
      <c r="A20" s="116" t="s">
        <v>11</v>
      </c>
      <c r="B20" s="116" t="s">
        <v>176</v>
      </c>
      <c r="C20" s="166">
        <v>15</v>
      </c>
      <c r="D20" s="168"/>
      <c r="E20" s="164">
        <v>2</v>
      </c>
      <c r="F20" s="94">
        <f>AVERAGE(W20,T20,H20,I20,J20,G20,K20,M20,N20,O20,P20,Q20,R20,S20)</f>
        <v>4.7857142857142856</v>
      </c>
      <c r="G20" s="56">
        <v>5</v>
      </c>
      <c r="H20" s="128">
        <v>5</v>
      </c>
      <c r="I20" s="128">
        <v>5</v>
      </c>
      <c r="J20" s="128">
        <v>4</v>
      </c>
      <c r="K20" s="299">
        <v>6</v>
      </c>
      <c r="L20" s="128" t="s">
        <v>546</v>
      </c>
      <c r="M20" s="128">
        <v>4</v>
      </c>
      <c r="N20" s="128">
        <v>5</v>
      </c>
      <c r="O20" s="128">
        <v>5</v>
      </c>
      <c r="P20" s="128">
        <v>5</v>
      </c>
      <c r="Q20" s="128">
        <v>5</v>
      </c>
      <c r="R20" s="108">
        <v>5</v>
      </c>
      <c r="S20" s="128">
        <v>4</v>
      </c>
      <c r="T20" s="128">
        <v>4</v>
      </c>
      <c r="U20" s="128"/>
      <c r="V20" s="128"/>
      <c r="W20" s="69">
        <v>5</v>
      </c>
      <c r="X20" s="128"/>
      <c r="Y20" s="128"/>
      <c r="Z20" s="128"/>
      <c r="AA20" s="128"/>
      <c r="AB20" s="38"/>
      <c r="AC20" s="123"/>
      <c r="AD20" s="58"/>
      <c r="AE20" s="128"/>
      <c r="AF20" s="128"/>
      <c r="AG20" s="128"/>
      <c r="AH20" s="128"/>
      <c r="AI20" s="128"/>
      <c r="AJ20" s="66"/>
      <c r="AK20" s="38"/>
      <c r="AL20" s="38"/>
      <c r="AM20" s="38"/>
      <c r="AN20" s="128"/>
      <c r="AO20" s="38"/>
      <c r="AP20" s="38"/>
      <c r="AQ20" s="38"/>
      <c r="AR20" s="128"/>
      <c r="AS20" s="120"/>
    </row>
    <row r="21" spans="1:45" s="116" customFormat="1" x14ac:dyDescent="0.25">
      <c r="A21" s="116" t="s">
        <v>11</v>
      </c>
      <c r="B21" s="42" t="s">
        <v>890</v>
      </c>
      <c r="C21" s="166">
        <v>5</v>
      </c>
      <c r="D21" s="168"/>
      <c r="E21" s="164">
        <v>1</v>
      </c>
      <c r="F21" s="129">
        <f>AVERAGE(U21,V21,W21,X21,Y21)</f>
        <v>4.8</v>
      </c>
      <c r="G21" s="56"/>
      <c r="H21" s="128"/>
      <c r="I21" s="128"/>
      <c r="J21" s="128"/>
      <c r="K21" s="68"/>
      <c r="L21" s="128"/>
      <c r="M21" s="128"/>
      <c r="N21" s="128"/>
      <c r="O21" s="128"/>
      <c r="P21" s="128"/>
      <c r="Q21" s="128"/>
      <c r="R21" s="108"/>
      <c r="S21" s="128"/>
      <c r="T21" s="128"/>
      <c r="U21" s="128">
        <v>5</v>
      </c>
      <c r="V21" s="283">
        <v>7</v>
      </c>
      <c r="W21" s="303">
        <v>3</v>
      </c>
      <c r="X21" s="128">
        <v>4</v>
      </c>
      <c r="Y21" s="128">
        <v>5</v>
      </c>
      <c r="Z21" s="128"/>
      <c r="AA21" s="108"/>
      <c r="AB21" s="38"/>
      <c r="AC21" s="123"/>
      <c r="AD21" s="58"/>
      <c r="AE21" s="128"/>
      <c r="AF21" s="128"/>
      <c r="AG21" s="128"/>
      <c r="AH21" s="128"/>
      <c r="AI21" s="128"/>
      <c r="AJ21" s="38"/>
      <c r="AK21" s="38"/>
      <c r="AL21" s="38"/>
      <c r="AM21" s="38"/>
      <c r="AN21" s="128"/>
      <c r="AO21" s="38"/>
      <c r="AP21" s="38"/>
      <c r="AQ21" s="38"/>
      <c r="AR21" s="128"/>
      <c r="AS21" s="120"/>
    </row>
    <row r="22" spans="1:45" s="141" customFormat="1" x14ac:dyDescent="0.25">
      <c r="A22" s="141" t="s">
        <v>11</v>
      </c>
      <c r="B22" s="49" t="s">
        <v>490</v>
      </c>
      <c r="C22" s="166">
        <v>14</v>
      </c>
      <c r="D22" s="168">
        <v>1</v>
      </c>
      <c r="E22" s="164"/>
      <c r="F22" s="129">
        <f>AVERAGE(Y22,V22,G22,K22,L22,M22,N22,O22,P22,Q22,R22,S22,T22,U22)</f>
        <v>4.6428571428571432</v>
      </c>
      <c r="G22" s="56">
        <v>5</v>
      </c>
      <c r="H22" s="108"/>
      <c r="I22" s="108"/>
      <c r="J22" s="108" t="s">
        <v>153</v>
      </c>
      <c r="K22" s="345">
        <v>3</v>
      </c>
      <c r="L22" s="128">
        <v>5</v>
      </c>
      <c r="M22" s="128">
        <v>5</v>
      </c>
      <c r="N22" s="128">
        <v>5</v>
      </c>
      <c r="O22" s="128">
        <v>4</v>
      </c>
      <c r="P22" s="128">
        <v>5</v>
      </c>
      <c r="Q22" s="128">
        <v>5</v>
      </c>
      <c r="R22" s="108">
        <v>5</v>
      </c>
      <c r="S22" s="347">
        <v>3</v>
      </c>
      <c r="T22" s="128">
        <v>5</v>
      </c>
      <c r="U22" s="128">
        <v>6</v>
      </c>
      <c r="V22" s="128">
        <v>5</v>
      </c>
      <c r="W22" s="128"/>
      <c r="X22" s="128"/>
      <c r="Y22" s="128">
        <v>4</v>
      </c>
      <c r="Z22" s="128"/>
      <c r="AA22" s="108"/>
      <c r="AB22" s="38"/>
      <c r="AC22" s="123"/>
      <c r="AD22" s="58"/>
      <c r="AE22" s="128"/>
      <c r="AF22" s="128"/>
      <c r="AG22" s="128"/>
      <c r="AH22" s="128"/>
      <c r="AI22" s="128"/>
      <c r="AJ22" s="38"/>
      <c r="AK22" s="38"/>
      <c r="AL22" s="38"/>
      <c r="AM22" s="38"/>
      <c r="AN22" s="128"/>
      <c r="AO22" s="38"/>
      <c r="AP22" s="38"/>
      <c r="AQ22" s="38"/>
      <c r="AR22" s="128"/>
      <c r="AS22" s="174"/>
    </row>
    <row r="23" spans="1:45" x14ac:dyDescent="0.25">
      <c r="A23" s="14" t="s">
        <v>11</v>
      </c>
      <c r="B23" s="14" t="s">
        <v>252</v>
      </c>
      <c r="C23" s="170">
        <v>6</v>
      </c>
      <c r="D23" s="171">
        <v>1</v>
      </c>
      <c r="E23" s="172"/>
      <c r="F23" s="34">
        <f>AVERAGE(H23,J23,L23,M23,O23,P23,Q23)</f>
        <v>4.7142857142857144</v>
      </c>
      <c r="G23" s="56"/>
      <c r="H23" s="108">
        <v>4</v>
      </c>
      <c r="I23" s="68"/>
      <c r="J23" s="108">
        <v>5</v>
      </c>
      <c r="K23" s="68"/>
      <c r="L23" s="128">
        <v>5</v>
      </c>
      <c r="M23" s="128">
        <v>5</v>
      </c>
      <c r="N23" s="128"/>
      <c r="O23" s="128">
        <v>5</v>
      </c>
      <c r="P23" s="128">
        <v>5</v>
      </c>
      <c r="Q23" s="128">
        <v>4</v>
      </c>
      <c r="R23" s="108"/>
      <c r="S23" s="128"/>
      <c r="T23" s="128"/>
      <c r="U23" s="128"/>
      <c r="V23" s="128"/>
      <c r="W23" s="128"/>
      <c r="X23" s="128"/>
      <c r="Y23" s="128"/>
      <c r="Z23" s="128"/>
      <c r="AA23" s="128"/>
      <c r="AB23" s="38"/>
      <c r="AC23" s="123"/>
      <c r="AD23" s="58"/>
      <c r="AE23" s="128"/>
      <c r="AF23" s="128"/>
      <c r="AG23" s="128"/>
      <c r="AH23" s="128"/>
      <c r="AI23" s="128"/>
      <c r="AJ23" s="38"/>
      <c r="AK23" s="38"/>
      <c r="AL23" s="38"/>
      <c r="AM23" s="38"/>
      <c r="AN23" s="128"/>
      <c r="AO23" s="38"/>
      <c r="AP23" s="38"/>
      <c r="AQ23" s="38"/>
      <c r="AR23" s="128"/>
      <c r="AS23" s="27"/>
    </row>
    <row r="24" spans="1:45" x14ac:dyDescent="0.25">
      <c r="A24" t="s">
        <v>29</v>
      </c>
      <c r="B24" t="s">
        <v>144</v>
      </c>
      <c r="C24" s="166">
        <v>10</v>
      </c>
      <c r="D24" s="168">
        <v>1</v>
      </c>
      <c r="E24" s="164"/>
      <c r="F24" s="32">
        <f>AVERAGE(H24,I24,J24,G24,K24,M24,O24,P24,R24,S24)</f>
        <v>4.5</v>
      </c>
      <c r="G24" s="56">
        <v>5</v>
      </c>
      <c r="H24" s="108">
        <v>5</v>
      </c>
      <c r="I24" s="108">
        <v>5</v>
      </c>
      <c r="J24" s="108">
        <v>4</v>
      </c>
      <c r="K24" s="108">
        <v>5</v>
      </c>
      <c r="L24" s="128"/>
      <c r="M24" s="128">
        <v>4</v>
      </c>
      <c r="N24" s="128"/>
      <c r="O24" s="128">
        <v>5</v>
      </c>
      <c r="P24" s="128">
        <v>5</v>
      </c>
      <c r="Q24" s="128"/>
      <c r="R24" s="108">
        <v>4</v>
      </c>
      <c r="S24" s="303">
        <v>3</v>
      </c>
      <c r="T24" s="108" t="s">
        <v>153</v>
      </c>
      <c r="U24" s="128"/>
      <c r="V24" s="128"/>
      <c r="W24" s="108"/>
      <c r="X24" s="128"/>
      <c r="Y24" s="128"/>
      <c r="Z24" s="128"/>
      <c r="AA24" s="128"/>
      <c r="AB24" s="62"/>
      <c r="AC24" s="123"/>
      <c r="AD24" s="58"/>
      <c r="AE24" s="128"/>
      <c r="AF24" s="128"/>
      <c r="AG24" s="128"/>
      <c r="AH24" s="128"/>
      <c r="AI24" s="128"/>
      <c r="AJ24" s="38"/>
      <c r="AK24" s="38"/>
      <c r="AL24" s="38"/>
      <c r="AM24" s="38"/>
      <c r="AN24" s="128"/>
      <c r="AO24" s="38"/>
      <c r="AP24" s="38"/>
      <c r="AQ24" s="38"/>
      <c r="AR24" s="128"/>
      <c r="AS24" s="27"/>
    </row>
    <row r="25" spans="1:45" x14ac:dyDescent="0.25">
      <c r="A25" s="255" t="s">
        <v>29</v>
      </c>
      <c r="B25" s="255" t="s">
        <v>268</v>
      </c>
      <c r="C25" s="156"/>
      <c r="D25" s="157"/>
      <c r="E25" s="158"/>
      <c r="F25" s="32"/>
      <c r="G25" s="256"/>
      <c r="H25" s="258"/>
      <c r="I25" s="258"/>
      <c r="J25" s="258"/>
      <c r="K25" s="258"/>
      <c r="L25" s="257"/>
      <c r="M25" s="257"/>
      <c r="N25" s="257"/>
      <c r="O25" s="257"/>
      <c r="P25" s="257"/>
      <c r="Q25" s="257"/>
      <c r="R25" s="258"/>
      <c r="S25" s="257"/>
      <c r="T25" s="257"/>
      <c r="U25" s="257"/>
      <c r="V25" s="257"/>
      <c r="W25" s="257"/>
      <c r="X25" s="257"/>
      <c r="Y25" s="257"/>
      <c r="Z25" s="257"/>
      <c r="AA25" s="257"/>
      <c r="AB25" s="253"/>
      <c r="AC25" s="277"/>
      <c r="AD25" s="252"/>
      <c r="AE25" s="257"/>
      <c r="AF25" s="257"/>
      <c r="AG25" s="257"/>
      <c r="AH25" s="257"/>
      <c r="AI25" s="257"/>
      <c r="AJ25" s="253"/>
      <c r="AK25" s="253"/>
      <c r="AL25" s="253"/>
      <c r="AM25" s="253"/>
      <c r="AN25" s="257"/>
      <c r="AO25" s="253"/>
      <c r="AP25" s="253"/>
      <c r="AQ25" s="253"/>
      <c r="AR25" s="257"/>
      <c r="AS25" s="27"/>
    </row>
    <row r="26" spans="1:45" x14ac:dyDescent="0.25">
      <c r="A26" t="s">
        <v>29</v>
      </c>
      <c r="B26" t="s">
        <v>145</v>
      </c>
      <c r="C26" s="166"/>
      <c r="D26" s="168"/>
      <c r="E26" s="164"/>
      <c r="F26" s="32"/>
      <c r="G26" s="56"/>
      <c r="H26" s="108"/>
      <c r="I26" s="108"/>
      <c r="J26" s="108"/>
      <c r="K26" s="108"/>
      <c r="L26" s="128"/>
      <c r="M26" s="128"/>
      <c r="N26" s="128"/>
      <c r="O26" s="108"/>
      <c r="P26" s="128"/>
      <c r="Q26" s="128"/>
      <c r="R26" s="108"/>
      <c r="S26" s="69"/>
      <c r="T26" s="128"/>
      <c r="U26" s="128"/>
      <c r="V26" s="108"/>
      <c r="W26" s="128"/>
      <c r="X26" s="108"/>
      <c r="Y26" s="128"/>
      <c r="Z26" s="128"/>
      <c r="AA26" s="128"/>
      <c r="AB26" s="38"/>
      <c r="AC26" s="123"/>
      <c r="AD26" s="56"/>
      <c r="AE26" s="128"/>
      <c r="AF26" s="108"/>
      <c r="AG26" s="128"/>
      <c r="AH26" s="128"/>
      <c r="AI26" s="128"/>
      <c r="AJ26" s="62"/>
      <c r="AK26" s="38"/>
      <c r="AL26" s="38"/>
      <c r="AM26" s="38"/>
      <c r="AN26" s="128"/>
      <c r="AO26" s="38"/>
      <c r="AP26" s="38"/>
      <c r="AQ26" s="38"/>
      <c r="AR26" s="128"/>
      <c r="AS26" s="27"/>
    </row>
    <row r="27" spans="1:45" x14ac:dyDescent="0.25">
      <c r="A27" t="s">
        <v>29</v>
      </c>
      <c r="B27" s="49" t="s">
        <v>325</v>
      </c>
      <c r="C27" s="166">
        <v>10</v>
      </c>
      <c r="D27" s="168">
        <v>6</v>
      </c>
      <c r="E27" s="164"/>
      <c r="F27" s="32">
        <f>AVERAGE(L27,N27,P27,Q27,T27,U27,V27,W27,X27,Y27)</f>
        <v>5</v>
      </c>
      <c r="G27" s="56"/>
      <c r="H27" s="108" t="s">
        <v>153</v>
      </c>
      <c r="I27" s="108" t="s">
        <v>153</v>
      </c>
      <c r="J27" s="108" t="s">
        <v>153</v>
      </c>
      <c r="K27" s="108"/>
      <c r="L27" s="128">
        <v>5</v>
      </c>
      <c r="M27" s="108" t="s">
        <v>153</v>
      </c>
      <c r="N27" s="128">
        <v>5</v>
      </c>
      <c r="O27" s="108" t="s">
        <v>153</v>
      </c>
      <c r="P27" s="108">
        <v>5</v>
      </c>
      <c r="Q27" s="128">
        <v>5</v>
      </c>
      <c r="R27" s="108" t="s">
        <v>153</v>
      </c>
      <c r="S27" s="128"/>
      <c r="T27" s="128">
        <v>5</v>
      </c>
      <c r="U27" s="128">
        <v>5</v>
      </c>
      <c r="V27" s="128">
        <v>6</v>
      </c>
      <c r="W27" s="128">
        <v>5</v>
      </c>
      <c r="X27" s="128">
        <v>4</v>
      </c>
      <c r="Y27" s="128">
        <v>5</v>
      </c>
      <c r="Z27" s="128"/>
      <c r="AA27" s="128"/>
      <c r="AB27" s="38"/>
      <c r="AC27" s="123"/>
      <c r="AD27" s="58"/>
      <c r="AE27" s="128"/>
      <c r="AF27" s="128"/>
      <c r="AG27" s="128"/>
      <c r="AH27" s="128"/>
      <c r="AI27" s="128"/>
      <c r="AJ27" s="38"/>
      <c r="AK27" s="38"/>
      <c r="AL27" s="38"/>
      <c r="AM27" s="38"/>
      <c r="AN27" s="128"/>
      <c r="AO27" s="38"/>
      <c r="AP27" s="38"/>
      <c r="AQ27" s="38"/>
      <c r="AR27" s="128"/>
      <c r="AS27" s="27"/>
    </row>
    <row r="28" spans="1:45" x14ac:dyDescent="0.25">
      <c r="A28" t="s">
        <v>29</v>
      </c>
      <c r="B28" s="49" t="s">
        <v>346</v>
      </c>
      <c r="C28" s="166">
        <v>11</v>
      </c>
      <c r="D28" s="168">
        <v>2</v>
      </c>
      <c r="E28" s="164">
        <v>1</v>
      </c>
      <c r="F28" s="32">
        <f>AVERAGE(H28,I28,G28,K28,L28,M28,N28,O28,P28,X28)</f>
        <v>5.3</v>
      </c>
      <c r="G28" s="56">
        <v>5</v>
      </c>
      <c r="H28" s="108">
        <v>5</v>
      </c>
      <c r="I28" s="294">
        <v>7</v>
      </c>
      <c r="J28" s="108"/>
      <c r="K28" s="108">
        <v>5</v>
      </c>
      <c r="L28" s="128">
        <v>5</v>
      </c>
      <c r="M28" s="128">
        <v>5</v>
      </c>
      <c r="N28" s="128">
        <v>5</v>
      </c>
      <c r="O28" s="128">
        <v>5</v>
      </c>
      <c r="P28" s="128">
        <v>6</v>
      </c>
      <c r="Q28" s="128" t="s">
        <v>546</v>
      </c>
      <c r="R28" s="108"/>
      <c r="S28" s="128"/>
      <c r="T28" s="128"/>
      <c r="U28" s="69"/>
      <c r="V28" s="128"/>
      <c r="W28" s="108" t="s">
        <v>153</v>
      </c>
      <c r="X28" s="128">
        <v>5</v>
      </c>
      <c r="Y28" s="204" t="s">
        <v>153</v>
      </c>
      <c r="Z28" s="128"/>
      <c r="AA28" s="128"/>
      <c r="AB28" s="38"/>
      <c r="AC28" s="123"/>
      <c r="AD28" s="58"/>
      <c r="AE28" s="128"/>
      <c r="AF28" s="128"/>
      <c r="AG28" s="128"/>
      <c r="AH28" s="128"/>
      <c r="AI28" s="128"/>
      <c r="AJ28" s="38"/>
      <c r="AK28" s="66"/>
      <c r="AL28" s="38"/>
      <c r="AM28" s="38"/>
      <c r="AN28" s="128"/>
      <c r="AO28" s="38"/>
      <c r="AP28" s="38"/>
      <c r="AQ28" s="38"/>
      <c r="AR28" s="128"/>
      <c r="AS28" s="27"/>
    </row>
    <row r="29" spans="1:45" x14ac:dyDescent="0.25">
      <c r="A29" t="s">
        <v>29</v>
      </c>
      <c r="B29" s="49" t="s">
        <v>251</v>
      </c>
      <c r="C29" s="166"/>
      <c r="D29" s="168"/>
      <c r="E29" s="164"/>
      <c r="F29" s="32"/>
      <c r="G29" s="56"/>
      <c r="H29" s="68"/>
      <c r="I29" s="108"/>
      <c r="J29" s="68"/>
      <c r="K29" s="108"/>
      <c r="L29" s="128"/>
      <c r="M29" s="128"/>
      <c r="N29" s="128"/>
      <c r="O29" s="128"/>
      <c r="P29" s="128"/>
      <c r="Q29" s="128"/>
      <c r="R29" s="108"/>
      <c r="S29" s="128"/>
      <c r="T29" s="128"/>
      <c r="U29" s="128"/>
      <c r="V29" s="128"/>
      <c r="W29" s="128"/>
      <c r="X29" s="128"/>
      <c r="Y29" s="128"/>
      <c r="Z29" s="128"/>
      <c r="AA29" s="128"/>
      <c r="AB29" s="38"/>
      <c r="AC29" s="123"/>
      <c r="AD29" s="58"/>
      <c r="AE29" s="108"/>
      <c r="AF29" s="128"/>
      <c r="AG29" s="128"/>
      <c r="AH29" s="128"/>
      <c r="AI29" s="128"/>
      <c r="AJ29" s="38"/>
      <c r="AK29" s="38"/>
      <c r="AL29" s="62"/>
      <c r="AM29" s="38"/>
      <c r="AN29" s="108"/>
      <c r="AO29" s="38"/>
      <c r="AP29" s="38"/>
      <c r="AQ29" s="38"/>
      <c r="AR29" s="128"/>
      <c r="AS29" s="27"/>
    </row>
    <row r="30" spans="1:45" x14ac:dyDescent="0.25">
      <c r="A30" t="s">
        <v>29</v>
      </c>
      <c r="B30" s="49" t="s">
        <v>146</v>
      </c>
      <c r="C30" s="166">
        <v>6</v>
      </c>
      <c r="D30" s="168">
        <v>10</v>
      </c>
      <c r="E30" s="164">
        <v>1</v>
      </c>
      <c r="F30" s="32">
        <f>AVERAGE(J30,G30,L30,M30,N30,O30)</f>
        <v>5.833333333333333</v>
      </c>
      <c r="G30" s="56">
        <v>5</v>
      </c>
      <c r="H30" s="108" t="s">
        <v>153</v>
      </c>
      <c r="I30" s="108" t="s">
        <v>153</v>
      </c>
      <c r="J30" s="298">
        <v>7</v>
      </c>
      <c r="K30" s="108" t="s">
        <v>153</v>
      </c>
      <c r="L30" s="294">
        <v>7</v>
      </c>
      <c r="M30" s="128">
        <v>6</v>
      </c>
      <c r="N30" s="128">
        <v>6</v>
      </c>
      <c r="O30" s="128">
        <v>4</v>
      </c>
      <c r="P30" s="108" t="s">
        <v>153</v>
      </c>
      <c r="Q30" s="108" t="s">
        <v>153</v>
      </c>
      <c r="R30" s="108" t="s">
        <v>153</v>
      </c>
      <c r="S30" s="108" t="s">
        <v>153</v>
      </c>
      <c r="T30" s="128"/>
      <c r="U30" s="204" t="s">
        <v>153</v>
      </c>
      <c r="V30" s="128"/>
      <c r="W30" s="108" t="s">
        <v>153</v>
      </c>
      <c r="X30" s="108" t="s">
        <v>153</v>
      </c>
      <c r="Y30" s="128"/>
      <c r="Z30" s="108"/>
      <c r="AA30" s="128"/>
      <c r="AB30" s="38"/>
      <c r="AC30" s="210"/>
      <c r="AD30" s="56"/>
      <c r="AE30" s="128"/>
      <c r="AF30" s="128"/>
      <c r="AG30" s="128"/>
      <c r="AH30" s="108"/>
      <c r="AI30" s="128"/>
      <c r="AJ30" s="38"/>
      <c r="AK30" s="62"/>
      <c r="AL30" s="62"/>
      <c r="AM30" s="62"/>
      <c r="AN30" s="69"/>
      <c r="AO30" s="62"/>
      <c r="AP30" s="62"/>
      <c r="AQ30" s="62"/>
      <c r="AR30" s="108"/>
      <c r="AS30" s="27"/>
    </row>
    <row r="31" spans="1:45" x14ac:dyDescent="0.25">
      <c r="A31" t="s">
        <v>29</v>
      </c>
      <c r="B31" s="49" t="s">
        <v>147</v>
      </c>
      <c r="C31" s="166">
        <v>15</v>
      </c>
      <c r="D31" s="168">
        <v>1</v>
      </c>
      <c r="E31" s="164">
        <v>1</v>
      </c>
      <c r="F31" s="32">
        <f>AVERAGE(Y31,W31,H31,I31,J31,K31,L31,P31,Q31,R31,S31,T31,U31,V31,X31)</f>
        <v>5.2</v>
      </c>
      <c r="G31" s="56" t="s">
        <v>153</v>
      </c>
      <c r="H31" s="108">
        <v>4</v>
      </c>
      <c r="I31" s="209">
        <v>5</v>
      </c>
      <c r="J31" s="209">
        <v>5</v>
      </c>
      <c r="K31" s="108">
        <v>4</v>
      </c>
      <c r="L31" s="108">
        <v>6</v>
      </c>
      <c r="M31" s="108"/>
      <c r="N31" s="108"/>
      <c r="O31" s="128"/>
      <c r="P31" s="294">
        <v>8</v>
      </c>
      <c r="Q31" s="128">
        <v>4</v>
      </c>
      <c r="R31" s="108">
        <v>5</v>
      </c>
      <c r="S31" s="302">
        <v>2</v>
      </c>
      <c r="T31" s="128">
        <v>5</v>
      </c>
      <c r="U31" s="128">
        <v>6</v>
      </c>
      <c r="V31" s="282">
        <v>7</v>
      </c>
      <c r="W31" s="282">
        <v>7</v>
      </c>
      <c r="X31" s="128">
        <v>5</v>
      </c>
      <c r="Y31" s="128">
        <v>5</v>
      </c>
      <c r="Z31" s="128"/>
      <c r="AA31" s="128"/>
      <c r="AB31" s="38"/>
      <c r="AC31" s="123"/>
      <c r="AD31" s="123"/>
      <c r="AE31" s="69"/>
      <c r="AF31" s="128"/>
      <c r="AG31" s="128"/>
      <c r="AH31" s="128"/>
      <c r="AI31" s="128"/>
      <c r="AJ31" s="38"/>
      <c r="AK31" s="38"/>
      <c r="AL31" s="66"/>
      <c r="AM31" s="38"/>
      <c r="AN31" s="128"/>
      <c r="AO31" s="38"/>
      <c r="AP31" s="66"/>
      <c r="AQ31" s="38"/>
      <c r="AR31" s="69"/>
      <c r="AS31" s="27"/>
    </row>
    <row r="32" spans="1:45" s="116" customFormat="1" x14ac:dyDescent="0.25">
      <c r="A32" s="116" t="s">
        <v>29</v>
      </c>
      <c r="B32" s="49" t="s">
        <v>376</v>
      </c>
      <c r="C32" s="166">
        <v>1</v>
      </c>
      <c r="D32" s="168">
        <v>9</v>
      </c>
      <c r="E32" s="164"/>
      <c r="F32" s="94">
        <f>AVERAGE(N32)</f>
        <v>5</v>
      </c>
      <c r="G32" s="56" t="s">
        <v>153</v>
      </c>
      <c r="H32" s="108"/>
      <c r="I32" s="68"/>
      <c r="J32" s="68"/>
      <c r="K32" s="108" t="s">
        <v>153</v>
      </c>
      <c r="L32" s="108"/>
      <c r="M32" s="108" t="s">
        <v>153</v>
      </c>
      <c r="N32" s="108">
        <v>5</v>
      </c>
      <c r="O32" s="108" t="s">
        <v>153</v>
      </c>
      <c r="P32" s="128"/>
      <c r="Q32" s="128"/>
      <c r="R32" s="108"/>
      <c r="S32" s="108" t="s">
        <v>153</v>
      </c>
      <c r="T32" s="128"/>
      <c r="U32" s="204" t="s">
        <v>153</v>
      </c>
      <c r="V32" s="108" t="s">
        <v>153</v>
      </c>
      <c r="W32" s="128"/>
      <c r="X32" s="108" t="s">
        <v>153</v>
      </c>
      <c r="Y32" s="204" t="s">
        <v>153</v>
      </c>
      <c r="Z32" s="128"/>
      <c r="AA32" s="128"/>
      <c r="AB32" s="38"/>
      <c r="AC32" s="123"/>
      <c r="AD32" s="58"/>
      <c r="AE32" s="108"/>
      <c r="AF32" s="128"/>
      <c r="AG32" s="128"/>
      <c r="AH32" s="128"/>
      <c r="AI32" s="128"/>
      <c r="AJ32" s="38"/>
      <c r="AK32" s="38"/>
      <c r="AL32" s="38"/>
      <c r="AM32" s="38"/>
      <c r="AN32" s="108"/>
      <c r="AO32" s="38"/>
      <c r="AP32" s="38"/>
      <c r="AQ32" s="38"/>
      <c r="AR32" s="128"/>
      <c r="AS32" s="120"/>
    </row>
    <row r="33" spans="1:45" s="141" customFormat="1" x14ac:dyDescent="0.25">
      <c r="A33" s="178" t="s">
        <v>29</v>
      </c>
      <c r="B33" s="49" t="s">
        <v>398</v>
      </c>
      <c r="C33" s="166">
        <v>7</v>
      </c>
      <c r="D33" s="168">
        <v>1</v>
      </c>
      <c r="E33" s="164">
        <v>1</v>
      </c>
      <c r="F33" s="129">
        <f>AVERAGE(R33,S33,T33,U33,V33,W33,Y33)</f>
        <v>4.7142857142857144</v>
      </c>
      <c r="G33" s="56"/>
      <c r="H33" s="108"/>
      <c r="I33" s="68"/>
      <c r="J33" s="68"/>
      <c r="K33" s="108"/>
      <c r="L33" s="108"/>
      <c r="M33" s="108"/>
      <c r="N33" s="108"/>
      <c r="O33" s="128"/>
      <c r="P33" s="108" t="s">
        <v>153</v>
      </c>
      <c r="Q33" s="128"/>
      <c r="R33" s="294">
        <v>7</v>
      </c>
      <c r="S33" s="108">
        <v>4</v>
      </c>
      <c r="T33" s="128">
        <v>5</v>
      </c>
      <c r="U33" s="128">
        <v>5</v>
      </c>
      <c r="V33" s="128">
        <v>5</v>
      </c>
      <c r="W33" s="303">
        <v>3</v>
      </c>
      <c r="X33" s="128"/>
      <c r="Y33" s="128">
        <v>4</v>
      </c>
      <c r="Z33" s="128"/>
      <c r="AA33" s="128"/>
      <c r="AB33" s="38"/>
      <c r="AC33" s="123"/>
      <c r="AD33" s="58"/>
      <c r="AE33" s="108"/>
      <c r="AF33" s="128"/>
      <c r="AG33" s="128"/>
      <c r="AH33" s="128"/>
      <c r="AI33" s="128"/>
      <c r="AJ33" s="38"/>
      <c r="AK33" s="38"/>
      <c r="AL33" s="38"/>
      <c r="AM33" s="38"/>
      <c r="AN33" s="108"/>
      <c r="AO33" s="38"/>
      <c r="AP33" s="38"/>
      <c r="AQ33" s="38"/>
      <c r="AR33" s="108"/>
      <c r="AS33" s="174"/>
    </row>
    <row r="34" spans="1:45" s="141" customFormat="1" x14ac:dyDescent="0.25">
      <c r="A34" s="178" t="s">
        <v>29</v>
      </c>
      <c r="B34" s="42" t="s">
        <v>559</v>
      </c>
      <c r="C34" s="166">
        <v>11</v>
      </c>
      <c r="D34" s="168">
        <v>3</v>
      </c>
      <c r="E34" s="164"/>
      <c r="F34" s="129">
        <f>AVERAGE(Y34,J34,K34,Q34,R34,S34,T34,U34,V34,W34,X34)</f>
        <v>4.9090909090909092</v>
      </c>
      <c r="G34" s="56"/>
      <c r="H34" s="108" t="s">
        <v>153</v>
      </c>
      <c r="I34" s="68" t="s">
        <v>153</v>
      </c>
      <c r="J34" s="209">
        <v>4</v>
      </c>
      <c r="K34" s="108">
        <v>5</v>
      </c>
      <c r="L34" s="108" t="s">
        <v>546</v>
      </c>
      <c r="M34" s="108"/>
      <c r="N34" s="108"/>
      <c r="O34" s="128"/>
      <c r="P34" s="128"/>
      <c r="Q34" s="128">
        <v>5</v>
      </c>
      <c r="R34" s="108">
        <v>5</v>
      </c>
      <c r="S34" s="302">
        <v>3</v>
      </c>
      <c r="T34" s="128">
        <v>6</v>
      </c>
      <c r="U34" s="128">
        <v>6</v>
      </c>
      <c r="V34" s="128">
        <v>5</v>
      </c>
      <c r="W34" s="128">
        <v>5</v>
      </c>
      <c r="X34" s="128">
        <v>5</v>
      </c>
      <c r="Y34" s="128">
        <v>5</v>
      </c>
      <c r="Z34" s="128"/>
      <c r="AA34" s="128"/>
      <c r="AB34" s="38"/>
      <c r="AC34" s="123"/>
      <c r="AD34" s="58"/>
      <c r="AE34" s="108"/>
      <c r="AF34" s="128"/>
      <c r="AG34" s="128"/>
      <c r="AH34" s="128"/>
      <c r="AI34" s="128"/>
      <c r="AJ34" s="38"/>
      <c r="AK34" s="38"/>
      <c r="AL34" s="38"/>
      <c r="AM34" s="38"/>
      <c r="AN34" s="108"/>
      <c r="AO34" s="38"/>
      <c r="AP34" s="38"/>
      <c r="AQ34" s="38"/>
      <c r="AR34" s="108"/>
      <c r="AS34" s="174"/>
    </row>
    <row r="35" spans="1:45" x14ac:dyDescent="0.25">
      <c r="A35" s="14" t="s">
        <v>29</v>
      </c>
      <c r="B35" s="14" t="s">
        <v>148</v>
      </c>
      <c r="C35" s="170"/>
      <c r="D35" s="171"/>
      <c r="E35" s="172"/>
      <c r="F35" s="19"/>
      <c r="G35" s="56"/>
      <c r="H35" s="108"/>
      <c r="I35" s="108"/>
      <c r="J35" s="108"/>
      <c r="K35" s="108"/>
      <c r="L35" s="128"/>
      <c r="M35" s="128"/>
      <c r="N35" s="108"/>
      <c r="O35" s="128"/>
      <c r="P35" s="128"/>
      <c r="Q35" s="128"/>
      <c r="R35" s="108"/>
      <c r="S35" s="128"/>
      <c r="T35" s="128"/>
      <c r="U35" s="128"/>
      <c r="V35" s="128"/>
      <c r="W35" s="128"/>
      <c r="X35" s="128"/>
      <c r="Y35" s="128"/>
      <c r="Z35" s="128"/>
      <c r="AA35" s="128"/>
      <c r="AB35" s="38"/>
      <c r="AC35" s="123"/>
      <c r="AD35" s="58"/>
      <c r="AE35" s="128"/>
      <c r="AF35" s="128"/>
      <c r="AG35" s="128"/>
      <c r="AH35" s="128"/>
      <c r="AI35" s="128"/>
      <c r="AJ35" s="38"/>
      <c r="AK35" s="38"/>
      <c r="AL35" s="38"/>
      <c r="AM35" s="38"/>
      <c r="AN35" s="128"/>
      <c r="AO35" s="38"/>
      <c r="AP35" s="38"/>
      <c r="AQ35" s="38"/>
      <c r="AR35" s="128"/>
      <c r="AS35" s="27"/>
    </row>
    <row r="36" spans="1:45" x14ac:dyDescent="0.25">
      <c r="A36" t="s">
        <v>30</v>
      </c>
      <c r="B36" s="116" t="s">
        <v>149</v>
      </c>
      <c r="C36" s="166">
        <v>15</v>
      </c>
      <c r="D36" s="168">
        <v>1</v>
      </c>
      <c r="E36" s="164">
        <v>4</v>
      </c>
      <c r="F36" s="32">
        <f>AVERAGE(Y36,W36,V36,H36,I36,G36,K36,M36,N36,P36,Q36,R36,T36,U36,X36)</f>
        <v>5</v>
      </c>
      <c r="G36" s="198">
        <v>5</v>
      </c>
      <c r="H36" s="57">
        <v>4</v>
      </c>
      <c r="I36" s="209">
        <v>4</v>
      </c>
      <c r="J36" s="108"/>
      <c r="K36" s="108">
        <v>5</v>
      </c>
      <c r="L36" s="69"/>
      <c r="M36" s="70">
        <v>4</v>
      </c>
      <c r="N36" s="70">
        <v>4</v>
      </c>
      <c r="O36" s="204" t="s">
        <v>153</v>
      </c>
      <c r="P36" s="128">
        <v>6</v>
      </c>
      <c r="Q36" s="128">
        <v>4</v>
      </c>
      <c r="R36" s="108">
        <v>5</v>
      </c>
      <c r="S36" s="69"/>
      <c r="T36" s="128">
        <v>5</v>
      </c>
      <c r="U36" s="69">
        <v>6</v>
      </c>
      <c r="V36" s="128">
        <v>5</v>
      </c>
      <c r="W36" s="283">
        <v>7</v>
      </c>
      <c r="X36" s="128">
        <v>5</v>
      </c>
      <c r="Y36" s="69">
        <v>6</v>
      </c>
      <c r="Z36" s="128"/>
      <c r="AA36" s="128"/>
      <c r="AB36" s="38"/>
      <c r="AC36" s="123"/>
      <c r="AD36" s="123"/>
      <c r="AE36" s="128"/>
      <c r="AF36" s="69"/>
      <c r="AG36" s="128"/>
      <c r="AH36" s="57"/>
      <c r="AI36" s="128"/>
      <c r="AJ36" s="66"/>
      <c r="AK36" s="66"/>
      <c r="AL36" s="38"/>
      <c r="AM36" s="38"/>
      <c r="AN36" s="128"/>
      <c r="AO36" s="38"/>
      <c r="AP36" s="66"/>
      <c r="AQ36" s="66"/>
      <c r="AR36" s="128"/>
      <c r="AS36" s="27"/>
    </row>
    <row r="37" spans="1:45" x14ac:dyDescent="0.25">
      <c r="A37" t="s">
        <v>30</v>
      </c>
      <c r="B37" s="49" t="s">
        <v>287</v>
      </c>
      <c r="C37" s="166">
        <v>3</v>
      </c>
      <c r="D37" s="168">
        <v>12</v>
      </c>
      <c r="E37" s="164">
        <v>2</v>
      </c>
      <c r="F37" s="32">
        <f>AVERAGE(O37,W37,X37)</f>
        <v>4.666666666666667</v>
      </c>
      <c r="G37" s="56" t="s">
        <v>153</v>
      </c>
      <c r="H37" s="108"/>
      <c r="I37" s="108"/>
      <c r="J37" s="108" t="s">
        <v>153</v>
      </c>
      <c r="K37" s="108" t="s">
        <v>153</v>
      </c>
      <c r="L37" s="108" t="s">
        <v>153</v>
      </c>
      <c r="M37" s="69"/>
      <c r="N37" s="108" t="s">
        <v>153</v>
      </c>
      <c r="O37" s="128">
        <v>5</v>
      </c>
      <c r="P37" s="108" t="s">
        <v>153</v>
      </c>
      <c r="Q37" s="108" t="s">
        <v>153</v>
      </c>
      <c r="R37" s="204" t="s">
        <v>153</v>
      </c>
      <c r="S37" s="204" t="s">
        <v>153</v>
      </c>
      <c r="T37" s="108" t="s">
        <v>153</v>
      </c>
      <c r="U37" s="204" t="s">
        <v>153</v>
      </c>
      <c r="V37" s="57" t="s">
        <v>153</v>
      </c>
      <c r="W37" s="128">
        <v>4</v>
      </c>
      <c r="X37" s="69">
        <v>5</v>
      </c>
      <c r="Y37" s="108"/>
      <c r="Z37" s="128"/>
      <c r="AA37" s="108"/>
      <c r="AB37" s="62"/>
      <c r="AC37" s="208"/>
      <c r="AD37" s="58"/>
      <c r="AE37" s="69"/>
      <c r="AF37" s="128"/>
      <c r="AG37" s="108"/>
      <c r="AH37" s="128"/>
      <c r="AI37" s="128"/>
      <c r="AJ37" s="38"/>
      <c r="AK37" s="38"/>
      <c r="AL37" s="38"/>
      <c r="AM37" s="38"/>
      <c r="AN37" s="128"/>
      <c r="AO37" s="62"/>
      <c r="AP37" s="62"/>
      <c r="AQ37" s="62"/>
      <c r="AR37" s="128"/>
      <c r="AS37" s="27"/>
    </row>
    <row r="38" spans="1:45" x14ac:dyDescent="0.25">
      <c r="A38" t="s">
        <v>30</v>
      </c>
      <c r="B38" t="s">
        <v>249</v>
      </c>
      <c r="C38" s="166">
        <v>17</v>
      </c>
      <c r="D38" s="168">
        <v>1</v>
      </c>
      <c r="E38" s="164">
        <v>6</v>
      </c>
      <c r="F38" s="32">
        <f>AVERAGE(Y38,V38,U38,T38,H38,I38,J38,G38,K38,L38,M38,N38,O38,P38,Q38,R38,S38)</f>
        <v>5.0588235294117645</v>
      </c>
      <c r="G38" s="283">
        <v>7</v>
      </c>
      <c r="H38" s="204">
        <v>5</v>
      </c>
      <c r="I38" s="108">
        <v>4</v>
      </c>
      <c r="J38" s="299">
        <v>6</v>
      </c>
      <c r="K38" s="294">
        <v>7</v>
      </c>
      <c r="L38" s="128">
        <v>5</v>
      </c>
      <c r="M38" s="69">
        <v>6</v>
      </c>
      <c r="N38" s="108">
        <v>4</v>
      </c>
      <c r="O38" s="57">
        <v>6</v>
      </c>
      <c r="P38" s="128">
        <v>5</v>
      </c>
      <c r="Q38" s="108">
        <v>4</v>
      </c>
      <c r="R38" s="108">
        <v>4</v>
      </c>
      <c r="S38" s="302">
        <v>3</v>
      </c>
      <c r="T38" s="128">
        <v>4</v>
      </c>
      <c r="U38" s="294">
        <v>7</v>
      </c>
      <c r="V38" s="70">
        <v>4</v>
      </c>
      <c r="W38" s="108" t="s">
        <v>153</v>
      </c>
      <c r="X38" s="108"/>
      <c r="Y38" s="128">
        <v>5</v>
      </c>
      <c r="Z38" s="128"/>
      <c r="AA38" s="57"/>
      <c r="AB38" s="38"/>
      <c r="AC38" s="123"/>
      <c r="AD38" s="123"/>
      <c r="AE38" s="128"/>
      <c r="AF38" s="128"/>
      <c r="AG38" s="128"/>
      <c r="AH38" s="128"/>
      <c r="AI38" s="108"/>
      <c r="AJ38" s="62"/>
      <c r="AK38" s="62"/>
      <c r="AL38" s="38"/>
      <c r="AM38" s="66"/>
      <c r="AN38" s="128"/>
      <c r="AO38" s="66"/>
      <c r="AP38" s="66"/>
      <c r="AQ38" s="38"/>
      <c r="AR38" s="128"/>
      <c r="AS38" s="27"/>
    </row>
    <row r="39" spans="1:45" x14ac:dyDescent="0.25">
      <c r="A39" t="s">
        <v>30</v>
      </c>
      <c r="B39" t="s">
        <v>150</v>
      </c>
      <c r="C39" s="166"/>
      <c r="D39" s="168"/>
      <c r="E39" s="164"/>
      <c r="F39" s="9"/>
      <c r="G39" s="56"/>
      <c r="H39" s="108"/>
      <c r="I39" s="108"/>
      <c r="J39" s="108"/>
      <c r="K39" s="108"/>
      <c r="L39" s="128"/>
      <c r="M39" s="128"/>
      <c r="N39" s="128"/>
      <c r="O39" s="128"/>
      <c r="P39" s="128"/>
      <c r="Q39" s="128"/>
      <c r="R39" s="108"/>
      <c r="S39" s="128"/>
      <c r="T39" s="128"/>
      <c r="U39" s="128"/>
      <c r="V39" s="128"/>
      <c r="W39" s="128"/>
      <c r="X39" s="128"/>
      <c r="Y39" s="128"/>
      <c r="Z39" s="128"/>
      <c r="AA39" s="128"/>
      <c r="AB39" s="38"/>
      <c r="AC39" s="123"/>
      <c r="AD39" s="58"/>
      <c r="AE39" s="128"/>
      <c r="AF39" s="128"/>
      <c r="AG39" s="128"/>
      <c r="AH39" s="128"/>
      <c r="AI39" s="128"/>
      <c r="AJ39" s="38"/>
      <c r="AK39" s="38"/>
      <c r="AL39" s="38"/>
      <c r="AM39" s="38"/>
      <c r="AN39" s="128"/>
      <c r="AO39" s="38"/>
      <c r="AP39" s="38"/>
      <c r="AQ39" s="38"/>
      <c r="AR39" s="128"/>
      <c r="AS39" s="27"/>
    </row>
    <row r="40" spans="1:45" x14ac:dyDescent="0.25">
      <c r="A40" t="s">
        <v>30</v>
      </c>
      <c r="B40" t="s">
        <v>337</v>
      </c>
      <c r="C40" s="166"/>
      <c r="D40" s="168"/>
      <c r="E40" s="164"/>
      <c r="F40" s="9"/>
      <c r="G40" s="56"/>
      <c r="H40" s="128"/>
      <c r="I40" s="128"/>
      <c r="J40" s="128"/>
      <c r="K40" s="108"/>
      <c r="L40" s="128"/>
      <c r="M40" s="128"/>
      <c r="N40" s="128"/>
      <c r="O40" s="128"/>
      <c r="P40" s="128"/>
      <c r="Q40" s="128"/>
      <c r="R40" s="108"/>
      <c r="S40" s="128"/>
      <c r="T40" s="128"/>
      <c r="U40" s="128"/>
      <c r="V40" s="128"/>
      <c r="W40" s="128"/>
      <c r="X40" s="128"/>
      <c r="Y40" s="128"/>
      <c r="Z40" s="128"/>
      <c r="AA40" s="128"/>
      <c r="AB40" s="38"/>
      <c r="AC40" s="123"/>
      <c r="AD40" s="58"/>
      <c r="AE40" s="128"/>
      <c r="AF40" s="128"/>
      <c r="AG40" s="128"/>
      <c r="AH40" s="128"/>
      <c r="AI40" s="128"/>
      <c r="AJ40" s="38"/>
      <c r="AK40" s="38"/>
      <c r="AL40" s="38"/>
      <c r="AM40" s="38"/>
      <c r="AN40" s="128"/>
      <c r="AO40" s="38"/>
      <c r="AP40" s="38"/>
      <c r="AQ40" s="38"/>
      <c r="AR40" s="128"/>
      <c r="AS40" s="27"/>
    </row>
    <row r="41" spans="1:45" s="91" customFormat="1" ht="15.75" thickBot="1" x14ac:dyDescent="0.3">
      <c r="A41" s="4" t="s">
        <v>30</v>
      </c>
      <c r="B41" s="197" t="s">
        <v>367</v>
      </c>
      <c r="C41" s="167"/>
      <c r="D41" s="169">
        <v>1</v>
      </c>
      <c r="E41" s="165"/>
      <c r="F41" s="10"/>
      <c r="G41" s="56"/>
      <c r="H41" s="128"/>
      <c r="I41" s="128"/>
      <c r="J41" s="128"/>
      <c r="K41" s="108"/>
      <c r="L41" s="128"/>
      <c r="M41" s="128"/>
      <c r="N41" s="108" t="s">
        <v>153</v>
      </c>
      <c r="O41" s="128"/>
      <c r="P41" s="128"/>
      <c r="Q41" s="128"/>
      <c r="R41" s="108"/>
      <c r="S41" s="128"/>
      <c r="T41" s="108"/>
      <c r="U41" s="128"/>
      <c r="V41" s="128"/>
      <c r="W41" s="128"/>
      <c r="X41" s="128"/>
      <c r="Y41" s="128"/>
      <c r="Z41" s="108"/>
      <c r="AA41" s="128"/>
      <c r="AB41" s="62"/>
      <c r="AC41" s="123"/>
      <c r="AD41" s="58"/>
      <c r="AE41" s="128"/>
      <c r="AF41" s="128"/>
      <c r="AG41" s="128"/>
      <c r="AH41" s="128"/>
      <c r="AI41" s="128"/>
      <c r="AJ41" s="38"/>
      <c r="AK41" s="38"/>
      <c r="AL41" s="38"/>
      <c r="AM41" s="38"/>
      <c r="AN41" s="128"/>
      <c r="AO41" s="38"/>
      <c r="AP41" s="38"/>
      <c r="AQ41" s="38"/>
      <c r="AR41" s="128"/>
      <c r="AS41" s="103"/>
    </row>
    <row r="42" spans="1:45" x14ac:dyDescent="0.25">
      <c r="G42" s="36">
        <f>AVERAGE(G9,G11,G12,G17,G20,G22,G24,G28,G30,G36,G38)</f>
        <v>5.1818181818181817</v>
      </c>
      <c r="H42" s="36">
        <f>AVERAGE(H11,H12,H16,H20,H23,H24,H28,H31,H36,H38,H9)</f>
        <v>4.7272727272727275</v>
      </c>
      <c r="I42" s="36">
        <f>AVERAGE(I9,I11,I13,I16,I17,I20,I24,I28,I31,I36,I38)</f>
        <v>5.0909090909090908</v>
      </c>
      <c r="J42" s="36">
        <f>AVERAGE(J9,J11,J13,J16,J20,J23,J24,J30,J31,J34,J38)</f>
        <v>4.6363636363636367</v>
      </c>
      <c r="K42" s="36">
        <f>AVERAGE(K9,K11,K13,K20,K22,K24,K28,K31,K34,K36,K38)</f>
        <v>4.9090909090909092</v>
      </c>
      <c r="L42" s="36">
        <f>AVERAGE(L9,L11,L12,L13,L22,L23,L27,L28,L30,L31,L38)</f>
        <v>5.1818181818181817</v>
      </c>
      <c r="M42" s="36">
        <f>AVERAGE(M9,M11,M13,M20,M22,M23,M24,M28,M30,M36,M38)</f>
        <v>4.9090909090909092</v>
      </c>
      <c r="N42" s="36">
        <f>AVERAGE(N9,N11,N12,N20,N22,N27,N28,N30,N32,N36,N38)</f>
        <v>4.7272727272727275</v>
      </c>
      <c r="O42" s="36">
        <f>AVERAGE(O10,O11,O13,O20,O22,O23,O24,O28,O30,O37,O38)</f>
        <v>4.8181818181818183</v>
      </c>
      <c r="P42" s="36">
        <f>AVERAGE(P10,P13,P20,P22,P23,P24,P27,P28,P31,P36,P38)</f>
        <v>5.3636363636363633</v>
      </c>
      <c r="Q42" s="36">
        <f>AVERAGE(Q10,Q11,Q13,Q20,Q22,Q23,Q27,Q31,Q34,Q36,Q38)</f>
        <v>4.4545454545454541</v>
      </c>
      <c r="R42" s="36">
        <f>AVERAGE(R10,R11,R17,R20,R22,R24,R31,R33,R34,R36,R38)</f>
        <v>4.9090909090909092</v>
      </c>
      <c r="S42" s="36">
        <f>AVERAGE(S10,S11,S16,S17,S20,S22,S24,S31,S33,S34,S38)</f>
        <v>3.4545454545454546</v>
      </c>
      <c r="T42" s="36">
        <f>AVERAGE(T10,T11,T17,T20,T22,T27,T31,T33,T34,T36,T38)</f>
        <v>4.7272727272727275</v>
      </c>
      <c r="U42" s="36">
        <f>AVERAGE(U8,U11,U17,U21,U22,U27,U31,U33,U34,U36,U38)</f>
        <v>5.6363636363636367</v>
      </c>
      <c r="V42" s="36">
        <f>AVERAGE(V8,V11,V17,V21,V22,V27,V31,V33,V34,V36,V38)</f>
        <v>5.9090909090909092</v>
      </c>
      <c r="W42" s="36">
        <f>AVERAGE(W8,W12,W17,W20,W21,W27,W31,W33,W34,W36,W37)</f>
        <v>4.8</v>
      </c>
      <c r="X42" s="36">
        <f>AVERAGE(X8,X11,X12,X17,X21,X27,X28,X31,X34,X36,X37)</f>
        <v>4.8181818181818183</v>
      </c>
      <c r="Y42" s="36">
        <f>AVERAGE(Y8,Y11,Y17,Y21,Y22,Y27,Y31,Y33,Y34,Y36,Y38)</f>
        <v>5.0909090909090908</v>
      </c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S37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7" width="4.7109375" customWidth="1"/>
    <col min="8" max="9" width="4.5703125" customWidth="1"/>
    <col min="10" max="26" width="4.7109375" customWidth="1"/>
    <col min="27" max="28" width="4.85546875" customWidth="1"/>
    <col min="29" max="44" width="4.7109375" customWidth="1"/>
  </cols>
  <sheetData>
    <row r="1" spans="1:45" x14ac:dyDescent="0.25">
      <c r="A1" t="s">
        <v>157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631</v>
      </c>
      <c r="H7" s="26" t="s">
        <v>565</v>
      </c>
      <c r="I7" s="26" t="s">
        <v>578</v>
      </c>
      <c r="J7" s="26" t="s">
        <v>602</v>
      </c>
      <c r="K7" s="26" t="s">
        <v>666</v>
      </c>
      <c r="L7" s="26" t="s">
        <v>680</v>
      </c>
      <c r="M7" s="26" t="s">
        <v>708</v>
      </c>
      <c r="N7" s="26" t="s">
        <v>722</v>
      </c>
      <c r="O7" s="26" t="s">
        <v>743</v>
      </c>
      <c r="P7" s="79" t="s">
        <v>761</v>
      </c>
      <c r="Q7" s="88" t="s">
        <v>798</v>
      </c>
      <c r="R7" s="101" t="s">
        <v>815</v>
      </c>
      <c r="S7" s="101" t="s">
        <v>835</v>
      </c>
      <c r="T7" s="101" t="s">
        <v>866</v>
      </c>
      <c r="U7" s="101" t="s">
        <v>883</v>
      </c>
      <c r="V7" s="117" t="s">
        <v>917</v>
      </c>
      <c r="W7" s="119" t="s">
        <v>930</v>
      </c>
      <c r="X7" s="119" t="s">
        <v>953</v>
      </c>
      <c r="Y7" s="119" t="s">
        <v>983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73"/>
      <c r="AM7" s="173"/>
      <c r="AN7" s="26"/>
      <c r="AO7" s="26"/>
      <c r="AP7" s="26"/>
      <c r="AQ7" s="26"/>
      <c r="AR7" s="26"/>
    </row>
    <row r="8" spans="1:45" x14ac:dyDescent="0.25">
      <c r="A8" s="83" t="s">
        <v>8</v>
      </c>
      <c r="B8" s="160" t="s">
        <v>151</v>
      </c>
      <c r="C8" s="166">
        <v>16</v>
      </c>
      <c r="D8" s="168"/>
      <c r="E8" s="164"/>
      <c r="F8" s="129">
        <f>AVERAGE(H8,G8,L8,M8,N8,O8,P8,Q8,R8,S8,T8,U8,V8,W8,X8,Y8)</f>
        <v>5.625</v>
      </c>
      <c r="G8" s="56">
        <v>5</v>
      </c>
      <c r="H8" s="128">
        <v>6</v>
      </c>
      <c r="I8" s="128"/>
      <c r="J8" s="128"/>
      <c r="K8" s="128"/>
      <c r="L8" s="128">
        <v>5</v>
      </c>
      <c r="M8" s="128">
        <v>6</v>
      </c>
      <c r="N8" s="283">
        <v>7</v>
      </c>
      <c r="O8" s="282">
        <v>7</v>
      </c>
      <c r="P8" s="128">
        <v>5</v>
      </c>
      <c r="Q8" s="128">
        <v>5</v>
      </c>
      <c r="R8" s="283">
        <v>7</v>
      </c>
      <c r="S8" s="128">
        <v>5</v>
      </c>
      <c r="T8" s="128">
        <v>4</v>
      </c>
      <c r="U8" s="69">
        <v>6</v>
      </c>
      <c r="V8" s="69">
        <v>6</v>
      </c>
      <c r="W8" s="128">
        <v>4</v>
      </c>
      <c r="X8" s="128">
        <v>6</v>
      </c>
      <c r="Y8" s="69">
        <v>6</v>
      </c>
      <c r="Z8" s="128"/>
      <c r="AA8" s="128"/>
      <c r="AB8" s="66"/>
      <c r="AC8" s="128"/>
      <c r="AD8" s="38"/>
      <c r="AE8" s="128"/>
      <c r="AF8" s="38"/>
      <c r="AG8" s="38"/>
      <c r="AH8" s="128"/>
      <c r="AI8" s="128"/>
      <c r="AJ8" s="128"/>
      <c r="AK8" s="128"/>
      <c r="AL8" s="38"/>
      <c r="AM8" s="128"/>
      <c r="AN8" s="128"/>
      <c r="AO8" s="38"/>
      <c r="AP8" s="38"/>
      <c r="AQ8" s="38"/>
      <c r="AR8" s="128"/>
      <c r="AS8" s="27"/>
    </row>
    <row r="9" spans="1:45" s="141" customFormat="1" x14ac:dyDescent="0.25">
      <c r="A9" s="83" t="s">
        <v>8</v>
      </c>
      <c r="B9" s="160" t="s">
        <v>528</v>
      </c>
      <c r="C9" s="166">
        <v>3</v>
      </c>
      <c r="D9" s="168"/>
      <c r="E9" s="164"/>
      <c r="F9" s="129">
        <f>AVERAGE(I9,J9,K9)</f>
        <v>5.666666666666667</v>
      </c>
      <c r="G9" s="56"/>
      <c r="H9" s="128"/>
      <c r="I9" s="283">
        <v>7</v>
      </c>
      <c r="J9" s="128">
        <v>6</v>
      </c>
      <c r="K9" s="128">
        <v>4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66"/>
      <c r="AC9" s="128"/>
      <c r="AD9" s="38"/>
      <c r="AE9" s="128"/>
      <c r="AF9" s="38"/>
      <c r="AG9" s="38"/>
      <c r="AH9" s="128"/>
      <c r="AI9" s="128"/>
      <c r="AJ9" s="128"/>
      <c r="AK9" s="128"/>
      <c r="AL9" s="38"/>
      <c r="AM9" s="128"/>
      <c r="AN9" s="128"/>
      <c r="AO9" s="38"/>
      <c r="AP9" s="38"/>
      <c r="AQ9" s="38"/>
      <c r="AR9" s="128"/>
      <c r="AS9" s="174"/>
    </row>
    <row r="10" spans="1:45" x14ac:dyDescent="0.25">
      <c r="A10" s="13" t="s">
        <v>8</v>
      </c>
      <c r="B10" s="14" t="s">
        <v>158</v>
      </c>
      <c r="C10" s="170"/>
      <c r="D10" s="171">
        <v>1</v>
      </c>
      <c r="E10" s="172"/>
      <c r="F10" s="19"/>
      <c r="G10" s="56"/>
      <c r="H10" s="108" t="s">
        <v>153</v>
      </c>
      <c r="I10" s="108"/>
      <c r="J10" s="10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38"/>
      <c r="AC10" s="128"/>
      <c r="AD10" s="38"/>
      <c r="AE10" s="128"/>
      <c r="AF10" s="38"/>
      <c r="AG10" s="38"/>
      <c r="AH10" s="128"/>
      <c r="AI10" s="128"/>
      <c r="AJ10" s="128"/>
      <c r="AK10" s="128"/>
      <c r="AL10" s="38"/>
      <c r="AM10" s="128"/>
      <c r="AN10" s="128"/>
      <c r="AO10" s="38"/>
      <c r="AP10" s="38"/>
      <c r="AQ10" s="38"/>
      <c r="AR10" s="128"/>
      <c r="AS10" s="27"/>
    </row>
    <row r="11" spans="1:45" x14ac:dyDescent="0.25">
      <c r="A11" s="83" t="s">
        <v>11</v>
      </c>
      <c r="B11" s="160" t="s">
        <v>159</v>
      </c>
      <c r="C11" s="166">
        <v>12</v>
      </c>
      <c r="D11" s="168">
        <v>2</v>
      </c>
      <c r="E11" s="164"/>
      <c r="F11" s="129">
        <f>AVERAGE(L11,M11,O11,P11,Q11,R11,S11,T11,U11,W11,X11,Y11)</f>
        <v>4.75</v>
      </c>
      <c r="G11" s="56"/>
      <c r="H11" s="108"/>
      <c r="I11" s="108"/>
      <c r="J11" s="108"/>
      <c r="K11" s="128"/>
      <c r="L11" s="128">
        <v>4</v>
      </c>
      <c r="M11" s="128">
        <v>4</v>
      </c>
      <c r="N11" s="108" t="s">
        <v>153</v>
      </c>
      <c r="O11" s="128">
        <v>5</v>
      </c>
      <c r="P11" s="128">
        <v>5</v>
      </c>
      <c r="Q11" s="128">
        <v>5</v>
      </c>
      <c r="R11" s="128">
        <v>5</v>
      </c>
      <c r="S11" s="128">
        <v>5</v>
      </c>
      <c r="T11" s="128">
        <v>5</v>
      </c>
      <c r="U11" s="128">
        <v>5</v>
      </c>
      <c r="V11" s="108" t="s">
        <v>153</v>
      </c>
      <c r="W11" s="128">
        <v>4</v>
      </c>
      <c r="X11" s="128">
        <v>5</v>
      </c>
      <c r="Y11" s="128">
        <v>5</v>
      </c>
      <c r="Z11" s="128"/>
      <c r="AA11" s="128"/>
      <c r="AB11" s="38"/>
      <c r="AC11" s="128"/>
      <c r="AD11" s="38"/>
      <c r="AE11" s="128"/>
      <c r="AF11" s="62"/>
      <c r="AG11" s="38"/>
      <c r="AH11" s="128"/>
      <c r="AI11" s="128"/>
      <c r="AJ11" s="128"/>
      <c r="AK11" s="128"/>
      <c r="AL11" s="38"/>
      <c r="AM11" s="128"/>
      <c r="AN11" s="108"/>
      <c r="AO11" s="38"/>
      <c r="AP11" s="38"/>
      <c r="AQ11" s="38"/>
      <c r="AR11" s="128"/>
      <c r="AS11" s="27"/>
    </row>
    <row r="12" spans="1:45" x14ac:dyDescent="0.25">
      <c r="A12" s="83" t="s">
        <v>11</v>
      </c>
      <c r="B12" s="160" t="s">
        <v>353</v>
      </c>
      <c r="C12" s="166">
        <v>10</v>
      </c>
      <c r="D12" s="168">
        <v>2</v>
      </c>
      <c r="E12" s="164"/>
      <c r="F12" s="129">
        <f>AVERAGE(H12,I12,M12,N12,O12,Q12,R12,T12,U12,V12,W12)</f>
        <v>5</v>
      </c>
      <c r="G12" s="56"/>
      <c r="H12" s="108">
        <v>5</v>
      </c>
      <c r="I12" s="108">
        <v>6</v>
      </c>
      <c r="J12" s="108"/>
      <c r="K12" s="128"/>
      <c r="L12" s="108" t="s">
        <v>153</v>
      </c>
      <c r="M12" s="128">
        <v>5</v>
      </c>
      <c r="N12" s="128">
        <v>5</v>
      </c>
      <c r="O12" s="128">
        <v>5</v>
      </c>
      <c r="P12" s="128"/>
      <c r="Q12" s="128">
        <v>5</v>
      </c>
      <c r="R12" s="128">
        <v>4</v>
      </c>
      <c r="S12" s="108"/>
      <c r="T12" s="108">
        <v>4</v>
      </c>
      <c r="U12" s="108">
        <v>5</v>
      </c>
      <c r="V12" s="128">
        <v>6</v>
      </c>
      <c r="W12" s="128">
        <v>5</v>
      </c>
      <c r="X12" s="128"/>
      <c r="Y12" s="128"/>
      <c r="Z12" s="128"/>
      <c r="AA12" s="128"/>
      <c r="AB12" s="38"/>
      <c r="AC12" s="128"/>
      <c r="AD12" s="38"/>
      <c r="AE12" s="128"/>
      <c r="AF12" s="38"/>
      <c r="AG12" s="38"/>
      <c r="AH12" s="128"/>
      <c r="AI12" s="128"/>
      <c r="AJ12" s="128"/>
      <c r="AK12" s="128"/>
      <c r="AL12" s="38"/>
      <c r="AM12" s="128"/>
      <c r="AN12" s="128"/>
      <c r="AO12" s="38"/>
      <c r="AP12" s="38"/>
      <c r="AQ12" s="38"/>
      <c r="AR12" s="128"/>
      <c r="AS12" s="27"/>
    </row>
    <row r="13" spans="1:45" x14ac:dyDescent="0.25">
      <c r="A13" s="83" t="s">
        <v>11</v>
      </c>
      <c r="B13" s="160" t="s">
        <v>160</v>
      </c>
      <c r="C13" s="166">
        <v>5</v>
      </c>
      <c r="D13" s="168"/>
      <c r="E13" s="176"/>
      <c r="F13" s="129">
        <f>AVERAGE(H13,I13,G13,M13)</f>
        <v>5</v>
      </c>
      <c r="G13" s="56">
        <v>5</v>
      </c>
      <c r="H13" s="62">
        <v>6</v>
      </c>
      <c r="I13" s="108">
        <v>5</v>
      </c>
      <c r="J13" s="108" t="s">
        <v>554</v>
      </c>
      <c r="K13" s="128"/>
      <c r="L13" s="128"/>
      <c r="M13" s="128">
        <v>4</v>
      </c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38"/>
      <c r="AC13" s="128"/>
      <c r="AD13" s="38"/>
      <c r="AE13" s="128"/>
      <c r="AF13" s="38"/>
      <c r="AG13" s="38"/>
      <c r="AH13" s="128"/>
      <c r="AI13" s="128"/>
      <c r="AJ13" s="128"/>
      <c r="AK13" s="128"/>
      <c r="AL13" s="38"/>
      <c r="AM13" s="128"/>
      <c r="AN13" s="128"/>
      <c r="AO13" s="38"/>
      <c r="AP13" s="38"/>
      <c r="AQ13" s="38"/>
      <c r="AR13" s="128"/>
      <c r="AS13" s="27"/>
    </row>
    <row r="14" spans="1:45" x14ac:dyDescent="0.25">
      <c r="A14" s="83" t="s">
        <v>11</v>
      </c>
      <c r="B14" s="160" t="s">
        <v>168</v>
      </c>
      <c r="C14" s="166"/>
      <c r="D14" s="168"/>
      <c r="E14" s="164"/>
      <c r="F14" s="114"/>
      <c r="G14" s="56"/>
      <c r="H14" s="62"/>
      <c r="I14" s="108"/>
      <c r="J14" s="10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38"/>
      <c r="AC14" s="128"/>
      <c r="AD14" s="38"/>
      <c r="AE14" s="128"/>
      <c r="AF14" s="38"/>
      <c r="AG14" s="38"/>
      <c r="AH14" s="128"/>
      <c r="AI14" s="128"/>
      <c r="AJ14" s="128"/>
      <c r="AK14" s="128"/>
      <c r="AL14" s="38"/>
      <c r="AM14" s="128"/>
      <c r="AN14" s="128"/>
      <c r="AO14" s="38"/>
      <c r="AP14" s="38"/>
      <c r="AQ14" s="38"/>
      <c r="AR14" s="128"/>
      <c r="AS14" s="27"/>
    </row>
    <row r="15" spans="1:45" x14ac:dyDescent="0.25">
      <c r="A15" s="83" t="s">
        <v>11</v>
      </c>
      <c r="B15" s="160" t="s">
        <v>199</v>
      </c>
      <c r="C15" s="166">
        <v>9</v>
      </c>
      <c r="D15" s="168">
        <v>2</v>
      </c>
      <c r="E15" s="176"/>
      <c r="F15" s="129">
        <f>AVERAGE(H15,J15,N15,O15,P15,Q15,U15,V15,W15)</f>
        <v>4.8888888888888893</v>
      </c>
      <c r="G15" s="56"/>
      <c r="H15" s="297">
        <v>5</v>
      </c>
      <c r="I15" s="108"/>
      <c r="J15" s="108">
        <v>5</v>
      </c>
      <c r="K15" s="128"/>
      <c r="L15" s="128"/>
      <c r="M15" s="128"/>
      <c r="N15" s="128">
        <v>5</v>
      </c>
      <c r="O15" s="128">
        <v>4</v>
      </c>
      <c r="P15" s="128">
        <v>5</v>
      </c>
      <c r="Q15" s="128">
        <v>5</v>
      </c>
      <c r="R15" s="128"/>
      <c r="S15" s="108" t="s">
        <v>153</v>
      </c>
      <c r="T15" s="128"/>
      <c r="U15" s="128">
        <v>5</v>
      </c>
      <c r="V15" s="128">
        <v>6</v>
      </c>
      <c r="W15" s="128">
        <v>4</v>
      </c>
      <c r="X15" s="108" t="s">
        <v>153</v>
      </c>
      <c r="Y15" s="128"/>
      <c r="Z15" s="108"/>
      <c r="AA15" s="128"/>
      <c r="AB15" s="62"/>
      <c r="AC15" s="128"/>
      <c r="AD15" s="38"/>
      <c r="AE15" s="128"/>
      <c r="AF15" s="38"/>
      <c r="AG15" s="38"/>
      <c r="AH15" s="128"/>
      <c r="AI15" s="128"/>
      <c r="AJ15" s="128"/>
      <c r="AK15" s="128"/>
      <c r="AL15" s="38"/>
      <c r="AM15" s="128"/>
      <c r="AN15" s="128"/>
      <c r="AO15" s="38"/>
      <c r="AP15" s="38"/>
      <c r="AQ15" s="38"/>
      <c r="AR15" s="128"/>
      <c r="AS15" s="27"/>
    </row>
    <row r="16" spans="1:45" x14ac:dyDescent="0.25">
      <c r="A16" s="83" t="s">
        <v>11</v>
      </c>
      <c r="B16" s="160" t="s">
        <v>161</v>
      </c>
      <c r="C16" s="166">
        <v>14</v>
      </c>
      <c r="D16" s="168">
        <v>2</v>
      </c>
      <c r="E16" s="164"/>
      <c r="F16" s="129">
        <f>AVERAGE(H16,I16,G16,K16,L16,M16,R16,S16,T16,U16,V16,W16,X16,Y16)</f>
        <v>5</v>
      </c>
      <c r="G16" s="56">
        <v>5</v>
      </c>
      <c r="H16" s="62">
        <v>5</v>
      </c>
      <c r="I16" s="108">
        <v>5</v>
      </c>
      <c r="J16" s="108" t="s">
        <v>153</v>
      </c>
      <c r="K16" s="128">
        <v>5</v>
      </c>
      <c r="L16" s="108">
        <v>5</v>
      </c>
      <c r="M16" s="128">
        <v>6</v>
      </c>
      <c r="N16" s="128"/>
      <c r="O16" s="108"/>
      <c r="P16" s="128"/>
      <c r="Q16" s="108" t="s">
        <v>153</v>
      </c>
      <c r="R16" s="128">
        <v>5</v>
      </c>
      <c r="S16" s="128">
        <v>5</v>
      </c>
      <c r="T16" s="128">
        <v>5</v>
      </c>
      <c r="U16" s="70">
        <v>5</v>
      </c>
      <c r="V16" s="128">
        <v>6</v>
      </c>
      <c r="W16" s="128">
        <v>4</v>
      </c>
      <c r="X16" s="128">
        <v>4</v>
      </c>
      <c r="Y16" s="128">
        <v>5</v>
      </c>
      <c r="Z16" s="69"/>
      <c r="AA16" s="128"/>
      <c r="AB16" s="38"/>
      <c r="AC16" s="128"/>
      <c r="AD16" s="38"/>
      <c r="AE16" s="128"/>
      <c r="AF16" s="38"/>
      <c r="AG16" s="38"/>
      <c r="AH16" s="128"/>
      <c r="AI16" s="128"/>
      <c r="AJ16" s="128"/>
      <c r="AK16" s="128"/>
      <c r="AL16" s="38"/>
      <c r="AM16" s="128"/>
      <c r="AN16" s="128"/>
      <c r="AO16" s="38"/>
      <c r="AP16" s="38"/>
      <c r="AQ16" s="38"/>
      <c r="AR16" s="128"/>
      <c r="AS16" s="27"/>
    </row>
    <row r="17" spans="1:45" x14ac:dyDescent="0.25">
      <c r="A17" s="83" t="s">
        <v>11</v>
      </c>
      <c r="B17" s="160" t="s">
        <v>167</v>
      </c>
      <c r="C17" s="166">
        <v>17</v>
      </c>
      <c r="D17" s="160"/>
      <c r="E17" s="175">
        <v>2</v>
      </c>
      <c r="F17" s="129">
        <f>AVERAGE(W17,V17,I17,J17,G17,K17,L17,M17,N17,P17,Q17,R17,S17,T17,U17,X17,Y17)</f>
        <v>5.0588235294117645</v>
      </c>
      <c r="G17" s="56">
        <v>5</v>
      </c>
      <c r="H17" s="63"/>
      <c r="I17" s="299">
        <v>6</v>
      </c>
      <c r="J17" s="302">
        <v>3</v>
      </c>
      <c r="K17" s="128">
        <v>6</v>
      </c>
      <c r="L17" s="128">
        <v>5</v>
      </c>
      <c r="M17" s="128">
        <v>5</v>
      </c>
      <c r="N17" s="69">
        <v>6</v>
      </c>
      <c r="O17" s="128"/>
      <c r="P17" s="128">
        <v>4</v>
      </c>
      <c r="Q17" s="128">
        <v>5</v>
      </c>
      <c r="R17" s="128">
        <v>5</v>
      </c>
      <c r="S17" s="128">
        <v>5</v>
      </c>
      <c r="T17" s="128">
        <v>5</v>
      </c>
      <c r="U17" s="128">
        <v>6</v>
      </c>
      <c r="V17" s="128">
        <v>4</v>
      </c>
      <c r="W17" s="128">
        <v>4</v>
      </c>
      <c r="X17" s="128">
        <v>6</v>
      </c>
      <c r="Y17" s="128">
        <v>6</v>
      </c>
      <c r="Z17" s="69"/>
      <c r="AA17" s="128"/>
      <c r="AB17" s="38"/>
      <c r="AC17" s="128"/>
      <c r="AD17" s="38"/>
      <c r="AE17" s="128"/>
      <c r="AF17" s="38"/>
      <c r="AG17" s="38"/>
      <c r="AH17" s="128"/>
      <c r="AI17" s="128"/>
      <c r="AJ17" s="128"/>
      <c r="AK17" s="128"/>
      <c r="AL17" s="38"/>
      <c r="AM17" s="128"/>
      <c r="AN17" s="128"/>
      <c r="AO17" s="38"/>
      <c r="AP17" s="38"/>
      <c r="AQ17" s="62"/>
      <c r="AR17" s="128"/>
      <c r="AS17" s="27"/>
    </row>
    <row r="18" spans="1:45" s="141" customFormat="1" x14ac:dyDescent="0.25">
      <c r="A18" s="83" t="s">
        <v>11</v>
      </c>
      <c r="B18" s="132" t="s">
        <v>175</v>
      </c>
      <c r="C18" s="166">
        <v>2</v>
      </c>
      <c r="D18" s="160">
        <v>2</v>
      </c>
      <c r="E18" s="292"/>
      <c r="F18" s="129">
        <f>AVERAGE(K18,V18)</f>
        <v>4</v>
      </c>
      <c r="G18" s="56"/>
      <c r="H18" s="63" t="s">
        <v>153</v>
      </c>
      <c r="I18" s="68" t="s">
        <v>153</v>
      </c>
      <c r="J18" s="108"/>
      <c r="K18" s="303">
        <v>3</v>
      </c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>
        <v>5</v>
      </c>
      <c r="W18" s="128"/>
      <c r="X18" s="128"/>
      <c r="Y18" s="128"/>
      <c r="Z18" s="69"/>
      <c r="AA18" s="128"/>
      <c r="AB18" s="38"/>
      <c r="AC18" s="128"/>
      <c r="AD18" s="38"/>
      <c r="AE18" s="128"/>
      <c r="AF18" s="38"/>
      <c r="AG18" s="38"/>
      <c r="AH18" s="128"/>
      <c r="AI18" s="128"/>
      <c r="AJ18" s="128"/>
      <c r="AK18" s="128"/>
      <c r="AL18" s="38"/>
      <c r="AM18" s="128"/>
      <c r="AN18" s="128"/>
      <c r="AO18" s="38"/>
      <c r="AP18" s="38"/>
      <c r="AQ18" s="62"/>
      <c r="AR18" s="128"/>
      <c r="AS18" s="174"/>
    </row>
    <row r="19" spans="1:45" x14ac:dyDescent="0.25">
      <c r="A19" s="13" t="s">
        <v>11</v>
      </c>
      <c r="B19" s="172" t="s">
        <v>162</v>
      </c>
      <c r="C19" s="170">
        <v>14</v>
      </c>
      <c r="D19" s="171">
        <v>2</v>
      </c>
      <c r="E19" s="172">
        <v>2</v>
      </c>
      <c r="F19" s="34">
        <f>AVERAGE(I19,J19,G19,K19,L19,M19,N19,O19,P19,Q19,R19,S19,T19,X19,Y19)</f>
        <v>5.1333333333333337</v>
      </c>
      <c r="G19" s="56">
        <v>5</v>
      </c>
      <c r="H19" s="62" t="s">
        <v>153</v>
      </c>
      <c r="I19" s="300">
        <v>7</v>
      </c>
      <c r="J19" s="108">
        <v>4</v>
      </c>
      <c r="K19" s="128">
        <v>4</v>
      </c>
      <c r="L19" s="128">
        <v>5</v>
      </c>
      <c r="M19" s="128">
        <v>5</v>
      </c>
      <c r="N19" s="283">
        <v>8</v>
      </c>
      <c r="O19" s="128">
        <v>5</v>
      </c>
      <c r="P19" s="128">
        <v>4</v>
      </c>
      <c r="Q19" s="128">
        <v>5</v>
      </c>
      <c r="R19" s="128">
        <v>5</v>
      </c>
      <c r="S19" s="128">
        <v>5</v>
      </c>
      <c r="T19" s="128">
        <v>4</v>
      </c>
      <c r="U19" s="128"/>
      <c r="V19" s="128"/>
      <c r="W19" s="128"/>
      <c r="X19" s="128">
        <v>5</v>
      </c>
      <c r="Y19" s="128">
        <v>6</v>
      </c>
      <c r="Z19" s="128"/>
      <c r="AA19" s="128"/>
      <c r="AB19" s="38"/>
      <c r="AC19" s="128"/>
      <c r="AD19" s="38"/>
      <c r="AE19" s="128"/>
      <c r="AF19" s="38"/>
      <c r="AG19" s="38"/>
      <c r="AH19" s="128"/>
      <c r="AI19" s="128"/>
      <c r="AJ19" s="128"/>
      <c r="AK19" s="128"/>
      <c r="AL19" s="38"/>
      <c r="AM19" s="128"/>
      <c r="AN19" s="128"/>
      <c r="AO19" s="38"/>
      <c r="AP19" s="38"/>
      <c r="AQ19" s="38"/>
      <c r="AR19" s="128"/>
      <c r="AS19" s="27"/>
    </row>
    <row r="20" spans="1:45" x14ac:dyDescent="0.25">
      <c r="A20" s="83" t="s">
        <v>29</v>
      </c>
      <c r="B20" s="28" t="s">
        <v>164</v>
      </c>
      <c r="C20" s="166">
        <v>16</v>
      </c>
      <c r="D20" s="168">
        <v>1</v>
      </c>
      <c r="E20" s="164"/>
      <c r="F20" s="129">
        <f>AVERAGE(W20,U20,H20,I20,J20,G20,K20,L20,M20,N20,P20,Q20,R20,S20,T20,Y20)</f>
        <v>5</v>
      </c>
      <c r="G20" s="56">
        <v>5</v>
      </c>
      <c r="H20" s="62">
        <v>5</v>
      </c>
      <c r="I20" s="108">
        <v>5</v>
      </c>
      <c r="J20" s="108">
        <v>5</v>
      </c>
      <c r="K20" s="128">
        <v>5</v>
      </c>
      <c r="L20" s="128">
        <v>5</v>
      </c>
      <c r="M20" s="128">
        <v>4</v>
      </c>
      <c r="N20" s="128">
        <v>5</v>
      </c>
      <c r="O20" s="128" t="s">
        <v>546</v>
      </c>
      <c r="P20" s="128">
        <v>5</v>
      </c>
      <c r="Q20" s="128">
        <v>5</v>
      </c>
      <c r="R20" s="128">
        <v>6</v>
      </c>
      <c r="S20" s="128">
        <v>5</v>
      </c>
      <c r="T20" s="128">
        <v>5</v>
      </c>
      <c r="U20" s="128">
        <v>5</v>
      </c>
      <c r="V20" s="128"/>
      <c r="W20" s="128">
        <v>4</v>
      </c>
      <c r="X20" s="69"/>
      <c r="Y20" s="128">
        <v>6</v>
      </c>
      <c r="Z20" s="128"/>
      <c r="AA20" s="128"/>
      <c r="AB20" s="38"/>
      <c r="AC20" s="128"/>
      <c r="AD20" s="38"/>
      <c r="AE20" s="128"/>
      <c r="AF20" s="38"/>
      <c r="AG20" s="38"/>
      <c r="AH20" s="128"/>
      <c r="AI20" s="128"/>
      <c r="AJ20" s="128"/>
      <c r="AK20" s="128"/>
      <c r="AL20" s="38"/>
      <c r="AM20" s="128"/>
      <c r="AN20" s="128"/>
      <c r="AO20" s="38"/>
      <c r="AP20" s="38"/>
      <c r="AQ20" s="38"/>
      <c r="AR20" s="128"/>
      <c r="AS20" s="27"/>
    </row>
    <row r="21" spans="1:45" x14ac:dyDescent="0.25">
      <c r="A21" s="237" t="s">
        <v>29</v>
      </c>
      <c r="B21" s="238" t="s">
        <v>292</v>
      </c>
      <c r="C21" s="230"/>
      <c r="D21" s="223"/>
      <c r="E21" s="231"/>
      <c r="F21" s="129"/>
      <c r="G21" s="225"/>
      <c r="H21" s="224"/>
      <c r="I21" s="222"/>
      <c r="J21" s="222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/>
      <c r="V21" s="221"/>
      <c r="W21" s="221"/>
      <c r="X21" s="221"/>
      <c r="Y21" s="221"/>
      <c r="Z21" s="221"/>
      <c r="AA21" s="221"/>
      <c r="AB21" s="223"/>
      <c r="AC21" s="221"/>
      <c r="AD21" s="223"/>
      <c r="AE21" s="221"/>
      <c r="AF21" s="223"/>
      <c r="AG21" s="223"/>
      <c r="AH21" s="221"/>
      <c r="AI21" s="221"/>
      <c r="AJ21" s="221"/>
      <c r="AK21" s="221"/>
      <c r="AL21" s="223"/>
      <c r="AM21" s="221"/>
      <c r="AN21" s="221"/>
      <c r="AO21" s="223"/>
      <c r="AP21" s="223"/>
      <c r="AQ21" s="223"/>
      <c r="AR21" s="221"/>
      <c r="AS21" s="27"/>
    </row>
    <row r="22" spans="1:45" x14ac:dyDescent="0.25">
      <c r="A22" s="83" t="s">
        <v>29</v>
      </c>
      <c r="B22" s="160" t="s">
        <v>165</v>
      </c>
      <c r="C22" s="166"/>
      <c r="D22" s="168"/>
      <c r="E22" s="164"/>
      <c r="F22" s="114"/>
      <c r="G22" s="56"/>
      <c r="H22" s="62"/>
      <c r="I22" s="108"/>
      <c r="J22" s="108"/>
      <c r="K22" s="128"/>
      <c r="L22" s="128"/>
      <c r="M22" s="10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08"/>
      <c r="Z22" s="108"/>
      <c r="AA22" s="128"/>
      <c r="AB22" s="38"/>
      <c r="AC22" s="128"/>
      <c r="AD22" s="38"/>
      <c r="AE22" s="128"/>
      <c r="AF22" s="38"/>
      <c r="AG22" s="38"/>
      <c r="AH22" s="128"/>
      <c r="AI22" s="108"/>
      <c r="AJ22" s="128"/>
      <c r="AK22" s="128"/>
      <c r="AL22" s="38"/>
      <c r="AM22" s="128"/>
      <c r="AN22" s="128"/>
      <c r="AO22" s="38"/>
      <c r="AP22" s="38"/>
      <c r="AQ22" s="38"/>
      <c r="AR22" s="128"/>
      <c r="AS22" s="27"/>
    </row>
    <row r="23" spans="1:45" s="113" customFormat="1" x14ac:dyDescent="0.25">
      <c r="A23" s="83" t="s">
        <v>29</v>
      </c>
      <c r="B23" s="28" t="s">
        <v>368</v>
      </c>
      <c r="C23" s="166"/>
      <c r="D23" s="168">
        <v>3</v>
      </c>
      <c r="E23" s="164">
        <v>2</v>
      </c>
      <c r="F23" s="114">
        <f>AVERAGE(Y23)</f>
        <v>5</v>
      </c>
      <c r="G23" s="56"/>
      <c r="H23" s="62"/>
      <c r="I23" s="108"/>
      <c r="J23" s="108"/>
      <c r="K23" s="128"/>
      <c r="L23" s="128"/>
      <c r="M23" s="108"/>
      <c r="N23" s="128"/>
      <c r="O23" s="128"/>
      <c r="P23" s="128"/>
      <c r="Q23" s="128"/>
      <c r="R23" s="128"/>
      <c r="S23" s="128"/>
      <c r="T23" s="128"/>
      <c r="U23" s="128"/>
      <c r="V23" s="108"/>
      <c r="W23" s="57" t="s">
        <v>153</v>
      </c>
      <c r="X23" s="108" t="s">
        <v>153</v>
      </c>
      <c r="Y23" s="57">
        <v>5</v>
      </c>
      <c r="Z23" s="128"/>
      <c r="AA23" s="128"/>
      <c r="AB23" s="38"/>
      <c r="AC23" s="128"/>
      <c r="AD23" s="38"/>
      <c r="AE23" s="128"/>
      <c r="AF23" s="38"/>
      <c r="AG23" s="38"/>
      <c r="AH23" s="128"/>
      <c r="AI23" s="128"/>
      <c r="AJ23" s="128"/>
      <c r="AK23" s="128"/>
      <c r="AL23" s="38"/>
      <c r="AM23" s="128"/>
      <c r="AN23" s="128"/>
      <c r="AO23" s="38"/>
      <c r="AP23" s="38"/>
      <c r="AQ23" s="38"/>
      <c r="AR23" s="128"/>
      <c r="AS23" s="115"/>
    </row>
    <row r="24" spans="1:45" x14ac:dyDescent="0.25">
      <c r="A24" s="83" t="s">
        <v>29</v>
      </c>
      <c r="B24" s="28" t="s">
        <v>290</v>
      </c>
      <c r="C24" s="166">
        <v>1</v>
      </c>
      <c r="D24" s="168">
        <v>3</v>
      </c>
      <c r="E24" s="164"/>
      <c r="F24" s="129">
        <f>AVERAGE(H24)</f>
        <v>4</v>
      </c>
      <c r="G24" s="204" t="s">
        <v>153</v>
      </c>
      <c r="H24" s="62">
        <v>4</v>
      </c>
      <c r="I24" s="108" t="s">
        <v>153</v>
      </c>
      <c r="J24" s="108"/>
      <c r="K24" s="128"/>
      <c r="L24" s="128"/>
      <c r="M24" s="108"/>
      <c r="N24" s="108" t="s">
        <v>153</v>
      </c>
      <c r="O24" s="128"/>
      <c r="P24" s="128"/>
      <c r="Q24" s="69"/>
      <c r="R24" s="128"/>
      <c r="S24" s="128"/>
      <c r="T24" s="108"/>
      <c r="U24" s="128"/>
      <c r="V24" s="128"/>
      <c r="W24" s="108"/>
      <c r="X24" s="128"/>
      <c r="Y24" s="128"/>
      <c r="Z24" s="128"/>
      <c r="AA24" s="128"/>
      <c r="AB24" s="38"/>
      <c r="AC24" s="128"/>
      <c r="AD24" s="38"/>
      <c r="AE24" s="128"/>
      <c r="AF24" s="38"/>
      <c r="AG24" s="38"/>
      <c r="AH24" s="128"/>
      <c r="AI24" s="128"/>
      <c r="AJ24" s="128"/>
      <c r="AK24" s="108"/>
      <c r="AL24" s="62"/>
      <c r="AM24" s="128"/>
      <c r="AN24" s="128"/>
      <c r="AO24" s="38"/>
      <c r="AP24" s="38"/>
      <c r="AQ24" s="38"/>
      <c r="AR24" s="128"/>
      <c r="AS24" s="27"/>
    </row>
    <row r="25" spans="1:45" s="141" customFormat="1" x14ac:dyDescent="0.25">
      <c r="A25" s="83" t="s">
        <v>29</v>
      </c>
      <c r="B25" s="77" t="s">
        <v>187</v>
      </c>
      <c r="C25" s="166">
        <v>17</v>
      </c>
      <c r="D25" s="168">
        <v>2</v>
      </c>
      <c r="E25" s="176">
        <v>1</v>
      </c>
      <c r="F25" s="129">
        <f>AVERAGE(V25,T25,H25,I25,J25,G25,K25,L25,M25,N25,O25,P25,Q25,R25,S25,X25,Y25)</f>
        <v>5.2352941176470589</v>
      </c>
      <c r="G25" s="56">
        <v>5</v>
      </c>
      <c r="H25" s="62">
        <v>5</v>
      </c>
      <c r="I25" s="108">
        <v>6</v>
      </c>
      <c r="J25" s="108">
        <v>5</v>
      </c>
      <c r="K25" s="128">
        <v>4</v>
      </c>
      <c r="L25" s="128">
        <v>5</v>
      </c>
      <c r="M25" s="128">
        <v>6</v>
      </c>
      <c r="N25" s="128">
        <v>5</v>
      </c>
      <c r="O25" s="128">
        <v>5</v>
      </c>
      <c r="P25" s="108">
        <v>6</v>
      </c>
      <c r="Q25" s="108">
        <v>5</v>
      </c>
      <c r="R25" s="128">
        <v>5</v>
      </c>
      <c r="S25" s="128">
        <v>6</v>
      </c>
      <c r="T25" s="108">
        <v>4</v>
      </c>
      <c r="U25" s="108" t="s">
        <v>153</v>
      </c>
      <c r="V25" s="128">
        <v>6</v>
      </c>
      <c r="W25" s="108" t="s">
        <v>153</v>
      </c>
      <c r="X25" s="57">
        <v>6</v>
      </c>
      <c r="Y25" s="128">
        <v>5</v>
      </c>
      <c r="Z25" s="128"/>
      <c r="AA25" s="108"/>
      <c r="AB25" s="38"/>
      <c r="AC25" s="108"/>
      <c r="AD25" s="38"/>
      <c r="AE25" s="108"/>
      <c r="AF25" s="38"/>
      <c r="AG25" s="38"/>
      <c r="AH25" s="128"/>
      <c r="AI25" s="128"/>
      <c r="AJ25" s="108"/>
      <c r="AK25" s="128"/>
      <c r="AL25" s="38"/>
      <c r="AM25" s="128"/>
      <c r="AN25" s="128"/>
      <c r="AO25" s="62"/>
      <c r="AP25" s="38"/>
      <c r="AQ25" s="38"/>
      <c r="AR25" s="128"/>
      <c r="AS25" s="174"/>
    </row>
    <row r="26" spans="1:45" s="141" customFormat="1" x14ac:dyDescent="0.25">
      <c r="A26" s="83" t="s">
        <v>29</v>
      </c>
      <c r="B26" s="132" t="s">
        <v>371</v>
      </c>
      <c r="C26" s="166">
        <v>8</v>
      </c>
      <c r="D26" s="168">
        <v>3</v>
      </c>
      <c r="E26" s="176"/>
      <c r="F26" s="129">
        <f>AVERAGE(G26,K26,L26,N26,P26,R26,S26)</f>
        <v>5.5714285714285712</v>
      </c>
      <c r="G26" s="56">
        <v>6</v>
      </c>
      <c r="H26" s="62"/>
      <c r="I26" s="108"/>
      <c r="J26" s="108" t="s">
        <v>153</v>
      </c>
      <c r="K26" s="128">
        <v>4</v>
      </c>
      <c r="L26" s="128">
        <v>4</v>
      </c>
      <c r="M26" s="128"/>
      <c r="N26" s="128">
        <v>6</v>
      </c>
      <c r="O26" s="108" t="s">
        <v>153</v>
      </c>
      <c r="P26" s="108">
        <v>6</v>
      </c>
      <c r="Q26" s="108" t="s">
        <v>153</v>
      </c>
      <c r="R26" s="283">
        <v>8</v>
      </c>
      <c r="S26" s="128">
        <v>5</v>
      </c>
      <c r="T26" s="108"/>
      <c r="U26" s="128"/>
      <c r="V26" s="128"/>
      <c r="W26" s="128"/>
      <c r="X26" s="108"/>
      <c r="Y26" s="128"/>
      <c r="Z26" s="128"/>
      <c r="AA26" s="108"/>
      <c r="AB26" s="38"/>
      <c r="AC26" s="108"/>
      <c r="AD26" s="38"/>
      <c r="AE26" s="108"/>
      <c r="AF26" s="38"/>
      <c r="AG26" s="38"/>
      <c r="AH26" s="128"/>
      <c r="AI26" s="128"/>
      <c r="AJ26" s="108"/>
      <c r="AK26" s="128"/>
      <c r="AL26" s="38"/>
      <c r="AM26" s="128"/>
      <c r="AN26" s="128"/>
      <c r="AO26" s="62"/>
      <c r="AP26" s="38"/>
      <c r="AQ26" s="38"/>
      <c r="AR26" s="128"/>
      <c r="AS26" s="174"/>
    </row>
    <row r="27" spans="1:45" s="116" customFormat="1" x14ac:dyDescent="0.25">
      <c r="A27" s="83" t="s">
        <v>29</v>
      </c>
      <c r="B27" s="160" t="s">
        <v>51</v>
      </c>
      <c r="C27" s="166">
        <v>16</v>
      </c>
      <c r="D27" s="168">
        <v>1</v>
      </c>
      <c r="E27" s="176">
        <v>3</v>
      </c>
      <c r="F27" s="129">
        <f>AVERAGE(W27,V27,U27,T27,H27,I27,J27,K27,L27,M27,N27,O27,P27,Q27,R27,Y27)</f>
        <v>4.9333333333333336</v>
      </c>
      <c r="G27" s="56" t="s">
        <v>153</v>
      </c>
      <c r="H27" s="295">
        <v>7</v>
      </c>
      <c r="I27" s="108">
        <v>5</v>
      </c>
      <c r="J27" s="57">
        <v>6</v>
      </c>
      <c r="K27" s="303">
        <v>3</v>
      </c>
      <c r="L27" s="69">
        <v>5</v>
      </c>
      <c r="M27" s="128">
        <v>4</v>
      </c>
      <c r="N27" s="128">
        <v>5</v>
      </c>
      <c r="O27" s="128">
        <v>5</v>
      </c>
      <c r="P27" s="108">
        <v>4</v>
      </c>
      <c r="Q27" s="108">
        <v>5</v>
      </c>
      <c r="R27" s="128">
        <v>6</v>
      </c>
      <c r="S27" s="69">
        <v>6</v>
      </c>
      <c r="T27" s="108" t="s">
        <v>546</v>
      </c>
      <c r="U27" s="128">
        <v>5</v>
      </c>
      <c r="V27" s="128">
        <v>4</v>
      </c>
      <c r="W27" s="128">
        <v>5</v>
      </c>
      <c r="X27" s="108"/>
      <c r="Y27" s="128">
        <v>5</v>
      </c>
      <c r="Z27" s="128"/>
      <c r="AA27" s="108"/>
      <c r="AB27" s="38"/>
      <c r="AC27" s="108"/>
      <c r="AD27" s="38"/>
      <c r="AE27" s="128"/>
      <c r="AF27" s="38"/>
      <c r="AG27" s="38"/>
      <c r="AH27" s="128"/>
      <c r="AI27" s="128"/>
      <c r="AJ27" s="128"/>
      <c r="AK27" s="108"/>
      <c r="AL27" s="38"/>
      <c r="AM27" s="128"/>
      <c r="AN27" s="128"/>
      <c r="AO27" s="38"/>
      <c r="AP27" s="66"/>
      <c r="AQ27" s="38"/>
      <c r="AR27" s="128"/>
      <c r="AS27" s="120"/>
    </row>
    <row r="28" spans="1:45" s="141" customFormat="1" x14ac:dyDescent="0.25">
      <c r="A28" s="83" t="s">
        <v>29</v>
      </c>
      <c r="B28" s="132" t="s">
        <v>182</v>
      </c>
      <c r="C28" s="166">
        <v>5</v>
      </c>
      <c r="D28" s="168">
        <v>3</v>
      </c>
      <c r="E28" s="176"/>
      <c r="F28" s="129">
        <f>AVERAGE(P28,Q28,T28,W28,Y28)</f>
        <v>4.2</v>
      </c>
      <c r="G28" s="56"/>
      <c r="H28" s="108"/>
      <c r="I28" s="108"/>
      <c r="J28" s="57"/>
      <c r="K28" s="108" t="s">
        <v>153</v>
      </c>
      <c r="L28" s="128"/>
      <c r="M28" s="128"/>
      <c r="N28" s="128"/>
      <c r="O28" s="128"/>
      <c r="P28" s="108">
        <v>4</v>
      </c>
      <c r="Q28" s="108">
        <v>4</v>
      </c>
      <c r="R28" s="128"/>
      <c r="S28" s="128"/>
      <c r="T28" s="108">
        <v>4</v>
      </c>
      <c r="U28" s="128"/>
      <c r="V28" s="108" t="s">
        <v>153</v>
      </c>
      <c r="W28" s="128">
        <v>4</v>
      </c>
      <c r="X28" s="108" t="s">
        <v>153</v>
      </c>
      <c r="Y28" s="128">
        <v>5</v>
      </c>
      <c r="Z28" s="128"/>
      <c r="AA28" s="108"/>
      <c r="AB28" s="38"/>
      <c r="AC28" s="108"/>
      <c r="AD28" s="128"/>
      <c r="AE28" s="128"/>
      <c r="AF28" s="128"/>
      <c r="AG28" s="128"/>
      <c r="AH28" s="128"/>
      <c r="AI28" s="128"/>
      <c r="AJ28" s="128"/>
      <c r="AK28" s="108"/>
      <c r="AL28" s="38"/>
      <c r="AM28" s="128"/>
      <c r="AN28" s="128"/>
      <c r="AO28" s="38"/>
      <c r="AP28" s="66"/>
      <c r="AQ28" s="38"/>
      <c r="AR28" s="128"/>
      <c r="AS28" s="174"/>
    </row>
    <row r="29" spans="1:45" s="141" customFormat="1" x14ac:dyDescent="0.25">
      <c r="A29" s="83" t="s">
        <v>29</v>
      </c>
      <c r="B29" s="132" t="s">
        <v>169</v>
      </c>
      <c r="C29" s="166">
        <v>5</v>
      </c>
      <c r="D29" s="168">
        <v>5</v>
      </c>
      <c r="E29" s="176">
        <v>1</v>
      </c>
      <c r="F29" s="129">
        <f>AVERAGE(S29,U29,W29,X29,Y29)</f>
        <v>4</v>
      </c>
      <c r="G29" s="56"/>
      <c r="H29" s="108"/>
      <c r="I29" s="108"/>
      <c r="J29" s="57"/>
      <c r="K29" s="128"/>
      <c r="L29" s="108" t="s">
        <v>153</v>
      </c>
      <c r="M29" s="108" t="s">
        <v>153</v>
      </c>
      <c r="N29" s="128"/>
      <c r="O29" s="108" t="s">
        <v>153</v>
      </c>
      <c r="P29" s="108"/>
      <c r="Q29" s="108" t="s">
        <v>153</v>
      </c>
      <c r="R29" s="108" t="s">
        <v>153</v>
      </c>
      <c r="S29" s="128">
        <v>4</v>
      </c>
      <c r="T29" s="108"/>
      <c r="U29" s="128">
        <v>4</v>
      </c>
      <c r="V29" s="57" t="s">
        <v>153</v>
      </c>
      <c r="W29" s="128">
        <v>4</v>
      </c>
      <c r="X29" s="108">
        <v>4</v>
      </c>
      <c r="Y29" s="128">
        <v>4</v>
      </c>
      <c r="Z29" s="128"/>
      <c r="AA29" s="108"/>
      <c r="AB29" s="38"/>
      <c r="AC29" s="108"/>
      <c r="AD29" s="128"/>
      <c r="AE29" s="128"/>
      <c r="AF29" s="128"/>
      <c r="AG29" s="128"/>
      <c r="AH29" s="128"/>
      <c r="AI29" s="128"/>
      <c r="AJ29" s="128"/>
      <c r="AK29" s="108"/>
      <c r="AL29" s="38"/>
      <c r="AM29" s="128"/>
      <c r="AN29" s="128"/>
      <c r="AO29" s="38"/>
      <c r="AP29" s="66"/>
      <c r="AQ29" s="38"/>
      <c r="AR29" s="128"/>
      <c r="AS29" s="174"/>
    </row>
    <row r="30" spans="1:45" s="141" customFormat="1" x14ac:dyDescent="0.25">
      <c r="A30" s="83" t="s">
        <v>29</v>
      </c>
      <c r="B30" s="132" t="s">
        <v>639</v>
      </c>
      <c r="C30" s="166">
        <v>7</v>
      </c>
      <c r="D30" s="168">
        <v>2</v>
      </c>
      <c r="E30" s="176"/>
      <c r="F30" s="129">
        <f>AVERAGE(M30,N30,O30,U30,V30,W30,X30)</f>
        <v>4.2857142857142856</v>
      </c>
      <c r="G30" s="56"/>
      <c r="H30" s="108"/>
      <c r="I30" s="108"/>
      <c r="J30" s="57"/>
      <c r="K30" s="128"/>
      <c r="L30" s="108"/>
      <c r="M30" s="128">
        <v>4</v>
      </c>
      <c r="N30" s="128">
        <v>5</v>
      </c>
      <c r="O30" s="128">
        <v>4</v>
      </c>
      <c r="P30" s="108"/>
      <c r="Q30" s="108"/>
      <c r="R30" s="108" t="s">
        <v>153</v>
      </c>
      <c r="S30" s="128"/>
      <c r="T30" s="108"/>
      <c r="U30" s="128">
        <v>4</v>
      </c>
      <c r="V30" s="128">
        <v>4</v>
      </c>
      <c r="W30" s="128">
        <v>5</v>
      </c>
      <c r="X30" s="108">
        <v>4</v>
      </c>
      <c r="Y30" s="108" t="s">
        <v>153</v>
      </c>
      <c r="Z30" s="128"/>
      <c r="AA30" s="108"/>
      <c r="AB30" s="38"/>
      <c r="AC30" s="108"/>
      <c r="AD30" s="128"/>
      <c r="AE30" s="128"/>
      <c r="AF30" s="128"/>
      <c r="AG30" s="128"/>
      <c r="AH30" s="128"/>
      <c r="AI30" s="128"/>
      <c r="AJ30" s="128"/>
      <c r="AK30" s="108"/>
      <c r="AL30" s="38"/>
      <c r="AM30" s="128"/>
      <c r="AN30" s="128"/>
      <c r="AO30" s="38"/>
      <c r="AP30" s="66"/>
      <c r="AQ30" s="38"/>
      <c r="AR30" s="128"/>
      <c r="AS30" s="174"/>
    </row>
    <row r="31" spans="1:45" s="116" customFormat="1" x14ac:dyDescent="0.25">
      <c r="A31" s="83" t="s">
        <v>29</v>
      </c>
      <c r="B31" s="28" t="s">
        <v>390</v>
      </c>
      <c r="C31" s="166"/>
      <c r="D31" s="168">
        <v>1</v>
      </c>
      <c r="E31" s="176"/>
      <c r="F31" s="129"/>
      <c r="G31" s="56"/>
      <c r="H31" s="62"/>
      <c r="I31" s="108"/>
      <c r="J31" s="108"/>
      <c r="K31" s="128"/>
      <c r="L31" s="128"/>
      <c r="M31" s="128"/>
      <c r="N31" s="128"/>
      <c r="O31" s="128"/>
      <c r="P31" s="108"/>
      <c r="Q31" s="108"/>
      <c r="R31" s="128"/>
      <c r="S31" s="128"/>
      <c r="T31" s="108" t="s">
        <v>153</v>
      </c>
      <c r="U31" s="128"/>
      <c r="V31" s="128"/>
      <c r="W31" s="128"/>
      <c r="X31" s="108"/>
      <c r="Y31" s="128"/>
      <c r="Z31" s="128"/>
      <c r="AA31" s="108"/>
      <c r="AB31" s="38"/>
      <c r="AC31" s="108"/>
      <c r="AD31" s="128"/>
      <c r="AE31" s="108"/>
      <c r="AF31" s="128"/>
      <c r="AG31" s="108"/>
      <c r="AH31" s="128"/>
      <c r="AI31" s="128"/>
      <c r="AJ31" s="128"/>
      <c r="AK31" s="128"/>
      <c r="AL31" s="38"/>
      <c r="AM31" s="128"/>
      <c r="AN31" s="128"/>
      <c r="AO31" s="38"/>
      <c r="AP31" s="38"/>
      <c r="AQ31" s="38"/>
      <c r="AR31" s="128"/>
      <c r="AS31" s="120"/>
    </row>
    <row r="32" spans="1:45" x14ac:dyDescent="0.25">
      <c r="A32" s="232" t="s">
        <v>30</v>
      </c>
      <c r="B32" s="233" t="s">
        <v>291</v>
      </c>
      <c r="C32" s="234">
        <v>17</v>
      </c>
      <c r="D32" s="235">
        <v>1</v>
      </c>
      <c r="E32" s="236">
        <v>3</v>
      </c>
      <c r="F32" s="52">
        <f>AVERAGE(V32,U32,H32,I32,J32,G32,K32,L32,M32,O32,P32,Q32,R32,S32,T32,X32,Y32)</f>
        <v>5</v>
      </c>
      <c r="G32" s="198">
        <v>6</v>
      </c>
      <c r="H32" s="296">
        <v>7</v>
      </c>
      <c r="I32" s="108">
        <v>5</v>
      </c>
      <c r="J32" s="108">
        <v>5</v>
      </c>
      <c r="K32" s="128">
        <v>4</v>
      </c>
      <c r="L32" s="70">
        <v>5</v>
      </c>
      <c r="M32" s="128">
        <v>5</v>
      </c>
      <c r="N32" s="128"/>
      <c r="O32" s="128">
        <v>4</v>
      </c>
      <c r="P32" s="70">
        <v>4</v>
      </c>
      <c r="Q32" s="128">
        <v>4</v>
      </c>
      <c r="R32" s="128">
        <v>5</v>
      </c>
      <c r="S32" s="128">
        <v>6</v>
      </c>
      <c r="T32" s="108">
        <v>4</v>
      </c>
      <c r="U32" s="128">
        <v>5</v>
      </c>
      <c r="V32" s="128">
        <v>5</v>
      </c>
      <c r="W32" s="108" t="s">
        <v>153</v>
      </c>
      <c r="X32" s="128">
        <v>6</v>
      </c>
      <c r="Y32" s="69" t="s">
        <v>546</v>
      </c>
      <c r="Z32" s="128"/>
      <c r="AA32" s="128"/>
      <c r="AB32" s="38"/>
      <c r="AC32" s="128"/>
      <c r="AD32" s="38"/>
      <c r="AE32" s="57"/>
      <c r="AF32" s="66"/>
      <c r="AG32" s="62"/>
      <c r="AH32" s="128"/>
      <c r="AI32" s="128"/>
      <c r="AJ32" s="128"/>
      <c r="AK32" s="128"/>
      <c r="AL32" s="38"/>
      <c r="AM32" s="128"/>
      <c r="AN32" s="128"/>
      <c r="AO32" s="66"/>
      <c r="AP32" s="38"/>
      <c r="AQ32" s="66"/>
      <c r="AR32" s="128"/>
      <c r="AS32" s="27"/>
    </row>
    <row r="33" spans="1:45" x14ac:dyDescent="0.25">
      <c r="A33" s="83" t="s">
        <v>30</v>
      </c>
      <c r="B33" s="160" t="s">
        <v>98</v>
      </c>
      <c r="C33" s="166">
        <v>8</v>
      </c>
      <c r="D33" s="168">
        <v>3</v>
      </c>
      <c r="E33" s="164">
        <v>2</v>
      </c>
      <c r="F33" s="129">
        <f>AVERAGE(G33,K33,L33,N33,O33,S33,T33,V33,X33,Y33)</f>
        <v>4.4000000000000004</v>
      </c>
      <c r="G33" s="334">
        <v>3</v>
      </c>
      <c r="H33" s="63"/>
      <c r="I33" s="108"/>
      <c r="J33" s="108"/>
      <c r="K33" s="69">
        <v>5</v>
      </c>
      <c r="L33" s="128">
        <v>4</v>
      </c>
      <c r="M33" s="128"/>
      <c r="N33" s="128">
        <v>5</v>
      </c>
      <c r="O33" s="128">
        <v>4</v>
      </c>
      <c r="P33" s="108" t="s">
        <v>153</v>
      </c>
      <c r="Q33" s="128"/>
      <c r="R33" s="128"/>
      <c r="S33" s="128">
        <v>4</v>
      </c>
      <c r="T33" s="69">
        <v>5</v>
      </c>
      <c r="U33" s="128"/>
      <c r="V33" s="128">
        <v>4</v>
      </c>
      <c r="W33" s="128"/>
      <c r="X33" s="128">
        <v>5</v>
      </c>
      <c r="Y33" s="108">
        <v>5</v>
      </c>
      <c r="Z33" s="128"/>
      <c r="AA33" s="128"/>
      <c r="AB33" s="38"/>
      <c r="AC33" s="128"/>
      <c r="AD33" s="38"/>
      <c r="AE33" s="128"/>
      <c r="AF33" s="38"/>
      <c r="AG33" s="38"/>
      <c r="AH33" s="128"/>
      <c r="AI33" s="128"/>
      <c r="AJ33" s="128"/>
      <c r="AK33" s="128"/>
      <c r="AL33" s="38"/>
      <c r="AM33" s="128"/>
      <c r="AN33" s="128"/>
      <c r="AO33" s="38"/>
      <c r="AP33" s="38"/>
      <c r="AQ33" s="38"/>
      <c r="AR33" s="108"/>
      <c r="AS33" s="27"/>
    </row>
    <row r="34" spans="1:45" x14ac:dyDescent="0.25">
      <c r="A34" s="83" t="s">
        <v>30</v>
      </c>
      <c r="B34" s="28" t="s">
        <v>328</v>
      </c>
      <c r="C34" s="166">
        <v>5</v>
      </c>
      <c r="D34" s="168"/>
      <c r="E34" s="164">
        <v>1</v>
      </c>
      <c r="F34" s="129">
        <f>AVERAGE(H34,I34,J34,G34)</f>
        <v>4</v>
      </c>
      <c r="G34" s="198">
        <v>5</v>
      </c>
      <c r="H34" s="62">
        <v>4</v>
      </c>
      <c r="I34" s="108">
        <v>4</v>
      </c>
      <c r="J34" s="302">
        <v>3</v>
      </c>
      <c r="K34" s="128"/>
      <c r="L34" s="128"/>
      <c r="M34" s="128" t="s">
        <v>554</v>
      </c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69"/>
      <c r="Z34" s="128"/>
      <c r="AA34" s="128"/>
      <c r="AB34" s="38"/>
      <c r="AC34" s="128"/>
      <c r="AD34" s="66"/>
      <c r="AE34" s="128"/>
      <c r="AF34" s="62"/>
      <c r="AG34" s="38"/>
      <c r="AH34" s="128"/>
      <c r="AI34" s="128"/>
      <c r="AJ34" s="128"/>
      <c r="AK34" s="128"/>
      <c r="AL34" s="38"/>
      <c r="AM34" s="108"/>
      <c r="AN34" s="69"/>
      <c r="AO34" s="38"/>
      <c r="AP34" s="38"/>
      <c r="AQ34" s="38"/>
      <c r="AR34" s="108"/>
      <c r="AS34" s="27"/>
    </row>
    <row r="35" spans="1:45" s="116" customFormat="1" x14ac:dyDescent="0.25">
      <c r="A35" s="237" t="s">
        <v>30</v>
      </c>
      <c r="B35" s="229" t="s">
        <v>369</v>
      </c>
      <c r="C35" s="230"/>
      <c r="D35" s="223"/>
      <c r="E35" s="231"/>
      <c r="F35" s="129"/>
      <c r="G35" s="353"/>
      <c r="H35" s="354"/>
      <c r="I35" s="354"/>
      <c r="J35" s="354"/>
      <c r="K35" s="354"/>
      <c r="L35" s="354"/>
      <c r="M35" s="355"/>
      <c r="N35" s="354"/>
      <c r="O35" s="354"/>
      <c r="P35" s="355"/>
      <c r="Q35" s="355"/>
      <c r="R35" s="355"/>
      <c r="S35" s="355"/>
      <c r="T35" s="355"/>
      <c r="U35" s="355"/>
      <c r="V35" s="355"/>
      <c r="W35" s="354"/>
      <c r="X35" s="355"/>
      <c r="Y35" s="355"/>
      <c r="Z35" s="355"/>
      <c r="AA35" s="355"/>
      <c r="AB35" s="352"/>
      <c r="AC35" s="355"/>
      <c r="AD35" s="352"/>
      <c r="AE35" s="355"/>
      <c r="AF35" s="352"/>
      <c r="AG35" s="352"/>
      <c r="AH35" s="355"/>
      <c r="AI35" s="355"/>
      <c r="AJ35" s="355"/>
      <c r="AK35" s="355"/>
      <c r="AL35" s="352"/>
      <c r="AM35" s="355"/>
      <c r="AN35" s="355"/>
      <c r="AO35" s="352"/>
      <c r="AP35" s="352"/>
      <c r="AQ35" s="352"/>
      <c r="AR35" s="355"/>
      <c r="AS35" s="120"/>
    </row>
    <row r="36" spans="1:45" s="116" customFormat="1" ht="15.75" thickBot="1" x14ac:dyDescent="0.3">
      <c r="A36" s="3" t="s">
        <v>30</v>
      </c>
      <c r="B36" s="219" t="s">
        <v>505</v>
      </c>
      <c r="C36" s="167">
        <v>2</v>
      </c>
      <c r="D36" s="169">
        <v>5</v>
      </c>
      <c r="E36" s="165">
        <v>1</v>
      </c>
      <c r="F36" s="33">
        <f>AVERAGE(J36,O36,X36)</f>
        <v>4.333333333333333</v>
      </c>
      <c r="G36" s="56" t="s">
        <v>153</v>
      </c>
      <c r="H36" s="108"/>
      <c r="I36" s="57" t="s">
        <v>153</v>
      </c>
      <c r="J36" s="108">
        <v>5</v>
      </c>
      <c r="K36" s="128"/>
      <c r="L36" s="108" t="s">
        <v>153</v>
      </c>
      <c r="M36" s="128"/>
      <c r="N36" s="108" t="s">
        <v>153</v>
      </c>
      <c r="O36" s="128">
        <v>4</v>
      </c>
      <c r="P36" s="128"/>
      <c r="Q36" s="108"/>
      <c r="R36" s="108"/>
      <c r="S36" s="108"/>
      <c r="T36" s="128"/>
      <c r="U36" s="108"/>
      <c r="V36" s="128"/>
      <c r="W36" s="128"/>
      <c r="X36" s="108">
        <v>4</v>
      </c>
      <c r="Y36" s="128"/>
      <c r="Z36" s="128"/>
      <c r="AA36" s="128"/>
      <c r="AB36" s="38"/>
      <c r="AC36" s="108"/>
      <c r="AD36" s="38"/>
      <c r="AE36" s="69"/>
      <c r="AF36" s="66"/>
      <c r="AG36" s="38"/>
      <c r="AH36" s="69"/>
      <c r="AI36" s="108"/>
      <c r="AJ36" s="128"/>
      <c r="AK36" s="69"/>
      <c r="AL36" s="62"/>
      <c r="AM36" s="69"/>
      <c r="AN36" s="128"/>
      <c r="AO36" s="62"/>
      <c r="AP36" s="38"/>
      <c r="AQ36" s="62"/>
      <c r="AR36" s="128"/>
      <c r="AS36" s="120"/>
    </row>
    <row r="37" spans="1:45" x14ac:dyDescent="0.25">
      <c r="C37" s="111"/>
      <c r="D37" s="111"/>
      <c r="E37" s="111"/>
      <c r="G37" s="36">
        <f>AVERAGE(G8,G13,G16,G17,G19,G20,G25,G26,G32,G33,G34)</f>
        <v>5</v>
      </c>
      <c r="H37" s="36">
        <f>AVERAGE(H8,H12,H13,H15,H16,H20,H24,H25,H27,H32,H34)</f>
        <v>5.3636363636363633</v>
      </c>
      <c r="I37" s="36">
        <f>AVERAGE(I9,I12,I13,I16,I17,I19,I20,I25,I27,I32,I34)</f>
        <v>5.5454545454545459</v>
      </c>
      <c r="J37" s="36">
        <f>AVERAGE(J9,J15,J17,J19,J20,J25,J27,J32,J34,J36)</f>
        <v>4.7</v>
      </c>
      <c r="K37" s="30">
        <f>AVERAGE(K9,K16,K17,K18,K19,K20,K25,K26,K27,K32,K33)</f>
        <v>4.2727272727272725</v>
      </c>
      <c r="L37" s="30">
        <f>AVERAGE(L8,L11,L16,L17,L19,L20,L25,L26,L27,L33,L32)</f>
        <v>4.7272727272727275</v>
      </c>
      <c r="M37" s="30">
        <f>AVERAGE(M8,M11,M12,M13,M16,M17,M25,M27,M30,M32)</f>
        <v>4.9000000000000004</v>
      </c>
      <c r="N37" s="30">
        <f>AVERAGE(N8,N12,N15,N17,N19,N20,N25,N26,N27,N30,N33)</f>
        <v>5.6363636363636367</v>
      </c>
      <c r="O37" s="30">
        <f>AVERAGE(O8,O11,O12,O15,O19,O25,O27,O30,O32,O33,O36)</f>
        <v>4.7272727272727275</v>
      </c>
      <c r="P37" s="30">
        <f>AVERAGE(P8,P11,P15,P17,P19,P20,P25,P27,P26,P28,P32)</f>
        <v>4.7272727272727275</v>
      </c>
      <c r="Q37" s="30">
        <f>AVERAGE(Q8,Q11,Q12,Q15,Q17,Q19,Q20,Q25,Q27,Q28,Q32)</f>
        <v>4.8181818181818183</v>
      </c>
      <c r="R37" s="30">
        <f>AVERAGE(R8,R11,R12,R17,R16,R19,R20,R25,R26,R27,R32)</f>
        <v>5.5454545454545459</v>
      </c>
      <c r="S37" s="30">
        <f>AVERAGE(S8,S11,S16,S17,S19,S20,S25,S26,S27,S29,S32)</f>
        <v>5.1818181818181817</v>
      </c>
      <c r="T37" s="30">
        <f>AVERAGE(T8,T11,T16,T17,T19,T20,T25,T12,T28,T33,T32)</f>
        <v>4.4545454545454541</v>
      </c>
      <c r="U37" s="30">
        <f>AVERAGE(U8,U11,U12,U15,U16,U17,U20,U27,U29,U30,U32)</f>
        <v>5</v>
      </c>
      <c r="V37" s="30">
        <f>AVERAGE(V8,V12,V15,V16,V17,V18,V25,V27,V30,V32,V33)</f>
        <v>5.0909090909090908</v>
      </c>
      <c r="W37" s="30">
        <f>AVERAGE(W8,W11,W12,W15,W16,W17,W20,W27,W28,W29,W30)</f>
        <v>4.2727272727272725</v>
      </c>
      <c r="X37" s="30">
        <f>AVERAGE(X8,X11,X16,X17,X19,X25,X29,X30,X32,X33,X36)</f>
        <v>5</v>
      </c>
      <c r="Y37" s="30">
        <f>AVERAGE(Y8,Y11,Y16,Y17,Y19,Y20,Y25,Y27,Y28,Y29,Y23)</f>
        <v>5.2727272727272725</v>
      </c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S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9" width="4.5703125" customWidth="1"/>
    <col min="10" max="28" width="4.7109375" customWidth="1"/>
    <col min="29" max="29" width="4.85546875" customWidth="1"/>
    <col min="30" max="44" width="4.7109375" customWidth="1"/>
  </cols>
  <sheetData>
    <row r="1" spans="1:45" x14ac:dyDescent="0.25">
      <c r="A1" t="s">
        <v>170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632</v>
      </c>
      <c r="H7" s="173" t="s">
        <v>560</v>
      </c>
      <c r="I7" s="173" t="s">
        <v>571</v>
      </c>
      <c r="J7" s="173" t="s">
        <v>600</v>
      </c>
      <c r="K7" s="173" t="s">
        <v>664</v>
      </c>
      <c r="L7" s="173" t="s">
        <v>669</v>
      </c>
      <c r="M7" s="173" t="s">
        <v>704</v>
      </c>
      <c r="N7" s="173" t="s">
        <v>726</v>
      </c>
      <c r="O7" s="173" t="s">
        <v>750</v>
      </c>
      <c r="P7" s="173" t="s">
        <v>780</v>
      </c>
      <c r="Q7" s="173" t="s">
        <v>802</v>
      </c>
      <c r="R7" s="173" t="s">
        <v>805</v>
      </c>
      <c r="S7" s="173" t="s">
        <v>829</v>
      </c>
      <c r="T7" s="173" t="s">
        <v>870</v>
      </c>
      <c r="U7" s="173" t="s">
        <v>887</v>
      </c>
      <c r="V7" s="173" t="s">
        <v>921</v>
      </c>
      <c r="W7" s="173" t="s">
        <v>945</v>
      </c>
      <c r="X7" s="173" t="s">
        <v>946</v>
      </c>
      <c r="Y7" s="173" t="s">
        <v>978</v>
      </c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</row>
    <row r="8" spans="1:45" x14ac:dyDescent="0.25">
      <c r="A8" s="41" t="s">
        <v>8</v>
      </c>
      <c r="B8" s="41" t="s">
        <v>171</v>
      </c>
      <c r="C8" s="149">
        <v>12</v>
      </c>
      <c r="D8" s="150"/>
      <c r="E8" s="148"/>
      <c r="F8" s="32">
        <f>AVERAGE(H8,I8,J8,G8,R8,S8,T8,U8,V8,W8,X8,Y8)</f>
        <v>5.5</v>
      </c>
      <c r="G8" s="56">
        <v>4</v>
      </c>
      <c r="H8" s="69">
        <v>5</v>
      </c>
      <c r="I8" s="64">
        <v>6</v>
      </c>
      <c r="J8" s="70">
        <v>6</v>
      </c>
      <c r="K8" s="128"/>
      <c r="L8" s="128"/>
      <c r="M8" s="128"/>
      <c r="N8" s="128"/>
      <c r="O8" s="69"/>
      <c r="P8" s="69"/>
      <c r="Q8" s="69"/>
      <c r="R8" s="128">
        <v>6</v>
      </c>
      <c r="S8" s="69">
        <v>6</v>
      </c>
      <c r="T8" s="70">
        <v>5</v>
      </c>
      <c r="U8" s="70">
        <v>5</v>
      </c>
      <c r="V8" s="128">
        <v>5</v>
      </c>
      <c r="W8" s="128">
        <v>6</v>
      </c>
      <c r="X8" s="128">
        <v>5</v>
      </c>
      <c r="Y8" s="283">
        <v>7</v>
      </c>
      <c r="Z8" s="128"/>
      <c r="AA8" s="69"/>
      <c r="AB8" s="128"/>
      <c r="AC8" s="128"/>
      <c r="AD8" s="128"/>
      <c r="AE8" s="128"/>
      <c r="AF8" s="38"/>
      <c r="AG8" s="69"/>
      <c r="AH8" s="69"/>
      <c r="AI8" s="128"/>
      <c r="AJ8" s="66"/>
      <c r="AK8" s="69"/>
      <c r="AL8" s="69"/>
      <c r="AM8" s="128"/>
      <c r="AN8" s="128"/>
      <c r="AO8" s="66"/>
      <c r="AP8" s="128"/>
      <c r="AQ8" s="38"/>
      <c r="AR8" s="128"/>
      <c r="AS8" s="27"/>
    </row>
    <row r="9" spans="1:45" s="141" customFormat="1" x14ac:dyDescent="0.25">
      <c r="A9" s="132" t="s">
        <v>8</v>
      </c>
      <c r="B9" s="160" t="s">
        <v>371</v>
      </c>
      <c r="C9" s="166">
        <v>7</v>
      </c>
      <c r="D9" s="168"/>
      <c r="E9" s="164"/>
      <c r="F9" s="48">
        <f>AVERAGE(K9,L9,M9,N9,O9,P9,Q9)</f>
        <v>5.1428571428571432</v>
      </c>
      <c r="G9" s="56"/>
      <c r="H9" s="69"/>
      <c r="I9" s="70"/>
      <c r="J9" s="70"/>
      <c r="K9" s="69">
        <v>6</v>
      </c>
      <c r="L9" s="128">
        <v>5</v>
      </c>
      <c r="M9" s="128">
        <v>4</v>
      </c>
      <c r="N9" s="128">
        <v>5</v>
      </c>
      <c r="O9" s="70">
        <v>6</v>
      </c>
      <c r="P9" s="70">
        <v>4</v>
      </c>
      <c r="Q9" s="70">
        <v>6</v>
      </c>
      <c r="R9" s="128"/>
      <c r="S9" s="69"/>
      <c r="T9" s="69"/>
      <c r="U9" s="69"/>
      <c r="V9" s="128"/>
      <c r="W9" s="128"/>
      <c r="X9" s="128"/>
      <c r="Y9" s="128"/>
      <c r="Z9" s="128"/>
      <c r="AA9" s="69"/>
      <c r="AB9" s="128"/>
      <c r="AC9" s="128"/>
      <c r="AD9" s="128"/>
      <c r="AE9" s="128"/>
      <c r="AF9" s="38"/>
      <c r="AG9" s="69"/>
      <c r="AH9" s="69"/>
      <c r="AI9" s="128"/>
      <c r="AJ9" s="66"/>
      <c r="AK9" s="69"/>
      <c r="AL9" s="69"/>
      <c r="AM9" s="128"/>
      <c r="AN9" s="128"/>
      <c r="AO9" s="66"/>
      <c r="AP9" s="128"/>
      <c r="AQ9" s="38"/>
      <c r="AR9" s="128"/>
      <c r="AS9" s="174"/>
    </row>
    <row r="10" spans="1:45" x14ac:dyDescent="0.25">
      <c r="A10" s="39" t="s">
        <v>8</v>
      </c>
      <c r="B10" s="14" t="s">
        <v>297</v>
      </c>
      <c r="C10" s="170"/>
      <c r="D10" s="171"/>
      <c r="E10" s="172"/>
      <c r="F10" s="48"/>
      <c r="G10" s="56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38"/>
      <c r="AG10" s="128"/>
      <c r="AH10" s="128"/>
      <c r="AI10" s="128"/>
      <c r="AJ10" s="38"/>
      <c r="AK10" s="128"/>
      <c r="AL10" s="128"/>
      <c r="AM10" s="128"/>
      <c r="AN10" s="128"/>
      <c r="AO10" s="38"/>
      <c r="AP10" s="128"/>
      <c r="AQ10" s="38"/>
      <c r="AR10" s="128"/>
      <c r="AS10" s="27"/>
    </row>
    <row r="11" spans="1:45" x14ac:dyDescent="0.25">
      <c r="A11" t="s">
        <v>11</v>
      </c>
      <c r="B11" t="s">
        <v>173</v>
      </c>
      <c r="C11" s="166">
        <v>16</v>
      </c>
      <c r="D11" s="168">
        <v>1</v>
      </c>
      <c r="E11" s="151">
        <v>1</v>
      </c>
      <c r="F11" s="53">
        <f>AVERAGE(W11,U11,H11,I11,J11,G11,K11,L11,N11,O11,P11,R11,S11,T11,X11,Y11)</f>
        <v>5.0625</v>
      </c>
      <c r="G11" s="56">
        <v>5</v>
      </c>
      <c r="H11" s="128">
        <v>5</v>
      </c>
      <c r="I11" s="281">
        <v>5</v>
      </c>
      <c r="J11" s="69">
        <v>6</v>
      </c>
      <c r="K11" s="128">
        <v>6</v>
      </c>
      <c r="L11" s="128">
        <v>5</v>
      </c>
      <c r="M11" s="128"/>
      <c r="N11" s="128">
        <v>6</v>
      </c>
      <c r="O11" s="128">
        <v>4</v>
      </c>
      <c r="P11" s="128">
        <v>5</v>
      </c>
      <c r="Q11" s="128"/>
      <c r="R11" s="128">
        <v>5</v>
      </c>
      <c r="S11" s="128">
        <v>6</v>
      </c>
      <c r="T11" s="128">
        <v>4</v>
      </c>
      <c r="U11" s="128">
        <v>5</v>
      </c>
      <c r="V11" s="108" t="s">
        <v>153</v>
      </c>
      <c r="W11" s="128">
        <v>4</v>
      </c>
      <c r="X11" s="128">
        <v>5</v>
      </c>
      <c r="Y11" s="128">
        <v>5</v>
      </c>
      <c r="Z11" s="128"/>
      <c r="AA11" s="128"/>
      <c r="AB11" s="128"/>
      <c r="AC11" s="128"/>
      <c r="AD11" s="128"/>
      <c r="AE11" s="128"/>
      <c r="AF11" s="38"/>
      <c r="AG11" s="128"/>
      <c r="AH11" s="128"/>
      <c r="AI11" s="128"/>
      <c r="AJ11" s="38"/>
      <c r="AK11" s="69"/>
      <c r="AL11" s="128"/>
      <c r="AM11" s="128"/>
      <c r="AN11" s="128"/>
      <c r="AO11" s="38"/>
      <c r="AP11" s="128"/>
      <c r="AQ11" s="38"/>
      <c r="AR11" s="128"/>
      <c r="AS11" s="27"/>
    </row>
    <row r="12" spans="1:45" x14ac:dyDescent="0.25">
      <c r="A12" t="s">
        <v>11</v>
      </c>
      <c r="B12" t="s">
        <v>174</v>
      </c>
      <c r="C12" s="166">
        <v>4</v>
      </c>
      <c r="D12" s="168">
        <v>2</v>
      </c>
      <c r="E12" s="164"/>
      <c r="F12" s="32">
        <f>AVERAGE(M12,W12,X12,Y12)</f>
        <v>5.25</v>
      </c>
      <c r="G12" s="56"/>
      <c r="H12" s="65"/>
      <c r="I12" s="128"/>
      <c r="J12" s="128"/>
      <c r="K12" s="108" t="s">
        <v>153</v>
      </c>
      <c r="L12" s="128"/>
      <c r="M12" s="128">
        <v>6</v>
      </c>
      <c r="N12" s="128"/>
      <c r="O12" s="204" t="s">
        <v>153</v>
      </c>
      <c r="P12" s="128"/>
      <c r="Q12" s="128"/>
      <c r="R12" s="128"/>
      <c r="S12" s="128"/>
      <c r="T12" s="128"/>
      <c r="U12" s="128"/>
      <c r="V12" s="128"/>
      <c r="W12" s="128">
        <v>5</v>
      </c>
      <c r="X12" s="128">
        <v>5</v>
      </c>
      <c r="Y12" s="128">
        <v>5</v>
      </c>
      <c r="Z12" s="128"/>
      <c r="AA12" s="128"/>
      <c r="AB12" s="128"/>
      <c r="AC12" s="128"/>
      <c r="AD12" s="128"/>
      <c r="AE12" s="128"/>
      <c r="AF12" s="38"/>
      <c r="AG12" s="128"/>
      <c r="AH12" s="128"/>
      <c r="AI12" s="128"/>
      <c r="AJ12" s="38"/>
      <c r="AK12" s="128"/>
      <c r="AL12" s="128"/>
      <c r="AM12" s="128"/>
      <c r="AN12" s="128"/>
      <c r="AO12" s="38"/>
      <c r="AP12" s="108"/>
      <c r="AQ12" s="38"/>
      <c r="AR12" s="128"/>
      <c r="AS12" s="27"/>
    </row>
    <row r="13" spans="1:45" x14ac:dyDescent="0.25">
      <c r="A13" t="s">
        <v>11</v>
      </c>
      <c r="B13" s="49" t="s">
        <v>293</v>
      </c>
      <c r="C13" s="166">
        <v>10</v>
      </c>
      <c r="D13" s="168"/>
      <c r="E13" s="164"/>
      <c r="F13" s="32">
        <f>AVERAGE(H13,I13,J13,G13,K13,L13,M13,N13,U13,V13)</f>
        <v>4.7</v>
      </c>
      <c r="G13" s="327">
        <v>5</v>
      </c>
      <c r="H13" s="289">
        <v>5</v>
      </c>
      <c r="I13" s="281">
        <v>4</v>
      </c>
      <c r="J13" s="128">
        <v>5</v>
      </c>
      <c r="K13" s="128">
        <v>5</v>
      </c>
      <c r="L13" s="128">
        <v>5</v>
      </c>
      <c r="M13" s="128">
        <v>4</v>
      </c>
      <c r="N13" s="128">
        <v>4</v>
      </c>
      <c r="O13" s="128"/>
      <c r="P13" s="128"/>
      <c r="Q13" s="128"/>
      <c r="R13" s="128"/>
      <c r="S13" s="128"/>
      <c r="T13" s="128"/>
      <c r="U13" s="128">
        <v>5</v>
      </c>
      <c r="V13" s="128">
        <v>5</v>
      </c>
      <c r="W13" s="128"/>
      <c r="X13" s="128"/>
      <c r="Y13" s="69"/>
      <c r="Z13" s="128"/>
      <c r="AA13" s="128"/>
      <c r="AB13" s="128"/>
      <c r="AC13" s="128"/>
      <c r="AD13" s="128"/>
      <c r="AE13" s="128"/>
      <c r="AF13" s="38"/>
      <c r="AG13" s="128"/>
      <c r="AH13" s="128"/>
      <c r="AI13" s="128"/>
      <c r="AJ13" s="38"/>
      <c r="AK13" s="69"/>
      <c r="AL13" s="128"/>
      <c r="AM13" s="128"/>
      <c r="AN13" s="128"/>
      <c r="AO13" s="38"/>
      <c r="AP13" s="128"/>
      <c r="AQ13" s="38"/>
      <c r="AR13" s="128"/>
      <c r="AS13" s="27"/>
    </row>
    <row r="14" spans="1:45" x14ac:dyDescent="0.25">
      <c r="A14" s="255" t="s">
        <v>11</v>
      </c>
      <c r="B14" s="272" t="s">
        <v>296</v>
      </c>
      <c r="C14" s="156"/>
      <c r="D14" s="157"/>
      <c r="E14" s="158"/>
      <c r="F14" s="32"/>
      <c r="G14" s="256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  <c r="AB14" s="257"/>
      <c r="AC14" s="257"/>
      <c r="AD14" s="257"/>
      <c r="AE14" s="257"/>
      <c r="AF14" s="253"/>
      <c r="AG14" s="257"/>
      <c r="AH14" s="257"/>
      <c r="AI14" s="257"/>
      <c r="AJ14" s="253"/>
      <c r="AK14" s="257"/>
      <c r="AL14" s="257"/>
      <c r="AM14" s="257"/>
      <c r="AN14" s="257"/>
      <c r="AO14" s="253"/>
      <c r="AP14" s="257"/>
      <c r="AQ14" s="253"/>
      <c r="AR14" s="257"/>
      <c r="AS14" s="27"/>
    </row>
    <row r="15" spans="1:45" x14ac:dyDescent="0.25">
      <c r="A15" t="s">
        <v>11</v>
      </c>
      <c r="B15" s="49" t="s">
        <v>345</v>
      </c>
      <c r="C15" s="166">
        <v>11</v>
      </c>
      <c r="D15" s="168"/>
      <c r="E15" s="176">
        <v>1</v>
      </c>
      <c r="F15" s="32">
        <f>AVERAGE(I15,J15,M15,N15,O15,P15,Q15,R15,S15,T15,Y15)</f>
        <v>5.2727272727272725</v>
      </c>
      <c r="G15" s="56"/>
      <c r="H15" s="128"/>
      <c r="I15" s="128">
        <v>5</v>
      </c>
      <c r="J15" s="128">
        <v>4</v>
      </c>
      <c r="K15" s="128"/>
      <c r="L15" s="108"/>
      <c r="M15" s="128">
        <v>5</v>
      </c>
      <c r="N15" s="283">
        <v>7</v>
      </c>
      <c r="O15" s="128">
        <v>5</v>
      </c>
      <c r="P15" s="128">
        <v>5</v>
      </c>
      <c r="Q15" s="128">
        <v>5</v>
      </c>
      <c r="R15" s="128">
        <v>5</v>
      </c>
      <c r="S15" s="128">
        <v>6</v>
      </c>
      <c r="T15" s="128">
        <v>5</v>
      </c>
      <c r="U15" s="128"/>
      <c r="V15" s="128"/>
      <c r="W15" s="128"/>
      <c r="X15" s="128"/>
      <c r="Y15" s="108">
        <v>6</v>
      </c>
      <c r="Z15" s="128"/>
      <c r="AA15" s="128"/>
      <c r="AB15" s="128"/>
      <c r="AC15" s="128"/>
      <c r="AD15" s="128"/>
      <c r="AE15" s="128"/>
      <c r="AF15" s="38"/>
      <c r="AG15" s="108"/>
      <c r="AH15" s="128"/>
      <c r="AI15" s="128"/>
      <c r="AJ15" s="38"/>
      <c r="AK15" s="128"/>
      <c r="AL15" s="108"/>
      <c r="AM15" s="128"/>
      <c r="AN15" s="128"/>
      <c r="AO15" s="38"/>
      <c r="AP15" s="128"/>
      <c r="AQ15" s="38"/>
      <c r="AR15" s="128"/>
      <c r="AS15" s="27"/>
    </row>
    <row r="16" spans="1:45" x14ac:dyDescent="0.25">
      <c r="A16" t="s">
        <v>11</v>
      </c>
      <c r="B16" t="s">
        <v>177</v>
      </c>
      <c r="C16" s="166">
        <v>12</v>
      </c>
      <c r="D16" s="168">
        <v>2</v>
      </c>
      <c r="E16" s="164"/>
      <c r="F16" s="32">
        <f>AVERAGE(H16,I16,G16,K16,L16,O16,P16,Q16,S16,T16,U16,V16)</f>
        <v>4.583333333333333</v>
      </c>
      <c r="G16" s="56">
        <v>4</v>
      </c>
      <c r="H16" s="108">
        <v>6</v>
      </c>
      <c r="I16" s="108">
        <v>5</v>
      </c>
      <c r="J16" s="108" t="s">
        <v>153</v>
      </c>
      <c r="K16" s="108">
        <v>4</v>
      </c>
      <c r="L16" s="128">
        <v>5</v>
      </c>
      <c r="M16" s="128"/>
      <c r="N16" s="128"/>
      <c r="O16" s="108">
        <v>4</v>
      </c>
      <c r="P16" s="128">
        <v>4</v>
      </c>
      <c r="Q16" s="128">
        <v>4</v>
      </c>
      <c r="R16" s="128"/>
      <c r="S16" s="128">
        <v>6</v>
      </c>
      <c r="T16" s="128">
        <v>4</v>
      </c>
      <c r="U16" s="108">
        <v>4</v>
      </c>
      <c r="V16" s="128">
        <v>5</v>
      </c>
      <c r="W16" s="128"/>
      <c r="X16" s="128"/>
      <c r="Y16" s="108" t="s">
        <v>153</v>
      </c>
      <c r="Z16" s="108"/>
      <c r="AA16" s="128"/>
      <c r="AB16" s="128"/>
      <c r="AC16" s="128"/>
      <c r="AD16" s="128"/>
      <c r="AE16" s="128"/>
      <c r="AF16" s="62"/>
      <c r="AG16" s="108"/>
      <c r="AH16" s="108"/>
      <c r="AI16" s="128"/>
      <c r="AJ16" s="38"/>
      <c r="AK16" s="108"/>
      <c r="AL16" s="128"/>
      <c r="AM16" s="128"/>
      <c r="AN16" s="108"/>
      <c r="AO16" s="38"/>
      <c r="AP16" s="128"/>
      <c r="AQ16" s="38"/>
      <c r="AR16" s="128"/>
      <c r="AS16" s="27"/>
    </row>
    <row r="17" spans="1:45" s="116" customFormat="1" x14ac:dyDescent="0.25">
      <c r="A17" s="255" t="s">
        <v>11</v>
      </c>
      <c r="B17" s="255" t="s">
        <v>384</v>
      </c>
      <c r="C17" s="156"/>
      <c r="D17" s="157">
        <v>1</v>
      </c>
      <c r="E17" s="158"/>
      <c r="F17" s="94"/>
      <c r="G17" s="249">
        <v>4</v>
      </c>
      <c r="H17" s="258"/>
      <c r="I17" s="258"/>
      <c r="J17" s="258"/>
      <c r="K17" s="258"/>
      <c r="L17" s="257"/>
      <c r="M17" s="257"/>
      <c r="N17" s="257"/>
      <c r="O17" s="258"/>
      <c r="P17" s="257"/>
      <c r="Q17" s="257"/>
      <c r="R17" s="257"/>
      <c r="S17" s="258"/>
      <c r="T17" s="257"/>
      <c r="U17" s="257"/>
      <c r="V17" s="257"/>
      <c r="W17" s="257"/>
      <c r="X17" s="257"/>
      <c r="Y17" s="257"/>
      <c r="Z17" s="258"/>
      <c r="AA17" s="257"/>
      <c r="AB17" s="257"/>
      <c r="AC17" s="257"/>
      <c r="AD17" s="258"/>
      <c r="AE17" s="257"/>
      <c r="AF17" s="253"/>
      <c r="AG17" s="258"/>
      <c r="AH17" s="257"/>
      <c r="AI17" s="257"/>
      <c r="AJ17" s="253"/>
      <c r="AK17" s="257"/>
      <c r="AL17" s="257"/>
      <c r="AM17" s="257"/>
      <c r="AN17" s="257"/>
      <c r="AO17" s="253"/>
      <c r="AP17" s="257"/>
      <c r="AQ17" s="253"/>
      <c r="AR17" s="257"/>
      <c r="AS17" s="120"/>
    </row>
    <row r="18" spans="1:45" s="141" customFormat="1" x14ac:dyDescent="0.25">
      <c r="A18" s="141" t="s">
        <v>11</v>
      </c>
      <c r="B18" s="42" t="s">
        <v>471</v>
      </c>
      <c r="C18" s="166">
        <v>12</v>
      </c>
      <c r="D18" s="168"/>
      <c r="E18" s="164"/>
      <c r="F18" s="129">
        <f>AVERAGE(H18,G18,K18,L18,M18,O18,P18,Q18,R18,V18,W18,X18)</f>
        <v>5</v>
      </c>
      <c r="G18" s="56">
        <v>5</v>
      </c>
      <c r="H18" s="108">
        <v>6</v>
      </c>
      <c r="I18" s="108"/>
      <c r="J18" s="108"/>
      <c r="K18" s="108">
        <v>5</v>
      </c>
      <c r="L18" s="128">
        <v>5</v>
      </c>
      <c r="M18" s="128">
        <v>5</v>
      </c>
      <c r="N18" s="128"/>
      <c r="O18" s="108">
        <v>4</v>
      </c>
      <c r="P18" s="128">
        <v>5</v>
      </c>
      <c r="Q18" s="128">
        <v>5</v>
      </c>
      <c r="R18" s="128">
        <v>5</v>
      </c>
      <c r="S18" s="108"/>
      <c r="T18" s="128"/>
      <c r="U18" s="128"/>
      <c r="V18" s="128">
        <v>5</v>
      </c>
      <c r="W18" s="128">
        <v>5</v>
      </c>
      <c r="X18" s="128">
        <v>5</v>
      </c>
      <c r="Y18" s="128"/>
      <c r="Z18" s="108"/>
      <c r="AA18" s="128"/>
      <c r="AB18" s="128"/>
      <c r="AC18" s="128"/>
      <c r="AD18" s="108"/>
      <c r="AE18" s="128"/>
      <c r="AF18" s="38"/>
      <c r="AG18" s="108"/>
      <c r="AH18" s="128"/>
      <c r="AI18" s="128"/>
      <c r="AJ18" s="38"/>
      <c r="AK18" s="128"/>
      <c r="AL18" s="128"/>
      <c r="AM18" s="128"/>
      <c r="AN18" s="128"/>
      <c r="AO18" s="38"/>
      <c r="AP18" s="128"/>
      <c r="AQ18" s="38"/>
      <c r="AR18" s="128"/>
      <c r="AS18" s="174"/>
    </row>
    <row r="19" spans="1:45" s="141" customFormat="1" x14ac:dyDescent="0.25">
      <c r="A19" s="141" t="s">
        <v>11</v>
      </c>
      <c r="B19" s="49" t="s">
        <v>508</v>
      </c>
      <c r="C19" s="166">
        <v>13</v>
      </c>
      <c r="D19" s="168"/>
      <c r="E19" s="164"/>
      <c r="F19" s="129">
        <f>AVERAGE(W19,H19,I19,J19,G19,K19,N19,O19,P19,Q19,R19,S19,T19)</f>
        <v>5.2307692307692308</v>
      </c>
      <c r="G19" s="56">
        <v>6</v>
      </c>
      <c r="H19" s="290">
        <v>7</v>
      </c>
      <c r="I19" s="108">
        <v>5</v>
      </c>
      <c r="J19" s="108">
        <v>5</v>
      </c>
      <c r="K19" s="108">
        <v>5</v>
      </c>
      <c r="L19" s="128"/>
      <c r="M19" s="128"/>
      <c r="N19" s="128">
        <v>5</v>
      </c>
      <c r="O19" s="108">
        <v>6</v>
      </c>
      <c r="P19" s="128">
        <v>5</v>
      </c>
      <c r="Q19" s="128">
        <v>6</v>
      </c>
      <c r="R19" s="128">
        <v>5</v>
      </c>
      <c r="S19" s="108">
        <v>5</v>
      </c>
      <c r="T19" s="128">
        <v>4</v>
      </c>
      <c r="U19" s="128"/>
      <c r="V19" s="128"/>
      <c r="W19" s="128">
        <v>4</v>
      </c>
      <c r="X19" s="128"/>
      <c r="Y19" s="128"/>
      <c r="Z19" s="108"/>
      <c r="AA19" s="128"/>
      <c r="AB19" s="128"/>
      <c r="AC19" s="128"/>
      <c r="AD19" s="108"/>
      <c r="AE19" s="128"/>
      <c r="AF19" s="38"/>
      <c r="AG19" s="108"/>
      <c r="AH19" s="128"/>
      <c r="AI19" s="128"/>
      <c r="AJ19" s="38"/>
      <c r="AK19" s="128"/>
      <c r="AL19" s="128"/>
      <c r="AM19" s="128"/>
      <c r="AN19" s="128"/>
      <c r="AO19" s="38"/>
      <c r="AP19" s="128"/>
      <c r="AQ19" s="38"/>
      <c r="AR19" s="128"/>
      <c r="AS19" s="174"/>
    </row>
    <row r="20" spans="1:45" s="141" customFormat="1" x14ac:dyDescent="0.25">
      <c r="A20" s="141" t="s">
        <v>11</v>
      </c>
      <c r="B20" s="49" t="s">
        <v>42</v>
      </c>
      <c r="C20" s="166">
        <v>6</v>
      </c>
      <c r="D20" s="168">
        <v>4</v>
      </c>
      <c r="E20" s="164">
        <v>1</v>
      </c>
      <c r="F20" s="129">
        <f>AVERAGE(I20,J20,L20,N20,Q20,V20)</f>
        <v>4.833333333333333</v>
      </c>
      <c r="G20" s="56"/>
      <c r="H20" s="108" t="s">
        <v>153</v>
      </c>
      <c r="I20" s="294">
        <v>7</v>
      </c>
      <c r="J20" s="108">
        <v>4</v>
      </c>
      <c r="K20" s="108" t="s">
        <v>153</v>
      </c>
      <c r="L20" s="128">
        <v>4</v>
      </c>
      <c r="M20" s="128"/>
      <c r="N20" s="128">
        <v>5</v>
      </c>
      <c r="O20" s="108"/>
      <c r="P20" s="108" t="s">
        <v>153</v>
      </c>
      <c r="Q20" s="128">
        <v>5</v>
      </c>
      <c r="R20" s="128"/>
      <c r="S20" s="108" t="s">
        <v>153</v>
      </c>
      <c r="T20" s="128"/>
      <c r="U20" s="128"/>
      <c r="V20" s="128">
        <v>4</v>
      </c>
      <c r="W20" s="128"/>
      <c r="X20" s="128"/>
      <c r="Y20" s="128"/>
      <c r="Z20" s="108"/>
      <c r="AA20" s="128"/>
      <c r="AB20" s="128"/>
      <c r="AC20" s="128"/>
      <c r="AD20" s="108"/>
      <c r="AE20" s="128"/>
      <c r="AF20" s="38"/>
      <c r="AG20" s="108"/>
      <c r="AH20" s="128"/>
      <c r="AI20" s="128"/>
      <c r="AJ20" s="38"/>
      <c r="AK20" s="128"/>
      <c r="AL20" s="128"/>
      <c r="AM20" s="128"/>
      <c r="AN20" s="128"/>
      <c r="AO20" s="38"/>
      <c r="AP20" s="128"/>
      <c r="AQ20" s="38"/>
      <c r="AR20" s="128"/>
      <c r="AS20" s="174"/>
    </row>
    <row r="21" spans="1:45" x14ac:dyDescent="0.25">
      <c r="A21" s="14" t="s">
        <v>11</v>
      </c>
      <c r="B21" s="14" t="s">
        <v>139</v>
      </c>
      <c r="C21" s="170">
        <v>9</v>
      </c>
      <c r="D21" s="171">
        <v>1</v>
      </c>
      <c r="E21" s="172"/>
      <c r="F21" s="34">
        <f>AVERAGE(M21,O21,Q21,R21,U21,V21,W21,X21,Y21)</f>
        <v>4.8888888888888893</v>
      </c>
      <c r="G21" s="56"/>
      <c r="H21" s="68"/>
      <c r="I21" s="68" t="s">
        <v>153</v>
      </c>
      <c r="J21" s="108"/>
      <c r="K21" s="128"/>
      <c r="L21" s="128"/>
      <c r="M21" s="128">
        <v>5</v>
      </c>
      <c r="N21" s="128"/>
      <c r="O21" s="128">
        <v>5</v>
      </c>
      <c r="P21" s="128"/>
      <c r="Q21" s="128">
        <v>4</v>
      </c>
      <c r="R21" s="128">
        <v>5</v>
      </c>
      <c r="S21" s="128"/>
      <c r="T21" s="128"/>
      <c r="U21" s="128">
        <v>4</v>
      </c>
      <c r="V21" s="128">
        <v>5</v>
      </c>
      <c r="W21" s="128">
        <v>5</v>
      </c>
      <c r="X21" s="128">
        <v>5</v>
      </c>
      <c r="Y21" s="128">
        <v>6</v>
      </c>
      <c r="Z21" s="128"/>
      <c r="AA21" s="128"/>
      <c r="AB21" s="128"/>
      <c r="AC21" s="128"/>
      <c r="AD21" s="128"/>
      <c r="AE21" s="128"/>
      <c r="AF21" s="38"/>
      <c r="AG21" s="128"/>
      <c r="AH21" s="128"/>
      <c r="AI21" s="128"/>
      <c r="AJ21" s="38"/>
      <c r="AK21" s="128"/>
      <c r="AL21" s="128"/>
      <c r="AM21" s="128"/>
      <c r="AN21" s="128"/>
      <c r="AO21" s="38"/>
      <c r="AP21" s="128"/>
      <c r="AQ21" s="38"/>
      <c r="AR21" s="128"/>
      <c r="AS21" s="27"/>
    </row>
    <row r="22" spans="1:45" x14ac:dyDescent="0.25">
      <c r="A22" t="s">
        <v>29</v>
      </c>
      <c r="B22" t="s">
        <v>179</v>
      </c>
      <c r="C22" s="166">
        <v>10</v>
      </c>
      <c r="D22" s="168">
        <v>3</v>
      </c>
      <c r="E22" s="164">
        <v>2</v>
      </c>
      <c r="F22" s="55">
        <f>AVERAGE(K22,L22,M22,O22,P22,R22,S22,T22,X22)</f>
        <v>5.4444444444444446</v>
      </c>
      <c r="G22" s="56" t="s">
        <v>546</v>
      </c>
      <c r="H22" s="108"/>
      <c r="I22" s="61"/>
      <c r="J22" s="108"/>
      <c r="K22" s="128">
        <v>6</v>
      </c>
      <c r="L22" s="128">
        <v>5</v>
      </c>
      <c r="M22" s="128">
        <v>4</v>
      </c>
      <c r="N22" s="108" t="s">
        <v>153</v>
      </c>
      <c r="O22" s="69">
        <v>6</v>
      </c>
      <c r="P22" s="128">
        <v>5</v>
      </c>
      <c r="Q22" s="204" t="s">
        <v>153</v>
      </c>
      <c r="R22" s="128">
        <v>5</v>
      </c>
      <c r="S22" s="283">
        <v>7</v>
      </c>
      <c r="T22" s="128">
        <v>6</v>
      </c>
      <c r="U22" s="128"/>
      <c r="V22" s="108"/>
      <c r="W22" s="128"/>
      <c r="X22" s="108">
        <v>5</v>
      </c>
      <c r="Y22" s="108" t="s">
        <v>153</v>
      </c>
      <c r="Z22" s="128"/>
      <c r="AA22" s="128"/>
      <c r="AB22" s="108"/>
      <c r="AC22" s="128"/>
      <c r="AD22" s="128"/>
      <c r="AE22" s="128"/>
      <c r="AF22" s="38"/>
      <c r="AG22" s="69"/>
      <c r="AH22" s="128"/>
      <c r="AI22" s="128"/>
      <c r="AJ22" s="38"/>
      <c r="AK22" s="69"/>
      <c r="AL22" s="128"/>
      <c r="AM22" s="128"/>
      <c r="AN22" s="128"/>
      <c r="AO22" s="38"/>
      <c r="AP22" s="128"/>
      <c r="AQ22" s="38"/>
      <c r="AR22" s="128"/>
      <c r="AS22" s="27"/>
    </row>
    <row r="23" spans="1:45" x14ac:dyDescent="0.25">
      <c r="A23" s="255" t="s">
        <v>29</v>
      </c>
      <c r="B23" s="255" t="s">
        <v>181</v>
      </c>
      <c r="C23" s="156"/>
      <c r="D23" s="157"/>
      <c r="E23" s="158"/>
      <c r="F23" s="32"/>
      <c r="G23" s="256"/>
      <c r="H23" s="258"/>
      <c r="I23" s="258"/>
      <c r="J23" s="258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3"/>
      <c r="AG23" s="257"/>
      <c r="AH23" s="257"/>
      <c r="AI23" s="257"/>
      <c r="AJ23" s="253"/>
      <c r="AK23" s="257"/>
      <c r="AL23" s="257"/>
      <c r="AM23" s="257"/>
      <c r="AN23" s="257"/>
      <c r="AO23" s="253"/>
      <c r="AP23" s="257"/>
      <c r="AQ23" s="253"/>
      <c r="AR23" s="257"/>
      <c r="AS23" s="27"/>
    </row>
    <row r="24" spans="1:45" x14ac:dyDescent="0.25">
      <c r="A24" t="s">
        <v>29</v>
      </c>
      <c r="B24" t="s">
        <v>163</v>
      </c>
      <c r="C24" s="166">
        <v>14</v>
      </c>
      <c r="D24" s="168">
        <v>1</v>
      </c>
      <c r="E24" s="164"/>
      <c r="F24" s="32">
        <f>AVERAGE(H24,I24,K24,M24,N24,O24,Q24,S24,T24,U24,V24,W24,X24,Y24)</f>
        <v>5</v>
      </c>
      <c r="G24" s="60"/>
      <c r="H24" s="108">
        <v>4</v>
      </c>
      <c r="I24" s="108">
        <v>4</v>
      </c>
      <c r="J24" s="108" t="s">
        <v>153</v>
      </c>
      <c r="K24" s="128">
        <v>6</v>
      </c>
      <c r="L24" s="128"/>
      <c r="M24" s="128">
        <v>5</v>
      </c>
      <c r="N24" s="128">
        <v>5</v>
      </c>
      <c r="O24" s="128">
        <v>5</v>
      </c>
      <c r="P24" s="108"/>
      <c r="Q24" s="108">
        <v>5</v>
      </c>
      <c r="R24" s="128"/>
      <c r="S24" s="128">
        <v>6</v>
      </c>
      <c r="T24" s="128">
        <v>4</v>
      </c>
      <c r="U24" s="128">
        <v>6</v>
      </c>
      <c r="V24" s="108">
        <v>5</v>
      </c>
      <c r="W24" s="108">
        <v>5</v>
      </c>
      <c r="X24" s="128">
        <v>5</v>
      </c>
      <c r="Y24" s="128">
        <v>5</v>
      </c>
      <c r="Z24" s="128"/>
      <c r="AA24" s="128"/>
      <c r="AB24" s="69"/>
      <c r="AC24" s="128"/>
      <c r="AD24" s="108"/>
      <c r="AE24" s="108"/>
      <c r="AF24" s="38"/>
      <c r="AG24" s="128"/>
      <c r="AH24" s="128"/>
      <c r="AI24" s="128"/>
      <c r="AJ24" s="38"/>
      <c r="AK24" s="128"/>
      <c r="AL24" s="128"/>
      <c r="AM24" s="128"/>
      <c r="AN24" s="128"/>
      <c r="AO24" s="38"/>
      <c r="AP24" s="128"/>
      <c r="AQ24" s="38"/>
      <c r="AR24" s="128"/>
      <c r="AS24" s="27"/>
    </row>
    <row r="25" spans="1:45" x14ac:dyDescent="0.25">
      <c r="A25" s="255" t="s">
        <v>29</v>
      </c>
      <c r="B25" s="255" t="s">
        <v>321</v>
      </c>
      <c r="C25" s="156"/>
      <c r="D25" s="157"/>
      <c r="E25" s="158"/>
      <c r="F25" s="32"/>
      <c r="G25" s="256"/>
      <c r="H25" s="322"/>
      <c r="I25" s="258"/>
      <c r="J25" s="258"/>
      <c r="K25" s="257"/>
      <c r="L25" s="257"/>
      <c r="M25" s="257"/>
      <c r="N25" s="257"/>
      <c r="O25" s="258"/>
      <c r="P25" s="257"/>
      <c r="Q25" s="258"/>
      <c r="R25" s="257"/>
      <c r="S25" s="258"/>
      <c r="T25" s="257"/>
      <c r="U25" s="257"/>
      <c r="V25" s="257"/>
      <c r="W25" s="257"/>
      <c r="X25" s="257"/>
      <c r="Y25" s="258"/>
      <c r="Z25" s="257"/>
      <c r="AA25" s="258"/>
      <c r="AB25" s="257"/>
      <c r="AC25" s="257"/>
      <c r="AD25" s="257"/>
      <c r="AE25" s="257"/>
      <c r="AF25" s="253"/>
      <c r="AG25" s="257"/>
      <c r="AH25" s="258"/>
      <c r="AI25" s="258"/>
      <c r="AJ25" s="253"/>
      <c r="AK25" s="257"/>
      <c r="AL25" s="257"/>
      <c r="AM25" s="258"/>
      <c r="AN25" s="270"/>
      <c r="AO25" s="253"/>
      <c r="AP25" s="258"/>
      <c r="AQ25" s="253"/>
      <c r="AR25" s="257"/>
      <c r="AS25" s="27"/>
    </row>
    <row r="26" spans="1:45" x14ac:dyDescent="0.25">
      <c r="A26" s="255" t="s">
        <v>29</v>
      </c>
      <c r="B26" s="255" t="s">
        <v>320</v>
      </c>
      <c r="C26" s="156"/>
      <c r="D26" s="157"/>
      <c r="E26" s="158"/>
      <c r="F26" s="32"/>
      <c r="G26" s="256"/>
      <c r="H26" s="258"/>
      <c r="I26" s="258"/>
      <c r="J26" s="258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8"/>
      <c r="V26" s="257"/>
      <c r="W26" s="257"/>
      <c r="X26" s="257"/>
      <c r="Y26" s="257"/>
      <c r="Z26" s="257"/>
      <c r="AA26" s="257"/>
      <c r="AB26" s="257"/>
      <c r="AC26" s="258"/>
      <c r="AD26" s="257"/>
      <c r="AE26" s="257"/>
      <c r="AF26" s="253"/>
      <c r="AG26" s="257"/>
      <c r="AH26" s="257"/>
      <c r="AI26" s="257"/>
      <c r="AJ26" s="253"/>
      <c r="AK26" s="257"/>
      <c r="AL26" s="257"/>
      <c r="AM26" s="257"/>
      <c r="AN26" s="257"/>
      <c r="AO26" s="253"/>
      <c r="AP26" s="257"/>
      <c r="AQ26" s="253"/>
      <c r="AR26" s="257"/>
      <c r="AS26" s="27"/>
    </row>
    <row r="27" spans="1:45" x14ac:dyDescent="0.25">
      <c r="A27" t="s">
        <v>29</v>
      </c>
      <c r="B27" t="s">
        <v>334</v>
      </c>
      <c r="C27" s="166">
        <v>15</v>
      </c>
      <c r="D27" s="168"/>
      <c r="E27" s="164">
        <v>1</v>
      </c>
      <c r="F27" s="32">
        <f>AVERAGE(W27,H27,I27,J27,G27,L27,P27,Q27,R27,S27,T27,U27,V27,Y27)</f>
        <v>5.2857142857142856</v>
      </c>
      <c r="G27" s="56">
        <v>5</v>
      </c>
      <c r="H27" s="291">
        <v>6</v>
      </c>
      <c r="I27" s="108">
        <v>5</v>
      </c>
      <c r="J27" s="108">
        <v>5</v>
      </c>
      <c r="K27" s="128"/>
      <c r="L27" s="128">
        <v>5</v>
      </c>
      <c r="M27" s="128" t="s">
        <v>546</v>
      </c>
      <c r="N27" s="128"/>
      <c r="O27" s="128"/>
      <c r="P27" s="128">
        <v>5</v>
      </c>
      <c r="Q27" s="128">
        <v>6</v>
      </c>
      <c r="R27" s="128">
        <v>5</v>
      </c>
      <c r="S27" s="283">
        <v>7</v>
      </c>
      <c r="T27" s="128">
        <v>5</v>
      </c>
      <c r="U27" s="128">
        <v>4</v>
      </c>
      <c r="V27" s="128">
        <v>5</v>
      </c>
      <c r="W27" s="128">
        <v>5</v>
      </c>
      <c r="X27" s="128"/>
      <c r="Y27" s="128">
        <v>6</v>
      </c>
      <c r="Z27" s="128"/>
      <c r="AA27" s="128"/>
      <c r="AB27" s="128"/>
      <c r="AC27" s="128"/>
      <c r="AD27" s="128"/>
      <c r="AE27" s="128"/>
      <c r="AF27" s="38"/>
      <c r="AG27" s="128"/>
      <c r="AH27" s="128"/>
      <c r="AI27" s="128"/>
      <c r="AJ27" s="38"/>
      <c r="AK27" s="128"/>
      <c r="AL27" s="128"/>
      <c r="AM27" s="128"/>
      <c r="AN27" s="128"/>
      <c r="AO27" s="38"/>
      <c r="AP27" s="128"/>
      <c r="AQ27" s="38"/>
      <c r="AR27" s="128"/>
      <c r="AS27" s="27"/>
    </row>
    <row r="28" spans="1:45" s="141" customFormat="1" x14ac:dyDescent="0.25">
      <c r="A28" s="141" t="s">
        <v>29</v>
      </c>
      <c r="B28" s="42" t="s">
        <v>667</v>
      </c>
      <c r="C28" s="166">
        <v>5</v>
      </c>
      <c r="D28" s="168">
        <v>3</v>
      </c>
      <c r="E28" s="164">
        <v>1</v>
      </c>
      <c r="F28" s="129">
        <f>AVERAGE(Q28,R28,U28,W28,X28,Y28)</f>
        <v>5.166666666666667</v>
      </c>
      <c r="G28" s="56"/>
      <c r="H28" s="346"/>
      <c r="I28" s="108"/>
      <c r="J28" s="108"/>
      <c r="K28" s="128"/>
      <c r="L28" s="128"/>
      <c r="M28" s="128"/>
      <c r="N28" s="128"/>
      <c r="O28" s="128"/>
      <c r="P28" s="108" t="s">
        <v>153</v>
      </c>
      <c r="Q28" s="128">
        <v>5</v>
      </c>
      <c r="R28" s="128">
        <v>4</v>
      </c>
      <c r="S28" s="128"/>
      <c r="T28" s="128"/>
      <c r="U28" s="128">
        <v>5</v>
      </c>
      <c r="V28" s="108" t="s">
        <v>153</v>
      </c>
      <c r="W28" s="128">
        <v>5</v>
      </c>
      <c r="X28" s="283">
        <v>7</v>
      </c>
      <c r="Y28" s="128">
        <v>5</v>
      </c>
      <c r="Z28" s="128"/>
      <c r="AA28" s="128"/>
      <c r="AB28" s="128"/>
      <c r="AC28" s="128"/>
      <c r="AD28" s="128"/>
      <c r="AE28" s="128"/>
      <c r="AF28" s="38"/>
      <c r="AG28" s="128"/>
      <c r="AH28" s="128"/>
      <c r="AI28" s="128"/>
      <c r="AJ28" s="38"/>
      <c r="AK28" s="128"/>
      <c r="AL28" s="128"/>
      <c r="AM28" s="128"/>
      <c r="AN28" s="128"/>
      <c r="AO28" s="38"/>
      <c r="AP28" s="128"/>
      <c r="AQ28" s="38"/>
      <c r="AR28" s="128"/>
      <c r="AS28" s="174"/>
    </row>
    <row r="29" spans="1:45" s="141" customFormat="1" x14ac:dyDescent="0.25">
      <c r="A29" t="s">
        <v>29</v>
      </c>
      <c r="B29" s="49" t="s">
        <v>294</v>
      </c>
      <c r="C29" s="166">
        <v>11</v>
      </c>
      <c r="D29" s="168">
        <v>4</v>
      </c>
      <c r="E29" s="164">
        <v>2</v>
      </c>
      <c r="F29" s="32">
        <f>AVERAGE(H29,I29,J29,G29,M29,O29,P29,S29,U29,W29,Y29)</f>
        <v>4.9090909090909092</v>
      </c>
      <c r="G29" s="56">
        <v>4</v>
      </c>
      <c r="H29" s="209">
        <v>5</v>
      </c>
      <c r="I29" s="299">
        <v>6</v>
      </c>
      <c r="J29" s="108">
        <v>4</v>
      </c>
      <c r="K29" s="128"/>
      <c r="L29" s="108" t="s">
        <v>153</v>
      </c>
      <c r="M29" s="108">
        <v>4</v>
      </c>
      <c r="N29" s="108" t="s">
        <v>153</v>
      </c>
      <c r="O29" s="108">
        <v>5</v>
      </c>
      <c r="P29" s="128">
        <v>4</v>
      </c>
      <c r="Q29" s="128"/>
      <c r="R29" s="204" t="s">
        <v>153</v>
      </c>
      <c r="S29" s="204">
        <v>6</v>
      </c>
      <c r="T29" s="128"/>
      <c r="U29" s="128">
        <v>4</v>
      </c>
      <c r="V29" s="108"/>
      <c r="W29" s="294">
        <v>7</v>
      </c>
      <c r="X29" s="108" t="s">
        <v>153</v>
      </c>
      <c r="Y29" s="108">
        <v>5</v>
      </c>
      <c r="Z29" s="108"/>
      <c r="AA29" s="128"/>
      <c r="AB29" s="128"/>
      <c r="AC29" s="128"/>
      <c r="AD29" s="128"/>
      <c r="AE29" s="128"/>
      <c r="AF29" s="38"/>
      <c r="AG29" s="128"/>
      <c r="AH29" s="128"/>
      <c r="AI29" s="128"/>
      <c r="AJ29" s="38"/>
      <c r="AK29" s="128"/>
      <c r="AL29" s="128"/>
      <c r="AM29" s="128"/>
      <c r="AN29" s="108"/>
      <c r="AO29" s="38"/>
      <c r="AP29" s="108"/>
      <c r="AQ29" s="38"/>
      <c r="AR29" s="108"/>
      <c r="AS29" s="174"/>
    </row>
    <row r="30" spans="1:45" s="141" customFormat="1" x14ac:dyDescent="0.25">
      <c r="A30" s="141" t="s">
        <v>29</v>
      </c>
      <c r="B30" s="42" t="s">
        <v>947</v>
      </c>
      <c r="C30" s="166"/>
      <c r="D30" s="168">
        <v>2</v>
      </c>
      <c r="E30" s="164"/>
      <c r="F30" s="129"/>
      <c r="G30" s="56"/>
      <c r="H30" s="209"/>
      <c r="I30" s="299"/>
      <c r="J30" s="108"/>
      <c r="K30" s="128"/>
      <c r="L30" s="108"/>
      <c r="M30" s="108"/>
      <c r="N30" s="108"/>
      <c r="O30" s="108"/>
      <c r="P30" s="128"/>
      <c r="Q30" s="128"/>
      <c r="R30" s="204"/>
      <c r="S30" s="204"/>
      <c r="T30" s="128"/>
      <c r="U30" s="128"/>
      <c r="V30" s="108"/>
      <c r="W30" s="128"/>
      <c r="X30" s="108" t="s">
        <v>153</v>
      </c>
      <c r="Y30" s="108" t="s">
        <v>153</v>
      </c>
      <c r="Z30" s="108"/>
      <c r="AA30" s="128"/>
      <c r="AB30" s="128"/>
      <c r="AC30" s="128"/>
      <c r="AD30" s="128"/>
      <c r="AE30" s="128"/>
      <c r="AF30" s="38"/>
      <c r="AG30" s="128"/>
      <c r="AH30" s="128"/>
      <c r="AI30" s="128"/>
      <c r="AJ30" s="38"/>
      <c r="AK30" s="128"/>
      <c r="AL30" s="128"/>
      <c r="AM30" s="128"/>
      <c r="AN30" s="108"/>
      <c r="AO30" s="38"/>
      <c r="AP30" s="108"/>
      <c r="AQ30" s="38"/>
      <c r="AR30" s="108"/>
      <c r="AS30" s="174"/>
    </row>
    <row r="31" spans="1:45" s="141" customFormat="1" x14ac:dyDescent="0.25">
      <c r="A31" s="51" t="s">
        <v>29</v>
      </c>
      <c r="B31" s="51" t="s">
        <v>409</v>
      </c>
      <c r="C31" s="319">
        <v>12</v>
      </c>
      <c r="D31" s="320">
        <v>2</v>
      </c>
      <c r="E31" s="205"/>
      <c r="F31" s="321">
        <f>AVERAGE(V31,H31,I31,J31,G31,K31,L31,M31,N31,P31,R31,T31,U31)</f>
        <v>4.9230769230769234</v>
      </c>
      <c r="G31" s="56">
        <v>5</v>
      </c>
      <c r="H31" s="108">
        <v>5</v>
      </c>
      <c r="I31" s="108">
        <v>6</v>
      </c>
      <c r="J31" s="108">
        <v>5</v>
      </c>
      <c r="K31" s="128">
        <v>5</v>
      </c>
      <c r="L31" s="128">
        <v>4</v>
      </c>
      <c r="M31" s="128">
        <v>5</v>
      </c>
      <c r="N31" s="128">
        <v>5</v>
      </c>
      <c r="O31" s="128"/>
      <c r="P31" s="128">
        <v>5</v>
      </c>
      <c r="Q31" s="128"/>
      <c r="R31" s="128">
        <v>6</v>
      </c>
      <c r="S31" s="128"/>
      <c r="T31" s="108">
        <v>4</v>
      </c>
      <c r="U31" s="128">
        <v>5</v>
      </c>
      <c r="V31" s="128">
        <v>4</v>
      </c>
      <c r="W31" s="108" t="s">
        <v>153</v>
      </c>
      <c r="X31" s="128"/>
      <c r="Y31" s="128"/>
      <c r="Z31" s="128"/>
      <c r="AA31" s="128"/>
      <c r="AB31" s="128"/>
      <c r="AC31" s="128"/>
      <c r="AD31" s="128"/>
      <c r="AE31" s="128"/>
      <c r="AF31" s="38"/>
      <c r="AG31" s="128"/>
      <c r="AH31" s="128"/>
      <c r="AI31" s="128"/>
      <c r="AJ31" s="38"/>
      <c r="AK31" s="128"/>
      <c r="AL31" s="128"/>
      <c r="AM31" s="128"/>
      <c r="AN31" s="128"/>
      <c r="AO31" s="38"/>
      <c r="AP31" s="128"/>
      <c r="AQ31" s="38"/>
      <c r="AR31" s="128"/>
      <c r="AS31" s="174"/>
    </row>
    <row r="32" spans="1:45" x14ac:dyDescent="0.25">
      <c r="A32" s="122" t="s">
        <v>30</v>
      </c>
      <c r="B32" s="122" t="s">
        <v>295</v>
      </c>
      <c r="C32" s="156"/>
      <c r="D32" s="157"/>
      <c r="E32" s="158"/>
      <c r="F32" s="81"/>
      <c r="G32" s="249"/>
      <c r="H32" s="251"/>
      <c r="I32" s="251"/>
      <c r="J32" s="251"/>
      <c r="K32" s="250"/>
      <c r="L32" s="250"/>
      <c r="M32" s="251"/>
      <c r="N32" s="250"/>
      <c r="O32" s="250"/>
      <c r="P32" s="250"/>
      <c r="Q32" s="251"/>
      <c r="R32" s="251"/>
      <c r="S32" s="251"/>
      <c r="T32" s="251"/>
      <c r="U32" s="250"/>
      <c r="V32" s="250"/>
      <c r="W32" s="250"/>
      <c r="X32" s="250"/>
      <c r="Y32" s="250"/>
      <c r="Z32" s="250"/>
      <c r="AA32" s="250"/>
      <c r="AB32" s="251"/>
      <c r="AC32" s="250"/>
      <c r="AD32" s="250"/>
      <c r="AE32" s="250"/>
      <c r="AF32" s="157"/>
      <c r="AG32" s="250"/>
      <c r="AH32" s="250"/>
      <c r="AI32" s="250"/>
      <c r="AJ32" s="157"/>
      <c r="AK32" s="250"/>
      <c r="AL32" s="250"/>
      <c r="AM32" s="250"/>
      <c r="AN32" s="250"/>
      <c r="AO32" s="157"/>
      <c r="AP32" s="250"/>
      <c r="AQ32" s="157"/>
      <c r="AR32" s="250"/>
      <c r="AS32" s="27"/>
    </row>
    <row r="33" spans="1:45" x14ac:dyDescent="0.25">
      <c r="A33" s="25" t="s">
        <v>30</v>
      </c>
      <c r="B33" s="40" t="s">
        <v>349</v>
      </c>
      <c r="C33" s="166"/>
      <c r="D33" s="168">
        <v>1</v>
      </c>
      <c r="E33" s="164"/>
      <c r="F33" s="81"/>
      <c r="G33" s="56"/>
      <c r="H33" s="108"/>
      <c r="I33" s="108"/>
      <c r="J33" s="108"/>
      <c r="K33" s="128"/>
      <c r="L33" s="108"/>
      <c r="M33" s="128"/>
      <c r="N33" s="57"/>
      <c r="O33" s="204" t="s">
        <v>153</v>
      </c>
      <c r="P33" s="108"/>
      <c r="Q33" s="69"/>
      <c r="R33" s="128"/>
      <c r="S33" s="128"/>
      <c r="T33" s="108"/>
      <c r="U33" s="128"/>
      <c r="V33" s="128"/>
      <c r="W33" s="128"/>
      <c r="X33" s="108"/>
      <c r="Y33" s="108"/>
      <c r="Z33" s="108"/>
      <c r="AA33" s="108"/>
      <c r="AB33" s="108"/>
      <c r="AC33" s="108"/>
      <c r="AD33" s="128"/>
      <c r="AE33" s="128"/>
      <c r="AF33" s="38"/>
      <c r="AG33" s="108"/>
      <c r="AH33" s="108"/>
      <c r="AI33" s="108"/>
      <c r="AJ33" s="38"/>
      <c r="AK33" s="128"/>
      <c r="AL33" s="108"/>
      <c r="AM33" s="57"/>
      <c r="AN33" s="128"/>
      <c r="AO33" s="62"/>
      <c r="AP33" s="128"/>
      <c r="AQ33" s="62"/>
      <c r="AR33" s="108"/>
      <c r="AS33" s="27"/>
    </row>
    <row r="34" spans="1:45" x14ac:dyDescent="0.25">
      <c r="A34" t="s">
        <v>30</v>
      </c>
      <c r="B34" t="s">
        <v>265</v>
      </c>
      <c r="C34" s="166">
        <v>5</v>
      </c>
      <c r="D34" s="168">
        <v>1</v>
      </c>
      <c r="E34" s="164">
        <v>2</v>
      </c>
      <c r="F34" s="32">
        <f>AVERAGE(K34,L34,N34,O34,T34)</f>
        <v>6.2</v>
      </c>
      <c r="G34" s="56"/>
      <c r="H34" s="57"/>
      <c r="I34" s="108"/>
      <c r="J34" s="108" t="s">
        <v>153</v>
      </c>
      <c r="K34" s="294">
        <v>7</v>
      </c>
      <c r="L34" s="69">
        <v>6</v>
      </c>
      <c r="M34" s="128"/>
      <c r="N34" s="282">
        <v>7</v>
      </c>
      <c r="O34" s="70">
        <v>5</v>
      </c>
      <c r="P34" s="108"/>
      <c r="Q34" s="128"/>
      <c r="R34" s="128"/>
      <c r="S34" s="128"/>
      <c r="T34" s="70">
        <v>6</v>
      </c>
      <c r="U34" s="128"/>
      <c r="V34" s="69"/>
      <c r="W34" s="128"/>
      <c r="X34" s="128"/>
      <c r="Y34" s="128"/>
      <c r="Z34" s="69"/>
      <c r="AA34" s="128"/>
      <c r="AB34" s="128"/>
      <c r="AC34" s="128"/>
      <c r="AD34" s="108"/>
      <c r="AE34" s="128"/>
      <c r="AF34" s="66"/>
      <c r="AG34" s="128"/>
      <c r="AH34" s="69"/>
      <c r="AI34" s="128"/>
      <c r="AJ34" s="38"/>
      <c r="AK34" s="128"/>
      <c r="AL34" s="128"/>
      <c r="AM34" s="128"/>
      <c r="AN34" s="108"/>
      <c r="AO34" s="38"/>
      <c r="AP34" s="128"/>
      <c r="AQ34" s="38"/>
      <c r="AR34" s="128"/>
      <c r="AS34" s="27"/>
    </row>
    <row r="35" spans="1:45" x14ac:dyDescent="0.25">
      <c r="A35" t="s">
        <v>30</v>
      </c>
      <c r="B35" t="s">
        <v>266</v>
      </c>
      <c r="C35" s="166">
        <v>5</v>
      </c>
      <c r="D35" s="175">
        <v>12</v>
      </c>
      <c r="E35" s="164">
        <v>5</v>
      </c>
      <c r="F35" s="32">
        <f>AVERAGE(J35,N35,S35,U35,V35,X35)</f>
        <v>4.833333333333333</v>
      </c>
      <c r="G35" s="56" t="s">
        <v>153</v>
      </c>
      <c r="H35" s="57" t="s">
        <v>153</v>
      </c>
      <c r="I35" s="108" t="s">
        <v>153</v>
      </c>
      <c r="J35" s="108">
        <v>5</v>
      </c>
      <c r="K35" s="108" t="s">
        <v>153</v>
      </c>
      <c r="L35" s="108" t="s">
        <v>153</v>
      </c>
      <c r="M35" s="108" t="s">
        <v>153</v>
      </c>
      <c r="N35" s="108">
        <v>4</v>
      </c>
      <c r="O35" s="204" t="s">
        <v>153</v>
      </c>
      <c r="P35" s="57" t="s">
        <v>153</v>
      </c>
      <c r="Q35" s="57" t="s">
        <v>153</v>
      </c>
      <c r="R35" s="108" t="s">
        <v>153</v>
      </c>
      <c r="S35" s="347">
        <v>3</v>
      </c>
      <c r="T35" s="57" t="s">
        <v>153</v>
      </c>
      <c r="U35" s="283">
        <v>7</v>
      </c>
      <c r="V35" s="108">
        <v>4</v>
      </c>
      <c r="W35" s="128"/>
      <c r="X35" s="128">
        <v>6</v>
      </c>
      <c r="Y35" s="128"/>
      <c r="Z35" s="128"/>
      <c r="AA35" s="128"/>
      <c r="AB35" s="128"/>
      <c r="AC35" s="128"/>
      <c r="AD35" s="128"/>
      <c r="AE35" s="128"/>
      <c r="AF35" s="38"/>
      <c r="AG35" s="128"/>
      <c r="AH35" s="128"/>
      <c r="AI35" s="108"/>
      <c r="AJ35" s="62"/>
      <c r="AK35" s="108"/>
      <c r="AL35" s="108"/>
      <c r="AM35" s="108"/>
      <c r="AN35" s="128"/>
      <c r="AO35" s="62"/>
      <c r="AP35" s="128"/>
      <c r="AQ35" s="62"/>
      <c r="AR35" s="128"/>
      <c r="AS35" s="27"/>
    </row>
    <row r="36" spans="1:45" s="141" customFormat="1" x14ac:dyDescent="0.25">
      <c r="A36" s="141" t="s">
        <v>30</v>
      </c>
      <c r="B36" s="141" t="s">
        <v>467</v>
      </c>
      <c r="C36" s="166">
        <v>14</v>
      </c>
      <c r="D36" s="168">
        <v>3</v>
      </c>
      <c r="E36" s="164">
        <v>5</v>
      </c>
      <c r="F36" s="129">
        <f>AVERAGE(W36,H36,J36,G36,K36,L36,M36,N36,P36,Q36,R36,S36,T36,X36,Y36)</f>
        <v>4.7333333333333334</v>
      </c>
      <c r="G36" s="56">
        <v>5</v>
      </c>
      <c r="H36" s="108">
        <v>4</v>
      </c>
      <c r="I36" s="108" t="s">
        <v>153</v>
      </c>
      <c r="J36" s="57">
        <v>6</v>
      </c>
      <c r="K36" s="69">
        <v>6</v>
      </c>
      <c r="L36" s="128">
        <v>5</v>
      </c>
      <c r="M36" s="69">
        <v>6</v>
      </c>
      <c r="N36" s="108">
        <v>5</v>
      </c>
      <c r="O36" s="128"/>
      <c r="P36" s="128">
        <v>4</v>
      </c>
      <c r="Q36" s="303">
        <v>3</v>
      </c>
      <c r="R36" s="108">
        <v>4</v>
      </c>
      <c r="S36" s="128">
        <v>5</v>
      </c>
      <c r="T36" s="303">
        <v>2</v>
      </c>
      <c r="U36" s="108" t="s">
        <v>153</v>
      </c>
      <c r="V36" s="128"/>
      <c r="W36" s="128">
        <v>5</v>
      </c>
      <c r="X36" s="128">
        <v>4</v>
      </c>
      <c r="Y36" s="283">
        <v>7</v>
      </c>
      <c r="Z36" s="128"/>
      <c r="AA36" s="128"/>
      <c r="AB36" s="128"/>
      <c r="AC36" s="128"/>
      <c r="AD36" s="128"/>
      <c r="AE36" s="128"/>
      <c r="AF36" s="38"/>
      <c r="AG36" s="128"/>
      <c r="AH36" s="128"/>
      <c r="AI36" s="108"/>
      <c r="AJ36" s="62"/>
      <c r="AK36" s="108"/>
      <c r="AL36" s="108"/>
      <c r="AM36" s="108"/>
      <c r="AN36" s="128"/>
      <c r="AO36" s="62"/>
      <c r="AP36" s="128"/>
      <c r="AQ36" s="62"/>
      <c r="AR36" s="128"/>
      <c r="AS36" s="174"/>
    </row>
    <row r="37" spans="1:45" s="141" customFormat="1" x14ac:dyDescent="0.25">
      <c r="A37" s="141" t="s">
        <v>30</v>
      </c>
      <c r="B37" s="42" t="s">
        <v>497</v>
      </c>
      <c r="C37" s="166">
        <v>4</v>
      </c>
      <c r="D37" s="168">
        <v>3</v>
      </c>
      <c r="E37" s="164">
        <v>2</v>
      </c>
      <c r="F37" s="129">
        <f>AVERAGE(T37,V37,X37,Y37)</f>
        <v>6.25</v>
      </c>
      <c r="G37" s="56"/>
      <c r="H37" s="108"/>
      <c r="I37" s="108"/>
      <c r="J37" s="57"/>
      <c r="K37" s="69"/>
      <c r="L37" s="128"/>
      <c r="M37" s="69"/>
      <c r="N37" s="108"/>
      <c r="O37" s="128"/>
      <c r="P37" s="128"/>
      <c r="Q37" s="128"/>
      <c r="R37" s="108"/>
      <c r="S37" s="108" t="s">
        <v>153</v>
      </c>
      <c r="T37" s="283">
        <v>7</v>
      </c>
      <c r="U37" s="108" t="s">
        <v>153</v>
      </c>
      <c r="V37" s="128">
        <v>4</v>
      </c>
      <c r="W37" s="108" t="s">
        <v>153</v>
      </c>
      <c r="X37" s="128">
        <v>6</v>
      </c>
      <c r="Y37" s="283">
        <v>8</v>
      </c>
      <c r="Z37" s="128"/>
      <c r="AA37" s="128"/>
      <c r="AB37" s="128"/>
      <c r="AC37" s="128"/>
      <c r="AD37" s="128"/>
      <c r="AE37" s="128"/>
      <c r="AF37" s="38"/>
      <c r="AG37" s="128"/>
      <c r="AH37" s="128"/>
      <c r="AI37" s="108"/>
      <c r="AJ37" s="62"/>
      <c r="AK37" s="108"/>
      <c r="AL37" s="108"/>
      <c r="AM37" s="108"/>
      <c r="AN37" s="128"/>
      <c r="AO37" s="62"/>
      <c r="AP37" s="128"/>
      <c r="AQ37" s="62"/>
      <c r="AR37" s="128"/>
      <c r="AS37" s="174"/>
    </row>
    <row r="38" spans="1:45" s="141" customFormat="1" x14ac:dyDescent="0.25">
      <c r="A38" s="141" t="s">
        <v>30</v>
      </c>
      <c r="B38" s="42" t="s">
        <v>668</v>
      </c>
      <c r="C38" s="166">
        <v>2</v>
      </c>
      <c r="D38" s="168">
        <v>9</v>
      </c>
      <c r="E38" s="164">
        <v>1</v>
      </c>
      <c r="F38" s="129">
        <f>AVERAGE(U38,V38)</f>
        <v>5.5</v>
      </c>
      <c r="G38" s="56"/>
      <c r="H38" s="108"/>
      <c r="I38" s="108"/>
      <c r="J38" s="57"/>
      <c r="K38" s="69"/>
      <c r="L38" s="108" t="s">
        <v>153</v>
      </c>
      <c r="M38" s="108" t="s">
        <v>153</v>
      </c>
      <c r="N38" s="108" t="s">
        <v>153</v>
      </c>
      <c r="O38" s="128"/>
      <c r="P38" s="128"/>
      <c r="Q38" s="108" t="s">
        <v>153</v>
      </c>
      <c r="R38" s="108" t="s">
        <v>153</v>
      </c>
      <c r="S38" s="108" t="s">
        <v>153</v>
      </c>
      <c r="T38" s="108" t="s">
        <v>153</v>
      </c>
      <c r="U38" s="283">
        <v>7</v>
      </c>
      <c r="V38" s="128">
        <v>4</v>
      </c>
      <c r="W38" s="108" t="s">
        <v>153</v>
      </c>
      <c r="X38" s="108" t="s">
        <v>153</v>
      </c>
      <c r="Y38" s="128"/>
      <c r="Z38" s="128"/>
      <c r="AA38" s="128"/>
      <c r="AB38" s="128"/>
      <c r="AC38" s="128"/>
      <c r="AD38" s="128"/>
      <c r="AE38" s="128"/>
      <c r="AF38" s="38"/>
      <c r="AG38" s="128"/>
      <c r="AH38" s="128"/>
      <c r="AI38" s="108"/>
      <c r="AJ38" s="62"/>
      <c r="AK38" s="108"/>
      <c r="AL38" s="108"/>
      <c r="AM38" s="108"/>
      <c r="AN38" s="128"/>
      <c r="AO38" s="62"/>
      <c r="AP38" s="128"/>
      <c r="AQ38" s="62"/>
      <c r="AR38" s="128"/>
      <c r="AS38" s="174"/>
    </row>
    <row r="39" spans="1:45" s="141" customFormat="1" x14ac:dyDescent="0.25">
      <c r="A39" s="255" t="s">
        <v>30</v>
      </c>
      <c r="B39" s="255" t="s">
        <v>509</v>
      </c>
      <c r="C39" s="156"/>
      <c r="D39" s="157">
        <v>1</v>
      </c>
      <c r="E39" s="158"/>
      <c r="F39" s="129"/>
      <c r="G39" s="256"/>
      <c r="H39" s="258" t="s">
        <v>153</v>
      </c>
      <c r="I39" s="258"/>
      <c r="J39" s="258"/>
      <c r="K39" s="257"/>
      <c r="L39" s="257"/>
      <c r="M39" s="257"/>
      <c r="N39" s="258"/>
      <c r="O39" s="257"/>
      <c r="P39" s="257"/>
      <c r="Q39" s="258"/>
      <c r="R39" s="258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3"/>
      <c r="AG39" s="257"/>
      <c r="AH39" s="257"/>
      <c r="AI39" s="258"/>
      <c r="AJ39" s="269"/>
      <c r="AK39" s="258"/>
      <c r="AL39" s="258"/>
      <c r="AM39" s="258"/>
      <c r="AN39" s="257"/>
      <c r="AO39" s="269"/>
      <c r="AP39" s="257"/>
      <c r="AQ39" s="269"/>
      <c r="AR39" s="257"/>
      <c r="AS39" s="174"/>
    </row>
    <row r="40" spans="1:45" ht="15.75" thickBot="1" x14ac:dyDescent="0.3">
      <c r="A40" s="273" t="s">
        <v>30</v>
      </c>
      <c r="B40" s="273" t="s">
        <v>263</v>
      </c>
      <c r="C40" s="274"/>
      <c r="D40" s="275">
        <v>1</v>
      </c>
      <c r="E40" s="276"/>
      <c r="F40" s="33"/>
      <c r="G40" s="256" t="s">
        <v>153</v>
      </c>
      <c r="H40" s="270"/>
      <c r="I40" s="267"/>
      <c r="J40" s="270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70"/>
      <c r="V40" s="257"/>
      <c r="W40" s="257"/>
      <c r="X40" s="257"/>
      <c r="Y40" s="257"/>
      <c r="Z40" s="257"/>
      <c r="AA40" s="257"/>
      <c r="AB40" s="257"/>
      <c r="AC40" s="258"/>
      <c r="AD40" s="270"/>
      <c r="AE40" s="268"/>
      <c r="AF40" s="253"/>
      <c r="AG40" s="257"/>
      <c r="AH40" s="257"/>
      <c r="AI40" s="257"/>
      <c r="AJ40" s="253"/>
      <c r="AK40" s="257"/>
      <c r="AL40" s="270"/>
      <c r="AM40" s="257"/>
      <c r="AN40" s="257"/>
      <c r="AO40" s="253"/>
      <c r="AP40" s="257"/>
      <c r="AQ40" s="253"/>
      <c r="AR40" s="257"/>
      <c r="AS40" s="27"/>
    </row>
    <row r="41" spans="1:45" x14ac:dyDescent="0.25">
      <c r="G41" s="36">
        <f>AVERAGE(G8,G11,G13,G16,G18,G19,G27,G31,G29,G36,G17)</f>
        <v>4.7272727272727275</v>
      </c>
      <c r="H41" s="36">
        <f>AVERAGE(H8,H11,H13,H16,H18,H19,H24,H27,H31,H29,H36)</f>
        <v>5.2727272727272725</v>
      </c>
      <c r="I41" s="36">
        <f>AVERAGE(I8,I11,I13,I15,I16,I19,I20,I24,I27,I31,I29)</f>
        <v>5.2727272727272725</v>
      </c>
      <c r="J41" s="30">
        <f>AVERAGE(J8,J11,J13,J15,J19,J20,J27,J31,J29,J35,J36)</f>
        <v>5</v>
      </c>
      <c r="K41" s="30">
        <f>AVERAGE(K9,K11,K13,K16,K18,K19,K22,K24,K31,K34,K36)</f>
        <v>5.5454545454545459</v>
      </c>
      <c r="L41" s="36">
        <f>AVERAGE(L9,L11,L13,L16,L18,L20,L22,L27,L31,L34,L36)</f>
        <v>4.9090909090909092</v>
      </c>
      <c r="M41" s="30">
        <f>AVERAGE(M9,M12,M13,M15,M18,M21,M22,M24,M36,M31,M29)</f>
        <v>4.8181818181818183</v>
      </c>
      <c r="N41" s="36">
        <f>AVERAGE(N9,N11,N13,N15,N19,N20,N24,N31,N34,N35,N36)</f>
        <v>5.2727272727272725</v>
      </c>
      <c r="O41" s="30">
        <f>AVERAGE(O9,O11,O15,O16,O18,O19,O21,O22,O24,O34,O29)</f>
        <v>5</v>
      </c>
      <c r="P41" s="30">
        <f>AVERAGE(P9,P11,P15,P16,P18,P19,P22,P27,P29,P31,P36)</f>
        <v>4.6363636363636367</v>
      </c>
      <c r="Q41" s="30">
        <f>AVERAGE(Q9,Q15,Q16,Q18,Q19,Q20,Q21,Q24,Q27,Q28,Q36)</f>
        <v>4.9090909090909092</v>
      </c>
      <c r="R41" s="30">
        <f>AVERAGE(R8,R11,R15,R18,R19,R21,R22,R27,R28,R31,R36)</f>
        <v>5</v>
      </c>
      <c r="S41" s="30">
        <f>AVERAGE(S8,S11,S15,S16,S19,S22,S24,S27,S29,S35,S36)</f>
        <v>5.7272727272727275</v>
      </c>
      <c r="T41" s="30">
        <f>AVERAGE(T8,T11,T15,T16,T19,T22,T24,T27,T34,T36,T37)</f>
        <v>4.7272727272727275</v>
      </c>
      <c r="U41" s="30">
        <f>AVERAGE(U8,U11,U13,U16,U21,U24,U27,U29,U31,U35,U38)</f>
        <v>5.0909090909090908</v>
      </c>
      <c r="V41" s="30">
        <f>AVERAGE(V8,V13,V16,V18,V20,V21,V24,V27,V31,V37,V38)</f>
        <v>4.6363636363636367</v>
      </c>
      <c r="W41" s="30">
        <f>AVERAGE(W8,W11,W12,W18,W19,W21,W24,W27,W28,W29,W36)</f>
        <v>5.0909090909090908</v>
      </c>
      <c r="X41" s="30">
        <f>AVERAGE(X8,X11,X12,X18,X21,X22,X24,X28,X35,X37,X36)</f>
        <v>5.2727272727272725</v>
      </c>
      <c r="Y41" s="30">
        <f>AVERAGE(Y8,Y11,Y12,Y15,Y21,Y24,Y27,Y28,Y29,Y37,Y36)</f>
        <v>5.9090909090909092</v>
      </c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AS37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7" width="4.7109375" customWidth="1"/>
    <col min="8" max="11" width="4.5703125" customWidth="1"/>
    <col min="12" max="44" width="4.7109375" customWidth="1"/>
    <col min="45" max="45" width="11.42578125" customWidth="1"/>
  </cols>
  <sheetData>
    <row r="1" spans="1:45" x14ac:dyDescent="0.25">
      <c r="A1" t="s">
        <v>184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634</v>
      </c>
      <c r="H7" s="26" t="s">
        <v>562</v>
      </c>
      <c r="I7" s="26" t="s">
        <v>573</v>
      </c>
      <c r="J7" s="26" t="s">
        <v>598</v>
      </c>
      <c r="K7" s="26" t="s">
        <v>660</v>
      </c>
      <c r="L7" s="26" t="s">
        <v>672</v>
      </c>
      <c r="M7" s="26" t="s">
        <v>696</v>
      </c>
      <c r="N7" s="26" t="s">
        <v>716</v>
      </c>
      <c r="O7" s="26" t="s">
        <v>741</v>
      </c>
      <c r="P7" s="79" t="s">
        <v>770</v>
      </c>
      <c r="Q7" s="95" t="s">
        <v>786</v>
      </c>
      <c r="R7" s="101" t="s">
        <v>808</v>
      </c>
      <c r="S7" s="101" t="s">
        <v>840</v>
      </c>
      <c r="T7" s="101" t="s">
        <v>864</v>
      </c>
      <c r="U7" s="101" t="s">
        <v>886</v>
      </c>
      <c r="V7" s="26" t="s">
        <v>911</v>
      </c>
      <c r="W7" s="26" t="s">
        <v>934</v>
      </c>
      <c r="X7" s="119" t="s">
        <v>949</v>
      </c>
      <c r="Y7" s="119" t="s">
        <v>984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52"/>
      <c r="AM7" s="173"/>
      <c r="AN7" s="26"/>
      <c r="AO7" s="26"/>
      <c r="AP7" s="26"/>
      <c r="AQ7" s="26"/>
      <c r="AR7" s="26"/>
    </row>
    <row r="8" spans="1:45" x14ac:dyDescent="0.25">
      <c r="A8" t="s">
        <v>8</v>
      </c>
      <c r="B8" t="s">
        <v>185</v>
      </c>
      <c r="C8" s="166">
        <v>10</v>
      </c>
      <c r="D8" s="168"/>
      <c r="E8" s="164"/>
      <c r="F8" s="32">
        <f>AVERAGE(H8,I8,G8,K8,S8,T8,U8,V8,W8)</f>
        <v>4.8888888888888893</v>
      </c>
      <c r="G8" s="58">
        <v>5</v>
      </c>
      <c r="H8" s="293">
        <v>7</v>
      </c>
      <c r="I8" s="108">
        <v>6</v>
      </c>
      <c r="J8" s="128"/>
      <c r="K8" s="128">
        <v>4</v>
      </c>
      <c r="L8" s="128" t="s">
        <v>546</v>
      </c>
      <c r="M8" s="128"/>
      <c r="N8" s="128"/>
      <c r="O8" s="69"/>
      <c r="P8" s="128"/>
      <c r="Q8" s="128"/>
      <c r="R8" s="128"/>
      <c r="S8" s="128">
        <v>4</v>
      </c>
      <c r="T8" s="128">
        <v>4</v>
      </c>
      <c r="U8" s="128">
        <v>5</v>
      </c>
      <c r="V8" s="128">
        <v>4</v>
      </c>
      <c r="W8" s="128">
        <v>5</v>
      </c>
      <c r="X8" s="128"/>
      <c r="Y8" s="128"/>
      <c r="Z8" s="128"/>
      <c r="AA8" s="128"/>
      <c r="AB8" s="128"/>
      <c r="AC8" s="128"/>
      <c r="AD8" s="128"/>
      <c r="AE8" s="128"/>
      <c r="AF8" s="69"/>
      <c r="AG8" s="38"/>
      <c r="AH8" s="128"/>
      <c r="AI8" s="108"/>
      <c r="AJ8" s="128"/>
      <c r="AK8" s="128"/>
      <c r="AL8" s="128"/>
      <c r="AM8" s="128"/>
      <c r="AN8" s="128"/>
      <c r="AO8" s="69"/>
      <c r="AP8" s="128"/>
      <c r="AQ8" s="69"/>
      <c r="AR8" s="128"/>
      <c r="AS8" s="27"/>
    </row>
    <row r="9" spans="1:45" x14ac:dyDescent="0.25">
      <c r="A9" t="s">
        <v>8</v>
      </c>
      <c r="B9" s="49" t="s">
        <v>354</v>
      </c>
      <c r="C9" s="166"/>
      <c r="D9" s="168"/>
      <c r="E9" s="164"/>
      <c r="F9" s="32"/>
      <c r="G9" s="58"/>
      <c r="H9" s="71"/>
      <c r="I9" s="108"/>
      <c r="J9" s="128"/>
      <c r="K9" s="128"/>
      <c r="L9" s="128"/>
      <c r="M9" s="128"/>
      <c r="N9" s="10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128"/>
      <c r="AG9" s="38"/>
      <c r="AH9" s="128"/>
      <c r="AI9" s="108"/>
      <c r="AJ9" s="128"/>
      <c r="AK9" s="128"/>
      <c r="AL9" s="128"/>
      <c r="AM9" s="128"/>
      <c r="AN9" s="128"/>
      <c r="AO9" s="128"/>
      <c r="AP9" s="128"/>
      <c r="AQ9" s="128"/>
      <c r="AR9" s="128"/>
      <c r="AS9" s="27"/>
    </row>
    <row r="10" spans="1:45" x14ac:dyDescent="0.25">
      <c r="A10" s="14" t="s">
        <v>8</v>
      </c>
      <c r="B10" s="15" t="s">
        <v>186</v>
      </c>
      <c r="C10" s="170">
        <v>9</v>
      </c>
      <c r="D10" s="171">
        <v>2</v>
      </c>
      <c r="E10" s="153"/>
      <c r="F10" s="34">
        <f>AVERAGE(J10,L10,M10,N10,O10,P10,Q10,R10,X10,Y10)</f>
        <v>5.2</v>
      </c>
      <c r="G10" s="58"/>
      <c r="H10" s="108"/>
      <c r="I10" s="108" t="s">
        <v>153</v>
      </c>
      <c r="J10" s="209">
        <v>6</v>
      </c>
      <c r="K10" s="212"/>
      <c r="L10" s="70">
        <v>5</v>
      </c>
      <c r="M10" s="69">
        <v>5</v>
      </c>
      <c r="N10" s="69">
        <v>6</v>
      </c>
      <c r="O10" s="128">
        <v>6</v>
      </c>
      <c r="P10" s="70">
        <v>5</v>
      </c>
      <c r="Q10" s="70">
        <v>5</v>
      </c>
      <c r="R10" s="128">
        <v>5</v>
      </c>
      <c r="S10" s="69"/>
      <c r="T10" s="69"/>
      <c r="U10" s="69"/>
      <c r="V10" s="128"/>
      <c r="W10" s="128"/>
      <c r="X10" s="128">
        <v>5</v>
      </c>
      <c r="Y10" s="128">
        <v>4</v>
      </c>
      <c r="Z10" s="128"/>
      <c r="AA10" s="128"/>
      <c r="AB10" s="69"/>
      <c r="AC10" s="128"/>
      <c r="AD10" s="128"/>
      <c r="AE10" s="128"/>
      <c r="AF10" s="128"/>
      <c r="AG10" s="38"/>
      <c r="AH10" s="128"/>
      <c r="AI10" s="108"/>
      <c r="AJ10" s="128"/>
      <c r="AK10" s="128"/>
      <c r="AL10" s="128"/>
      <c r="AM10" s="128"/>
      <c r="AN10" s="128"/>
      <c r="AO10" s="128"/>
      <c r="AP10" s="128"/>
      <c r="AQ10" s="128"/>
      <c r="AR10" s="128"/>
      <c r="AS10" s="27"/>
    </row>
    <row r="11" spans="1:45" x14ac:dyDescent="0.25">
      <c r="A11" t="s">
        <v>11</v>
      </c>
      <c r="B11" t="s">
        <v>187</v>
      </c>
      <c r="C11" s="166">
        <v>6</v>
      </c>
      <c r="D11" s="168">
        <v>1</v>
      </c>
      <c r="E11" s="164"/>
      <c r="F11" s="32">
        <f>AVERAGE(M11,O11,V11,W11,X11,Y11)</f>
        <v>4.666666666666667</v>
      </c>
      <c r="G11" s="58"/>
      <c r="H11" s="68"/>
      <c r="I11" s="108"/>
      <c r="J11" s="108"/>
      <c r="K11" s="128"/>
      <c r="L11" s="128"/>
      <c r="M11" s="128">
        <v>5</v>
      </c>
      <c r="N11" s="128"/>
      <c r="O11" s="128">
        <v>5</v>
      </c>
      <c r="P11" s="128" t="s">
        <v>546</v>
      </c>
      <c r="Q11" s="128"/>
      <c r="R11" s="128"/>
      <c r="S11" s="128"/>
      <c r="T11" s="128"/>
      <c r="U11" s="128"/>
      <c r="V11" s="108">
        <v>4</v>
      </c>
      <c r="W11" s="128">
        <v>5</v>
      </c>
      <c r="X11" s="128">
        <v>5</v>
      </c>
      <c r="Y11" s="128">
        <v>4</v>
      </c>
      <c r="Z11" s="128"/>
      <c r="AA11" s="128"/>
      <c r="AB11" s="128"/>
      <c r="AC11" s="128"/>
      <c r="AD11" s="128"/>
      <c r="AE11" s="128"/>
      <c r="AF11" s="128"/>
      <c r="AG11" s="38"/>
      <c r="AH11" s="128"/>
      <c r="AI11" s="108"/>
      <c r="AJ11" s="128"/>
      <c r="AK11" s="128"/>
      <c r="AL11" s="128"/>
      <c r="AM11" s="128"/>
      <c r="AN11" s="128"/>
      <c r="AO11" s="128"/>
      <c r="AP11" s="128"/>
      <c r="AQ11" s="128"/>
      <c r="AR11" s="128"/>
      <c r="AS11" s="27"/>
    </row>
    <row r="12" spans="1:45" x14ac:dyDescent="0.25">
      <c r="A12" t="s">
        <v>11</v>
      </c>
      <c r="B12" t="s">
        <v>17</v>
      </c>
      <c r="C12" s="166">
        <v>1</v>
      </c>
      <c r="D12" s="168"/>
      <c r="E12" s="164"/>
      <c r="F12" s="32">
        <f>AVERAGE(J12)</f>
        <v>5</v>
      </c>
      <c r="G12" s="58"/>
      <c r="H12" s="108"/>
      <c r="I12" s="68"/>
      <c r="J12" s="108">
        <v>5</v>
      </c>
      <c r="K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38"/>
      <c r="AH12" s="128"/>
      <c r="AI12" s="108"/>
      <c r="AJ12" s="128"/>
      <c r="AK12" s="128"/>
      <c r="AL12" s="128"/>
      <c r="AM12" s="128"/>
      <c r="AN12" s="128"/>
      <c r="AO12" s="128"/>
      <c r="AP12" s="128"/>
      <c r="AQ12" s="128"/>
      <c r="AR12" s="128"/>
      <c r="AS12" s="27"/>
    </row>
    <row r="13" spans="1:45" x14ac:dyDescent="0.25">
      <c r="A13" s="255" t="s">
        <v>11</v>
      </c>
      <c r="B13" s="255" t="s">
        <v>188</v>
      </c>
      <c r="C13" s="156"/>
      <c r="D13" s="157"/>
      <c r="E13" s="158"/>
      <c r="F13" s="32"/>
      <c r="G13" s="256"/>
      <c r="H13" s="258"/>
      <c r="I13" s="258"/>
      <c r="J13" s="258"/>
      <c r="K13" s="257"/>
      <c r="L13" s="258"/>
      <c r="M13" s="257"/>
      <c r="N13" s="258"/>
      <c r="O13" s="258"/>
      <c r="P13" s="257"/>
      <c r="Q13" s="257"/>
      <c r="R13" s="257"/>
      <c r="S13" s="257"/>
      <c r="T13" s="258"/>
      <c r="U13" s="257"/>
      <c r="V13" s="257"/>
      <c r="W13" s="258"/>
      <c r="X13" s="257"/>
      <c r="Y13" s="257"/>
      <c r="Z13" s="258"/>
      <c r="AA13" s="257"/>
      <c r="AB13" s="257"/>
      <c r="AC13" s="257"/>
      <c r="AD13" s="257"/>
      <c r="AE13" s="257"/>
      <c r="AF13" s="258"/>
      <c r="AG13" s="253"/>
      <c r="AH13" s="257"/>
      <c r="AI13" s="258"/>
      <c r="AJ13" s="257"/>
      <c r="AK13" s="257"/>
      <c r="AL13" s="257"/>
      <c r="AM13" s="257"/>
      <c r="AN13" s="257"/>
      <c r="AO13" s="257"/>
      <c r="AP13" s="257"/>
      <c r="AQ13" s="257"/>
      <c r="AR13" s="257"/>
      <c r="AS13" s="27"/>
    </row>
    <row r="14" spans="1:45" x14ac:dyDescent="0.25">
      <c r="A14" t="s">
        <v>11</v>
      </c>
      <c r="B14" t="s">
        <v>189</v>
      </c>
      <c r="C14" s="166">
        <v>13</v>
      </c>
      <c r="D14" s="168"/>
      <c r="E14" s="176">
        <v>1</v>
      </c>
      <c r="F14" s="32">
        <f>AVERAGE(X14,H14,I14,J14,G14,K14,L14,M14,S14,T14,U14,V14,W14)</f>
        <v>4.8461538461538458</v>
      </c>
      <c r="G14" s="58">
        <v>5</v>
      </c>
      <c r="H14" s="209">
        <v>6</v>
      </c>
      <c r="I14" s="209">
        <v>5</v>
      </c>
      <c r="J14" s="204">
        <v>5</v>
      </c>
      <c r="K14" s="128">
        <v>4</v>
      </c>
      <c r="L14" s="128">
        <v>5</v>
      </c>
      <c r="M14" s="128">
        <v>5</v>
      </c>
      <c r="N14" s="128"/>
      <c r="O14" s="128"/>
      <c r="P14" s="128"/>
      <c r="Q14" s="128"/>
      <c r="R14" s="128"/>
      <c r="S14" s="70">
        <v>4</v>
      </c>
      <c r="T14" s="128">
        <v>4</v>
      </c>
      <c r="U14" s="69">
        <v>6</v>
      </c>
      <c r="V14" s="128">
        <v>5</v>
      </c>
      <c r="W14" s="128">
        <v>5</v>
      </c>
      <c r="X14" s="70">
        <v>4</v>
      </c>
      <c r="Y14" s="128"/>
      <c r="Z14" s="128"/>
      <c r="AA14" s="128"/>
      <c r="AB14" s="128"/>
      <c r="AC14" s="128"/>
      <c r="AD14" s="128"/>
      <c r="AE14" s="128"/>
      <c r="AF14" s="128"/>
      <c r="AG14" s="38"/>
      <c r="AH14" s="69"/>
      <c r="AI14" s="108"/>
      <c r="AJ14" s="128"/>
      <c r="AK14" s="128"/>
      <c r="AL14" s="128"/>
      <c r="AM14" s="69"/>
      <c r="AN14" s="128"/>
      <c r="AO14" s="128"/>
      <c r="AP14" s="128"/>
      <c r="AQ14" s="128"/>
      <c r="AR14" s="69"/>
      <c r="AS14" s="27"/>
    </row>
    <row r="15" spans="1:45" x14ac:dyDescent="0.25">
      <c r="A15" t="s">
        <v>11</v>
      </c>
      <c r="B15" t="s">
        <v>190</v>
      </c>
      <c r="C15" s="166">
        <v>17</v>
      </c>
      <c r="D15" s="168"/>
      <c r="E15" s="164"/>
      <c r="F15" s="129">
        <f>AVERAGE(W15,V15,U15,T15,H15,I15,J15,G15,K15,L15,N15,O15,P15,Q15,R15,S15,Y15)</f>
        <v>4.882352941176471</v>
      </c>
      <c r="G15" s="58">
        <v>5</v>
      </c>
      <c r="H15" s="209">
        <v>6</v>
      </c>
      <c r="I15" s="209">
        <v>5</v>
      </c>
      <c r="J15" s="108">
        <v>5</v>
      </c>
      <c r="K15" s="128">
        <v>4</v>
      </c>
      <c r="L15" s="128">
        <v>5</v>
      </c>
      <c r="M15" s="128"/>
      <c r="N15" s="128">
        <v>6</v>
      </c>
      <c r="O15" s="128">
        <v>5</v>
      </c>
      <c r="P15" s="128">
        <v>5</v>
      </c>
      <c r="Q15" s="128">
        <v>5</v>
      </c>
      <c r="R15" s="128">
        <v>5</v>
      </c>
      <c r="S15" s="128">
        <v>4</v>
      </c>
      <c r="T15" s="128">
        <v>5</v>
      </c>
      <c r="U15" s="128">
        <v>4</v>
      </c>
      <c r="V15" s="128">
        <v>5</v>
      </c>
      <c r="W15" s="128">
        <v>5</v>
      </c>
      <c r="X15" s="128"/>
      <c r="Y15" s="128">
        <v>4</v>
      </c>
      <c r="Z15" s="128"/>
      <c r="AA15" s="128"/>
      <c r="AB15" s="128"/>
      <c r="AC15" s="128"/>
      <c r="AD15" s="128"/>
      <c r="AE15" s="128"/>
      <c r="AF15" s="128"/>
      <c r="AG15" s="38"/>
      <c r="AH15" s="128"/>
      <c r="AI15" s="108"/>
      <c r="AJ15" s="128"/>
      <c r="AK15" s="128"/>
      <c r="AL15" s="128"/>
      <c r="AM15" s="128"/>
      <c r="AN15" s="128"/>
      <c r="AO15" s="128"/>
      <c r="AP15" s="128"/>
      <c r="AQ15" s="128"/>
      <c r="AR15" s="128"/>
      <c r="AS15" s="27"/>
    </row>
    <row r="16" spans="1:45" x14ac:dyDescent="0.25">
      <c r="A16" t="s">
        <v>11</v>
      </c>
      <c r="B16" t="s">
        <v>191</v>
      </c>
      <c r="C16" s="166">
        <v>7</v>
      </c>
      <c r="D16" s="168">
        <v>1</v>
      </c>
      <c r="E16" s="176"/>
      <c r="F16" s="32">
        <f>AVERAGE(N16,O16,P16,Q16,R16,W16,Y16)</f>
        <v>4.5714285714285712</v>
      </c>
      <c r="G16" s="58"/>
      <c r="H16" s="108"/>
      <c r="I16" s="108"/>
      <c r="J16" s="108"/>
      <c r="K16" s="108"/>
      <c r="L16" s="128"/>
      <c r="M16" s="108" t="s">
        <v>153</v>
      </c>
      <c r="N16" s="108">
        <v>5</v>
      </c>
      <c r="O16" s="128">
        <v>5</v>
      </c>
      <c r="P16" s="128">
        <v>5</v>
      </c>
      <c r="Q16" s="128">
        <v>4</v>
      </c>
      <c r="R16" s="303">
        <v>3</v>
      </c>
      <c r="S16" s="128"/>
      <c r="T16" s="128"/>
      <c r="U16" s="128"/>
      <c r="V16" s="128"/>
      <c r="W16" s="128">
        <v>5</v>
      </c>
      <c r="X16" s="108"/>
      <c r="Y16" s="128">
        <v>5</v>
      </c>
      <c r="Z16" s="128"/>
      <c r="AA16" s="128"/>
      <c r="AB16" s="128"/>
      <c r="AC16" s="128"/>
      <c r="AD16" s="128"/>
      <c r="AE16" s="128"/>
      <c r="AF16" s="128"/>
      <c r="AG16" s="38"/>
      <c r="AH16" s="128"/>
      <c r="AI16" s="108"/>
      <c r="AJ16" s="128"/>
      <c r="AK16" s="128"/>
      <c r="AL16" s="128"/>
      <c r="AM16" s="128"/>
      <c r="AN16" s="128"/>
      <c r="AO16" s="128"/>
      <c r="AP16" s="128"/>
      <c r="AQ16" s="128"/>
      <c r="AR16" s="128"/>
      <c r="AS16" s="27"/>
    </row>
    <row r="17" spans="1:45" s="141" customFormat="1" x14ac:dyDescent="0.25">
      <c r="A17" s="141" t="s">
        <v>11</v>
      </c>
      <c r="B17" s="42" t="s">
        <v>109</v>
      </c>
      <c r="C17" s="166">
        <v>16</v>
      </c>
      <c r="D17" s="168"/>
      <c r="E17" s="176">
        <v>1</v>
      </c>
      <c r="F17" s="129">
        <f>AVERAGE(X17,V17,U17,H17,I17,G17,K17,L17,M17,N17,O17,Q17,R17,S17,T17,Y17)</f>
        <v>5.1875</v>
      </c>
      <c r="G17" s="58">
        <v>6</v>
      </c>
      <c r="H17" s="294">
        <v>7</v>
      </c>
      <c r="I17" s="108">
        <v>5</v>
      </c>
      <c r="J17" s="108"/>
      <c r="K17" s="108">
        <v>5</v>
      </c>
      <c r="L17" s="128">
        <v>5</v>
      </c>
      <c r="M17" s="128">
        <v>5</v>
      </c>
      <c r="N17" s="108">
        <v>6</v>
      </c>
      <c r="O17" s="128">
        <v>5</v>
      </c>
      <c r="P17" s="128"/>
      <c r="Q17" s="128">
        <v>5</v>
      </c>
      <c r="R17" s="128">
        <v>5</v>
      </c>
      <c r="S17" s="128">
        <v>5</v>
      </c>
      <c r="T17" s="128">
        <v>5</v>
      </c>
      <c r="U17" s="128">
        <v>5</v>
      </c>
      <c r="V17" s="128">
        <v>4</v>
      </c>
      <c r="W17" s="128"/>
      <c r="X17" s="108">
        <v>5</v>
      </c>
      <c r="Y17" s="128">
        <v>5</v>
      </c>
      <c r="Z17" s="128"/>
      <c r="AA17" s="128"/>
      <c r="AB17" s="128"/>
      <c r="AC17" s="128"/>
      <c r="AD17" s="128"/>
      <c r="AE17" s="128"/>
      <c r="AF17" s="128"/>
      <c r="AG17" s="38"/>
      <c r="AH17" s="128"/>
      <c r="AI17" s="108"/>
      <c r="AJ17" s="128"/>
      <c r="AK17" s="128"/>
      <c r="AL17" s="128"/>
      <c r="AM17" s="128"/>
      <c r="AN17" s="128"/>
      <c r="AO17" s="128"/>
      <c r="AP17" s="128"/>
      <c r="AQ17" s="128"/>
      <c r="AR17" s="128"/>
      <c r="AS17" s="174"/>
    </row>
    <row r="18" spans="1:45" x14ac:dyDescent="0.25">
      <c r="A18" s="14" t="s">
        <v>11</v>
      </c>
      <c r="B18" s="15" t="s">
        <v>192</v>
      </c>
      <c r="C18" s="170">
        <v>13</v>
      </c>
      <c r="D18" s="171"/>
      <c r="E18" s="153">
        <v>1</v>
      </c>
      <c r="F18" s="34">
        <f>AVERAGE(T18,H18,I18,J18,G18,K18,L18,N18,Q18,R18,S18,U18)</f>
        <v>5</v>
      </c>
      <c r="G18" s="58">
        <v>5</v>
      </c>
      <c r="H18" s="108">
        <v>5</v>
      </c>
      <c r="I18" s="108">
        <v>5</v>
      </c>
      <c r="J18" s="108">
        <v>5</v>
      </c>
      <c r="K18" s="128">
        <v>5</v>
      </c>
      <c r="L18" s="128">
        <v>4</v>
      </c>
      <c r="M18" s="128"/>
      <c r="N18" s="128">
        <v>5</v>
      </c>
      <c r="O18" s="128"/>
      <c r="P18" s="128"/>
      <c r="Q18" s="128">
        <v>5</v>
      </c>
      <c r="R18" s="128">
        <v>5</v>
      </c>
      <c r="S18" s="128">
        <v>5</v>
      </c>
      <c r="T18" s="69">
        <v>6</v>
      </c>
      <c r="U18" s="128">
        <v>5</v>
      </c>
      <c r="V18" s="128" t="s">
        <v>546</v>
      </c>
      <c r="W18" s="128"/>
      <c r="X18" s="108"/>
      <c r="Y18" s="128"/>
      <c r="Z18" s="108"/>
      <c r="AA18" s="108"/>
      <c r="AB18" s="128"/>
      <c r="AC18" s="128"/>
      <c r="AD18" s="128"/>
      <c r="AE18" s="108"/>
      <c r="AF18" s="128"/>
      <c r="AG18" s="38"/>
      <c r="AH18" s="128"/>
      <c r="AI18" s="108"/>
      <c r="AJ18" s="108"/>
      <c r="AK18" s="128"/>
      <c r="AL18" s="128"/>
      <c r="AM18" s="128"/>
      <c r="AN18" s="128"/>
      <c r="AO18" s="128"/>
      <c r="AP18" s="128"/>
      <c r="AQ18" s="128"/>
      <c r="AR18" s="128"/>
      <c r="AS18" s="27"/>
    </row>
    <row r="19" spans="1:45" x14ac:dyDescent="0.25">
      <c r="A19" t="s">
        <v>29</v>
      </c>
      <c r="B19" t="s">
        <v>193</v>
      </c>
      <c r="C19" s="166">
        <v>18</v>
      </c>
      <c r="D19" s="168"/>
      <c r="E19" s="164"/>
      <c r="F19" s="32">
        <f>AVERAGE(W19,X19,V19,U19,T19,H19,I19,J19,G19,K19,L19,N19,O19,P19,Q19,R19,S19,Y19)</f>
        <v>4.8888888888888893</v>
      </c>
      <c r="G19" s="128">
        <v>6</v>
      </c>
      <c r="H19" s="108">
        <v>6</v>
      </c>
      <c r="I19" s="108">
        <v>5</v>
      </c>
      <c r="J19" s="108">
        <v>5</v>
      </c>
      <c r="K19" s="128">
        <v>5</v>
      </c>
      <c r="L19" s="108">
        <v>5</v>
      </c>
      <c r="M19" s="128"/>
      <c r="N19" s="128">
        <v>4</v>
      </c>
      <c r="O19" s="128">
        <v>5</v>
      </c>
      <c r="P19" s="128">
        <v>5</v>
      </c>
      <c r="Q19" s="128">
        <v>4</v>
      </c>
      <c r="R19" s="128">
        <v>5</v>
      </c>
      <c r="S19" s="128">
        <v>5</v>
      </c>
      <c r="T19" s="128">
        <v>4</v>
      </c>
      <c r="U19" s="128">
        <v>5</v>
      </c>
      <c r="V19" s="128">
        <v>5</v>
      </c>
      <c r="W19" s="128">
        <v>5</v>
      </c>
      <c r="X19" s="128">
        <v>4</v>
      </c>
      <c r="Y19" s="128">
        <v>5</v>
      </c>
      <c r="Z19" s="128"/>
      <c r="AA19" s="128"/>
      <c r="AB19" s="128"/>
      <c r="AC19" s="128"/>
      <c r="AD19" s="128"/>
      <c r="AE19" s="128"/>
      <c r="AF19" s="128"/>
      <c r="AG19" s="38"/>
      <c r="AH19" s="128"/>
      <c r="AI19" s="108"/>
      <c r="AJ19" s="128"/>
      <c r="AK19" s="128"/>
      <c r="AL19" s="128"/>
      <c r="AM19" s="128"/>
      <c r="AN19" s="128"/>
      <c r="AO19" s="128"/>
      <c r="AP19" s="128"/>
      <c r="AQ19" s="128"/>
      <c r="AR19" s="128"/>
      <c r="AS19" s="27"/>
    </row>
    <row r="20" spans="1:45" x14ac:dyDescent="0.25">
      <c r="A20" t="s">
        <v>29</v>
      </c>
      <c r="B20" t="s">
        <v>194</v>
      </c>
      <c r="C20" s="166">
        <v>4</v>
      </c>
      <c r="D20" s="168">
        <v>7</v>
      </c>
      <c r="E20" s="164"/>
      <c r="F20" s="32">
        <f>AVERAGE(M20,P20,V20,W20)</f>
        <v>4.25</v>
      </c>
      <c r="G20" s="58"/>
      <c r="H20" s="108"/>
      <c r="I20" s="108"/>
      <c r="J20" s="108"/>
      <c r="K20" s="128"/>
      <c r="L20" s="128"/>
      <c r="M20" s="128">
        <v>4</v>
      </c>
      <c r="N20" s="108" t="s">
        <v>153</v>
      </c>
      <c r="O20" s="128"/>
      <c r="P20" s="128">
        <v>5</v>
      </c>
      <c r="Q20" s="108" t="s">
        <v>153</v>
      </c>
      <c r="R20" s="204" t="s">
        <v>153</v>
      </c>
      <c r="S20" s="128"/>
      <c r="T20" s="108" t="s">
        <v>153</v>
      </c>
      <c r="U20" s="108" t="s">
        <v>153</v>
      </c>
      <c r="V20" s="128">
        <v>4</v>
      </c>
      <c r="W20" s="128">
        <v>4</v>
      </c>
      <c r="X20" s="108" t="s">
        <v>153</v>
      </c>
      <c r="Y20" s="204" t="s">
        <v>153</v>
      </c>
      <c r="Z20" s="128"/>
      <c r="AA20" s="128"/>
      <c r="AB20" s="128"/>
      <c r="AC20" s="128"/>
      <c r="AD20" s="108"/>
      <c r="AE20" s="128"/>
      <c r="AF20" s="128"/>
      <c r="AG20" s="38"/>
      <c r="AH20" s="108"/>
      <c r="AI20" s="108"/>
      <c r="AJ20" s="108"/>
      <c r="AK20" s="128"/>
      <c r="AL20" s="108"/>
      <c r="AM20" s="128"/>
      <c r="AN20" s="128"/>
      <c r="AO20" s="128"/>
      <c r="AP20" s="128"/>
      <c r="AQ20" s="128"/>
      <c r="AR20" s="108"/>
      <c r="AS20" s="27"/>
    </row>
    <row r="21" spans="1:45" x14ac:dyDescent="0.25">
      <c r="A21" t="s">
        <v>29</v>
      </c>
      <c r="B21" t="s">
        <v>195</v>
      </c>
      <c r="C21" s="166">
        <v>13</v>
      </c>
      <c r="D21" s="168"/>
      <c r="E21" s="176" t="s">
        <v>617</v>
      </c>
      <c r="F21" s="32">
        <f>AVERAGE(W21,V21,H21,I21,G21,K21,L21,N21,O21,P21,Q21,R21,U21)</f>
        <v>4.615384615384615</v>
      </c>
      <c r="G21" s="179">
        <v>4</v>
      </c>
      <c r="H21" s="108">
        <v>5</v>
      </c>
      <c r="I21" s="108">
        <v>4</v>
      </c>
      <c r="J21" s="68"/>
      <c r="K21" s="38">
        <v>4</v>
      </c>
      <c r="L21" s="128">
        <v>4</v>
      </c>
      <c r="M21" s="128"/>
      <c r="N21" s="128">
        <v>5</v>
      </c>
      <c r="O21" s="128">
        <v>4</v>
      </c>
      <c r="P21" s="128">
        <v>5</v>
      </c>
      <c r="Q21" s="128">
        <v>6</v>
      </c>
      <c r="R21" s="128">
        <v>4</v>
      </c>
      <c r="S21" s="128"/>
      <c r="T21" s="128"/>
      <c r="U21" s="108">
        <v>6</v>
      </c>
      <c r="V21" s="128">
        <v>4</v>
      </c>
      <c r="W21" s="70">
        <v>5</v>
      </c>
      <c r="X21" s="128"/>
      <c r="Y21" s="128"/>
      <c r="Z21" s="128"/>
      <c r="AA21" s="128"/>
      <c r="AB21" s="128"/>
      <c r="AC21" s="128"/>
      <c r="AD21" s="108"/>
      <c r="AE21" s="128"/>
      <c r="AF21" s="128"/>
      <c r="AG21" s="38"/>
      <c r="AH21" s="128"/>
      <c r="AI21" s="57"/>
      <c r="AJ21" s="128"/>
      <c r="AK21" s="128"/>
      <c r="AL21" s="128"/>
      <c r="AM21" s="128"/>
      <c r="AN21" s="128"/>
      <c r="AO21" s="128"/>
      <c r="AP21" s="128"/>
      <c r="AQ21" s="128"/>
      <c r="AR21" s="128"/>
      <c r="AS21" s="27"/>
    </row>
    <row r="22" spans="1:45" s="91" customFormat="1" x14ac:dyDescent="0.25">
      <c r="A22" s="91" t="s">
        <v>29</v>
      </c>
      <c r="B22" s="49" t="s">
        <v>366</v>
      </c>
      <c r="C22" s="166">
        <v>2</v>
      </c>
      <c r="D22" s="168">
        <v>5</v>
      </c>
      <c r="E22" s="164"/>
      <c r="F22" s="94">
        <f>AVERAGE(P22,T22)</f>
        <v>4</v>
      </c>
      <c r="G22" s="58"/>
      <c r="H22" s="204" t="s">
        <v>153</v>
      </c>
      <c r="I22" s="68" t="s">
        <v>153</v>
      </c>
      <c r="J22" s="68" t="s">
        <v>153</v>
      </c>
      <c r="K22" s="128"/>
      <c r="L22" s="68"/>
      <c r="M22" s="71"/>
      <c r="N22" s="108" t="s">
        <v>153</v>
      </c>
      <c r="O22" s="128"/>
      <c r="P22" s="108">
        <v>4</v>
      </c>
      <c r="Q22" s="57"/>
      <c r="R22" s="68"/>
      <c r="S22" s="71"/>
      <c r="T22" s="108">
        <v>4</v>
      </c>
      <c r="U22" s="128"/>
      <c r="V22" s="108" t="s">
        <v>153</v>
      </c>
      <c r="W22" s="128"/>
      <c r="X22" s="128"/>
      <c r="Y22" s="128"/>
      <c r="Z22" s="128"/>
      <c r="AA22" s="108"/>
      <c r="AB22" s="108"/>
      <c r="AC22" s="128"/>
      <c r="AD22" s="128"/>
      <c r="AE22" s="128"/>
      <c r="AF22" s="128"/>
      <c r="AG22" s="38"/>
      <c r="AH22" s="128"/>
      <c r="AI22" s="108"/>
      <c r="AJ22" s="128"/>
      <c r="AK22" s="128"/>
      <c r="AL22" s="128"/>
      <c r="AM22" s="128"/>
      <c r="AN22" s="128"/>
      <c r="AO22" s="108"/>
      <c r="AP22" s="128"/>
      <c r="AQ22" s="128"/>
      <c r="AR22" s="108"/>
      <c r="AS22" s="103"/>
    </row>
    <row r="23" spans="1:45" x14ac:dyDescent="0.25">
      <c r="A23" s="116" t="s">
        <v>29</v>
      </c>
      <c r="B23" t="s">
        <v>298</v>
      </c>
      <c r="C23" s="166"/>
      <c r="D23" s="168"/>
      <c r="E23" s="164"/>
      <c r="F23" s="32"/>
      <c r="G23" s="58"/>
      <c r="H23" s="108"/>
      <c r="I23" s="68"/>
      <c r="J23" s="108"/>
      <c r="K23" s="128"/>
      <c r="L23" s="128"/>
      <c r="M23" s="128"/>
      <c r="N23" s="128"/>
      <c r="O23" s="128"/>
      <c r="P23" s="128"/>
      <c r="Q23" s="128"/>
      <c r="R23" s="128"/>
      <c r="S23" s="108"/>
      <c r="T23" s="128"/>
      <c r="U23" s="128"/>
      <c r="V23" s="108"/>
      <c r="W23" s="128"/>
      <c r="X23" s="128"/>
      <c r="Y23" s="128"/>
      <c r="Z23" s="128"/>
      <c r="AA23" s="108"/>
      <c r="AB23" s="128"/>
      <c r="AC23" s="128"/>
      <c r="AD23" s="128"/>
      <c r="AE23" s="128"/>
      <c r="AF23" s="108"/>
      <c r="AG23" s="38"/>
      <c r="AH23" s="69"/>
      <c r="AI23" s="108"/>
      <c r="AJ23" s="128"/>
      <c r="AK23" s="128"/>
      <c r="AL23" s="128"/>
      <c r="AM23" s="128"/>
      <c r="AN23" s="128"/>
      <c r="AO23" s="128"/>
      <c r="AP23" s="128"/>
      <c r="AQ23" s="128"/>
      <c r="AR23" s="128"/>
      <c r="AS23" s="27"/>
    </row>
    <row r="24" spans="1:45" s="141" customFormat="1" x14ac:dyDescent="0.25">
      <c r="A24" s="141" t="s">
        <v>29</v>
      </c>
      <c r="B24" s="141" t="s">
        <v>487</v>
      </c>
      <c r="C24" s="166">
        <v>11</v>
      </c>
      <c r="D24" s="168">
        <v>4</v>
      </c>
      <c r="E24" s="164">
        <v>1</v>
      </c>
      <c r="F24" s="129">
        <f>AVERAGE(X24,H24,I24,G24,L24,N24,O24,P24,Q24,R24,S24,W24)</f>
        <v>4.583333333333333</v>
      </c>
      <c r="G24" s="58">
        <v>4</v>
      </c>
      <c r="H24" s="108">
        <v>5</v>
      </c>
      <c r="I24" s="209">
        <v>4</v>
      </c>
      <c r="J24" s="108" t="s">
        <v>153</v>
      </c>
      <c r="K24" s="57" t="s">
        <v>153</v>
      </c>
      <c r="L24" s="128">
        <v>5</v>
      </c>
      <c r="M24" s="108" t="s">
        <v>153</v>
      </c>
      <c r="N24" s="282">
        <v>7</v>
      </c>
      <c r="O24" s="128">
        <v>4</v>
      </c>
      <c r="P24" s="128">
        <v>5</v>
      </c>
      <c r="Q24" s="128">
        <v>5</v>
      </c>
      <c r="R24" s="128">
        <v>4</v>
      </c>
      <c r="S24" s="108">
        <v>4</v>
      </c>
      <c r="T24" s="128"/>
      <c r="U24" s="128"/>
      <c r="V24" s="108"/>
      <c r="W24" s="108">
        <v>4</v>
      </c>
      <c r="X24" s="128">
        <v>4</v>
      </c>
      <c r="Y24" s="128"/>
      <c r="Z24" s="128"/>
      <c r="AA24" s="108"/>
      <c r="AB24" s="128"/>
      <c r="AC24" s="128"/>
      <c r="AD24" s="128"/>
      <c r="AE24" s="128"/>
      <c r="AF24" s="108"/>
      <c r="AG24" s="38"/>
      <c r="AH24" s="69"/>
      <c r="AI24" s="108"/>
      <c r="AJ24" s="128"/>
      <c r="AK24" s="128"/>
      <c r="AL24" s="128"/>
      <c r="AM24" s="128"/>
      <c r="AN24" s="128"/>
      <c r="AO24" s="128"/>
      <c r="AP24" s="128"/>
      <c r="AQ24" s="128"/>
      <c r="AR24" s="128"/>
      <c r="AS24" s="174"/>
    </row>
    <row r="25" spans="1:45" s="141" customFormat="1" x14ac:dyDescent="0.25">
      <c r="A25" s="141" t="s">
        <v>29</v>
      </c>
      <c r="B25" s="42" t="s">
        <v>527</v>
      </c>
      <c r="C25" s="166">
        <v>11</v>
      </c>
      <c r="D25" s="168"/>
      <c r="E25" s="164"/>
      <c r="F25" s="129">
        <f>AVERAGE(I25,L25,M25,N25,O25,S25,T25,U25,W25,X25,Y25)</f>
        <v>4.7272727272727275</v>
      </c>
      <c r="G25" s="58"/>
      <c r="H25" s="108"/>
      <c r="I25" s="209">
        <v>4</v>
      </c>
      <c r="J25" s="108"/>
      <c r="K25" s="128"/>
      <c r="L25" s="128">
        <v>4</v>
      </c>
      <c r="M25" s="128">
        <v>4</v>
      </c>
      <c r="N25" s="128">
        <v>6</v>
      </c>
      <c r="O25" s="128">
        <v>4</v>
      </c>
      <c r="P25" s="128"/>
      <c r="Q25" s="128"/>
      <c r="R25" s="128"/>
      <c r="S25" s="108">
        <v>5</v>
      </c>
      <c r="T25" s="128">
        <v>5</v>
      </c>
      <c r="U25" s="128">
        <v>5</v>
      </c>
      <c r="V25" s="108"/>
      <c r="W25" s="128">
        <v>5</v>
      </c>
      <c r="X25" s="128">
        <v>5</v>
      </c>
      <c r="Y25" s="128">
        <v>5</v>
      </c>
      <c r="Z25" s="128"/>
      <c r="AA25" s="108"/>
      <c r="AB25" s="128"/>
      <c r="AC25" s="128"/>
      <c r="AD25" s="128"/>
      <c r="AE25" s="128"/>
      <c r="AF25" s="108"/>
      <c r="AG25" s="38"/>
      <c r="AH25" s="69"/>
      <c r="AI25" s="108"/>
      <c r="AJ25" s="128"/>
      <c r="AK25" s="128"/>
      <c r="AL25" s="128"/>
      <c r="AM25" s="128"/>
      <c r="AN25" s="128"/>
      <c r="AO25" s="128"/>
      <c r="AP25" s="128"/>
      <c r="AQ25" s="128"/>
      <c r="AR25" s="128"/>
      <c r="AS25" s="174"/>
    </row>
    <row r="26" spans="1:45" s="141" customFormat="1" x14ac:dyDescent="0.25">
      <c r="A26" s="141" t="s">
        <v>29</v>
      </c>
      <c r="B26" s="49" t="s">
        <v>537</v>
      </c>
      <c r="C26" s="166">
        <v>4</v>
      </c>
      <c r="D26" s="168">
        <v>1</v>
      </c>
      <c r="E26" s="164">
        <v>1</v>
      </c>
      <c r="F26" s="129">
        <f>AVERAGE(J26,K26,M26,X26)</f>
        <v>4.75</v>
      </c>
      <c r="G26" s="58"/>
      <c r="H26" s="108"/>
      <c r="I26" s="68"/>
      <c r="J26" s="57">
        <v>6</v>
      </c>
      <c r="K26" s="128">
        <v>4</v>
      </c>
      <c r="L26" s="128"/>
      <c r="M26" s="128">
        <v>5</v>
      </c>
      <c r="N26" s="128"/>
      <c r="O26" s="128"/>
      <c r="P26" s="128"/>
      <c r="Q26" s="128"/>
      <c r="R26" s="128"/>
      <c r="S26" s="108"/>
      <c r="T26" s="128"/>
      <c r="U26" s="128"/>
      <c r="V26" s="108"/>
      <c r="W26" s="128"/>
      <c r="X26" s="128">
        <v>4</v>
      </c>
      <c r="Y26" s="204" t="s">
        <v>153</v>
      </c>
      <c r="Z26" s="128"/>
      <c r="AA26" s="108"/>
      <c r="AB26" s="128"/>
      <c r="AC26" s="128"/>
      <c r="AD26" s="128"/>
      <c r="AE26" s="128"/>
      <c r="AF26" s="108"/>
      <c r="AG26" s="38"/>
      <c r="AH26" s="69"/>
      <c r="AI26" s="108"/>
      <c r="AJ26" s="128"/>
      <c r="AK26" s="128"/>
      <c r="AL26" s="128"/>
      <c r="AM26" s="128"/>
      <c r="AN26" s="128"/>
      <c r="AO26" s="128"/>
      <c r="AP26" s="128"/>
      <c r="AQ26" s="128"/>
      <c r="AR26" s="128"/>
      <c r="AS26" s="174"/>
    </row>
    <row r="27" spans="1:45" s="141" customFormat="1" x14ac:dyDescent="0.25">
      <c r="A27" s="141" t="s">
        <v>29</v>
      </c>
      <c r="B27" s="42" t="s">
        <v>865</v>
      </c>
      <c r="C27" s="166"/>
      <c r="D27" s="168">
        <v>1</v>
      </c>
      <c r="E27" s="164"/>
      <c r="F27" s="129"/>
      <c r="G27" s="58"/>
      <c r="H27" s="108"/>
      <c r="I27" s="68"/>
      <c r="J27" s="57"/>
      <c r="K27" s="128"/>
      <c r="L27" s="128"/>
      <c r="M27" s="128"/>
      <c r="N27" s="128"/>
      <c r="O27" s="128"/>
      <c r="P27" s="128"/>
      <c r="Q27" s="128"/>
      <c r="R27" s="128"/>
      <c r="S27" s="108"/>
      <c r="T27" s="108" t="s">
        <v>153</v>
      </c>
      <c r="U27" s="128"/>
      <c r="V27" s="108"/>
      <c r="W27" s="128"/>
      <c r="X27" s="128"/>
      <c r="Y27" s="128"/>
      <c r="Z27" s="128"/>
      <c r="AA27" s="108"/>
      <c r="AB27" s="128"/>
      <c r="AC27" s="128"/>
      <c r="AD27" s="128"/>
      <c r="AE27" s="128"/>
      <c r="AF27" s="108"/>
      <c r="AG27" s="38"/>
      <c r="AH27" s="69"/>
      <c r="AI27" s="108"/>
      <c r="AJ27" s="128"/>
      <c r="AK27" s="128"/>
      <c r="AL27" s="128"/>
      <c r="AM27" s="128"/>
      <c r="AN27" s="128"/>
      <c r="AO27" s="128"/>
      <c r="AP27" s="128"/>
      <c r="AQ27" s="128"/>
      <c r="AR27" s="128"/>
      <c r="AS27" s="174"/>
    </row>
    <row r="28" spans="1:45" s="141" customFormat="1" x14ac:dyDescent="0.25">
      <c r="A28" s="141" t="s">
        <v>29</v>
      </c>
      <c r="B28" s="42" t="s">
        <v>985</v>
      </c>
      <c r="C28" s="166"/>
      <c r="D28" s="168">
        <v>1</v>
      </c>
      <c r="E28" s="164"/>
      <c r="F28" s="129"/>
      <c r="G28" s="58"/>
      <c r="H28" s="108"/>
      <c r="I28" s="68"/>
      <c r="J28" s="57"/>
      <c r="K28" s="128"/>
      <c r="L28" s="128"/>
      <c r="M28" s="128"/>
      <c r="N28" s="128"/>
      <c r="O28" s="128"/>
      <c r="P28" s="128"/>
      <c r="Q28" s="128"/>
      <c r="R28" s="128"/>
      <c r="S28" s="108"/>
      <c r="T28" s="108"/>
      <c r="U28" s="128"/>
      <c r="V28" s="108"/>
      <c r="W28" s="128"/>
      <c r="X28" s="128"/>
      <c r="Y28" s="108" t="s">
        <v>153</v>
      </c>
      <c r="Z28" s="128"/>
      <c r="AA28" s="108"/>
      <c r="AB28" s="128"/>
      <c r="AC28" s="128"/>
      <c r="AD28" s="128"/>
      <c r="AE28" s="128"/>
      <c r="AF28" s="108"/>
      <c r="AG28" s="38"/>
      <c r="AH28" s="69"/>
      <c r="AI28" s="108"/>
      <c r="AJ28" s="128"/>
      <c r="AK28" s="128"/>
      <c r="AL28" s="128"/>
      <c r="AM28" s="128"/>
      <c r="AN28" s="128"/>
      <c r="AO28" s="128"/>
      <c r="AP28" s="128"/>
      <c r="AQ28" s="128"/>
      <c r="AR28" s="128"/>
      <c r="AS28" s="174"/>
    </row>
    <row r="29" spans="1:45" x14ac:dyDescent="0.25">
      <c r="A29" s="14" t="s">
        <v>29</v>
      </c>
      <c r="B29" s="14" t="s">
        <v>262</v>
      </c>
      <c r="C29" s="170">
        <v>8</v>
      </c>
      <c r="D29" s="171">
        <v>3</v>
      </c>
      <c r="E29" s="172"/>
      <c r="F29" s="34">
        <f>AVERAGE(H29,J29,G29,K29,M29,P29,R29,V29,X29)</f>
        <v>4.666666666666667</v>
      </c>
      <c r="G29" s="58">
        <v>4</v>
      </c>
      <c r="H29" s="108">
        <v>5</v>
      </c>
      <c r="I29" s="108"/>
      <c r="J29" s="108">
        <v>5</v>
      </c>
      <c r="K29" s="128">
        <v>4</v>
      </c>
      <c r="L29" s="128"/>
      <c r="M29" s="128">
        <v>5</v>
      </c>
      <c r="N29" s="128"/>
      <c r="O29" s="128"/>
      <c r="P29" s="128">
        <v>5</v>
      </c>
      <c r="Q29" s="128"/>
      <c r="R29" s="128">
        <v>5</v>
      </c>
      <c r="S29" s="128"/>
      <c r="T29" s="128"/>
      <c r="U29" s="108" t="s">
        <v>153</v>
      </c>
      <c r="V29" s="128">
        <v>5</v>
      </c>
      <c r="W29" s="108" t="s">
        <v>153</v>
      </c>
      <c r="X29" s="128">
        <v>4</v>
      </c>
      <c r="Y29" s="128"/>
      <c r="Z29" s="128"/>
      <c r="AA29" s="108"/>
      <c r="AB29" s="128"/>
      <c r="AC29" s="128"/>
      <c r="AD29" s="128"/>
      <c r="AE29" s="128"/>
      <c r="AF29" s="128"/>
      <c r="AG29" s="62"/>
      <c r="AH29" s="108"/>
      <c r="AI29" s="108"/>
      <c r="AJ29" s="128"/>
      <c r="AK29" s="108"/>
      <c r="AL29" s="128"/>
      <c r="AM29" s="128"/>
      <c r="AN29" s="69"/>
      <c r="AO29" s="128"/>
      <c r="AP29" s="128"/>
      <c r="AQ29" s="128"/>
      <c r="AR29" s="128"/>
      <c r="AS29" s="27"/>
    </row>
    <row r="30" spans="1:45" x14ac:dyDescent="0.25">
      <c r="A30" t="s">
        <v>30</v>
      </c>
      <c r="B30" t="s">
        <v>135</v>
      </c>
      <c r="C30" s="166">
        <v>3</v>
      </c>
      <c r="D30" s="168">
        <v>3</v>
      </c>
      <c r="E30" s="164">
        <v>1</v>
      </c>
      <c r="F30" s="32">
        <f>AVERAGE(J30,M30,S30)</f>
        <v>5.666666666666667</v>
      </c>
      <c r="G30" s="56" t="s">
        <v>153</v>
      </c>
      <c r="H30" s="108"/>
      <c r="I30" s="68"/>
      <c r="J30" s="294">
        <v>7</v>
      </c>
      <c r="K30" s="68" t="s">
        <v>153</v>
      </c>
      <c r="L30" s="128"/>
      <c r="M30" s="128">
        <v>5</v>
      </c>
      <c r="N30" s="128"/>
      <c r="O30" s="128"/>
      <c r="P30" s="128"/>
      <c r="Q30" s="108" t="s">
        <v>153</v>
      </c>
      <c r="R30" s="128"/>
      <c r="S30" s="128">
        <v>5</v>
      </c>
      <c r="T30" s="128"/>
      <c r="U30" s="128"/>
      <c r="V30" s="128"/>
      <c r="W30" s="69"/>
      <c r="X30" s="128"/>
      <c r="Y30" s="69"/>
      <c r="Z30" s="128"/>
      <c r="AA30" s="69"/>
      <c r="AB30" s="128"/>
      <c r="AC30" s="128"/>
      <c r="AD30" s="128"/>
      <c r="AE30" s="128"/>
      <c r="AF30" s="128"/>
      <c r="AG30" s="66"/>
      <c r="AH30" s="128"/>
      <c r="AI30" s="108"/>
      <c r="AJ30" s="128"/>
      <c r="AK30" s="128"/>
      <c r="AL30" s="128"/>
      <c r="AM30" s="108"/>
      <c r="AN30" s="57"/>
      <c r="AO30" s="128"/>
      <c r="AP30" s="108"/>
      <c r="AQ30" s="57"/>
      <c r="AR30" s="128"/>
      <c r="AS30" s="27"/>
    </row>
    <row r="31" spans="1:45" x14ac:dyDescent="0.25">
      <c r="A31" s="179" t="s">
        <v>30</v>
      </c>
      <c r="B31" s="179" t="s">
        <v>347</v>
      </c>
      <c r="C31" s="185">
        <v>11</v>
      </c>
      <c r="D31" s="64">
        <v>1</v>
      </c>
      <c r="E31" s="187">
        <v>3</v>
      </c>
      <c r="F31" s="32">
        <f>AVERAGE(H31,I31,G31,N31,O31,T31,U31,V31,W31,X31,Y31)</f>
        <v>4.4545454545454541</v>
      </c>
      <c r="G31" s="56">
        <v>4</v>
      </c>
      <c r="H31" s="108">
        <v>4</v>
      </c>
      <c r="I31" s="108">
        <v>4</v>
      </c>
      <c r="J31" s="57"/>
      <c r="K31" s="69"/>
      <c r="L31" s="128"/>
      <c r="M31" s="128"/>
      <c r="N31" s="69">
        <v>5</v>
      </c>
      <c r="O31" s="128">
        <v>4</v>
      </c>
      <c r="P31" s="128"/>
      <c r="Q31" s="128"/>
      <c r="R31" s="128"/>
      <c r="S31" s="108" t="s">
        <v>153</v>
      </c>
      <c r="T31" s="128">
        <v>4</v>
      </c>
      <c r="U31" s="70">
        <v>5</v>
      </c>
      <c r="V31" s="294">
        <v>7</v>
      </c>
      <c r="W31" s="128">
        <v>4</v>
      </c>
      <c r="X31" s="128">
        <v>4</v>
      </c>
      <c r="Y31" s="128">
        <v>4</v>
      </c>
      <c r="Z31" s="128"/>
      <c r="AA31" s="128"/>
      <c r="AB31" s="128"/>
      <c r="AC31" s="128"/>
      <c r="AD31" s="108"/>
      <c r="AE31" s="57"/>
      <c r="AF31" s="108"/>
      <c r="AG31" s="38"/>
      <c r="AH31" s="69"/>
      <c r="AI31" s="108"/>
      <c r="AJ31" s="128"/>
      <c r="AK31" s="108"/>
      <c r="AL31" s="128"/>
      <c r="AM31" s="69"/>
      <c r="AN31" s="108"/>
      <c r="AO31" s="128"/>
      <c r="AP31" s="69"/>
      <c r="AQ31" s="128"/>
      <c r="AR31" s="128"/>
      <c r="AS31" s="27"/>
    </row>
    <row r="32" spans="1:45" x14ac:dyDescent="0.25">
      <c r="A32" t="s">
        <v>30</v>
      </c>
      <c r="B32" t="s">
        <v>196</v>
      </c>
      <c r="C32" s="166">
        <v>16</v>
      </c>
      <c r="D32" s="168">
        <v>2</v>
      </c>
      <c r="E32" s="164">
        <v>4</v>
      </c>
      <c r="F32" s="32">
        <f>AVERAGE(W32,V32,U32,H32,I32,J32,G32,K32,L32,N32,O32,P32,Q32,R32,S32,Y32)</f>
        <v>5.25</v>
      </c>
      <c r="G32" s="330">
        <v>7</v>
      </c>
      <c r="H32" s="108">
        <v>5</v>
      </c>
      <c r="I32" s="108">
        <v>4</v>
      </c>
      <c r="J32" s="301">
        <v>7</v>
      </c>
      <c r="K32" s="128">
        <v>4</v>
      </c>
      <c r="L32" s="290">
        <v>7</v>
      </c>
      <c r="M32" s="108" t="s">
        <v>153</v>
      </c>
      <c r="N32" s="128">
        <v>6</v>
      </c>
      <c r="O32" s="128">
        <v>4</v>
      </c>
      <c r="P32" s="128">
        <v>5</v>
      </c>
      <c r="Q32" s="108">
        <v>4</v>
      </c>
      <c r="R32" s="108">
        <v>5</v>
      </c>
      <c r="S32" s="128">
        <v>4</v>
      </c>
      <c r="T32" s="108" t="s">
        <v>153</v>
      </c>
      <c r="U32" s="283">
        <v>7</v>
      </c>
      <c r="V32" s="128">
        <v>5</v>
      </c>
      <c r="W32" s="69">
        <v>5</v>
      </c>
      <c r="X32" s="108"/>
      <c r="Y32" s="204">
        <v>5</v>
      </c>
      <c r="Z32" s="128"/>
      <c r="AA32" s="128"/>
      <c r="AB32" s="128"/>
      <c r="AC32" s="128"/>
      <c r="AD32" s="128"/>
      <c r="AE32" s="69"/>
      <c r="AF32" s="128"/>
      <c r="AG32" s="62"/>
      <c r="AH32" s="108"/>
      <c r="AI32" s="108"/>
      <c r="AJ32" s="128"/>
      <c r="AK32" s="69"/>
      <c r="AL32" s="128"/>
      <c r="AM32" s="108"/>
      <c r="AN32" s="108"/>
      <c r="AO32" s="128"/>
      <c r="AP32" s="128"/>
      <c r="AQ32" s="128"/>
      <c r="AR32" s="128"/>
      <c r="AS32" s="27"/>
    </row>
    <row r="33" spans="1:45" s="116" customFormat="1" x14ac:dyDescent="0.25">
      <c r="A33" s="116" t="s">
        <v>30</v>
      </c>
      <c r="B33" s="49" t="s">
        <v>382</v>
      </c>
      <c r="C33" s="166">
        <v>4</v>
      </c>
      <c r="D33" s="168">
        <v>14</v>
      </c>
      <c r="E33" s="164">
        <v>3</v>
      </c>
      <c r="F33" s="94">
        <f>AVERAGE(M33,R33,T33,Y33)</f>
        <v>3.75</v>
      </c>
      <c r="G33" s="198" t="s">
        <v>153</v>
      </c>
      <c r="H33" s="108" t="s">
        <v>153</v>
      </c>
      <c r="I33" s="108"/>
      <c r="J33" s="68" t="s">
        <v>153</v>
      </c>
      <c r="K33" s="57" t="s">
        <v>153</v>
      </c>
      <c r="L33" s="57" t="s">
        <v>153</v>
      </c>
      <c r="M33" s="128">
        <v>4</v>
      </c>
      <c r="N33" s="108" t="s">
        <v>153</v>
      </c>
      <c r="O33" s="108" t="s">
        <v>153</v>
      </c>
      <c r="P33" s="108" t="s">
        <v>153</v>
      </c>
      <c r="Q33" s="108" t="s">
        <v>153</v>
      </c>
      <c r="R33" s="302">
        <v>3</v>
      </c>
      <c r="S33" s="108" t="s">
        <v>153</v>
      </c>
      <c r="T33" s="128">
        <v>4</v>
      </c>
      <c r="U33" s="108" t="s">
        <v>153</v>
      </c>
      <c r="V33" s="108" t="s">
        <v>153</v>
      </c>
      <c r="W33" s="108" t="s">
        <v>153</v>
      </c>
      <c r="X33" s="108" t="s">
        <v>153</v>
      </c>
      <c r="Y33" s="204">
        <v>4</v>
      </c>
      <c r="Z33" s="128"/>
      <c r="AA33" s="128"/>
      <c r="AB33" s="128"/>
      <c r="AC33" s="108"/>
      <c r="AD33" s="128"/>
      <c r="AE33" s="128"/>
      <c r="AF33" s="128"/>
      <c r="AG33" s="38"/>
      <c r="AH33" s="128"/>
      <c r="AI33" s="10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0"/>
    </row>
    <row r="34" spans="1:45" s="141" customFormat="1" x14ac:dyDescent="0.25">
      <c r="A34" s="141" t="s">
        <v>30</v>
      </c>
      <c r="B34" s="49" t="s">
        <v>394</v>
      </c>
      <c r="C34" s="166">
        <v>5</v>
      </c>
      <c r="D34" s="168">
        <v>6</v>
      </c>
      <c r="E34" s="164">
        <v>2</v>
      </c>
      <c r="F34" s="129">
        <f>AVERAGE(J34,K34,L34,P34,Q34)</f>
        <v>4.8</v>
      </c>
      <c r="G34" s="56" t="s">
        <v>153</v>
      </c>
      <c r="H34" s="204" t="s">
        <v>153</v>
      </c>
      <c r="I34" s="68" t="s">
        <v>153</v>
      </c>
      <c r="J34" s="301">
        <v>7</v>
      </c>
      <c r="K34" s="128">
        <v>5</v>
      </c>
      <c r="L34" s="70">
        <v>4</v>
      </c>
      <c r="M34" s="128"/>
      <c r="N34" s="128"/>
      <c r="O34" s="108" t="s">
        <v>153</v>
      </c>
      <c r="P34" s="108">
        <v>4</v>
      </c>
      <c r="Q34" s="204">
        <v>4</v>
      </c>
      <c r="R34" s="204" t="s">
        <v>153</v>
      </c>
      <c r="S34" s="57" t="s">
        <v>153</v>
      </c>
      <c r="T34" s="128"/>
      <c r="U34" s="57"/>
      <c r="V34" s="69"/>
      <c r="W34" s="108"/>
      <c r="X34" s="128"/>
      <c r="Y34" s="128"/>
      <c r="Z34" s="128"/>
      <c r="AA34" s="128"/>
      <c r="AB34" s="128"/>
      <c r="AC34" s="108"/>
      <c r="AD34" s="69"/>
      <c r="AE34" s="108"/>
      <c r="AF34" s="128"/>
      <c r="AG34" s="38"/>
      <c r="AH34" s="128"/>
      <c r="AI34" s="108"/>
      <c r="AJ34" s="128"/>
      <c r="AK34" s="70"/>
      <c r="AL34" s="108"/>
      <c r="AM34" s="128"/>
      <c r="AN34" s="128"/>
      <c r="AO34" s="128"/>
      <c r="AP34" s="128"/>
      <c r="AQ34" s="108"/>
      <c r="AR34" s="57"/>
      <c r="AS34" s="174"/>
    </row>
    <row r="35" spans="1:45" s="141" customFormat="1" x14ac:dyDescent="0.25">
      <c r="A35" s="141" t="s">
        <v>30</v>
      </c>
      <c r="B35" s="42" t="s">
        <v>950</v>
      </c>
      <c r="C35" s="166"/>
      <c r="D35" s="168">
        <v>1</v>
      </c>
      <c r="E35" s="164"/>
      <c r="F35" s="129"/>
      <c r="G35" s="56"/>
      <c r="H35" s="204"/>
      <c r="I35" s="68"/>
      <c r="J35" s="128"/>
      <c r="K35" s="128"/>
      <c r="L35" s="70"/>
      <c r="M35" s="128"/>
      <c r="N35" s="128"/>
      <c r="O35" s="108"/>
      <c r="P35" s="108"/>
      <c r="Q35" s="204"/>
      <c r="R35" s="204"/>
      <c r="S35" s="57"/>
      <c r="T35" s="128"/>
      <c r="U35" s="57"/>
      <c r="V35" s="69"/>
      <c r="W35" s="108"/>
      <c r="X35" s="108" t="s">
        <v>153</v>
      </c>
      <c r="Y35" s="128"/>
      <c r="Z35" s="128"/>
      <c r="AA35" s="128"/>
      <c r="AB35" s="128"/>
      <c r="AC35" s="108"/>
      <c r="AD35" s="69"/>
      <c r="AE35" s="108"/>
      <c r="AF35" s="128"/>
      <c r="AG35" s="38"/>
      <c r="AH35" s="128"/>
      <c r="AI35" s="108"/>
      <c r="AJ35" s="128"/>
      <c r="AK35" s="70"/>
      <c r="AL35" s="108"/>
      <c r="AM35" s="128"/>
      <c r="AN35" s="128"/>
      <c r="AO35" s="128"/>
      <c r="AP35" s="128"/>
      <c r="AQ35" s="108"/>
      <c r="AR35" s="57"/>
      <c r="AS35" s="174"/>
    </row>
    <row r="36" spans="1:45" ht="15.75" thickBot="1" x14ac:dyDescent="0.3">
      <c r="A36" s="4" t="s">
        <v>30</v>
      </c>
      <c r="B36" s="4" t="s">
        <v>197</v>
      </c>
      <c r="C36" s="167">
        <v>7</v>
      </c>
      <c r="D36" s="169">
        <v>4</v>
      </c>
      <c r="E36" s="165">
        <v>1</v>
      </c>
      <c r="F36" s="33">
        <f>AVERAGE(M36,Q36,S36,T36,U36,X36,Y36)</f>
        <v>5.2857142857142856</v>
      </c>
      <c r="G36" s="58"/>
      <c r="H36" s="128"/>
      <c r="I36" s="108"/>
      <c r="J36" s="108"/>
      <c r="K36" s="71"/>
      <c r="L36" s="108" t="s">
        <v>153</v>
      </c>
      <c r="M36" s="128">
        <v>4</v>
      </c>
      <c r="N36" s="128"/>
      <c r="O36" s="108" t="s">
        <v>153</v>
      </c>
      <c r="P36" s="204" t="s">
        <v>153</v>
      </c>
      <c r="Q36" s="128">
        <v>5</v>
      </c>
      <c r="R36" s="204" t="s">
        <v>153</v>
      </c>
      <c r="S36" s="108">
        <v>5</v>
      </c>
      <c r="T36" s="128">
        <v>5</v>
      </c>
      <c r="U36" s="128">
        <v>6</v>
      </c>
      <c r="V36" s="108"/>
      <c r="W36" s="128"/>
      <c r="X36" s="283">
        <v>7</v>
      </c>
      <c r="Y36" s="128">
        <v>5</v>
      </c>
      <c r="Z36" s="69"/>
      <c r="AA36" s="128"/>
      <c r="AB36" s="128"/>
      <c r="AC36" s="128"/>
      <c r="AD36" s="128"/>
      <c r="AE36" s="128"/>
      <c r="AF36" s="128"/>
      <c r="AG36" s="62"/>
      <c r="AH36" s="128"/>
      <c r="AI36" s="108"/>
      <c r="AJ36" s="69"/>
      <c r="AK36" s="128"/>
      <c r="AL36" s="128"/>
      <c r="AM36" s="128"/>
      <c r="AN36" s="128"/>
      <c r="AO36" s="128"/>
      <c r="AP36" s="128"/>
      <c r="AQ36" s="128"/>
      <c r="AR36" s="128"/>
      <c r="AS36" s="27"/>
    </row>
    <row r="37" spans="1:45" x14ac:dyDescent="0.25">
      <c r="G37" s="36">
        <f>AVERAGE(G8,G14,G15,G17,G18,G19,G21,G24,G29,G31,G32)</f>
        <v>5</v>
      </c>
      <c r="H37" s="36">
        <f>AVERAGE(H8,H15,H14,H17,H18,H19,H21,H24,H29,H31,H32)</f>
        <v>5.5454545454545459</v>
      </c>
      <c r="I37" s="36">
        <f>AVERAGE(I8,I14,I15,I17,I18,I19,I21,I25,I24,I31,I32)</f>
        <v>4.6363636363636367</v>
      </c>
      <c r="J37" s="36">
        <f>AVERAGE(J10,J12,J15,J14,J18,J19,J26,J29,J30,J32,J34)</f>
        <v>5.7272727272727275</v>
      </c>
      <c r="K37" s="36">
        <f>AVERAGE(K8,K14,K15,K17,K18,K19,K21,K26,K29,K32,K34)</f>
        <v>4.3636363636363633</v>
      </c>
      <c r="L37" s="30">
        <f>AVERAGE(L10,L14,L15,L17,L18,L19,L21,L24,L25,L32,L34)</f>
        <v>4.8181818181818183</v>
      </c>
      <c r="M37" s="30">
        <f>AVERAGE(M10,M11,M14,M17,M20,M25,M26,M29,M30,M33,M36)</f>
        <v>4.6363636363636367</v>
      </c>
      <c r="N37" s="30">
        <f>AVERAGE(N10,N15,N16,N17,N18,N19,N21,N24,N25,N31,N32)</f>
        <v>5.5454545454545459</v>
      </c>
      <c r="O37" s="30">
        <f>AVERAGE(O10,O11,O15,O16,O17,O19,O21,O24,O25,O31,O32)</f>
        <v>4.6363636363636367</v>
      </c>
      <c r="P37" s="30">
        <f>AVERAGE(P10,P15,P16,P19,P20,P21,P22,P24,P29,P32,P34)</f>
        <v>4.8181818181818183</v>
      </c>
      <c r="Q37" s="30">
        <f>AVERAGE(Q10,Q15,Q16,Q17,Q18,Q19,Q21,Q24,Q32,Q34,Q36)</f>
        <v>4.7272727272727275</v>
      </c>
      <c r="R37" s="30">
        <f>AVERAGE(R10,R15,R16,R17,R18,R19,R21,R24,R29,R32,R33)</f>
        <v>4.4545454545454541</v>
      </c>
      <c r="S37" s="30">
        <f>AVERAGE(S8,S14,S15,S17,S18,S19,S24,S25,S30,S32,S36)</f>
        <v>4.5454545454545459</v>
      </c>
      <c r="T37" s="30">
        <f>AVERAGE(T8,T15,T14,T17,T18,T19,T22,T25,T31,T33,T36)</f>
        <v>4.5454545454545459</v>
      </c>
      <c r="U37" s="30">
        <f>AVERAGE(U8,U14,U15,U17,U18,U19,U21,U25,U31,U32,U36)</f>
        <v>5.3636363636363633</v>
      </c>
      <c r="V37" s="30">
        <f>AVERAGE(V8,V14,V15,V17,V11,V19,V20,V21,V29,V31,V32)</f>
        <v>4.7272727272727275</v>
      </c>
      <c r="W37" s="30">
        <f>AVERAGE(W8,W11,W14,W15,W16,W20,W19,W21,W25,W31,W32)</f>
        <v>4.8181818181818183</v>
      </c>
      <c r="X37" s="30">
        <f>AVERAGE(X10,X11,X14,X17,X19,X24,X25,X26,X29,X31,X36)</f>
        <v>4.6363636363636367</v>
      </c>
      <c r="Y37" s="30">
        <f>AVERAGE(Y10,Y11,Y15,Y16,Y17,Y19,Y25,Y31,Y33,Y32,Y36)</f>
        <v>4.5454545454545459</v>
      </c>
      <c r="Z37" s="30"/>
      <c r="AA37" s="36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142"/>
      <c r="AM37" s="30"/>
      <c r="AN37" s="30"/>
      <c r="AO37" s="30"/>
      <c r="AP37" s="30"/>
      <c r="AQ37" s="30"/>
      <c r="AR37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AS38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11" width="4.5703125" customWidth="1"/>
    <col min="12" max="44" width="4.7109375" customWidth="1"/>
  </cols>
  <sheetData>
    <row r="1" spans="1:45" x14ac:dyDescent="0.25">
      <c r="A1" t="s">
        <v>204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623</v>
      </c>
      <c r="H7" s="26" t="s">
        <v>550</v>
      </c>
      <c r="I7" s="26" t="s">
        <v>572</v>
      </c>
      <c r="J7" s="26" t="s">
        <v>604</v>
      </c>
      <c r="K7" s="26" t="s">
        <v>663</v>
      </c>
      <c r="L7" s="26" t="s">
        <v>691</v>
      </c>
      <c r="M7" s="26" t="s">
        <v>714</v>
      </c>
      <c r="N7" s="26" t="s">
        <v>718</v>
      </c>
      <c r="O7" s="26" t="s">
        <v>768</v>
      </c>
      <c r="P7" s="79" t="s">
        <v>767</v>
      </c>
      <c r="Q7" s="92" t="s">
        <v>783</v>
      </c>
      <c r="R7" s="101" t="s">
        <v>824</v>
      </c>
      <c r="S7" s="101" t="s">
        <v>837</v>
      </c>
      <c r="T7" s="101" t="s">
        <v>857</v>
      </c>
      <c r="U7" s="101" t="s">
        <v>881</v>
      </c>
      <c r="V7" s="101" t="s">
        <v>905</v>
      </c>
      <c r="W7" s="119" t="s">
        <v>929</v>
      </c>
      <c r="X7" s="119" t="s">
        <v>954</v>
      </c>
      <c r="Y7" s="119" t="s">
        <v>982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54"/>
      <c r="AM7" s="173"/>
      <c r="AN7" s="26"/>
      <c r="AO7" s="26"/>
      <c r="AP7" s="26"/>
      <c r="AQ7" s="26"/>
      <c r="AR7" s="26"/>
    </row>
    <row r="8" spans="1:45" x14ac:dyDescent="0.25">
      <c r="A8" s="22" t="s">
        <v>8</v>
      </c>
      <c r="B8" s="41" t="s">
        <v>205</v>
      </c>
      <c r="C8" s="149">
        <v>3</v>
      </c>
      <c r="D8" s="150"/>
      <c r="E8" s="148"/>
      <c r="F8" s="35">
        <f>AVERAGE(K8,V8,W8)</f>
        <v>6.333333333333333</v>
      </c>
      <c r="G8" s="198"/>
      <c r="H8" s="71"/>
      <c r="I8" s="108"/>
      <c r="J8" s="69"/>
      <c r="K8" s="128">
        <v>6</v>
      </c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283">
        <v>7</v>
      </c>
      <c r="W8" s="128">
        <v>6</v>
      </c>
      <c r="X8" s="128"/>
      <c r="Y8" s="128"/>
      <c r="Z8" s="128"/>
      <c r="AA8" s="128"/>
      <c r="AB8" s="128"/>
      <c r="AC8" s="108"/>
      <c r="AD8" s="38"/>
      <c r="AE8" s="62"/>
      <c r="AF8" s="56"/>
      <c r="AG8" s="128"/>
      <c r="AH8" s="10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27"/>
    </row>
    <row r="9" spans="1:45" x14ac:dyDescent="0.25">
      <c r="A9" s="13" t="s">
        <v>8</v>
      </c>
      <c r="B9" s="14" t="s">
        <v>206</v>
      </c>
      <c r="C9" s="170">
        <v>16</v>
      </c>
      <c r="D9" s="171"/>
      <c r="E9" s="172"/>
      <c r="F9" s="34">
        <f>AVERAGE(Y9,H9,I9,J9,G9,L9,N9,M9,P9,Q9,R9,O9,S9,T9,U9,X9)</f>
        <v>5.5625</v>
      </c>
      <c r="G9" s="198">
        <v>6</v>
      </c>
      <c r="H9" s="69">
        <v>6</v>
      </c>
      <c r="I9" s="57">
        <v>6</v>
      </c>
      <c r="J9" s="128">
        <v>5</v>
      </c>
      <c r="K9" s="128"/>
      <c r="L9" s="128">
        <v>5</v>
      </c>
      <c r="M9" s="283">
        <v>7</v>
      </c>
      <c r="N9" s="128">
        <v>5</v>
      </c>
      <c r="O9" s="70">
        <v>5</v>
      </c>
      <c r="P9" s="69">
        <v>6</v>
      </c>
      <c r="Q9" s="283">
        <v>7</v>
      </c>
      <c r="R9" s="128">
        <v>5</v>
      </c>
      <c r="S9" s="128">
        <v>5</v>
      </c>
      <c r="T9" s="70">
        <v>5</v>
      </c>
      <c r="U9" s="69">
        <v>6</v>
      </c>
      <c r="V9" s="128"/>
      <c r="W9" s="128"/>
      <c r="X9" s="128">
        <v>4</v>
      </c>
      <c r="Y9" s="69">
        <v>6</v>
      </c>
      <c r="Z9" s="69"/>
      <c r="AA9" s="128"/>
      <c r="AB9" s="128"/>
      <c r="AC9" s="108"/>
      <c r="AD9" s="66"/>
      <c r="AE9" s="62"/>
      <c r="AF9" s="213"/>
      <c r="AG9" s="69"/>
      <c r="AH9" s="108"/>
      <c r="AI9" s="128"/>
      <c r="AJ9" s="69"/>
      <c r="AK9" s="128"/>
      <c r="AL9" s="128"/>
      <c r="AM9" s="69"/>
      <c r="AN9" s="128"/>
      <c r="AO9" s="128"/>
      <c r="AP9" s="128"/>
      <c r="AQ9" s="128"/>
      <c r="AR9" s="128"/>
      <c r="AS9" s="27"/>
    </row>
    <row r="10" spans="1:45" x14ac:dyDescent="0.25">
      <c r="A10" s="83" t="s">
        <v>11</v>
      </c>
      <c r="B10" s="160" t="s">
        <v>207</v>
      </c>
      <c r="C10" s="166">
        <v>11</v>
      </c>
      <c r="D10" s="168">
        <v>1</v>
      </c>
      <c r="E10" s="176"/>
      <c r="F10" s="129">
        <f>AVERAGE(H10,I10,J10,G10,K10,L10,P10,T10,V10,X10,Y10)</f>
        <v>5.3636363636363633</v>
      </c>
      <c r="G10" s="56">
        <v>5</v>
      </c>
      <c r="H10" s="282">
        <v>7</v>
      </c>
      <c r="I10" s="108">
        <v>6</v>
      </c>
      <c r="J10" s="128">
        <v>5</v>
      </c>
      <c r="K10" s="128">
        <v>5</v>
      </c>
      <c r="L10" s="128">
        <v>5</v>
      </c>
      <c r="M10" s="108" t="s">
        <v>153</v>
      </c>
      <c r="N10" s="128"/>
      <c r="O10" s="128"/>
      <c r="P10" s="128">
        <v>5</v>
      </c>
      <c r="Q10" s="128"/>
      <c r="R10" s="128"/>
      <c r="S10" s="128"/>
      <c r="T10" s="128">
        <v>5</v>
      </c>
      <c r="U10" s="128"/>
      <c r="V10" s="128">
        <v>6</v>
      </c>
      <c r="W10" s="128"/>
      <c r="X10" s="128">
        <v>5</v>
      </c>
      <c r="Y10" s="128">
        <v>5</v>
      </c>
      <c r="Z10" s="128"/>
      <c r="AA10" s="128"/>
      <c r="AB10" s="128"/>
      <c r="AC10" s="108"/>
      <c r="AD10" s="38"/>
      <c r="AE10" s="62"/>
      <c r="AF10" s="56"/>
      <c r="AG10" s="128"/>
      <c r="AH10" s="108"/>
      <c r="AI10" s="128"/>
      <c r="AJ10" s="108"/>
      <c r="AK10" s="128"/>
      <c r="AL10" s="128"/>
      <c r="AM10" s="128"/>
      <c r="AN10" s="128"/>
      <c r="AO10" s="128"/>
      <c r="AP10" s="128"/>
      <c r="AQ10" s="128"/>
      <c r="AR10" s="128"/>
      <c r="AS10" s="27"/>
    </row>
    <row r="11" spans="1:45" x14ac:dyDescent="0.25">
      <c r="A11" s="83" t="s">
        <v>11</v>
      </c>
      <c r="B11" s="160" t="s">
        <v>356</v>
      </c>
      <c r="C11" s="166"/>
      <c r="D11" s="168"/>
      <c r="E11" s="164"/>
      <c r="F11" s="129"/>
      <c r="G11" s="56"/>
      <c r="H11" s="128"/>
      <c r="I11" s="68"/>
      <c r="J11" s="128"/>
      <c r="K11" s="71"/>
      <c r="L11" s="128"/>
      <c r="M11" s="128"/>
      <c r="N11" s="128"/>
      <c r="O11" s="10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08"/>
      <c r="AD11" s="38"/>
      <c r="AE11" s="62"/>
      <c r="AF11" s="56"/>
      <c r="AG11" s="128"/>
      <c r="AH11" s="10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27"/>
    </row>
    <row r="12" spans="1:45" s="141" customFormat="1" x14ac:dyDescent="0.25">
      <c r="A12" s="83" t="s">
        <v>11</v>
      </c>
      <c r="B12" s="28" t="s">
        <v>396</v>
      </c>
      <c r="C12" s="166">
        <v>13</v>
      </c>
      <c r="D12" s="168"/>
      <c r="E12" s="164"/>
      <c r="F12" s="129">
        <f>AVERAGE(Y12,H12,I12,J12,G12,K12,L12,N12,M12,T12,V12,W12,X12)</f>
        <v>5</v>
      </c>
      <c r="G12" s="327">
        <v>5</v>
      </c>
      <c r="H12" s="281">
        <v>5</v>
      </c>
      <c r="I12" s="300">
        <v>7</v>
      </c>
      <c r="J12" s="281">
        <v>4</v>
      </c>
      <c r="K12" s="128">
        <v>4</v>
      </c>
      <c r="L12" s="128">
        <v>5</v>
      </c>
      <c r="M12" s="128">
        <v>6</v>
      </c>
      <c r="N12" s="303">
        <v>3</v>
      </c>
      <c r="O12" s="128"/>
      <c r="P12" s="128"/>
      <c r="Q12" s="128"/>
      <c r="R12" s="128"/>
      <c r="S12" s="128"/>
      <c r="T12" s="128">
        <v>5</v>
      </c>
      <c r="U12" s="128"/>
      <c r="V12" s="128">
        <v>6</v>
      </c>
      <c r="W12" s="128">
        <v>5</v>
      </c>
      <c r="X12" s="128">
        <v>5</v>
      </c>
      <c r="Y12" s="128">
        <v>5</v>
      </c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08"/>
      <c r="AQ12" s="128"/>
      <c r="AR12" s="128"/>
      <c r="AS12" s="174"/>
    </row>
    <row r="13" spans="1:45" s="141" customFormat="1" x14ac:dyDescent="0.25">
      <c r="A13" s="83" t="s">
        <v>11</v>
      </c>
      <c r="B13" s="77" t="s">
        <v>453</v>
      </c>
      <c r="C13" s="166">
        <v>9</v>
      </c>
      <c r="D13" s="168"/>
      <c r="E13" s="164"/>
      <c r="F13" s="129">
        <f>AVERAGE(N13,M13,P13,Q13,R13,O13,S13,T13,U13)</f>
        <v>5.333333333333333</v>
      </c>
      <c r="G13" s="60"/>
      <c r="H13" s="71"/>
      <c r="I13" s="68"/>
      <c r="J13" s="71"/>
      <c r="K13" s="128"/>
      <c r="L13" s="128"/>
      <c r="M13" s="128">
        <v>5</v>
      </c>
      <c r="N13" s="128">
        <v>5</v>
      </c>
      <c r="O13" s="128">
        <v>5</v>
      </c>
      <c r="P13" s="128">
        <v>6</v>
      </c>
      <c r="Q13" s="282">
        <v>7</v>
      </c>
      <c r="R13" s="128">
        <v>5</v>
      </c>
      <c r="S13" s="128">
        <v>5</v>
      </c>
      <c r="T13" s="128">
        <v>5</v>
      </c>
      <c r="U13" s="128">
        <v>5</v>
      </c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38"/>
      <c r="AG13" s="128"/>
      <c r="AH13" s="128"/>
      <c r="AI13" s="128"/>
      <c r="AJ13" s="128"/>
      <c r="AK13" s="128"/>
      <c r="AL13" s="128"/>
      <c r="AM13" s="128"/>
      <c r="AN13" s="128"/>
      <c r="AO13" s="128"/>
      <c r="AP13" s="108"/>
      <c r="AQ13" s="128"/>
      <c r="AR13" s="128"/>
      <c r="AS13" s="174"/>
    </row>
    <row r="14" spans="1:45" s="141" customFormat="1" x14ac:dyDescent="0.25">
      <c r="A14" s="83" t="s">
        <v>11</v>
      </c>
      <c r="B14" s="77" t="s">
        <v>514</v>
      </c>
      <c r="C14" s="166"/>
      <c r="D14" s="168">
        <v>1</v>
      </c>
      <c r="E14" s="164"/>
      <c r="F14" s="129"/>
      <c r="G14" s="60"/>
      <c r="H14" s="68" t="s">
        <v>153</v>
      </c>
      <c r="I14" s="68"/>
      <c r="J14" s="71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38"/>
      <c r="AG14" s="128"/>
      <c r="AH14" s="128"/>
      <c r="AI14" s="128"/>
      <c r="AJ14" s="128"/>
      <c r="AK14" s="128"/>
      <c r="AL14" s="128"/>
      <c r="AM14" s="128"/>
      <c r="AN14" s="128"/>
      <c r="AO14" s="128"/>
      <c r="AP14" s="108"/>
      <c r="AQ14" s="128"/>
      <c r="AR14" s="128"/>
      <c r="AS14" s="174"/>
    </row>
    <row r="15" spans="1:45" s="141" customFormat="1" x14ac:dyDescent="0.25">
      <c r="A15" s="83" t="s">
        <v>11</v>
      </c>
      <c r="B15" s="40" t="s">
        <v>384</v>
      </c>
      <c r="C15" s="166">
        <v>8</v>
      </c>
      <c r="D15" s="168">
        <v>1</v>
      </c>
      <c r="E15" s="164">
        <v>1</v>
      </c>
      <c r="F15" s="129">
        <f>AVERAGE(I15,J15,L15,N15,U15,V15,W15,Y15)</f>
        <v>4.875</v>
      </c>
      <c r="G15" s="60"/>
      <c r="H15" s="71"/>
      <c r="I15" s="301">
        <v>7</v>
      </c>
      <c r="J15" s="305">
        <v>3</v>
      </c>
      <c r="K15" s="128"/>
      <c r="L15" s="128">
        <v>5</v>
      </c>
      <c r="M15" s="128"/>
      <c r="N15" s="128">
        <v>4</v>
      </c>
      <c r="O15" s="128"/>
      <c r="P15" s="128"/>
      <c r="Q15" s="108" t="s">
        <v>153</v>
      </c>
      <c r="R15" s="128"/>
      <c r="S15" s="128"/>
      <c r="T15" s="128"/>
      <c r="U15" s="128">
        <v>6</v>
      </c>
      <c r="V15" s="128">
        <v>5</v>
      </c>
      <c r="W15" s="128">
        <v>4</v>
      </c>
      <c r="X15" s="128"/>
      <c r="Y15" s="128">
        <v>5</v>
      </c>
      <c r="Z15" s="128"/>
      <c r="AA15" s="128"/>
      <c r="AB15" s="128"/>
      <c r="AC15" s="128"/>
      <c r="AD15" s="128"/>
      <c r="AE15" s="128"/>
      <c r="AF15" s="38"/>
      <c r="AG15" s="128"/>
      <c r="AH15" s="128"/>
      <c r="AI15" s="128"/>
      <c r="AJ15" s="128"/>
      <c r="AK15" s="128"/>
      <c r="AL15" s="128"/>
      <c r="AM15" s="128"/>
      <c r="AN15" s="128"/>
      <c r="AO15" s="128"/>
      <c r="AP15" s="108"/>
      <c r="AQ15" s="128"/>
      <c r="AR15" s="128"/>
      <c r="AS15" s="174"/>
    </row>
    <row r="16" spans="1:45" s="141" customFormat="1" x14ac:dyDescent="0.25">
      <c r="A16" s="83" t="s">
        <v>11</v>
      </c>
      <c r="B16" s="40" t="s">
        <v>618</v>
      </c>
      <c r="C16" s="166">
        <v>11</v>
      </c>
      <c r="D16" s="168"/>
      <c r="E16" s="164"/>
      <c r="F16" s="129">
        <f>AVERAGE(K16,L16,N16,M16,Q16,R16,O16,S16,T16,U16,W16)</f>
        <v>4.5454545454545459</v>
      </c>
      <c r="G16" s="60"/>
      <c r="H16" s="71"/>
      <c r="I16" s="128"/>
      <c r="J16" s="128"/>
      <c r="K16" s="128">
        <v>5</v>
      </c>
      <c r="L16" s="128">
        <v>4</v>
      </c>
      <c r="M16" s="303">
        <v>3</v>
      </c>
      <c r="N16" s="128">
        <v>5</v>
      </c>
      <c r="O16" s="128">
        <v>5</v>
      </c>
      <c r="P16" s="128"/>
      <c r="Q16" s="128">
        <v>5</v>
      </c>
      <c r="R16" s="128">
        <v>5</v>
      </c>
      <c r="S16" s="128">
        <v>4</v>
      </c>
      <c r="T16" s="128">
        <v>4</v>
      </c>
      <c r="U16" s="128">
        <v>5</v>
      </c>
      <c r="V16" s="128"/>
      <c r="W16" s="128">
        <v>5</v>
      </c>
      <c r="X16" s="128"/>
      <c r="Y16" s="128"/>
      <c r="Z16" s="128"/>
      <c r="AA16" s="128"/>
      <c r="AB16" s="128"/>
      <c r="AC16" s="128"/>
      <c r="AD16" s="128"/>
      <c r="AE16" s="128"/>
      <c r="AF16" s="38"/>
      <c r="AG16" s="128"/>
      <c r="AH16" s="128"/>
      <c r="AI16" s="128"/>
      <c r="AJ16" s="128"/>
      <c r="AK16" s="128"/>
      <c r="AL16" s="128"/>
      <c r="AM16" s="128"/>
      <c r="AN16" s="128"/>
      <c r="AO16" s="128"/>
      <c r="AP16" s="108"/>
      <c r="AQ16" s="128"/>
      <c r="AR16" s="128"/>
      <c r="AS16" s="174"/>
    </row>
    <row r="17" spans="1:45" s="141" customFormat="1" x14ac:dyDescent="0.25">
      <c r="A17" s="83" t="s">
        <v>11</v>
      </c>
      <c r="B17" s="40" t="s">
        <v>619</v>
      </c>
      <c r="C17" s="166">
        <v>11</v>
      </c>
      <c r="D17" s="168"/>
      <c r="E17" s="164">
        <v>1</v>
      </c>
      <c r="F17" s="129">
        <f>AVERAGE(K17,P17,Q17,R17,O17,S17,T17,U17,V17,W17,X17)</f>
        <v>5.4545454545454541</v>
      </c>
      <c r="G17" s="60"/>
      <c r="H17" s="71"/>
      <c r="I17" s="128"/>
      <c r="J17" s="128"/>
      <c r="K17" s="128">
        <v>5</v>
      </c>
      <c r="L17" s="128"/>
      <c r="M17" s="128"/>
      <c r="N17" s="128"/>
      <c r="O17" s="128">
        <v>6</v>
      </c>
      <c r="P17" s="283">
        <v>7</v>
      </c>
      <c r="Q17" s="128">
        <v>6</v>
      </c>
      <c r="R17" s="128">
        <v>5</v>
      </c>
      <c r="S17" s="128">
        <v>5</v>
      </c>
      <c r="T17" s="128">
        <v>5</v>
      </c>
      <c r="U17" s="128">
        <v>5</v>
      </c>
      <c r="V17" s="128">
        <v>6</v>
      </c>
      <c r="W17" s="128">
        <v>5</v>
      </c>
      <c r="X17" s="128">
        <v>5</v>
      </c>
      <c r="Y17" s="128"/>
      <c r="Z17" s="128"/>
      <c r="AA17" s="128"/>
      <c r="AB17" s="128"/>
      <c r="AC17" s="128"/>
      <c r="AD17" s="128"/>
      <c r="AE17" s="128"/>
      <c r="AF17" s="38"/>
      <c r="AG17" s="128"/>
      <c r="AH17" s="128"/>
      <c r="AI17" s="128"/>
      <c r="AJ17" s="128"/>
      <c r="AK17" s="128"/>
      <c r="AL17" s="128"/>
      <c r="AM17" s="128"/>
      <c r="AN17" s="128"/>
      <c r="AO17" s="128"/>
      <c r="AP17" s="108"/>
      <c r="AQ17" s="128"/>
      <c r="AR17" s="128"/>
      <c r="AS17" s="174"/>
    </row>
    <row r="18" spans="1:45" x14ac:dyDescent="0.25">
      <c r="A18" s="13" t="s">
        <v>11</v>
      </c>
      <c r="B18" s="172" t="s">
        <v>208</v>
      </c>
      <c r="C18" s="170">
        <v>11</v>
      </c>
      <c r="D18" s="171">
        <v>1</v>
      </c>
      <c r="E18" s="172"/>
      <c r="F18" s="129">
        <f>AVERAGE(Y18,N18,M18,Q18,R18,O18,S18,U18,V18,W18,X18)</f>
        <v>4.7272727272727275</v>
      </c>
      <c r="G18" s="56"/>
      <c r="H18" s="108" t="s">
        <v>153</v>
      </c>
      <c r="I18" s="108"/>
      <c r="J18" s="128"/>
      <c r="K18" s="128"/>
      <c r="L18" s="128"/>
      <c r="M18" s="128">
        <v>5</v>
      </c>
      <c r="N18" s="128">
        <v>4</v>
      </c>
      <c r="O18" s="128">
        <v>4</v>
      </c>
      <c r="P18" s="128"/>
      <c r="Q18" s="128">
        <v>5</v>
      </c>
      <c r="R18" s="128">
        <v>5</v>
      </c>
      <c r="S18" s="70">
        <v>4</v>
      </c>
      <c r="T18" s="128"/>
      <c r="U18" s="128">
        <v>5</v>
      </c>
      <c r="V18" s="128">
        <v>5</v>
      </c>
      <c r="W18" s="128">
        <v>4</v>
      </c>
      <c r="X18" s="128">
        <v>5</v>
      </c>
      <c r="Y18" s="128">
        <v>6</v>
      </c>
      <c r="Z18" s="128"/>
      <c r="AA18" s="128"/>
      <c r="AB18" s="128"/>
      <c r="AC18" s="57"/>
      <c r="AD18" s="38"/>
      <c r="AE18" s="108"/>
      <c r="AF18" s="62"/>
      <c r="AG18" s="128"/>
      <c r="AH18" s="108"/>
      <c r="AI18" s="128"/>
      <c r="AJ18" s="128"/>
      <c r="AK18" s="128"/>
      <c r="AL18" s="128"/>
      <c r="AM18" s="128"/>
      <c r="AN18" s="128"/>
      <c r="AO18" s="128"/>
      <c r="AP18" s="108"/>
      <c r="AQ18" s="128"/>
      <c r="AR18" s="128"/>
      <c r="AS18" s="27"/>
    </row>
    <row r="19" spans="1:45" x14ac:dyDescent="0.25">
      <c r="A19" s="83" t="s">
        <v>29</v>
      </c>
      <c r="B19" s="160" t="s">
        <v>209</v>
      </c>
      <c r="C19" s="166">
        <v>8</v>
      </c>
      <c r="D19" s="168">
        <v>4</v>
      </c>
      <c r="E19" s="164"/>
      <c r="F19" s="52">
        <f>AVERAGE(J19,L19,N19,M19,U19,W19,X19,Y19)</f>
        <v>4.5</v>
      </c>
      <c r="G19" s="56" t="s">
        <v>153</v>
      </c>
      <c r="H19" s="108"/>
      <c r="I19" s="62" t="s">
        <v>153</v>
      </c>
      <c r="J19" s="128">
        <v>4</v>
      </c>
      <c r="K19" s="108" t="s">
        <v>153</v>
      </c>
      <c r="L19" s="128">
        <v>4</v>
      </c>
      <c r="M19" s="128">
        <v>4</v>
      </c>
      <c r="N19" s="128">
        <v>4</v>
      </c>
      <c r="O19" s="128"/>
      <c r="P19" s="128"/>
      <c r="Q19" s="128"/>
      <c r="R19" s="108"/>
      <c r="S19" s="108"/>
      <c r="T19" s="108" t="s">
        <v>153</v>
      </c>
      <c r="U19" s="128">
        <v>4</v>
      </c>
      <c r="V19" s="108"/>
      <c r="W19" s="70">
        <v>6</v>
      </c>
      <c r="X19" s="128">
        <v>5</v>
      </c>
      <c r="Y19" s="128">
        <v>5</v>
      </c>
      <c r="Z19" s="128"/>
      <c r="AA19" s="128"/>
      <c r="AB19" s="128"/>
      <c r="AC19" s="108"/>
      <c r="AD19" s="38"/>
      <c r="AE19" s="108"/>
      <c r="AF19" s="62"/>
      <c r="AG19" s="128"/>
      <c r="AH19" s="108"/>
      <c r="AI19" s="128"/>
      <c r="AJ19" s="108"/>
      <c r="AK19" s="69"/>
      <c r="AL19" s="128"/>
      <c r="AM19" s="128"/>
      <c r="AN19" s="69"/>
      <c r="AO19" s="128"/>
      <c r="AP19" s="108"/>
      <c r="AQ19" s="128"/>
      <c r="AR19" s="128"/>
      <c r="AS19" s="27"/>
    </row>
    <row r="20" spans="1:45" x14ac:dyDescent="0.25">
      <c r="A20" s="83" t="s">
        <v>29</v>
      </c>
      <c r="B20" s="160" t="s">
        <v>210</v>
      </c>
      <c r="C20" s="166">
        <v>13</v>
      </c>
      <c r="D20" s="168">
        <v>3</v>
      </c>
      <c r="E20" s="164"/>
      <c r="F20" s="129">
        <f>AVERAGE(Y20,H20,I20,J20,K20,G20,M20,P20,R20,U20,V20,W20,X20)</f>
        <v>5</v>
      </c>
      <c r="G20" s="56">
        <v>5</v>
      </c>
      <c r="H20" s="128">
        <v>5</v>
      </c>
      <c r="I20" s="108">
        <v>6</v>
      </c>
      <c r="J20" s="108">
        <v>5</v>
      </c>
      <c r="K20" s="128">
        <v>4</v>
      </c>
      <c r="L20" s="108" t="s">
        <v>153</v>
      </c>
      <c r="M20" s="108">
        <v>5</v>
      </c>
      <c r="N20" s="128"/>
      <c r="O20" s="108" t="s">
        <v>153</v>
      </c>
      <c r="P20" s="128">
        <v>5</v>
      </c>
      <c r="Q20" s="108" t="s">
        <v>153</v>
      </c>
      <c r="R20" s="128">
        <v>5</v>
      </c>
      <c r="S20" s="108"/>
      <c r="T20" s="128"/>
      <c r="U20" s="108">
        <v>6</v>
      </c>
      <c r="V20" s="128">
        <v>5</v>
      </c>
      <c r="W20" s="108">
        <v>5</v>
      </c>
      <c r="X20" s="128">
        <v>4</v>
      </c>
      <c r="Y20" s="128">
        <v>5</v>
      </c>
      <c r="Z20" s="128"/>
      <c r="AA20" s="128"/>
      <c r="AB20" s="128"/>
      <c r="AC20" s="108"/>
      <c r="AD20" s="38"/>
      <c r="AE20" s="108"/>
      <c r="AF20" s="62"/>
      <c r="AG20" s="128"/>
      <c r="AH20" s="108"/>
      <c r="AI20" s="128"/>
      <c r="AJ20" s="128"/>
      <c r="AK20" s="128"/>
      <c r="AL20" s="108"/>
      <c r="AM20" s="128"/>
      <c r="AN20" s="128"/>
      <c r="AO20" s="128"/>
      <c r="AP20" s="108"/>
      <c r="AQ20" s="108"/>
      <c r="AR20" s="128"/>
      <c r="AS20" s="27"/>
    </row>
    <row r="21" spans="1:45" x14ac:dyDescent="0.25">
      <c r="A21" s="184" t="s">
        <v>29</v>
      </c>
      <c r="B21" s="40" t="s">
        <v>230</v>
      </c>
      <c r="C21" s="185">
        <v>13</v>
      </c>
      <c r="D21" s="64"/>
      <c r="E21" s="187"/>
      <c r="F21" s="129">
        <f>AVERAGE(H21,I21,J21,G21,L21,N21,M21,P21,Q21,R21,O21,S21,T21)</f>
        <v>5</v>
      </c>
      <c r="G21" s="213">
        <v>6</v>
      </c>
      <c r="H21" s="70">
        <v>5</v>
      </c>
      <c r="I21" s="204">
        <v>6</v>
      </c>
      <c r="J21" s="70">
        <v>5</v>
      </c>
      <c r="K21" s="70"/>
      <c r="L21" s="204">
        <v>5</v>
      </c>
      <c r="M21" s="70">
        <v>5</v>
      </c>
      <c r="N21" s="70">
        <v>4</v>
      </c>
      <c r="O21" s="70">
        <v>5</v>
      </c>
      <c r="P21" s="70">
        <v>5</v>
      </c>
      <c r="Q21" s="70">
        <v>5</v>
      </c>
      <c r="R21" s="70">
        <v>5</v>
      </c>
      <c r="S21" s="70">
        <v>5</v>
      </c>
      <c r="T21" s="70">
        <v>4</v>
      </c>
      <c r="U21" s="180"/>
      <c r="V21" s="180"/>
      <c r="W21" s="180"/>
      <c r="X21" s="180"/>
      <c r="Y21" s="180"/>
      <c r="Z21" s="180"/>
      <c r="AA21" s="180"/>
      <c r="AB21" s="180"/>
      <c r="AC21" s="192"/>
      <c r="AD21" s="182"/>
      <c r="AE21" s="181"/>
      <c r="AF21" s="199"/>
      <c r="AG21" s="180"/>
      <c r="AH21" s="192"/>
      <c r="AI21" s="180"/>
      <c r="AJ21" s="180"/>
      <c r="AK21" s="180"/>
      <c r="AL21" s="180"/>
      <c r="AM21" s="180"/>
      <c r="AN21" s="180"/>
      <c r="AO21" s="180"/>
      <c r="AP21" s="192"/>
      <c r="AQ21" s="180"/>
      <c r="AR21" s="180"/>
      <c r="AS21" s="27"/>
    </row>
    <row r="22" spans="1:45" x14ac:dyDescent="0.25">
      <c r="A22" s="83" t="s">
        <v>29</v>
      </c>
      <c r="B22" s="160" t="s">
        <v>231</v>
      </c>
      <c r="C22" s="166">
        <v>2</v>
      </c>
      <c r="D22" s="168">
        <v>2</v>
      </c>
      <c r="E22" s="164"/>
      <c r="F22" s="114">
        <f>AVERAGE(T22,V22)</f>
        <v>5.5</v>
      </c>
      <c r="G22" s="56"/>
      <c r="H22" s="128"/>
      <c r="I22" s="10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>
        <v>6</v>
      </c>
      <c r="U22" s="128"/>
      <c r="V22" s="128">
        <v>5</v>
      </c>
      <c r="W22" s="108" t="s">
        <v>153</v>
      </c>
      <c r="X22" s="108" t="s">
        <v>153</v>
      </c>
      <c r="Y22" s="128"/>
      <c r="Z22" s="128"/>
      <c r="AA22" s="128"/>
      <c r="AB22" s="128"/>
      <c r="AC22" s="108"/>
      <c r="AD22" s="38"/>
      <c r="AE22" s="62"/>
      <c r="AF22" s="56"/>
      <c r="AG22" s="128"/>
      <c r="AH22" s="108"/>
      <c r="AI22" s="128"/>
      <c r="AJ22" s="128"/>
      <c r="AK22" s="128"/>
      <c r="AL22" s="128"/>
      <c r="AM22" s="128"/>
      <c r="AN22" s="128"/>
      <c r="AO22" s="128"/>
      <c r="AP22" s="108"/>
      <c r="AQ22" s="128"/>
      <c r="AR22" s="128"/>
      <c r="AS22" s="27"/>
    </row>
    <row r="23" spans="1:45" s="78" customFormat="1" x14ac:dyDescent="0.25">
      <c r="A23" s="83" t="s">
        <v>29</v>
      </c>
      <c r="B23" s="28" t="s">
        <v>358</v>
      </c>
      <c r="C23" s="166">
        <v>9</v>
      </c>
      <c r="D23" s="168">
        <v>1</v>
      </c>
      <c r="E23" s="164">
        <v>1</v>
      </c>
      <c r="F23" s="129">
        <f>AVERAGE(H23,I23,J23,K23,G23,L23,N23,P23,Q23)</f>
        <v>5.5555555555555554</v>
      </c>
      <c r="G23" s="56">
        <v>6</v>
      </c>
      <c r="H23" s="128">
        <v>5</v>
      </c>
      <c r="I23" s="108">
        <v>6</v>
      </c>
      <c r="J23" s="128">
        <v>4</v>
      </c>
      <c r="K23" s="128">
        <v>5</v>
      </c>
      <c r="L23" s="128">
        <v>6</v>
      </c>
      <c r="M23" s="108" t="s">
        <v>153</v>
      </c>
      <c r="N23" s="128">
        <v>6</v>
      </c>
      <c r="O23" s="128"/>
      <c r="P23" s="294">
        <v>7</v>
      </c>
      <c r="Q23" s="128">
        <v>5</v>
      </c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08"/>
      <c r="AD23" s="38"/>
      <c r="AE23" s="62"/>
      <c r="AF23" s="56"/>
      <c r="AG23" s="128"/>
      <c r="AH23" s="108"/>
      <c r="AI23" s="128"/>
      <c r="AJ23" s="128"/>
      <c r="AK23" s="128"/>
      <c r="AL23" s="128"/>
      <c r="AM23" s="128"/>
      <c r="AN23" s="108"/>
      <c r="AO23" s="108"/>
      <c r="AP23" s="108"/>
      <c r="AQ23" s="128"/>
      <c r="AR23" s="128"/>
      <c r="AS23" s="80"/>
    </row>
    <row r="24" spans="1:45" x14ac:dyDescent="0.25">
      <c r="A24" s="83" t="s">
        <v>29</v>
      </c>
      <c r="B24" s="160" t="s">
        <v>55</v>
      </c>
      <c r="C24" s="166"/>
      <c r="D24" s="168">
        <v>3</v>
      </c>
      <c r="E24" s="164"/>
      <c r="F24" s="129">
        <f>AVERAGE(J24)</f>
        <v>4</v>
      </c>
      <c r="G24" s="56"/>
      <c r="H24" s="128"/>
      <c r="I24" s="108" t="s">
        <v>153</v>
      </c>
      <c r="J24" s="128">
        <v>4</v>
      </c>
      <c r="K24" s="128"/>
      <c r="L24" s="128"/>
      <c r="M24" s="128"/>
      <c r="N24" s="128"/>
      <c r="O24" s="128"/>
      <c r="P24" s="128"/>
      <c r="Q24" s="128"/>
      <c r="R24" s="108" t="s">
        <v>153</v>
      </c>
      <c r="S24" s="128"/>
      <c r="T24" s="128"/>
      <c r="U24" s="128"/>
      <c r="V24" s="128"/>
      <c r="W24" s="128"/>
      <c r="X24" s="108"/>
      <c r="Y24" s="108"/>
      <c r="Z24" s="128"/>
      <c r="AA24" s="128"/>
      <c r="AB24" s="128"/>
      <c r="AC24" s="108"/>
      <c r="AD24" s="62"/>
      <c r="AE24" s="62"/>
      <c r="AF24" s="56"/>
      <c r="AG24" s="108"/>
      <c r="AH24" s="108"/>
      <c r="AI24" s="128"/>
      <c r="AJ24" s="128"/>
      <c r="AK24" s="128"/>
      <c r="AL24" s="128"/>
      <c r="AM24" s="128"/>
      <c r="AN24" s="128"/>
      <c r="AO24" s="128"/>
      <c r="AP24" s="108"/>
      <c r="AQ24" s="128"/>
      <c r="AR24" s="128"/>
      <c r="AS24" s="27"/>
    </row>
    <row r="25" spans="1:45" s="141" customFormat="1" x14ac:dyDescent="0.25">
      <c r="A25" s="83" t="s">
        <v>29</v>
      </c>
      <c r="B25" s="40" t="s">
        <v>452</v>
      </c>
      <c r="C25" s="166">
        <v>14</v>
      </c>
      <c r="D25" s="168">
        <v>2</v>
      </c>
      <c r="E25" s="164">
        <v>1</v>
      </c>
      <c r="F25" s="129">
        <f>AVERAGE(Y25,H25,I25,J25,K25,G25,M25,P25,Q25,R25,O25,S25,W25,X25)</f>
        <v>5.4285714285714288</v>
      </c>
      <c r="G25" s="56">
        <v>6</v>
      </c>
      <c r="H25" s="128">
        <v>6</v>
      </c>
      <c r="I25" s="108">
        <v>4</v>
      </c>
      <c r="J25" s="128">
        <v>4</v>
      </c>
      <c r="K25" s="108">
        <v>5</v>
      </c>
      <c r="L25" s="108" t="s">
        <v>153</v>
      </c>
      <c r="M25" s="108">
        <v>5</v>
      </c>
      <c r="N25" s="108" t="s">
        <v>153</v>
      </c>
      <c r="O25" s="108">
        <v>6</v>
      </c>
      <c r="P25" s="70">
        <v>6</v>
      </c>
      <c r="Q25" s="294">
        <v>7</v>
      </c>
      <c r="R25" s="282">
        <v>7</v>
      </c>
      <c r="S25" s="128">
        <v>5</v>
      </c>
      <c r="T25" s="128"/>
      <c r="U25" s="128"/>
      <c r="V25" s="128"/>
      <c r="W25" s="128">
        <v>5</v>
      </c>
      <c r="X25" s="128">
        <v>5</v>
      </c>
      <c r="Y25" s="128">
        <v>5</v>
      </c>
      <c r="Z25" s="128"/>
      <c r="AA25" s="128"/>
      <c r="AB25" s="128"/>
      <c r="AC25" s="108"/>
      <c r="AD25" s="38"/>
      <c r="AE25" s="62"/>
      <c r="AF25" s="56"/>
      <c r="AG25" s="128"/>
      <c r="AH25" s="10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74"/>
    </row>
    <row r="26" spans="1:45" s="141" customFormat="1" x14ac:dyDescent="0.25">
      <c r="A26" s="83" t="s">
        <v>29</v>
      </c>
      <c r="B26" s="77" t="s">
        <v>827</v>
      </c>
      <c r="C26" s="166">
        <v>1</v>
      </c>
      <c r="D26" s="168">
        <v>2</v>
      </c>
      <c r="E26" s="164">
        <v>1</v>
      </c>
      <c r="F26" s="129">
        <f>AVERAGE(O26)</f>
        <v>5</v>
      </c>
      <c r="G26" s="56"/>
      <c r="H26" s="128"/>
      <c r="I26" s="108"/>
      <c r="J26" s="128"/>
      <c r="K26" s="108"/>
      <c r="L26" s="108"/>
      <c r="M26" s="108"/>
      <c r="N26" s="108"/>
      <c r="O26" s="57">
        <v>5</v>
      </c>
      <c r="P26" s="70"/>
      <c r="Q26" s="108"/>
      <c r="R26" s="70"/>
      <c r="S26" s="108" t="s">
        <v>153</v>
      </c>
      <c r="T26" s="108" t="s">
        <v>153</v>
      </c>
      <c r="U26" s="128"/>
      <c r="V26" s="128"/>
      <c r="W26" s="128"/>
      <c r="X26" s="128"/>
      <c r="Y26" s="128"/>
      <c r="Z26" s="128"/>
      <c r="AA26" s="128"/>
      <c r="AB26" s="128"/>
      <c r="AC26" s="108"/>
      <c r="AD26" s="38"/>
      <c r="AE26" s="62"/>
      <c r="AF26" s="56"/>
      <c r="AG26" s="128"/>
      <c r="AH26" s="10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74"/>
    </row>
    <row r="27" spans="1:45" s="141" customFormat="1" x14ac:dyDescent="0.25">
      <c r="A27" s="13" t="s">
        <v>29</v>
      </c>
      <c r="B27" s="217" t="s">
        <v>495</v>
      </c>
      <c r="C27" s="170">
        <v>6</v>
      </c>
      <c r="D27" s="171">
        <v>4</v>
      </c>
      <c r="E27" s="172"/>
      <c r="F27" s="34">
        <f>AVERAGE(H27,I27,K27,G27,V27,X27)</f>
        <v>4.666666666666667</v>
      </c>
      <c r="G27" s="56">
        <v>5</v>
      </c>
      <c r="H27" s="128">
        <v>5</v>
      </c>
      <c r="I27" s="108">
        <v>5</v>
      </c>
      <c r="J27" s="128"/>
      <c r="K27" s="128">
        <v>4</v>
      </c>
      <c r="L27" s="128"/>
      <c r="M27" s="128"/>
      <c r="N27" s="128"/>
      <c r="O27" s="128"/>
      <c r="P27" s="204" t="s">
        <v>153</v>
      </c>
      <c r="Q27" s="128"/>
      <c r="R27" s="128"/>
      <c r="S27" s="108" t="s">
        <v>153</v>
      </c>
      <c r="T27" s="128"/>
      <c r="U27" s="108" t="s">
        <v>153</v>
      </c>
      <c r="V27" s="128">
        <v>4</v>
      </c>
      <c r="W27" s="128"/>
      <c r="X27" s="108">
        <v>5</v>
      </c>
      <c r="Y27" s="108" t="s">
        <v>153</v>
      </c>
      <c r="Z27" s="128"/>
      <c r="AA27" s="128"/>
      <c r="AB27" s="128"/>
      <c r="AC27" s="108"/>
      <c r="AD27" s="62"/>
      <c r="AE27" s="62"/>
      <c r="AF27" s="56"/>
      <c r="AG27" s="108"/>
      <c r="AH27" s="108"/>
      <c r="AI27" s="128"/>
      <c r="AJ27" s="128"/>
      <c r="AK27" s="128"/>
      <c r="AL27" s="128"/>
      <c r="AM27" s="128"/>
      <c r="AN27" s="128"/>
      <c r="AO27" s="128"/>
      <c r="AP27" s="108"/>
      <c r="AQ27" s="128"/>
      <c r="AR27" s="128"/>
      <c r="AS27" s="174"/>
    </row>
    <row r="28" spans="1:45" x14ac:dyDescent="0.25">
      <c r="A28" s="54" t="s">
        <v>30</v>
      </c>
      <c r="B28" s="122" t="s">
        <v>212</v>
      </c>
      <c r="C28" s="156"/>
      <c r="D28" s="157"/>
      <c r="E28" s="158"/>
      <c r="F28" s="129"/>
      <c r="G28" s="220"/>
      <c r="H28" s="221"/>
      <c r="I28" s="222"/>
      <c r="J28" s="221"/>
      <c r="K28" s="221"/>
      <c r="L28" s="221"/>
      <c r="M28" s="221"/>
      <c r="N28" s="222"/>
      <c r="O28" s="221"/>
      <c r="P28" s="222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2"/>
      <c r="AD28" s="223"/>
      <c r="AE28" s="224"/>
      <c r="AF28" s="225"/>
      <c r="AG28" s="221"/>
      <c r="AH28" s="222"/>
      <c r="AI28" s="221"/>
      <c r="AJ28" s="221"/>
      <c r="AK28" s="221"/>
      <c r="AL28" s="221"/>
      <c r="AM28" s="221"/>
      <c r="AN28" s="221"/>
      <c r="AO28" s="221"/>
      <c r="AP28" s="222"/>
      <c r="AQ28" s="221"/>
      <c r="AR28" s="221"/>
      <c r="AS28" s="27"/>
    </row>
    <row r="29" spans="1:45" x14ac:dyDescent="0.25">
      <c r="A29" s="83" t="s">
        <v>30</v>
      </c>
      <c r="B29" s="40" t="s">
        <v>327</v>
      </c>
      <c r="C29" s="166">
        <v>12</v>
      </c>
      <c r="D29" s="168">
        <v>5</v>
      </c>
      <c r="E29" s="164">
        <v>4</v>
      </c>
      <c r="F29" s="129">
        <f>AVERAGE(Y29,H29,G29,L29,N29,P29,Q29,R29,O29,S29,T29,U29)</f>
        <v>4.916666666666667</v>
      </c>
      <c r="G29" s="213">
        <v>4</v>
      </c>
      <c r="H29" s="108">
        <v>4</v>
      </c>
      <c r="I29" s="68" t="s">
        <v>153</v>
      </c>
      <c r="J29" s="68" t="s">
        <v>153</v>
      </c>
      <c r="K29" s="108" t="s">
        <v>153</v>
      </c>
      <c r="L29" s="128">
        <v>4</v>
      </c>
      <c r="M29" s="128"/>
      <c r="N29" s="283">
        <v>7</v>
      </c>
      <c r="O29" s="128">
        <v>6</v>
      </c>
      <c r="P29" s="69">
        <v>6</v>
      </c>
      <c r="Q29" s="69">
        <v>6</v>
      </c>
      <c r="R29" s="128">
        <v>4</v>
      </c>
      <c r="S29" s="69">
        <v>5</v>
      </c>
      <c r="T29" s="128">
        <v>4</v>
      </c>
      <c r="U29" s="128">
        <v>5</v>
      </c>
      <c r="V29" s="108" t="s">
        <v>153</v>
      </c>
      <c r="W29" s="108" t="s">
        <v>153</v>
      </c>
      <c r="X29" s="128"/>
      <c r="Y29" s="70">
        <v>4</v>
      </c>
      <c r="Z29" s="128"/>
      <c r="AA29" s="128"/>
      <c r="AB29" s="128"/>
      <c r="AC29" s="108"/>
      <c r="AD29" s="38"/>
      <c r="AE29" s="62"/>
      <c r="AF29" s="56"/>
      <c r="AG29" s="57"/>
      <c r="AH29" s="108"/>
      <c r="AI29" s="108"/>
      <c r="AJ29" s="108"/>
      <c r="AK29" s="128"/>
      <c r="AL29" s="128"/>
      <c r="AM29" s="108"/>
      <c r="AN29" s="108"/>
      <c r="AO29" s="108"/>
      <c r="AP29" s="108"/>
      <c r="AQ29" s="128"/>
      <c r="AR29" s="128"/>
      <c r="AS29" s="27"/>
    </row>
    <row r="30" spans="1:45" x14ac:dyDescent="0.25">
      <c r="A30" s="83" t="s">
        <v>30</v>
      </c>
      <c r="B30" s="40" t="s">
        <v>213</v>
      </c>
      <c r="C30" s="166"/>
      <c r="D30" s="168"/>
      <c r="E30" s="164"/>
      <c r="F30" s="129"/>
      <c r="G30" s="56"/>
      <c r="H30" s="128"/>
      <c r="I30" s="108"/>
      <c r="J30" s="108"/>
      <c r="K30" s="128"/>
      <c r="L30" s="10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08"/>
      <c r="AB30" s="128"/>
      <c r="AC30" s="108"/>
      <c r="AD30" s="38"/>
      <c r="AE30" s="62"/>
      <c r="AF30" s="56"/>
      <c r="AG30" s="128"/>
      <c r="AH30" s="57"/>
      <c r="AI30" s="128"/>
      <c r="AJ30" s="128"/>
      <c r="AK30" s="128"/>
      <c r="AL30" s="108"/>
      <c r="AM30" s="128"/>
      <c r="AN30" s="128"/>
      <c r="AO30" s="128"/>
      <c r="AP30" s="128"/>
      <c r="AQ30" s="108"/>
      <c r="AR30" s="108"/>
      <c r="AS30" s="27"/>
    </row>
    <row r="31" spans="1:45" x14ac:dyDescent="0.25">
      <c r="A31" s="83" t="s">
        <v>30</v>
      </c>
      <c r="B31" s="40" t="s">
        <v>260</v>
      </c>
      <c r="C31" s="166">
        <v>8</v>
      </c>
      <c r="D31" s="168">
        <v>8</v>
      </c>
      <c r="E31" s="164"/>
      <c r="F31" s="129">
        <f>AVERAGE(I31,J31,L31,Q31,R31,S31,X31,Y31)</f>
        <v>4.625</v>
      </c>
      <c r="G31" s="56" t="s">
        <v>153</v>
      </c>
      <c r="H31" s="108" t="s">
        <v>153</v>
      </c>
      <c r="I31" s="108">
        <v>6</v>
      </c>
      <c r="J31" s="128">
        <v>5</v>
      </c>
      <c r="K31" s="108" t="s">
        <v>153</v>
      </c>
      <c r="L31" s="303">
        <v>3</v>
      </c>
      <c r="M31" s="108" t="s">
        <v>153</v>
      </c>
      <c r="N31" s="108" t="s">
        <v>153</v>
      </c>
      <c r="O31" s="108" t="s">
        <v>153</v>
      </c>
      <c r="P31" s="204" t="s">
        <v>153</v>
      </c>
      <c r="Q31" s="128">
        <v>4</v>
      </c>
      <c r="R31" s="128">
        <v>4</v>
      </c>
      <c r="S31" s="128">
        <v>5</v>
      </c>
      <c r="T31" s="108"/>
      <c r="U31" s="108"/>
      <c r="V31" s="108" t="s">
        <v>153</v>
      </c>
      <c r="W31" s="128"/>
      <c r="X31" s="128">
        <v>5</v>
      </c>
      <c r="Y31" s="204">
        <v>5</v>
      </c>
      <c r="Z31" s="128"/>
      <c r="AA31" s="108"/>
      <c r="AB31" s="128"/>
      <c r="AC31" s="108"/>
      <c r="AD31" s="38"/>
      <c r="AE31" s="62"/>
      <c r="AF31" s="56"/>
      <c r="AG31" s="128"/>
      <c r="AH31" s="108"/>
      <c r="AI31" s="128"/>
      <c r="AJ31" s="128"/>
      <c r="AK31" s="108"/>
      <c r="AL31" s="108"/>
      <c r="AM31" s="128"/>
      <c r="AN31" s="128"/>
      <c r="AO31" s="128"/>
      <c r="AP31" s="128"/>
      <c r="AQ31" s="69"/>
      <c r="AR31" s="128"/>
      <c r="AS31" s="27"/>
    </row>
    <row r="32" spans="1:45" s="91" customFormat="1" x14ac:dyDescent="0.25">
      <c r="A32" s="83" t="s">
        <v>30</v>
      </c>
      <c r="B32" s="40" t="s">
        <v>360</v>
      </c>
      <c r="C32" s="166">
        <v>8</v>
      </c>
      <c r="D32" s="168">
        <v>5</v>
      </c>
      <c r="E32" s="164">
        <v>1</v>
      </c>
      <c r="F32" s="129">
        <f>AVERAGE(N32,M32,P32,O32,S32,T32,U32,V32)</f>
        <v>4.875</v>
      </c>
      <c r="G32" s="56"/>
      <c r="H32" s="128"/>
      <c r="I32" s="108"/>
      <c r="J32" s="128"/>
      <c r="K32" s="108"/>
      <c r="L32" s="108" t="s">
        <v>153</v>
      </c>
      <c r="M32" s="294">
        <v>7</v>
      </c>
      <c r="N32" s="128">
        <v>5</v>
      </c>
      <c r="O32" s="108">
        <v>4</v>
      </c>
      <c r="P32" s="70">
        <v>5</v>
      </c>
      <c r="Q32" s="108" t="s">
        <v>153</v>
      </c>
      <c r="R32" s="108" t="s">
        <v>153</v>
      </c>
      <c r="S32" s="128">
        <v>5</v>
      </c>
      <c r="T32" s="128">
        <v>4</v>
      </c>
      <c r="U32" s="128">
        <v>5</v>
      </c>
      <c r="V32" s="128">
        <v>4</v>
      </c>
      <c r="W32" s="108" t="s">
        <v>153</v>
      </c>
      <c r="X32" s="108" t="s">
        <v>153</v>
      </c>
      <c r="Y32" s="128"/>
      <c r="Z32" s="128"/>
      <c r="AA32" s="128"/>
      <c r="AB32" s="128"/>
      <c r="AC32" s="108"/>
      <c r="AD32" s="38"/>
      <c r="AE32" s="62"/>
      <c r="AF32" s="56"/>
      <c r="AG32" s="128"/>
      <c r="AH32" s="108"/>
      <c r="AI32" s="128"/>
      <c r="AJ32" s="128"/>
      <c r="AK32" s="128"/>
      <c r="AL32" s="128"/>
      <c r="AM32" s="128"/>
      <c r="AN32" s="128"/>
      <c r="AO32" s="128"/>
      <c r="AP32" s="128"/>
      <c r="AQ32" s="128"/>
      <c r="AR32" s="128"/>
      <c r="AS32" s="93"/>
    </row>
    <row r="33" spans="1:45" s="141" customFormat="1" x14ac:dyDescent="0.25">
      <c r="A33" s="83" t="s">
        <v>30</v>
      </c>
      <c r="B33" s="40" t="s">
        <v>285</v>
      </c>
      <c r="C33" s="166">
        <v>10</v>
      </c>
      <c r="D33" s="168">
        <v>5</v>
      </c>
      <c r="E33" s="164">
        <v>2</v>
      </c>
      <c r="F33" s="129">
        <f>AVERAGE(Y33,J33,K33,G33,L33,P33,Q33,R33,V33,W33,X33)</f>
        <v>4.7272727272727275</v>
      </c>
      <c r="G33" s="56">
        <v>5</v>
      </c>
      <c r="H33" s="128"/>
      <c r="I33" s="108"/>
      <c r="J33" s="128">
        <v>4</v>
      </c>
      <c r="K33" s="108">
        <v>4</v>
      </c>
      <c r="L33" s="128">
        <v>4</v>
      </c>
      <c r="M33" s="108"/>
      <c r="N33" s="128"/>
      <c r="O33" s="108" t="s">
        <v>153</v>
      </c>
      <c r="P33" s="70">
        <v>4</v>
      </c>
      <c r="Q33" s="108">
        <v>6</v>
      </c>
      <c r="R33" s="108">
        <v>4</v>
      </c>
      <c r="S33" s="108" t="s">
        <v>153</v>
      </c>
      <c r="T33" s="108" t="s">
        <v>153</v>
      </c>
      <c r="U33" s="108" t="s">
        <v>153</v>
      </c>
      <c r="V33" s="128">
        <v>4</v>
      </c>
      <c r="W33" s="69">
        <v>6</v>
      </c>
      <c r="X33" s="283">
        <v>7</v>
      </c>
      <c r="Y33" s="128">
        <v>4</v>
      </c>
      <c r="Z33" s="128"/>
      <c r="AA33" s="128"/>
      <c r="AB33" s="128"/>
      <c r="AC33" s="108"/>
      <c r="AD33" s="38"/>
      <c r="AE33" s="62"/>
      <c r="AF33" s="56"/>
      <c r="AG33" s="128"/>
      <c r="AH33" s="10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74"/>
    </row>
    <row r="34" spans="1:45" s="141" customFormat="1" x14ac:dyDescent="0.25">
      <c r="A34" s="83" t="s">
        <v>30</v>
      </c>
      <c r="B34" s="77" t="s">
        <v>848</v>
      </c>
      <c r="C34" s="166">
        <v>9</v>
      </c>
      <c r="D34" s="168">
        <v>5</v>
      </c>
      <c r="E34" s="164">
        <v>1</v>
      </c>
      <c r="F34" s="129">
        <f>AVERAGE(H34,I34,J34,K34,M34,O34,S34,T34,U34,W34)</f>
        <v>4.5999999999999996</v>
      </c>
      <c r="G34" s="56" t="s">
        <v>153</v>
      </c>
      <c r="H34" s="128">
        <v>4</v>
      </c>
      <c r="I34" s="108">
        <v>4</v>
      </c>
      <c r="J34" s="128">
        <v>5</v>
      </c>
      <c r="K34" s="108">
        <v>4</v>
      </c>
      <c r="L34" s="128"/>
      <c r="M34" s="108">
        <v>5</v>
      </c>
      <c r="N34" s="128"/>
      <c r="O34" s="294">
        <v>7</v>
      </c>
      <c r="P34" s="204" t="s">
        <v>153</v>
      </c>
      <c r="Q34" s="108"/>
      <c r="R34" s="108" t="s">
        <v>153</v>
      </c>
      <c r="S34" s="128">
        <v>4</v>
      </c>
      <c r="T34" s="128">
        <v>4</v>
      </c>
      <c r="U34" s="128">
        <v>5</v>
      </c>
      <c r="V34" s="108" t="s">
        <v>153</v>
      </c>
      <c r="W34" s="128">
        <v>4</v>
      </c>
      <c r="X34" s="128"/>
      <c r="Y34" s="128"/>
      <c r="Z34" s="128"/>
      <c r="AA34" s="128"/>
      <c r="AB34" s="128"/>
      <c r="AC34" s="108"/>
      <c r="AD34" s="38"/>
      <c r="AE34" s="62"/>
      <c r="AF34" s="56"/>
      <c r="AG34" s="128"/>
      <c r="AH34" s="10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74"/>
    </row>
    <row r="35" spans="1:45" s="141" customFormat="1" x14ac:dyDescent="0.25">
      <c r="A35" s="83" t="s">
        <v>30</v>
      </c>
      <c r="B35" s="77" t="s">
        <v>882</v>
      </c>
      <c r="C35" s="166"/>
      <c r="D35" s="168">
        <v>1</v>
      </c>
      <c r="E35" s="164"/>
      <c r="F35" s="129"/>
      <c r="G35" s="56"/>
      <c r="H35" s="128"/>
      <c r="I35" s="108"/>
      <c r="J35" s="128"/>
      <c r="K35" s="108"/>
      <c r="L35" s="128"/>
      <c r="M35" s="108"/>
      <c r="N35" s="128"/>
      <c r="O35" s="108"/>
      <c r="P35" s="204"/>
      <c r="Q35" s="108"/>
      <c r="R35" s="108"/>
      <c r="S35" s="128"/>
      <c r="T35" s="128"/>
      <c r="U35" s="108" t="s">
        <v>153</v>
      </c>
      <c r="V35" s="108"/>
      <c r="W35" s="128"/>
      <c r="X35" s="128"/>
      <c r="Y35" s="128"/>
      <c r="Z35" s="128"/>
      <c r="AA35" s="128"/>
      <c r="AB35" s="128"/>
      <c r="AC35" s="108"/>
      <c r="AD35" s="38"/>
      <c r="AE35" s="62"/>
      <c r="AF35" s="56"/>
      <c r="AG35" s="128"/>
      <c r="AH35" s="10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74"/>
    </row>
    <row r="36" spans="1:45" s="141" customFormat="1" x14ac:dyDescent="0.25">
      <c r="A36" s="83" t="s">
        <v>30</v>
      </c>
      <c r="B36" s="77" t="s">
        <v>955</v>
      </c>
      <c r="C36" s="166"/>
      <c r="D36" s="168">
        <v>2</v>
      </c>
      <c r="E36" s="164"/>
      <c r="F36" s="129"/>
      <c r="G36" s="56"/>
      <c r="H36" s="128"/>
      <c r="I36" s="108"/>
      <c r="J36" s="128"/>
      <c r="K36" s="108"/>
      <c r="L36" s="128"/>
      <c r="M36" s="108"/>
      <c r="N36" s="128"/>
      <c r="O36" s="108"/>
      <c r="P36" s="204"/>
      <c r="Q36" s="108"/>
      <c r="R36" s="108"/>
      <c r="S36" s="128"/>
      <c r="T36" s="128"/>
      <c r="U36" s="108"/>
      <c r="V36" s="108"/>
      <c r="W36" s="128"/>
      <c r="X36" s="108" t="s">
        <v>153</v>
      </c>
      <c r="Y36" s="108" t="s">
        <v>153</v>
      </c>
      <c r="Z36" s="128"/>
      <c r="AA36" s="128"/>
      <c r="AB36" s="128"/>
      <c r="AC36" s="108"/>
      <c r="AD36" s="38"/>
      <c r="AE36" s="62"/>
      <c r="AF36" s="56"/>
      <c r="AG36" s="128"/>
      <c r="AH36" s="10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74"/>
    </row>
    <row r="37" spans="1:45" s="116" customFormat="1" ht="15.75" thickBot="1" x14ac:dyDescent="0.3">
      <c r="A37" s="3" t="s">
        <v>30</v>
      </c>
      <c r="B37" s="200" t="s">
        <v>388</v>
      </c>
      <c r="C37" s="167"/>
      <c r="D37" s="169"/>
      <c r="E37" s="165"/>
      <c r="F37" s="33"/>
      <c r="G37" s="56"/>
      <c r="H37" s="128"/>
      <c r="I37" s="108"/>
      <c r="J37" s="128"/>
      <c r="K37" s="108"/>
      <c r="L37" s="128"/>
      <c r="M37" s="108"/>
      <c r="N37" s="128"/>
      <c r="O37" s="108"/>
      <c r="P37" s="69"/>
      <c r="Q37" s="10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08"/>
      <c r="AD37" s="62"/>
      <c r="AE37" s="62"/>
      <c r="AF37" s="56"/>
      <c r="AG37" s="108"/>
      <c r="AH37" s="108"/>
      <c r="AI37" s="128"/>
      <c r="AJ37" s="128"/>
      <c r="AK37" s="108"/>
      <c r="AL37" s="128"/>
      <c r="AM37" s="128"/>
      <c r="AN37" s="128"/>
      <c r="AO37" s="128"/>
      <c r="AP37" s="128"/>
      <c r="AQ37" s="128"/>
      <c r="AR37" s="128"/>
      <c r="AS37" s="120"/>
    </row>
    <row r="38" spans="1:45" x14ac:dyDescent="0.25">
      <c r="G38" s="36">
        <f>AVERAGE(G9,G10,G12,G20,G21,G23,G27,G29,G25,G33)</f>
        <v>5.3</v>
      </c>
      <c r="H38" s="36">
        <f>AVERAGE(H9,H10,H12,H20,H21,H23,H27,H29,H25,H34)</f>
        <v>5.2</v>
      </c>
      <c r="I38" s="36">
        <f>AVERAGE(I9,I10,I12,I15,I20,I21,I23,I27,I31,I25,I34)</f>
        <v>5.7272727272727275</v>
      </c>
      <c r="J38" s="36">
        <f>AVERAGE(J9,J10,J12,J15,J19,J20,J21,J23,J31,J25,J34)</f>
        <v>4.4545454545454541</v>
      </c>
      <c r="K38" s="36">
        <f>AVERAGE(K8,K10,K12,K16,K17,K20,K23,K27,K25,K33,K34)</f>
        <v>4.6363636363636367</v>
      </c>
      <c r="L38" s="30">
        <f>AVERAGE(L9,L10,L12,L15,L16,L19,L21,L23,L29,L31,L33)</f>
        <v>4.5454545454545459</v>
      </c>
      <c r="M38" s="36">
        <f>AVERAGE(M9,M12,M13,M16,M18,M19,M20,M21,M32,M25,M34)</f>
        <v>5.1818181818181817</v>
      </c>
      <c r="N38" s="36">
        <f>AVERAGE(N9,N12,N13,N15,N16,N18,N19,N21,N23,N29,N32)</f>
        <v>4.7272727272727275</v>
      </c>
      <c r="O38" s="36">
        <f>AVERAGE(O9,O13,O16,O17,O18,O21,O25,O26,O29,O32,O34)</f>
        <v>5.2727272727272725</v>
      </c>
      <c r="P38" s="36">
        <f>AVERAGE(P9,P10,P13,P17,P20,P21,P23,P25,P29,P32,P33)</f>
        <v>5.6363636363636367</v>
      </c>
      <c r="Q38" s="36">
        <f>AVERAGE(Q9,Q13,Q17,Q16,Q18,Q21,Q23,Q25,Q29,Q31,Q33)</f>
        <v>5.7272727272727275</v>
      </c>
      <c r="R38" s="36">
        <f>AVERAGE(R9,R13,R16,R17,R18,R20,R21,R25,R29,R31,R33)</f>
        <v>4.9090909090909092</v>
      </c>
      <c r="S38" s="36">
        <f>AVERAGE(S9,S13,S16,S17,S18,S21,S25,S29,S31,S32,S34)</f>
        <v>4.7272727272727275</v>
      </c>
      <c r="T38" s="36">
        <f>AVERAGE(T9,T10,T12,T13,T16,T17,T21,T22,T29,T32,T34)</f>
        <v>4.6363636363636367</v>
      </c>
      <c r="U38" s="36">
        <f>AVERAGE(U9,U13,U15,U16,U17,U18,U19,U20,U29,U32,U34)</f>
        <v>5.1818181818181817</v>
      </c>
      <c r="V38" s="36">
        <f>AVERAGE(V8,V10,V12,V15,V17,V18,V20,V22,V27,V32,V33)</f>
        <v>5.1818181818181817</v>
      </c>
      <c r="W38" s="36">
        <f>AVERAGE(W8,W12,W15,W16,W17,W18,W19,W20,W25,W33,W34)</f>
        <v>5</v>
      </c>
      <c r="X38" s="36">
        <f>AVERAGE(X9,X10,X12,X17,X18,X19,X20,X25,X27,X31,X33)</f>
        <v>5</v>
      </c>
      <c r="Y38" s="36">
        <f>AVERAGE(Y9,Y10,Y12,Y15,Y18,Y19,Y20,Y25,Y29,Y31,Y33)</f>
        <v>5</v>
      </c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155"/>
      <c r="AN38" s="36"/>
      <c r="AO38" s="36"/>
      <c r="AP38" s="36"/>
      <c r="AQ38" s="36"/>
      <c r="AR38" s="36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AS40"/>
  <sheetViews>
    <sheetView zoomScale="70" zoomScaleNormal="70" workbookViewId="0">
      <pane xSplit="2" topLeftCell="C1" activePane="topRight" state="frozen"/>
      <selection activeCell="A4" sqref="A4"/>
      <selection pane="topRight"/>
    </sheetView>
  </sheetViews>
  <sheetFormatPr baseColWidth="10" defaultRowHeight="15" x14ac:dyDescent="0.25"/>
  <cols>
    <col min="7" max="7" width="4.7109375" customWidth="1"/>
    <col min="8" max="9" width="4.5703125" customWidth="1"/>
    <col min="10" max="15" width="4.7109375" customWidth="1"/>
    <col min="16" max="16" width="4.5703125" customWidth="1"/>
    <col min="17" max="44" width="4.7109375" customWidth="1"/>
  </cols>
  <sheetData>
    <row r="1" spans="1:45" x14ac:dyDescent="0.25">
      <c r="A1" t="s">
        <v>215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628</v>
      </c>
      <c r="H7" s="26" t="s">
        <v>544</v>
      </c>
      <c r="I7" s="26" t="s">
        <v>581</v>
      </c>
      <c r="J7" s="26" t="s">
        <v>605</v>
      </c>
      <c r="K7" s="26" t="s">
        <v>662</v>
      </c>
      <c r="L7" s="26" t="s">
        <v>686</v>
      </c>
      <c r="M7" s="26" t="s">
        <v>713</v>
      </c>
      <c r="N7" s="26" t="s">
        <v>731</v>
      </c>
      <c r="O7" s="26" t="s">
        <v>749</v>
      </c>
      <c r="P7" s="79" t="s">
        <v>760</v>
      </c>
      <c r="Q7" s="89" t="s">
        <v>787</v>
      </c>
      <c r="R7" s="101" t="s">
        <v>821</v>
      </c>
      <c r="S7" s="101" t="s">
        <v>845</v>
      </c>
      <c r="T7" s="101" t="s">
        <v>856</v>
      </c>
      <c r="U7" s="101" t="s">
        <v>900</v>
      </c>
      <c r="V7" s="101" t="s">
        <v>907</v>
      </c>
      <c r="W7" s="26" t="s">
        <v>931</v>
      </c>
      <c r="X7" s="119" t="s">
        <v>961</v>
      </c>
      <c r="Y7" s="119" t="s">
        <v>980</v>
      </c>
      <c r="Z7" s="119"/>
      <c r="AA7" s="119"/>
      <c r="AB7" s="119"/>
      <c r="AC7" s="119"/>
      <c r="AD7" s="119"/>
      <c r="AE7" s="126"/>
      <c r="AF7" s="119"/>
      <c r="AG7" s="119"/>
      <c r="AH7" s="119"/>
      <c r="AI7" s="119"/>
      <c r="AJ7" s="126"/>
      <c r="AK7" s="126"/>
      <c r="AL7" s="126"/>
      <c r="AM7" s="173"/>
      <c r="AN7" s="26"/>
      <c r="AO7" s="26"/>
      <c r="AP7" s="26"/>
      <c r="AQ7" s="26"/>
      <c r="AR7" s="26"/>
    </row>
    <row r="8" spans="1:45" x14ac:dyDescent="0.25">
      <c r="A8" s="22" t="s">
        <v>8</v>
      </c>
      <c r="B8" s="338" t="s">
        <v>962</v>
      </c>
      <c r="C8" s="149">
        <v>2</v>
      </c>
      <c r="D8" s="150"/>
      <c r="E8" s="148"/>
      <c r="F8" s="17">
        <f>AVERAGE(X8,Y8)</f>
        <v>5.5</v>
      </c>
      <c r="G8" s="58"/>
      <c r="H8" s="128"/>
      <c r="I8" s="108"/>
      <c r="J8" s="128"/>
      <c r="K8" s="128"/>
      <c r="L8" s="128"/>
      <c r="M8" s="128"/>
      <c r="N8" s="108"/>
      <c r="O8" s="128"/>
      <c r="P8" s="108"/>
      <c r="Q8" s="108"/>
      <c r="R8" s="128"/>
      <c r="S8" s="108"/>
      <c r="T8" s="128"/>
      <c r="U8" s="108"/>
      <c r="V8" s="108"/>
      <c r="W8" s="128"/>
      <c r="X8" s="57">
        <v>5</v>
      </c>
      <c r="Y8" s="69">
        <v>6</v>
      </c>
      <c r="Z8" s="128"/>
      <c r="AA8" s="38"/>
      <c r="AB8" s="128"/>
      <c r="AC8" s="108"/>
      <c r="AD8" s="128"/>
      <c r="AE8" s="108"/>
      <c r="AF8" s="128"/>
      <c r="AG8" s="128"/>
      <c r="AH8" s="108"/>
      <c r="AI8" s="128"/>
      <c r="AJ8" s="108"/>
      <c r="AK8" s="108"/>
      <c r="AL8" s="128"/>
      <c r="AM8" s="108"/>
      <c r="AN8" s="128"/>
      <c r="AO8" s="108"/>
      <c r="AP8" s="108"/>
      <c r="AQ8" s="128"/>
      <c r="AR8" s="108"/>
      <c r="AS8" s="27"/>
    </row>
    <row r="9" spans="1:45" x14ac:dyDescent="0.25">
      <c r="A9" s="13" t="s">
        <v>8</v>
      </c>
      <c r="B9" s="14" t="s">
        <v>216</v>
      </c>
      <c r="C9" s="170">
        <v>17</v>
      </c>
      <c r="D9" s="171"/>
      <c r="E9" s="172"/>
      <c r="F9" s="34">
        <f>AVERAGE(H9,I9,J9,G9,K9,L9,M9,N9,O9,P9,Q9,R9,S9,T9,U9,V9,W9)</f>
        <v>5.3529411764705879</v>
      </c>
      <c r="G9" s="58">
        <v>5</v>
      </c>
      <c r="H9" s="211">
        <v>6</v>
      </c>
      <c r="I9" s="204">
        <v>5</v>
      </c>
      <c r="J9" s="128">
        <v>6</v>
      </c>
      <c r="K9" s="283">
        <v>7</v>
      </c>
      <c r="L9" s="70">
        <v>5</v>
      </c>
      <c r="M9" s="70">
        <v>5</v>
      </c>
      <c r="N9" s="108">
        <v>5</v>
      </c>
      <c r="O9" s="128">
        <v>5</v>
      </c>
      <c r="P9" s="204">
        <v>6</v>
      </c>
      <c r="Q9" s="294">
        <v>7</v>
      </c>
      <c r="R9" s="69">
        <v>6</v>
      </c>
      <c r="S9" s="302">
        <v>3</v>
      </c>
      <c r="T9" s="69">
        <v>6</v>
      </c>
      <c r="U9" s="108">
        <v>4</v>
      </c>
      <c r="V9" s="204">
        <v>5</v>
      </c>
      <c r="W9" s="70">
        <v>5</v>
      </c>
      <c r="X9" s="57"/>
      <c r="Y9" s="69"/>
      <c r="Z9" s="69"/>
      <c r="AA9" s="66"/>
      <c r="AB9" s="69"/>
      <c r="AC9" s="57"/>
      <c r="AD9" s="128"/>
      <c r="AE9" s="57"/>
      <c r="AF9" s="69"/>
      <c r="AG9" s="69"/>
      <c r="AH9" s="108"/>
      <c r="AI9" s="69"/>
      <c r="AJ9" s="108"/>
      <c r="AK9" s="108"/>
      <c r="AL9" s="69"/>
      <c r="AM9" s="108"/>
      <c r="AN9" s="128"/>
      <c r="AO9" s="108"/>
      <c r="AP9" s="108"/>
      <c r="AQ9" s="69"/>
      <c r="AR9" s="57"/>
      <c r="AS9" s="27"/>
    </row>
    <row r="10" spans="1:45" x14ac:dyDescent="0.25">
      <c r="A10" s="83" t="s">
        <v>11</v>
      </c>
      <c r="B10" s="160" t="s">
        <v>217</v>
      </c>
      <c r="C10" s="166">
        <v>15</v>
      </c>
      <c r="D10" s="168"/>
      <c r="E10" s="164"/>
      <c r="F10" s="129">
        <f>AVERAGE(Y10,X10,H10,J10,G10,K10,L10,M10,N10,Q10,R10,S10,T10,V10,W10)</f>
        <v>5.0666666666666664</v>
      </c>
      <c r="G10" s="58">
        <v>5</v>
      </c>
      <c r="H10" s="38">
        <v>5</v>
      </c>
      <c r="I10" s="108"/>
      <c r="J10" s="128">
        <v>5</v>
      </c>
      <c r="K10" s="128">
        <v>6</v>
      </c>
      <c r="L10" s="128">
        <v>5</v>
      </c>
      <c r="M10" s="128">
        <v>5</v>
      </c>
      <c r="N10" s="108">
        <v>5</v>
      </c>
      <c r="O10" s="128"/>
      <c r="P10" s="108"/>
      <c r="Q10" s="108">
        <v>6</v>
      </c>
      <c r="R10" s="128">
        <v>5</v>
      </c>
      <c r="S10" s="108">
        <v>4</v>
      </c>
      <c r="T10" s="128">
        <v>5</v>
      </c>
      <c r="U10" s="108"/>
      <c r="V10" s="108">
        <v>5</v>
      </c>
      <c r="W10" s="128">
        <v>5</v>
      </c>
      <c r="X10" s="108">
        <v>5</v>
      </c>
      <c r="Y10" s="128">
        <v>5</v>
      </c>
      <c r="Z10" s="128"/>
      <c r="AA10" s="38"/>
      <c r="AB10" s="128"/>
      <c r="AC10" s="108"/>
      <c r="AD10" s="128"/>
      <c r="AE10" s="108"/>
      <c r="AF10" s="128"/>
      <c r="AG10" s="128"/>
      <c r="AH10" s="108"/>
      <c r="AI10" s="128"/>
      <c r="AJ10" s="108"/>
      <c r="AK10" s="108"/>
      <c r="AL10" s="128"/>
      <c r="AM10" s="108"/>
      <c r="AN10" s="128"/>
      <c r="AO10" s="108"/>
      <c r="AP10" s="108"/>
      <c r="AQ10" s="128"/>
      <c r="AR10" s="108"/>
      <c r="AS10" s="27"/>
    </row>
    <row r="11" spans="1:45" x14ac:dyDescent="0.25">
      <c r="A11" s="83" t="s">
        <v>11</v>
      </c>
      <c r="B11" s="160" t="s">
        <v>218</v>
      </c>
      <c r="C11" s="166">
        <v>17</v>
      </c>
      <c r="D11" s="175"/>
      <c r="E11" s="164">
        <v>3</v>
      </c>
      <c r="F11" s="129">
        <f>AVERAGE(Y11,X11,H11,J11,G11,K11,L11,M11,N11,O11,P11,Q11,R11,S11,U11,V11,W11)</f>
        <v>5.5294117647058822</v>
      </c>
      <c r="G11" s="58">
        <v>5</v>
      </c>
      <c r="H11" s="38">
        <v>6</v>
      </c>
      <c r="I11" s="108"/>
      <c r="J11" s="128">
        <v>4</v>
      </c>
      <c r="K11" s="283">
        <v>7</v>
      </c>
      <c r="L11" s="128">
        <v>5</v>
      </c>
      <c r="M11" s="283">
        <v>7</v>
      </c>
      <c r="N11" s="108">
        <v>6</v>
      </c>
      <c r="O11" s="128">
        <v>5</v>
      </c>
      <c r="P11" s="108">
        <v>5</v>
      </c>
      <c r="Q11" s="108">
        <v>5</v>
      </c>
      <c r="R11" s="128">
        <v>6</v>
      </c>
      <c r="S11" s="108">
        <v>5</v>
      </c>
      <c r="T11" s="128"/>
      <c r="U11" s="108">
        <v>4</v>
      </c>
      <c r="V11" s="108">
        <v>5</v>
      </c>
      <c r="W11" s="282">
        <v>7</v>
      </c>
      <c r="X11" s="57">
        <v>6</v>
      </c>
      <c r="Y11" s="128">
        <v>6</v>
      </c>
      <c r="Z11" s="128"/>
      <c r="AA11" s="38"/>
      <c r="AB11" s="128"/>
      <c r="AC11" s="108"/>
      <c r="AD11" s="128"/>
      <c r="AE11" s="108"/>
      <c r="AF11" s="128"/>
      <c r="AG11" s="128"/>
      <c r="AH11" s="108"/>
      <c r="AI11" s="128"/>
      <c r="AJ11" s="57"/>
      <c r="AK11" s="108"/>
      <c r="AL11" s="108"/>
      <c r="AM11" s="128"/>
      <c r="AN11" s="128"/>
      <c r="AO11" s="108"/>
      <c r="AP11" s="108"/>
      <c r="AQ11" s="128"/>
      <c r="AR11" s="108"/>
      <c r="AS11" s="27"/>
    </row>
    <row r="12" spans="1:45" x14ac:dyDescent="0.25">
      <c r="A12" s="54" t="s">
        <v>11</v>
      </c>
      <c r="B12" s="122" t="s">
        <v>219</v>
      </c>
      <c r="C12" s="156">
        <v>3</v>
      </c>
      <c r="D12" s="157"/>
      <c r="E12" s="158">
        <v>1</v>
      </c>
      <c r="F12" s="129">
        <f>AVERAGE(H12,G12,I12)</f>
        <v>5.666666666666667</v>
      </c>
      <c r="G12" s="255">
        <v>6</v>
      </c>
      <c r="H12" s="333">
        <v>6</v>
      </c>
      <c r="I12" s="251">
        <v>5</v>
      </c>
      <c r="J12" s="250"/>
      <c r="K12" s="250"/>
      <c r="L12" s="257"/>
      <c r="M12" s="257"/>
      <c r="N12" s="258"/>
      <c r="O12" s="257"/>
      <c r="P12" s="257"/>
      <c r="Q12" s="258"/>
      <c r="R12" s="257"/>
      <c r="S12" s="258"/>
      <c r="T12" s="257"/>
      <c r="U12" s="258"/>
      <c r="V12" s="258"/>
      <c r="W12" s="257"/>
      <c r="X12" s="258"/>
      <c r="Y12" s="258"/>
      <c r="Z12" s="257"/>
      <c r="AA12" s="253"/>
      <c r="AB12" s="258"/>
      <c r="AC12" s="258"/>
      <c r="AD12" s="257"/>
      <c r="AE12" s="258"/>
      <c r="AF12" s="257"/>
      <c r="AG12" s="257"/>
      <c r="AH12" s="258"/>
      <c r="AI12" s="258"/>
      <c r="AJ12" s="258"/>
      <c r="AK12" s="258"/>
      <c r="AL12" s="257"/>
      <c r="AM12" s="258"/>
      <c r="AN12" s="257"/>
      <c r="AO12" s="258"/>
      <c r="AP12" s="258"/>
      <c r="AQ12" s="257"/>
      <c r="AR12" s="258"/>
      <c r="AS12" s="27"/>
    </row>
    <row r="13" spans="1:45" x14ac:dyDescent="0.25">
      <c r="A13" s="83" t="s">
        <v>11</v>
      </c>
      <c r="B13" s="132" t="s">
        <v>276</v>
      </c>
      <c r="C13" s="166">
        <v>10</v>
      </c>
      <c r="D13" s="168">
        <v>2</v>
      </c>
      <c r="E13" s="164"/>
      <c r="F13" s="129">
        <f>AVERAGE(J13,K13,P13,Q13,R13,S13,U13,W13,X13,Y13)</f>
        <v>5.2</v>
      </c>
      <c r="G13" s="58"/>
      <c r="H13" s="59"/>
      <c r="I13" s="108"/>
      <c r="J13" s="128">
        <v>5</v>
      </c>
      <c r="K13" s="128">
        <v>5</v>
      </c>
      <c r="L13" s="128"/>
      <c r="M13" s="128"/>
      <c r="N13" s="108"/>
      <c r="O13" s="128"/>
      <c r="P13" s="108">
        <v>5</v>
      </c>
      <c r="Q13" s="108">
        <v>6</v>
      </c>
      <c r="R13" s="70">
        <v>6</v>
      </c>
      <c r="S13" s="108">
        <v>5</v>
      </c>
      <c r="T13" s="108" t="s">
        <v>153</v>
      </c>
      <c r="U13" s="108">
        <v>5</v>
      </c>
      <c r="V13" s="108" t="s">
        <v>153</v>
      </c>
      <c r="W13" s="128">
        <v>4</v>
      </c>
      <c r="X13" s="108">
        <v>6</v>
      </c>
      <c r="Y13" s="128">
        <v>5</v>
      </c>
      <c r="Z13" s="128"/>
      <c r="AA13" s="62"/>
      <c r="AB13" s="128"/>
      <c r="AC13" s="108"/>
      <c r="AD13" s="128"/>
      <c r="AE13" s="108"/>
      <c r="AF13" s="128"/>
      <c r="AG13" s="128"/>
      <c r="AH13" s="108"/>
      <c r="AI13" s="128"/>
      <c r="AJ13" s="108"/>
      <c r="AK13" s="108"/>
      <c r="AL13" s="128"/>
      <c r="AM13" s="108"/>
      <c r="AN13" s="128"/>
      <c r="AO13" s="108"/>
      <c r="AP13" s="108"/>
      <c r="AQ13" s="128"/>
      <c r="AR13" s="108"/>
      <c r="AS13" s="27"/>
    </row>
    <row r="14" spans="1:45" x14ac:dyDescent="0.25">
      <c r="A14" s="83" t="s">
        <v>11</v>
      </c>
      <c r="B14" s="40" t="s">
        <v>352</v>
      </c>
      <c r="C14" s="166">
        <v>9</v>
      </c>
      <c r="D14" s="168">
        <v>1</v>
      </c>
      <c r="E14" s="164">
        <v>1</v>
      </c>
      <c r="F14" s="129">
        <f>AVERAGE(I14,N14,O14,P14,U14,V14,W14,X14,Y14)</f>
        <v>4.8888888888888893</v>
      </c>
      <c r="G14" s="58"/>
      <c r="H14" s="63" t="s">
        <v>153</v>
      </c>
      <c r="I14" s="108">
        <v>5</v>
      </c>
      <c r="J14" s="128"/>
      <c r="K14" s="128"/>
      <c r="L14" s="128"/>
      <c r="M14" s="128"/>
      <c r="N14" s="108">
        <v>4</v>
      </c>
      <c r="O14" s="69">
        <v>6</v>
      </c>
      <c r="P14" s="302">
        <v>3</v>
      </c>
      <c r="Q14" s="108"/>
      <c r="R14" s="128"/>
      <c r="S14" s="108"/>
      <c r="T14" s="128"/>
      <c r="U14" s="108">
        <v>4</v>
      </c>
      <c r="V14" s="108">
        <v>5</v>
      </c>
      <c r="W14" s="128">
        <v>5</v>
      </c>
      <c r="X14" s="108">
        <v>6</v>
      </c>
      <c r="Y14" s="128">
        <v>6</v>
      </c>
      <c r="Z14" s="128"/>
      <c r="AA14" s="38"/>
      <c r="AB14" s="128"/>
      <c r="AC14" s="108"/>
      <c r="AD14" s="128"/>
      <c r="AE14" s="108"/>
      <c r="AF14" s="128"/>
      <c r="AG14" s="128"/>
      <c r="AH14" s="108"/>
      <c r="AI14" s="128"/>
      <c r="AJ14" s="108"/>
      <c r="AK14" s="108"/>
      <c r="AL14" s="108"/>
      <c r="AM14" s="108"/>
      <c r="AN14" s="128"/>
      <c r="AO14" s="108"/>
      <c r="AP14" s="108"/>
      <c r="AQ14" s="128"/>
      <c r="AR14" s="108"/>
      <c r="AS14" s="27"/>
    </row>
    <row r="15" spans="1:45" x14ac:dyDescent="0.25">
      <c r="A15" s="83" t="s">
        <v>11</v>
      </c>
      <c r="B15" s="28" t="s">
        <v>220</v>
      </c>
      <c r="C15" s="166">
        <v>13</v>
      </c>
      <c r="D15" s="168">
        <v>1</v>
      </c>
      <c r="E15" s="164">
        <v>1</v>
      </c>
      <c r="F15" s="129">
        <f>AVERAGE(H15,J15,G15,K15,L15,M15,N15,O15,Q15,R15,S15,T15,U15)</f>
        <v>4.9230769230769234</v>
      </c>
      <c r="G15" s="58">
        <v>4</v>
      </c>
      <c r="H15" s="280">
        <v>6</v>
      </c>
      <c r="I15" s="108"/>
      <c r="J15" s="128">
        <v>4</v>
      </c>
      <c r="K15" s="128">
        <v>5</v>
      </c>
      <c r="L15" s="128">
        <v>5</v>
      </c>
      <c r="M15" s="128">
        <v>4</v>
      </c>
      <c r="N15" s="57">
        <v>6</v>
      </c>
      <c r="O15" s="128">
        <v>4</v>
      </c>
      <c r="P15" s="108"/>
      <c r="Q15" s="108">
        <v>6</v>
      </c>
      <c r="R15" s="128">
        <v>5</v>
      </c>
      <c r="S15" s="108">
        <v>5</v>
      </c>
      <c r="T15" s="128">
        <v>6</v>
      </c>
      <c r="U15" s="108">
        <v>4</v>
      </c>
      <c r="V15" s="108"/>
      <c r="W15" s="128"/>
      <c r="X15" s="108"/>
      <c r="Y15" s="108" t="s">
        <v>153</v>
      </c>
      <c r="Z15" s="128"/>
      <c r="AA15" s="38"/>
      <c r="AB15" s="128"/>
      <c r="AC15" s="108"/>
      <c r="AD15" s="128"/>
      <c r="AE15" s="108"/>
      <c r="AF15" s="128"/>
      <c r="AG15" s="128"/>
      <c r="AH15" s="108"/>
      <c r="AI15" s="128"/>
      <c r="AJ15" s="108"/>
      <c r="AK15" s="108"/>
      <c r="AL15" s="128"/>
      <c r="AM15" s="108"/>
      <c r="AN15" s="128"/>
      <c r="AO15" s="108"/>
      <c r="AP15" s="108"/>
      <c r="AQ15" s="128"/>
      <c r="AR15" s="108"/>
      <c r="AS15" s="27"/>
    </row>
    <row r="16" spans="1:45" s="141" customFormat="1" x14ac:dyDescent="0.25">
      <c r="A16" s="83" t="s">
        <v>11</v>
      </c>
      <c r="B16" s="77" t="s">
        <v>620</v>
      </c>
      <c r="C16" s="166">
        <v>7</v>
      </c>
      <c r="D16" s="168">
        <v>1</v>
      </c>
      <c r="E16" s="164">
        <v>2</v>
      </c>
      <c r="F16" s="129">
        <f>AVERAGE(L16,M16,O16,T16,U16,V16)</f>
        <v>5.666666666666667</v>
      </c>
      <c r="G16" s="58"/>
      <c r="H16" s="280"/>
      <c r="I16" s="108"/>
      <c r="J16" s="128"/>
      <c r="K16" s="108" t="s">
        <v>153</v>
      </c>
      <c r="L16" s="128">
        <v>4</v>
      </c>
      <c r="M16" s="283">
        <v>7</v>
      </c>
      <c r="N16" s="108"/>
      <c r="O16" s="128">
        <v>5</v>
      </c>
      <c r="P16" s="108"/>
      <c r="Q16" s="108"/>
      <c r="R16" s="128"/>
      <c r="S16" s="108"/>
      <c r="T16" s="128">
        <v>6</v>
      </c>
      <c r="U16" s="294">
        <v>7</v>
      </c>
      <c r="V16" s="108">
        <v>5</v>
      </c>
      <c r="W16" s="128" t="s">
        <v>546</v>
      </c>
      <c r="X16" s="108"/>
      <c r="Y16" s="128"/>
      <c r="Z16" s="128"/>
      <c r="AA16" s="128"/>
      <c r="AB16" s="128"/>
      <c r="AC16" s="108"/>
      <c r="AD16" s="128"/>
      <c r="AE16" s="108"/>
      <c r="AF16" s="128"/>
      <c r="AG16" s="128"/>
      <c r="AH16" s="108"/>
      <c r="AI16" s="128"/>
      <c r="AJ16" s="108"/>
      <c r="AK16" s="108"/>
      <c r="AL16" s="128"/>
      <c r="AM16" s="108"/>
      <c r="AN16" s="128"/>
      <c r="AO16" s="108"/>
      <c r="AP16" s="108"/>
      <c r="AQ16" s="128"/>
      <c r="AR16" s="108"/>
      <c r="AS16" s="174"/>
    </row>
    <row r="17" spans="1:45" s="116" customFormat="1" x14ac:dyDescent="0.25">
      <c r="A17" s="83" t="s">
        <v>11</v>
      </c>
      <c r="B17" s="40" t="s">
        <v>211</v>
      </c>
      <c r="C17" s="166">
        <v>9</v>
      </c>
      <c r="D17" s="168">
        <v>1</v>
      </c>
      <c r="E17" s="164">
        <v>3</v>
      </c>
      <c r="F17" s="129">
        <f>AVERAGE(I17,K17,L17,M17,T17,U17,V17,W17)</f>
        <v>5.625</v>
      </c>
      <c r="G17" s="58"/>
      <c r="H17" s="59"/>
      <c r="I17" s="108">
        <v>5</v>
      </c>
      <c r="J17" s="128"/>
      <c r="K17" s="128">
        <v>6</v>
      </c>
      <c r="L17" s="69">
        <v>6</v>
      </c>
      <c r="M17" s="128">
        <v>4</v>
      </c>
      <c r="N17" s="108" t="s">
        <v>546</v>
      </c>
      <c r="O17" s="128"/>
      <c r="P17" s="128"/>
      <c r="Q17" s="108"/>
      <c r="R17" s="128"/>
      <c r="S17" s="108" t="s">
        <v>153</v>
      </c>
      <c r="T17" s="128">
        <v>6</v>
      </c>
      <c r="U17" s="294">
        <v>7</v>
      </c>
      <c r="V17" s="108">
        <v>6</v>
      </c>
      <c r="W17" s="128">
        <v>5</v>
      </c>
      <c r="X17" s="108"/>
      <c r="Y17" s="128"/>
      <c r="Z17" s="128"/>
      <c r="AA17" s="108"/>
      <c r="AB17" s="128"/>
      <c r="AC17" s="108"/>
      <c r="AD17" s="128"/>
      <c r="AE17" s="108"/>
      <c r="AF17" s="128"/>
      <c r="AG17" s="128"/>
      <c r="AH17" s="57"/>
      <c r="AI17" s="128"/>
      <c r="AJ17" s="108"/>
      <c r="AK17" s="108"/>
      <c r="AL17" s="128"/>
      <c r="AM17" s="108"/>
      <c r="AN17" s="128"/>
      <c r="AO17" s="108"/>
      <c r="AP17" s="108"/>
      <c r="AQ17" s="128"/>
      <c r="AR17" s="108"/>
      <c r="AS17" s="120"/>
    </row>
    <row r="18" spans="1:45" s="116" customFormat="1" x14ac:dyDescent="0.25">
      <c r="A18" s="54" t="s">
        <v>11</v>
      </c>
      <c r="B18" s="122" t="s">
        <v>371</v>
      </c>
      <c r="C18" s="156"/>
      <c r="D18" s="157"/>
      <c r="E18" s="158"/>
      <c r="F18" s="129"/>
      <c r="G18" s="252"/>
      <c r="H18" s="279"/>
      <c r="I18" s="258"/>
      <c r="J18" s="257"/>
      <c r="K18" s="257"/>
      <c r="L18" s="257"/>
      <c r="M18" s="257"/>
      <c r="N18" s="258"/>
      <c r="O18" s="257"/>
      <c r="P18" s="257"/>
      <c r="Q18" s="258"/>
      <c r="R18" s="257"/>
      <c r="S18" s="258"/>
      <c r="T18" s="257"/>
      <c r="U18" s="258"/>
      <c r="V18" s="258"/>
      <c r="W18" s="257"/>
      <c r="X18" s="258"/>
      <c r="Y18" s="258"/>
      <c r="Z18" s="257"/>
      <c r="AA18" s="253"/>
      <c r="AB18" s="258"/>
      <c r="AC18" s="258"/>
      <c r="AD18" s="257"/>
      <c r="AE18" s="258"/>
      <c r="AF18" s="257"/>
      <c r="AG18" s="257"/>
      <c r="AH18" s="258"/>
      <c r="AI18" s="258"/>
      <c r="AJ18" s="258"/>
      <c r="AK18" s="258"/>
      <c r="AL18" s="257"/>
      <c r="AM18" s="258"/>
      <c r="AN18" s="257"/>
      <c r="AO18" s="258"/>
      <c r="AP18" s="258"/>
      <c r="AQ18" s="257"/>
      <c r="AR18" s="258"/>
      <c r="AS18" s="120"/>
    </row>
    <row r="19" spans="1:45" x14ac:dyDescent="0.25">
      <c r="A19" s="260" t="s">
        <v>11</v>
      </c>
      <c r="B19" s="259" t="s">
        <v>256</v>
      </c>
      <c r="C19" s="260"/>
      <c r="D19" s="261"/>
      <c r="E19" s="262"/>
      <c r="F19" s="34"/>
      <c r="G19" s="249"/>
      <c r="H19" s="157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250"/>
      <c r="AB19" s="157"/>
      <c r="AC19" s="250"/>
      <c r="AD19" s="157"/>
      <c r="AE19" s="250"/>
      <c r="AF19" s="157"/>
      <c r="AG19" s="157"/>
      <c r="AH19" s="250"/>
      <c r="AI19" s="250"/>
      <c r="AJ19" s="250"/>
      <c r="AK19" s="250"/>
      <c r="AL19" s="157"/>
      <c r="AM19" s="250"/>
      <c r="AN19" s="250"/>
      <c r="AO19" s="157"/>
      <c r="AP19" s="157"/>
      <c r="AQ19" s="157"/>
      <c r="AR19" s="250"/>
      <c r="AS19" s="27"/>
    </row>
    <row r="20" spans="1:45" x14ac:dyDescent="0.25">
      <c r="A20" s="83" t="s">
        <v>29</v>
      </c>
      <c r="B20" s="40" t="s">
        <v>341</v>
      </c>
      <c r="C20" s="166">
        <v>10</v>
      </c>
      <c r="D20" s="168">
        <v>8</v>
      </c>
      <c r="E20" s="164">
        <v>3</v>
      </c>
      <c r="F20" s="129">
        <f>AVERAGE(H20,J20,G20,K20,L20,M20,N20,O20,P20,Q20,S20,T20,V20,W20)</f>
        <v>5.2142857142857144</v>
      </c>
      <c r="G20" s="332">
        <v>7</v>
      </c>
      <c r="H20" s="62">
        <v>5</v>
      </c>
      <c r="I20" s="108" t="s">
        <v>153</v>
      </c>
      <c r="J20" s="128">
        <v>4</v>
      </c>
      <c r="K20" s="128">
        <v>5</v>
      </c>
      <c r="L20" s="128">
        <v>4</v>
      </c>
      <c r="M20" s="128">
        <v>5</v>
      </c>
      <c r="N20" s="294">
        <v>7</v>
      </c>
      <c r="O20" s="108">
        <v>4</v>
      </c>
      <c r="P20" s="108">
        <v>6</v>
      </c>
      <c r="Q20" s="294">
        <v>7</v>
      </c>
      <c r="R20" s="128"/>
      <c r="S20" s="108">
        <v>4</v>
      </c>
      <c r="T20" s="128">
        <v>5</v>
      </c>
      <c r="U20" s="108" t="s">
        <v>153</v>
      </c>
      <c r="V20" s="108">
        <v>5</v>
      </c>
      <c r="W20" s="108">
        <v>5</v>
      </c>
      <c r="X20" s="204" t="s">
        <v>153</v>
      </c>
      <c r="Y20" s="108" t="s">
        <v>153</v>
      </c>
      <c r="Z20" s="128"/>
      <c r="AA20" s="66"/>
      <c r="AB20" s="128"/>
      <c r="AC20" s="108"/>
      <c r="AD20" s="108"/>
      <c r="AE20" s="108"/>
      <c r="AF20" s="57"/>
      <c r="AG20" s="128"/>
      <c r="AH20" s="108"/>
      <c r="AI20" s="128"/>
      <c r="AJ20" s="108"/>
      <c r="AK20" s="108"/>
      <c r="AL20" s="69"/>
      <c r="AM20" s="57"/>
      <c r="AN20" s="69"/>
      <c r="AO20" s="57"/>
      <c r="AP20" s="108"/>
      <c r="AQ20" s="69"/>
      <c r="AR20" s="108"/>
      <c r="AS20" s="27"/>
    </row>
    <row r="21" spans="1:45" x14ac:dyDescent="0.25">
      <c r="A21" s="83" t="s">
        <v>29</v>
      </c>
      <c r="B21" s="132" t="s">
        <v>246</v>
      </c>
      <c r="C21" s="166">
        <v>4</v>
      </c>
      <c r="D21" s="168"/>
      <c r="E21" s="164"/>
      <c r="F21" s="129">
        <f>AVERAGE(I21,N21,U21,W21)</f>
        <v>5.25</v>
      </c>
      <c r="G21" s="56"/>
      <c r="H21" s="38"/>
      <c r="I21" s="108">
        <v>5</v>
      </c>
      <c r="J21" s="128"/>
      <c r="K21" s="128"/>
      <c r="L21" s="128"/>
      <c r="M21" s="128"/>
      <c r="N21" s="108">
        <v>5</v>
      </c>
      <c r="O21" s="128"/>
      <c r="P21" s="108"/>
      <c r="Q21" s="108"/>
      <c r="R21" s="128"/>
      <c r="S21" s="108"/>
      <c r="T21" s="128"/>
      <c r="U21" s="108">
        <v>6</v>
      </c>
      <c r="V21" s="108"/>
      <c r="W21" s="128">
        <v>5</v>
      </c>
      <c r="X21" s="108"/>
      <c r="Y21" s="128"/>
      <c r="Z21" s="128"/>
      <c r="AA21" s="38"/>
      <c r="AB21" s="128"/>
      <c r="AC21" s="108"/>
      <c r="AD21" s="128"/>
      <c r="AE21" s="108"/>
      <c r="AF21" s="128"/>
      <c r="AG21" s="128"/>
      <c r="AH21" s="108"/>
      <c r="AI21" s="128"/>
      <c r="AJ21" s="108"/>
      <c r="AK21" s="108"/>
      <c r="AL21" s="128"/>
      <c r="AM21" s="108"/>
      <c r="AN21" s="128"/>
      <c r="AO21" s="108"/>
      <c r="AP21" s="108"/>
      <c r="AQ21" s="128"/>
      <c r="AR21" s="108"/>
      <c r="AS21" s="27"/>
    </row>
    <row r="22" spans="1:45" x14ac:dyDescent="0.25">
      <c r="A22" s="83" t="s">
        <v>29</v>
      </c>
      <c r="B22" s="160" t="s">
        <v>221</v>
      </c>
      <c r="C22" s="166">
        <v>10</v>
      </c>
      <c r="D22" s="168"/>
      <c r="E22" s="164">
        <v>1</v>
      </c>
      <c r="F22" s="129">
        <f>AVERAGE(H22,I22,M22,N22,O22,Q22,W22,X22,Y22)</f>
        <v>6</v>
      </c>
      <c r="G22" s="56" t="s">
        <v>555</v>
      </c>
      <c r="H22" s="38">
        <v>6</v>
      </c>
      <c r="I22" s="108">
        <v>5</v>
      </c>
      <c r="J22" s="108"/>
      <c r="K22" s="128"/>
      <c r="L22" s="69"/>
      <c r="M22" s="290">
        <v>7</v>
      </c>
      <c r="N22" s="294">
        <v>7</v>
      </c>
      <c r="O22" s="128">
        <v>6</v>
      </c>
      <c r="P22" s="108"/>
      <c r="Q22" s="108">
        <v>6</v>
      </c>
      <c r="R22" s="128"/>
      <c r="S22" s="108"/>
      <c r="T22" s="128"/>
      <c r="U22" s="108"/>
      <c r="V22" s="108"/>
      <c r="W22" s="290">
        <v>7</v>
      </c>
      <c r="X22" s="108">
        <v>5</v>
      </c>
      <c r="Y22" s="128">
        <v>5</v>
      </c>
      <c r="Z22" s="128"/>
      <c r="AA22" s="62"/>
      <c r="AB22" s="128"/>
      <c r="AC22" s="108"/>
      <c r="AD22" s="128"/>
      <c r="AE22" s="108"/>
      <c r="AF22" s="128"/>
      <c r="AG22" s="108"/>
      <c r="AH22" s="108"/>
      <c r="AI22" s="128"/>
      <c r="AJ22" s="57"/>
      <c r="AK22" s="108"/>
      <c r="AL22" s="128"/>
      <c r="AM22" s="108"/>
      <c r="AN22" s="108"/>
      <c r="AO22" s="108"/>
      <c r="AP22" s="108"/>
      <c r="AQ22" s="108"/>
      <c r="AR22" s="108"/>
      <c r="AS22" s="27"/>
    </row>
    <row r="23" spans="1:45" x14ac:dyDescent="0.25">
      <c r="A23" s="83" t="s">
        <v>29</v>
      </c>
      <c r="B23" s="160" t="s">
        <v>222</v>
      </c>
      <c r="C23" s="166">
        <v>12</v>
      </c>
      <c r="D23" s="168"/>
      <c r="E23" s="164"/>
      <c r="F23" s="129">
        <f>AVERAGE(H23,G23,L23,P23,Q23,R23,S23,T23,U23,V23,X23,Y23)</f>
        <v>5.166666666666667</v>
      </c>
      <c r="G23" s="58">
        <v>6</v>
      </c>
      <c r="H23" s="280">
        <v>5</v>
      </c>
      <c r="I23" s="108"/>
      <c r="J23" s="128"/>
      <c r="K23" s="128"/>
      <c r="L23" s="128">
        <v>5</v>
      </c>
      <c r="M23" s="128"/>
      <c r="N23" s="108"/>
      <c r="O23" s="128"/>
      <c r="P23" s="204">
        <v>5</v>
      </c>
      <c r="Q23" s="108">
        <v>5</v>
      </c>
      <c r="R23" s="290">
        <v>7</v>
      </c>
      <c r="S23" s="108">
        <v>4</v>
      </c>
      <c r="T23" s="204">
        <v>5</v>
      </c>
      <c r="U23" s="108">
        <v>5</v>
      </c>
      <c r="V23" s="108">
        <v>4</v>
      </c>
      <c r="W23" s="128"/>
      <c r="X23" s="108">
        <v>6</v>
      </c>
      <c r="Y23" s="128">
        <v>5</v>
      </c>
      <c r="Z23" s="128"/>
      <c r="AA23" s="38"/>
      <c r="AB23" s="128"/>
      <c r="AC23" s="108"/>
      <c r="AD23" s="128"/>
      <c r="AE23" s="108"/>
      <c r="AF23" s="128"/>
      <c r="AG23" s="128"/>
      <c r="AH23" s="108"/>
      <c r="AI23" s="128"/>
      <c r="AJ23" s="108"/>
      <c r="AK23" s="108"/>
      <c r="AL23" s="128"/>
      <c r="AM23" s="108"/>
      <c r="AN23" s="128"/>
      <c r="AO23" s="57"/>
      <c r="AP23" s="57"/>
      <c r="AQ23" s="128"/>
      <c r="AR23" s="108"/>
      <c r="AS23" s="27"/>
    </row>
    <row r="24" spans="1:45" s="141" customFormat="1" x14ac:dyDescent="0.25">
      <c r="A24" s="184" t="s">
        <v>29</v>
      </c>
      <c r="B24" s="77" t="s">
        <v>473</v>
      </c>
      <c r="C24" s="185">
        <v>9</v>
      </c>
      <c r="D24" s="64">
        <v>2</v>
      </c>
      <c r="E24" s="187">
        <v>3</v>
      </c>
      <c r="F24" s="129">
        <f>AVERAGE(K24,M24,P24,Q24,R24,S24,T24,V24)</f>
        <v>5.25</v>
      </c>
      <c r="G24" s="56" t="s">
        <v>555</v>
      </c>
      <c r="H24" s="59"/>
      <c r="I24" s="108"/>
      <c r="J24" s="108" t="s">
        <v>153</v>
      </c>
      <c r="K24" s="70">
        <v>5</v>
      </c>
      <c r="L24" s="108"/>
      <c r="M24" s="108">
        <v>4</v>
      </c>
      <c r="N24" s="108" t="s">
        <v>153</v>
      </c>
      <c r="O24" s="108" t="s">
        <v>153</v>
      </c>
      <c r="P24" s="57">
        <v>6</v>
      </c>
      <c r="Q24" s="108">
        <v>5</v>
      </c>
      <c r="R24" s="283">
        <v>7</v>
      </c>
      <c r="S24" s="108">
        <v>4</v>
      </c>
      <c r="T24" s="69">
        <v>6</v>
      </c>
      <c r="U24" s="108"/>
      <c r="V24" s="108">
        <v>5</v>
      </c>
      <c r="W24" s="108"/>
      <c r="X24" s="108"/>
      <c r="Y24" s="128"/>
      <c r="Z24" s="128"/>
      <c r="AA24" s="38"/>
      <c r="AB24" s="108"/>
      <c r="AC24" s="108"/>
      <c r="AD24" s="128"/>
      <c r="AE24" s="108"/>
      <c r="AF24" s="128"/>
      <c r="AG24" s="128"/>
      <c r="AH24" s="108"/>
      <c r="AI24" s="128"/>
      <c r="AJ24" s="108"/>
      <c r="AK24" s="108"/>
      <c r="AL24" s="128"/>
      <c r="AM24" s="108"/>
      <c r="AN24" s="128"/>
      <c r="AO24" s="108"/>
      <c r="AP24" s="108"/>
      <c r="AQ24" s="128"/>
      <c r="AR24" s="108"/>
      <c r="AS24" s="174"/>
    </row>
    <row r="25" spans="1:45" s="141" customFormat="1" x14ac:dyDescent="0.25">
      <c r="A25" s="184" t="s">
        <v>29</v>
      </c>
      <c r="B25" s="40" t="s">
        <v>109</v>
      </c>
      <c r="C25" s="185">
        <v>4</v>
      </c>
      <c r="D25" s="64">
        <v>3</v>
      </c>
      <c r="E25" s="187"/>
      <c r="F25" s="129">
        <f>AVERAGE(I25,J25,K25,N25,O25)</f>
        <v>5</v>
      </c>
      <c r="G25" s="58"/>
      <c r="H25" s="59"/>
      <c r="I25" s="108">
        <v>5</v>
      </c>
      <c r="J25" s="108">
        <v>5</v>
      </c>
      <c r="K25" s="70">
        <v>5</v>
      </c>
      <c r="L25" s="108"/>
      <c r="M25" s="108" t="s">
        <v>153</v>
      </c>
      <c r="N25" s="108">
        <v>5</v>
      </c>
      <c r="O25" s="128">
        <v>5</v>
      </c>
      <c r="P25" s="108"/>
      <c r="Q25" s="108"/>
      <c r="R25" s="128"/>
      <c r="S25" s="108"/>
      <c r="T25" s="128"/>
      <c r="U25" s="108"/>
      <c r="V25" s="108"/>
      <c r="W25" s="108"/>
      <c r="X25" s="108"/>
      <c r="Y25" s="128"/>
      <c r="Z25" s="128"/>
      <c r="AA25" s="38"/>
      <c r="AB25" s="108"/>
      <c r="AC25" s="108"/>
      <c r="AD25" s="128"/>
      <c r="AE25" s="108"/>
      <c r="AF25" s="128"/>
      <c r="AG25" s="128"/>
      <c r="AH25" s="108"/>
      <c r="AI25" s="128"/>
      <c r="AJ25" s="108"/>
      <c r="AK25" s="108"/>
      <c r="AL25" s="128"/>
      <c r="AM25" s="108"/>
      <c r="AN25" s="128"/>
      <c r="AO25" s="108"/>
      <c r="AP25" s="108"/>
      <c r="AQ25" s="128"/>
      <c r="AR25" s="108"/>
      <c r="AS25" s="174"/>
    </row>
    <row r="26" spans="1:45" s="141" customFormat="1" x14ac:dyDescent="0.25">
      <c r="A26" s="184" t="s">
        <v>29</v>
      </c>
      <c r="B26" s="40" t="s">
        <v>526</v>
      </c>
      <c r="C26" s="185">
        <v>8</v>
      </c>
      <c r="D26" s="64">
        <v>3</v>
      </c>
      <c r="E26" s="187">
        <v>3</v>
      </c>
      <c r="F26" s="129">
        <f>AVERAGE(J26,L26,N26,M26,O26,P26,X26,Y26)</f>
        <v>6.125</v>
      </c>
      <c r="G26" s="58"/>
      <c r="H26" s="59"/>
      <c r="I26" s="57" t="s">
        <v>153</v>
      </c>
      <c r="J26" s="108">
        <v>4</v>
      </c>
      <c r="K26" s="204" t="s">
        <v>153</v>
      </c>
      <c r="L26" s="294">
        <v>8</v>
      </c>
      <c r="M26" s="294">
        <v>7</v>
      </c>
      <c r="N26" s="108">
        <v>6</v>
      </c>
      <c r="O26" s="128">
        <v>6</v>
      </c>
      <c r="P26" s="108">
        <v>6</v>
      </c>
      <c r="Q26" s="108"/>
      <c r="R26" s="128"/>
      <c r="S26" s="108"/>
      <c r="T26" s="128"/>
      <c r="U26" s="108"/>
      <c r="V26" s="108"/>
      <c r="W26" s="108" t="s">
        <v>153</v>
      </c>
      <c r="X26" s="108">
        <v>5</v>
      </c>
      <c r="Y26" s="282">
        <v>7</v>
      </c>
      <c r="Z26" s="128"/>
      <c r="AA26" s="38"/>
      <c r="AB26" s="108"/>
      <c r="AC26" s="108"/>
      <c r="AD26" s="128"/>
      <c r="AE26" s="108"/>
      <c r="AF26" s="128"/>
      <c r="AG26" s="128"/>
      <c r="AH26" s="108"/>
      <c r="AI26" s="128"/>
      <c r="AJ26" s="108"/>
      <c r="AK26" s="108"/>
      <c r="AL26" s="128"/>
      <c r="AM26" s="108"/>
      <c r="AN26" s="128"/>
      <c r="AO26" s="108"/>
      <c r="AP26" s="108"/>
      <c r="AQ26" s="128"/>
      <c r="AR26" s="108"/>
      <c r="AS26" s="174"/>
    </row>
    <row r="27" spans="1:45" s="141" customFormat="1" x14ac:dyDescent="0.25">
      <c r="A27" s="184" t="s">
        <v>29</v>
      </c>
      <c r="B27" s="40" t="s">
        <v>40</v>
      </c>
      <c r="C27" s="185">
        <v>2</v>
      </c>
      <c r="D27" s="64"/>
      <c r="E27" s="187"/>
      <c r="F27" s="129">
        <f>AVERAGE(R27)</f>
        <v>5</v>
      </c>
      <c r="G27" s="58"/>
      <c r="H27" s="59"/>
      <c r="I27" s="57"/>
      <c r="J27" s="108"/>
      <c r="K27" s="69"/>
      <c r="L27" s="108" t="s">
        <v>555</v>
      </c>
      <c r="M27" s="108"/>
      <c r="N27" s="108"/>
      <c r="O27" s="128"/>
      <c r="P27" s="108"/>
      <c r="Q27" s="108"/>
      <c r="R27" s="128">
        <v>5</v>
      </c>
      <c r="S27" s="108"/>
      <c r="T27" s="128"/>
      <c r="U27" s="108"/>
      <c r="V27" s="108"/>
      <c r="W27" s="108"/>
      <c r="X27" s="108"/>
      <c r="Y27" s="128"/>
      <c r="Z27" s="128"/>
      <c r="AA27" s="38"/>
      <c r="AB27" s="108"/>
      <c r="AC27" s="108"/>
      <c r="AD27" s="128"/>
      <c r="AE27" s="108"/>
      <c r="AF27" s="128"/>
      <c r="AG27" s="128"/>
      <c r="AH27" s="108"/>
      <c r="AI27" s="128"/>
      <c r="AJ27" s="108"/>
      <c r="AK27" s="108"/>
      <c r="AL27" s="128"/>
      <c r="AM27" s="108"/>
      <c r="AN27" s="128"/>
      <c r="AO27" s="108"/>
      <c r="AP27" s="108"/>
      <c r="AQ27" s="128"/>
      <c r="AR27" s="108"/>
      <c r="AS27" s="174"/>
    </row>
    <row r="28" spans="1:45" s="141" customFormat="1" x14ac:dyDescent="0.25">
      <c r="A28" s="184" t="s">
        <v>29</v>
      </c>
      <c r="B28" s="77" t="s">
        <v>687</v>
      </c>
      <c r="C28" s="185">
        <v>1</v>
      </c>
      <c r="D28" s="64">
        <v>3</v>
      </c>
      <c r="E28" s="187"/>
      <c r="F28" s="129">
        <f>AVERAGE(W28)</f>
        <v>4</v>
      </c>
      <c r="G28" s="58"/>
      <c r="H28" s="59"/>
      <c r="I28" s="57"/>
      <c r="J28" s="108"/>
      <c r="K28" s="69"/>
      <c r="L28" s="108" t="s">
        <v>153</v>
      </c>
      <c r="M28" s="108"/>
      <c r="N28" s="108"/>
      <c r="O28" s="108" t="s">
        <v>153</v>
      </c>
      <c r="P28" s="108"/>
      <c r="Q28" s="108"/>
      <c r="R28" s="108" t="s">
        <v>153</v>
      </c>
      <c r="S28" s="108" t="s">
        <v>153</v>
      </c>
      <c r="T28" s="128"/>
      <c r="U28" s="108"/>
      <c r="V28" s="108"/>
      <c r="W28" s="108">
        <v>4</v>
      </c>
      <c r="X28" s="108"/>
      <c r="Y28" s="128"/>
      <c r="Z28" s="128"/>
      <c r="AA28" s="38"/>
      <c r="AB28" s="108"/>
      <c r="AC28" s="108"/>
      <c r="AD28" s="128"/>
      <c r="AE28" s="108"/>
      <c r="AF28" s="128"/>
      <c r="AG28" s="128"/>
      <c r="AH28" s="108"/>
      <c r="AI28" s="128"/>
      <c r="AJ28" s="108"/>
      <c r="AK28" s="108"/>
      <c r="AL28" s="128"/>
      <c r="AM28" s="108"/>
      <c r="AN28" s="128"/>
      <c r="AO28" s="108"/>
      <c r="AP28" s="108"/>
      <c r="AQ28" s="128"/>
      <c r="AR28" s="108"/>
      <c r="AS28" s="174"/>
    </row>
    <row r="29" spans="1:45" x14ac:dyDescent="0.25">
      <c r="A29" s="13" t="s">
        <v>29</v>
      </c>
      <c r="B29" s="14" t="s">
        <v>224</v>
      </c>
      <c r="C29" s="170">
        <v>12</v>
      </c>
      <c r="D29" s="171"/>
      <c r="E29" s="172"/>
      <c r="F29" s="34">
        <f>AVERAGE(Y29,H29,I29,J29,G29,O29,P29,Q29,R29,S29,T29,X29)</f>
        <v>5.5</v>
      </c>
      <c r="G29" s="58">
        <v>6</v>
      </c>
      <c r="H29" s="280">
        <v>5</v>
      </c>
      <c r="I29" s="108">
        <v>5</v>
      </c>
      <c r="J29" s="128">
        <v>5</v>
      </c>
      <c r="K29" s="128"/>
      <c r="L29" s="128"/>
      <c r="M29" s="128"/>
      <c r="N29" s="108"/>
      <c r="O29" s="128">
        <v>6</v>
      </c>
      <c r="P29" s="108">
        <v>5</v>
      </c>
      <c r="Q29" s="108">
        <v>6</v>
      </c>
      <c r="R29" s="128">
        <v>6</v>
      </c>
      <c r="S29" s="108">
        <v>6</v>
      </c>
      <c r="T29" s="128">
        <v>5</v>
      </c>
      <c r="U29" s="108"/>
      <c r="V29" s="108"/>
      <c r="W29" s="128"/>
      <c r="X29" s="108">
        <v>5</v>
      </c>
      <c r="Y29" s="128">
        <v>6</v>
      </c>
      <c r="Z29" s="128"/>
      <c r="AA29" s="38"/>
      <c r="AB29" s="128"/>
      <c r="AC29" s="108"/>
      <c r="AD29" s="128"/>
      <c r="AE29" s="108"/>
      <c r="AF29" s="128"/>
      <c r="AG29" s="128"/>
      <c r="AH29" s="108"/>
      <c r="AI29" s="128"/>
      <c r="AJ29" s="108"/>
      <c r="AK29" s="108"/>
      <c r="AL29" s="128"/>
      <c r="AM29" s="108"/>
      <c r="AN29" s="128"/>
      <c r="AO29" s="108"/>
      <c r="AP29" s="108"/>
      <c r="AQ29" s="128"/>
      <c r="AR29" s="108"/>
      <c r="AS29" s="27"/>
    </row>
    <row r="30" spans="1:45" x14ac:dyDescent="0.25">
      <c r="A30" s="54" t="s">
        <v>30</v>
      </c>
      <c r="B30" s="122" t="s">
        <v>225</v>
      </c>
      <c r="C30" s="323"/>
      <c r="D30" s="263"/>
      <c r="E30" s="324"/>
      <c r="F30" s="114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263"/>
      <c r="Y30" s="263"/>
      <c r="Z30" s="265"/>
      <c r="AA30" s="266"/>
      <c r="AB30" s="266"/>
      <c r="AC30" s="254"/>
      <c r="AD30" s="263"/>
      <c r="AE30" s="263"/>
      <c r="AF30" s="266"/>
      <c r="AG30" s="263"/>
      <c r="AH30" s="263"/>
      <c r="AI30" s="263"/>
      <c r="AJ30" s="263"/>
      <c r="AK30" s="263"/>
      <c r="AL30" s="266"/>
      <c r="AM30" s="263"/>
      <c r="AN30" s="263"/>
      <c r="AO30" s="263"/>
      <c r="AP30" s="266"/>
      <c r="AQ30" s="263"/>
      <c r="AR30" s="263"/>
      <c r="AS30" s="27"/>
    </row>
    <row r="31" spans="1:45" x14ac:dyDescent="0.25">
      <c r="A31" s="83" t="s">
        <v>30</v>
      </c>
      <c r="B31" s="40" t="s">
        <v>299</v>
      </c>
      <c r="C31" s="166">
        <v>5</v>
      </c>
      <c r="D31" s="168">
        <v>4</v>
      </c>
      <c r="E31" s="164">
        <v>2</v>
      </c>
      <c r="F31" s="129">
        <f>AVERAGE(P31,R31,W31,X31,Y31)</f>
        <v>4.5999999999999996</v>
      </c>
      <c r="G31" s="58"/>
      <c r="H31" s="38"/>
      <c r="I31" s="108" t="s">
        <v>153</v>
      </c>
      <c r="J31" s="128"/>
      <c r="K31" s="128"/>
      <c r="L31" s="128"/>
      <c r="M31" s="128"/>
      <c r="N31" s="108" t="s">
        <v>153</v>
      </c>
      <c r="O31" s="128"/>
      <c r="P31" s="108">
        <v>5</v>
      </c>
      <c r="Q31" s="108" t="s">
        <v>153</v>
      </c>
      <c r="R31" s="108">
        <v>4</v>
      </c>
      <c r="S31" s="57"/>
      <c r="T31" s="108" t="s">
        <v>153</v>
      </c>
      <c r="U31" s="108" t="s">
        <v>153</v>
      </c>
      <c r="V31" s="108"/>
      <c r="W31" s="283">
        <v>7</v>
      </c>
      <c r="X31" s="108">
        <v>4</v>
      </c>
      <c r="Y31" s="302">
        <v>3</v>
      </c>
      <c r="Z31" s="128"/>
      <c r="AA31" s="38"/>
      <c r="AB31" s="128"/>
      <c r="AC31" s="108"/>
      <c r="AD31" s="128"/>
      <c r="AE31" s="108"/>
      <c r="AF31" s="128"/>
      <c r="AG31" s="128"/>
      <c r="AH31" s="108"/>
      <c r="AI31" s="128"/>
      <c r="AJ31" s="108"/>
      <c r="AK31" s="108"/>
      <c r="AL31" s="128"/>
      <c r="AM31" s="108"/>
      <c r="AN31" s="128"/>
      <c r="AO31" s="108"/>
      <c r="AP31" s="108"/>
      <c r="AQ31" s="128"/>
      <c r="AR31" s="108"/>
      <c r="AS31" s="27"/>
    </row>
    <row r="32" spans="1:45" x14ac:dyDescent="0.25">
      <c r="A32" s="54" t="s">
        <v>30</v>
      </c>
      <c r="B32" s="122" t="s">
        <v>226</v>
      </c>
      <c r="C32" s="156"/>
      <c r="D32" s="157"/>
      <c r="E32" s="158"/>
      <c r="F32" s="129"/>
      <c r="G32" s="252"/>
      <c r="H32" s="267"/>
      <c r="I32" s="258"/>
      <c r="J32" s="257"/>
      <c r="K32" s="258"/>
      <c r="L32" s="258"/>
      <c r="M32" s="268"/>
      <c r="N32" s="258"/>
      <c r="O32" s="258"/>
      <c r="P32" s="258"/>
      <c r="Q32" s="268"/>
      <c r="R32" s="257"/>
      <c r="S32" s="258"/>
      <c r="T32" s="257"/>
      <c r="U32" s="258"/>
      <c r="V32" s="258"/>
      <c r="W32" s="258"/>
      <c r="X32" s="258"/>
      <c r="Y32" s="258"/>
      <c r="Z32" s="258"/>
      <c r="AA32" s="269"/>
      <c r="AB32" s="257"/>
      <c r="AC32" s="258"/>
      <c r="AD32" s="257"/>
      <c r="AE32" s="258"/>
      <c r="AF32" s="257"/>
      <c r="AG32" s="257"/>
      <c r="AH32" s="258"/>
      <c r="AI32" s="258"/>
      <c r="AJ32" s="258"/>
      <c r="AK32" s="258"/>
      <c r="AL32" s="257"/>
      <c r="AM32" s="257"/>
      <c r="AN32" s="257"/>
      <c r="AO32" s="268"/>
      <c r="AP32" s="258"/>
      <c r="AQ32" s="268"/>
      <c r="AR32" s="258"/>
      <c r="AS32" s="27"/>
    </row>
    <row r="33" spans="1:45" s="116" customFormat="1" x14ac:dyDescent="0.25">
      <c r="A33" s="83" t="s">
        <v>30</v>
      </c>
      <c r="B33" s="28" t="s">
        <v>324</v>
      </c>
      <c r="C33" s="166"/>
      <c r="D33" s="168"/>
      <c r="E33" s="164"/>
      <c r="F33" s="129"/>
      <c r="G33" s="58"/>
      <c r="H33" s="71"/>
      <c r="I33" s="108"/>
      <c r="J33" s="128"/>
      <c r="K33" s="108"/>
      <c r="L33" s="108"/>
      <c r="M33" s="57"/>
      <c r="N33" s="108"/>
      <c r="O33" s="108"/>
      <c r="P33" s="108"/>
      <c r="Q33" s="108"/>
      <c r="R33" s="128"/>
      <c r="S33" s="108"/>
      <c r="T33" s="128"/>
      <c r="U33" s="108"/>
      <c r="V33" s="108"/>
      <c r="W33" s="108"/>
      <c r="X33" s="108"/>
      <c r="Y33" s="108"/>
      <c r="Z33" s="108"/>
      <c r="AA33" s="62"/>
      <c r="AB33" s="128"/>
      <c r="AC33" s="108"/>
      <c r="AD33" s="128"/>
      <c r="AE33" s="108"/>
      <c r="AF33" s="128"/>
      <c r="AG33" s="108"/>
      <c r="AH33" s="108"/>
      <c r="AI33" s="69"/>
      <c r="AJ33" s="108"/>
      <c r="AK33" s="108"/>
      <c r="AL33" s="128"/>
      <c r="AM33" s="128"/>
      <c r="AN33" s="204"/>
      <c r="AO33" s="108"/>
      <c r="AP33" s="108"/>
      <c r="AQ33" s="128"/>
      <c r="AR33" s="108"/>
      <c r="AS33" s="120"/>
    </row>
    <row r="34" spans="1:45" s="141" customFormat="1" x14ac:dyDescent="0.25">
      <c r="A34" s="83" t="s">
        <v>30</v>
      </c>
      <c r="B34" s="28" t="s">
        <v>474</v>
      </c>
      <c r="C34" s="166">
        <v>1</v>
      </c>
      <c r="D34" s="168">
        <v>1</v>
      </c>
      <c r="E34" s="164"/>
      <c r="F34" s="129">
        <f>AVERAGE(I34)</f>
        <v>5</v>
      </c>
      <c r="G34" s="58"/>
      <c r="H34" s="71"/>
      <c r="I34" s="108">
        <v>5</v>
      </c>
      <c r="J34" s="128"/>
      <c r="K34" s="108" t="s">
        <v>153</v>
      </c>
      <c r="L34" s="108"/>
      <c r="M34" s="57"/>
      <c r="N34" s="108"/>
      <c r="O34" s="108"/>
      <c r="P34" s="108"/>
      <c r="Q34" s="108"/>
      <c r="R34" s="128"/>
      <c r="S34" s="108"/>
      <c r="T34" s="128"/>
      <c r="U34" s="108"/>
      <c r="V34" s="108"/>
      <c r="W34" s="108"/>
      <c r="X34" s="108"/>
      <c r="Y34" s="108"/>
      <c r="Z34" s="108"/>
      <c r="AA34" s="62"/>
      <c r="AB34" s="128"/>
      <c r="AC34" s="108"/>
      <c r="AD34" s="128"/>
      <c r="AE34" s="108"/>
      <c r="AF34" s="128"/>
      <c r="AG34" s="108"/>
      <c r="AH34" s="108"/>
      <c r="AI34" s="69"/>
      <c r="AJ34" s="108"/>
      <c r="AK34" s="108"/>
      <c r="AL34" s="128"/>
      <c r="AM34" s="128"/>
      <c r="AN34" s="204"/>
      <c r="AO34" s="108"/>
      <c r="AP34" s="108"/>
      <c r="AQ34" s="128"/>
      <c r="AR34" s="108"/>
      <c r="AS34" s="174"/>
    </row>
    <row r="35" spans="1:45" s="141" customFormat="1" x14ac:dyDescent="0.25">
      <c r="A35" s="83" t="s">
        <v>30</v>
      </c>
      <c r="B35" s="87" t="s">
        <v>475</v>
      </c>
      <c r="C35" s="166">
        <v>5</v>
      </c>
      <c r="D35" s="168">
        <v>3</v>
      </c>
      <c r="E35" s="164"/>
      <c r="F35" s="129">
        <f>AVERAGE(H35,G35,K35,M35,P35)</f>
        <v>4.4000000000000004</v>
      </c>
      <c r="G35" s="58">
        <v>5</v>
      </c>
      <c r="H35" s="281">
        <v>4</v>
      </c>
      <c r="I35" s="108"/>
      <c r="J35" s="108" t="s">
        <v>153</v>
      </c>
      <c r="K35" s="108">
        <v>4</v>
      </c>
      <c r="L35" s="108" t="s">
        <v>153</v>
      </c>
      <c r="M35" s="204">
        <v>4</v>
      </c>
      <c r="N35" s="108"/>
      <c r="O35" s="108"/>
      <c r="P35" s="108">
        <v>5</v>
      </c>
      <c r="Q35" s="108" t="s">
        <v>153</v>
      </c>
      <c r="R35" s="128"/>
      <c r="S35" s="108"/>
      <c r="T35" s="128"/>
      <c r="U35" s="108"/>
      <c r="V35" s="108"/>
      <c r="W35" s="108"/>
      <c r="X35" s="108"/>
      <c r="Y35" s="108"/>
      <c r="Z35" s="108"/>
      <c r="AA35" s="62"/>
      <c r="AB35" s="128"/>
      <c r="AC35" s="108"/>
      <c r="AD35" s="128"/>
      <c r="AE35" s="108"/>
      <c r="AF35" s="128"/>
      <c r="AG35" s="108"/>
      <c r="AH35" s="108"/>
      <c r="AI35" s="69"/>
      <c r="AJ35" s="108"/>
      <c r="AK35" s="108"/>
      <c r="AL35" s="128"/>
      <c r="AM35" s="128"/>
      <c r="AN35" s="204"/>
      <c r="AO35" s="108"/>
      <c r="AP35" s="108"/>
      <c r="AQ35" s="128"/>
      <c r="AR35" s="108"/>
      <c r="AS35" s="174"/>
    </row>
    <row r="36" spans="1:45" s="141" customFormat="1" x14ac:dyDescent="0.25">
      <c r="A36" s="83" t="s">
        <v>30</v>
      </c>
      <c r="B36" s="87" t="s">
        <v>476</v>
      </c>
      <c r="C36" s="166">
        <v>10</v>
      </c>
      <c r="D36" s="168">
        <v>5</v>
      </c>
      <c r="E36" s="176" t="s">
        <v>796</v>
      </c>
      <c r="F36" s="129">
        <f>AVERAGE(H36,I36,K36,L36,M36,O36,Q36,S36,T36,U36,V36)</f>
        <v>4.0909090909090908</v>
      </c>
      <c r="G36" s="56" t="s">
        <v>153</v>
      </c>
      <c r="H36" s="281">
        <v>4</v>
      </c>
      <c r="I36" s="108">
        <v>4</v>
      </c>
      <c r="J36" s="108" t="s">
        <v>153</v>
      </c>
      <c r="K36" s="108">
        <v>4</v>
      </c>
      <c r="L36" s="108">
        <v>4</v>
      </c>
      <c r="M36" s="351">
        <v>2</v>
      </c>
      <c r="N36" s="108"/>
      <c r="O36" s="108">
        <v>4</v>
      </c>
      <c r="P36" s="108" t="s">
        <v>153</v>
      </c>
      <c r="Q36" s="108">
        <v>4</v>
      </c>
      <c r="R36" s="108" t="s">
        <v>153</v>
      </c>
      <c r="S36" s="108">
        <v>4</v>
      </c>
      <c r="T36" s="128">
        <v>4</v>
      </c>
      <c r="U36" s="108">
        <v>5</v>
      </c>
      <c r="V36" s="57">
        <v>6</v>
      </c>
      <c r="W36" s="108"/>
      <c r="X36" s="108"/>
      <c r="Y36" s="108"/>
      <c r="Z36" s="108"/>
      <c r="AA36" s="62"/>
      <c r="AB36" s="128"/>
      <c r="AC36" s="108"/>
      <c r="AD36" s="128"/>
      <c r="AE36" s="108"/>
      <c r="AF36" s="128"/>
      <c r="AG36" s="108"/>
      <c r="AH36" s="108"/>
      <c r="AI36" s="69"/>
      <c r="AJ36" s="108"/>
      <c r="AK36" s="108"/>
      <c r="AL36" s="128"/>
      <c r="AM36" s="128"/>
      <c r="AN36" s="204"/>
      <c r="AO36" s="108"/>
      <c r="AP36" s="108"/>
      <c r="AQ36" s="128"/>
      <c r="AR36" s="108"/>
      <c r="AS36" s="174"/>
    </row>
    <row r="37" spans="1:45" s="141" customFormat="1" x14ac:dyDescent="0.25">
      <c r="A37" s="83" t="s">
        <v>30</v>
      </c>
      <c r="B37" s="87" t="s">
        <v>822</v>
      </c>
      <c r="C37" s="166">
        <v>5</v>
      </c>
      <c r="D37" s="168">
        <v>3</v>
      </c>
      <c r="E37" s="176">
        <v>1</v>
      </c>
      <c r="F37" s="129">
        <f>AVERAGE(S37,T37,U37,X37,Y37)</f>
        <v>5</v>
      </c>
      <c r="G37" s="56"/>
      <c r="H37" s="281"/>
      <c r="I37" s="108"/>
      <c r="J37" s="108"/>
      <c r="K37" s="108"/>
      <c r="L37" s="108"/>
      <c r="M37" s="108"/>
      <c r="N37" s="108"/>
      <c r="O37" s="108"/>
      <c r="P37" s="108"/>
      <c r="Q37" s="108"/>
      <c r="R37" s="108" t="s">
        <v>153</v>
      </c>
      <c r="S37" s="57">
        <v>6</v>
      </c>
      <c r="T37" s="128">
        <v>5</v>
      </c>
      <c r="U37" s="108">
        <v>5</v>
      </c>
      <c r="V37" s="108" t="s">
        <v>153</v>
      </c>
      <c r="W37" s="108" t="s">
        <v>153</v>
      </c>
      <c r="X37" s="108">
        <v>5</v>
      </c>
      <c r="Y37" s="108">
        <v>4</v>
      </c>
      <c r="Z37" s="108"/>
      <c r="AA37" s="62"/>
      <c r="AB37" s="128"/>
      <c r="AC37" s="108"/>
      <c r="AD37" s="128"/>
      <c r="AE37" s="108"/>
      <c r="AF37" s="128"/>
      <c r="AG37" s="108"/>
      <c r="AH37" s="108"/>
      <c r="AI37" s="69"/>
      <c r="AJ37" s="108"/>
      <c r="AK37" s="108"/>
      <c r="AL37" s="128"/>
      <c r="AM37" s="128"/>
      <c r="AN37" s="204"/>
      <c r="AO37" s="108"/>
      <c r="AP37" s="108"/>
      <c r="AQ37" s="128"/>
      <c r="AR37" s="108"/>
      <c r="AS37" s="174"/>
    </row>
    <row r="38" spans="1:45" s="141" customFormat="1" x14ac:dyDescent="0.25">
      <c r="A38" s="83" t="s">
        <v>30</v>
      </c>
      <c r="B38" s="87" t="s">
        <v>908</v>
      </c>
      <c r="C38" s="166"/>
      <c r="D38" s="168">
        <v>2</v>
      </c>
      <c r="E38" s="176"/>
      <c r="F38" s="129"/>
      <c r="G38" s="56"/>
      <c r="H38" s="281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57"/>
      <c r="T38" s="128"/>
      <c r="U38" s="108"/>
      <c r="V38" s="108" t="s">
        <v>153</v>
      </c>
      <c r="W38" s="108"/>
      <c r="X38" s="108" t="s">
        <v>153</v>
      </c>
      <c r="Y38" s="108"/>
      <c r="Z38" s="108"/>
      <c r="AA38" s="62"/>
      <c r="AB38" s="128"/>
      <c r="AC38" s="108"/>
      <c r="AD38" s="128"/>
      <c r="AE38" s="108"/>
      <c r="AF38" s="128"/>
      <c r="AG38" s="108"/>
      <c r="AH38" s="108"/>
      <c r="AI38" s="69"/>
      <c r="AJ38" s="108"/>
      <c r="AK38" s="108"/>
      <c r="AL38" s="128"/>
      <c r="AM38" s="128"/>
      <c r="AN38" s="204"/>
      <c r="AO38" s="108"/>
      <c r="AP38" s="108"/>
      <c r="AQ38" s="128"/>
      <c r="AR38" s="108"/>
      <c r="AS38" s="174"/>
    </row>
    <row r="39" spans="1:45" s="141" customFormat="1" ht="15.75" thickBot="1" x14ac:dyDescent="0.3">
      <c r="A39" s="3" t="s">
        <v>30</v>
      </c>
      <c r="B39" s="219" t="s">
        <v>477</v>
      </c>
      <c r="C39" s="167">
        <v>8</v>
      </c>
      <c r="D39" s="169">
        <v>7</v>
      </c>
      <c r="E39" s="165"/>
      <c r="F39" s="33">
        <f>AVERAGE(I39,J39,G39,L39,N39,O39,R39,V39)</f>
        <v>4.5</v>
      </c>
      <c r="G39" s="58">
        <v>5</v>
      </c>
      <c r="H39" s="68" t="s">
        <v>153</v>
      </c>
      <c r="I39" s="108">
        <v>5</v>
      </c>
      <c r="J39" s="128">
        <v>5</v>
      </c>
      <c r="K39" s="108"/>
      <c r="L39" s="108">
        <v>5</v>
      </c>
      <c r="M39" s="204" t="s">
        <v>153</v>
      </c>
      <c r="N39" s="108">
        <v>4</v>
      </c>
      <c r="O39" s="108">
        <v>4</v>
      </c>
      <c r="P39" s="108" t="s">
        <v>153</v>
      </c>
      <c r="Q39" s="108"/>
      <c r="R39" s="128">
        <v>4</v>
      </c>
      <c r="S39" s="108" t="s">
        <v>153</v>
      </c>
      <c r="T39" s="108" t="s">
        <v>153</v>
      </c>
      <c r="U39" s="108" t="s">
        <v>153</v>
      </c>
      <c r="V39" s="108">
        <v>4</v>
      </c>
      <c r="W39" s="108"/>
      <c r="X39" s="108"/>
      <c r="Y39" s="108" t="s">
        <v>153</v>
      </c>
      <c r="Z39" s="108"/>
      <c r="AA39" s="62"/>
      <c r="AB39" s="128"/>
      <c r="AC39" s="108"/>
      <c r="AD39" s="128"/>
      <c r="AE39" s="108"/>
      <c r="AF39" s="128"/>
      <c r="AG39" s="108"/>
      <c r="AH39" s="108"/>
      <c r="AI39" s="69"/>
      <c r="AJ39" s="108"/>
      <c r="AK39" s="108"/>
      <c r="AL39" s="128"/>
      <c r="AM39" s="128"/>
      <c r="AN39" s="204"/>
      <c r="AO39" s="108"/>
      <c r="AP39" s="108"/>
      <c r="AQ39" s="128"/>
      <c r="AR39" s="108"/>
      <c r="AS39" s="174"/>
    </row>
    <row r="40" spans="1:45" x14ac:dyDescent="0.25">
      <c r="G40" s="30">
        <f>AVERAGE(G9,G10,G11,G12,G15,G22,G23,G24,G29,G35)</f>
        <v>5.25</v>
      </c>
      <c r="H40" s="36">
        <f>AVERAGE(H9,H10,H11,H12,H15,H20,H22,H23,H29,H35,H36)</f>
        <v>5.2727272727272725</v>
      </c>
      <c r="I40" s="36">
        <f>AVERAGE(I9,I14,I17,I21,I22,I25,I29,I34,I36,I39)</f>
        <v>4.9000000000000004</v>
      </c>
      <c r="J40" s="30">
        <f>AVERAGE(J9,J10,J11,J13,J15,J20,J25,J26,J29,J39)</f>
        <v>4.7</v>
      </c>
      <c r="K40" s="30">
        <f>AVERAGE(K9,K10,K11,K13,K15,K17,K20,K24,K25,K35,K36)</f>
        <v>5.3636363636363633</v>
      </c>
      <c r="L40" s="30">
        <f>AVERAGE(L9,L10,L11,L15,L16,L17,L23,L26,L20,L39,L36)</f>
        <v>5.0909090909090908</v>
      </c>
      <c r="M40" s="30">
        <f>AVERAGE(M9,M10,M11,M15,M16,M17,M22,M24,M26,M35,M36)</f>
        <v>5.0909090909090908</v>
      </c>
      <c r="N40" s="36">
        <f>AVERAGE(N9,N10,N11,N14,N15,N25,N20,N21,N22,N26,N39)</f>
        <v>5.4545454545454541</v>
      </c>
      <c r="O40" s="36">
        <f>AVERAGE(O9,O11,O14,O15,O16,O20,O22,O25,O26,O29,O39)</f>
        <v>5.0909090909090908</v>
      </c>
      <c r="P40" s="36">
        <f>AVERAGE(P9,P11,P13,P14,P20,P23,P24,P26,P29,P31,P35)</f>
        <v>5.1818181818181817</v>
      </c>
      <c r="Q40" s="36">
        <f>AVERAGE(Q9,Q10,Q11,Q13,Q15,Q20,Q22,Q23,Q24,Q29,Q36)</f>
        <v>5.7272727272727275</v>
      </c>
      <c r="R40" s="36">
        <f>AVERAGE(R9,R10,R11,R13,R15,R23,R24,R27,R29,R31,R39)</f>
        <v>5.5454545454545459</v>
      </c>
      <c r="S40" s="36">
        <f>AVERAGE(S9,S10,S11,S13,S15,S20,S23,S24,S29,S36,S37)</f>
        <v>4.5454545454545459</v>
      </c>
      <c r="T40" s="36">
        <f>AVERAGE(T9,T10,T15,T16,T17,T20,T23,T24,T29,T36,T37)</f>
        <v>5.3636363636363633</v>
      </c>
      <c r="U40" s="36">
        <f>AVERAGE(U9,U11,U14,U13,U15,U16,U17,U21,U23,U36,U37)</f>
        <v>5.0909090909090908</v>
      </c>
      <c r="V40" s="36">
        <f>AVERAGE(V9,V10,V11,V14,V16,V17,V20,V23,V24,V36,V39)</f>
        <v>5</v>
      </c>
      <c r="W40" s="36">
        <f>AVERAGE(W9,W10,W11,W13,W14,W17,W20,W21,W22,W28,W31)</f>
        <v>5.3636363636363633</v>
      </c>
      <c r="X40" s="36">
        <f>AVERAGE(X8,X10,X11,X13,X14,X22,X23,X26,X29,X31,X37)</f>
        <v>5.2727272727272725</v>
      </c>
      <c r="Y40" s="36">
        <f>AVERAGE(Y8,Y10,Y11,Y13,Y14,Y22,Y23,Y26,Y29,Y31,Y37)</f>
        <v>5.2727272727272725</v>
      </c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AS40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7" width="4.7109375" customWidth="1"/>
    <col min="8" max="9" width="4.5703125" customWidth="1"/>
    <col min="10" max="26" width="4.7109375" customWidth="1"/>
    <col min="27" max="27" width="4.85546875" customWidth="1"/>
    <col min="28" max="44" width="4.7109375" customWidth="1"/>
  </cols>
  <sheetData>
    <row r="1" spans="1:45" x14ac:dyDescent="0.25">
      <c r="A1" t="s">
        <v>245</v>
      </c>
    </row>
    <row r="4" spans="1:45" x14ac:dyDescent="0.25">
      <c r="A4" t="s">
        <v>2</v>
      </c>
    </row>
    <row r="5" spans="1:45" ht="15.75" thickBot="1" x14ac:dyDescent="0.3"/>
    <row r="6" spans="1:45" ht="15.75" thickBot="1" x14ac:dyDescent="0.3">
      <c r="C6" s="375" t="s">
        <v>101</v>
      </c>
      <c r="D6" s="376"/>
      <c r="E6" s="377"/>
    </row>
    <row r="7" spans="1:45" ht="48" customHeight="1" thickBot="1" x14ac:dyDescent="0.3">
      <c r="A7" s="5" t="s">
        <v>3</v>
      </c>
      <c r="B7" s="6" t="s">
        <v>4</v>
      </c>
      <c r="C7" s="11" t="s">
        <v>7</v>
      </c>
      <c r="D7" s="12" t="s">
        <v>99</v>
      </c>
      <c r="E7" s="7" t="s">
        <v>5</v>
      </c>
      <c r="F7" s="7" t="s">
        <v>100</v>
      </c>
      <c r="G7" s="18" t="s">
        <v>624</v>
      </c>
      <c r="H7" s="26" t="s">
        <v>551</v>
      </c>
      <c r="I7" s="26" t="s">
        <v>579</v>
      </c>
      <c r="J7" s="26" t="s">
        <v>588</v>
      </c>
      <c r="K7" s="26" t="s">
        <v>658</v>
      </c>
      <c r="L7" s="26" t="s">
        <v>678</v>
      </c>
      <c r="M7" s="26" t="s">
        <v>698</v>
      </c>
      <c r="N7" s="26" t="s">
        <v>730</v>
      </c>
      <c r="O7" s="26" t="s">
        <v>745</v>
      </c>
      <c r="P7" s="79" t="s">
        <v>765</v>
      </c>
      <c r="Q7" s="98" t="s">
        <v>800</v>
      </c>
      <c r="R7" s="101" t="s">
        <v>809</v>
      </c>
      <c r="S7" s="101" t="s">
        <v>839</v>
      </c>
      <c r="T7" s="101" t="s">
        <v>858</v>
      </c>
      <c r="U7" s="101" t="s">
        <v>894</v>
      </c>
      <c r="V7" s="118" t="s">
        <v>910</v>
      </c>
      <c r="W7" s="26" t="s">
        <v>941</v>
      </c>
      <c r="X7" s="119" t="s">
        <v>960</v>
      </c>
      <c r="Y7" s="119" t="s">
        <v>977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59"/>
      <c r="AM7" s="173"/>
      <c r="AN7" s="26"/>
      <c r="AO7" s="26"/>
      <c r="AP7" s="26"/>
      <c r="AQ7" s="26"/>
      <c r="AR7" s="26"/>
    </row>
    <row r="8" spans="1:45" x14ac:dyDescent="0.25">
      <c r="A8" s="22" t="s">
        <v>8</v>
      </c>
      <c r="B8" s="338" t="s">
        <v>737</v>
      </c>
      <c r="C8" s="149"/>
      <c r="D8" s="150"/>
      <c r="E8" s="148"/>
      <c r="F8" s="244"/>
      <c r="G8" s="213"/>
      <c r="H8" s="128"/>
      <c r="I8" s="108"/>
      <c r="J8" s="128"/>
      <c r="K8" s="108"/>
      <c r="L8" s="108"/>
      <c r="M8" s="38"/>
      <c r="N8" s="108"/>
      <c r="O8" s="128"/>
      <c r="P8" s="70"/>
      <c r="Q8" s="128"/>
      <c r="R8" s="128"/>
      <c r="S8" s="128"/>
      <c r="T8" s="108"/>
      <c r="U8" s="128"/>
      <c r="V8" s="128"/>
      <c r="W8" s="108"/>
      <c r="X8" s="128"/>
      <c r="Y8" s="128"/>
      <c r="Z8" s="128"/>
      <c r="AA8" s="108"/>
      <c r="AB8" s="128"/>
      <c r="AC8" s="128"/>
      <c r="AD8" s="128"/>
      <c r="AE8" s="38"/>
      <c r="AF8" s="128"/>
      <c r="AG8" s="128"/>
      <c r="AH8" s="38"/>
      <c r="AI8" s="128"/>
      <c r="AJ8" s="62"/>
      <c r="AK8" s="38"/>
      <c r="AL8" s="38"/>
      <c r="AM8" s="108"/>
      <c r="AN8" s="38"/>
      <c r="AO8" s="38"/>
      <c r="AP8" s="38"/>
      <c r="AQ8" s="38"/>
      <c r="AR8" s="128"/>
      <c r="AS8" s="27"/>
    </row>
    <row r="9" spans="1:45" x14ac:dyDescent="0.25">
      <c r="A9" s="83" t="s">
        <v>8</v>
      </c>
      <c r="B9" s="28" t="s">
        <v>303</v>
      </c>
      <c r="C9" s="166">
        <v>18</v>
      </c>
      <c r="D9" s="168"/>
      <c r="E9" s="164"/>
      <c r="F9" s="48">
        <f>AVERAGE(Y9,I9,J9,G9,K9,L9,M9,N9,O9,P9,Q9,R9,S9,T9,U9,V9,W9,X9)</f>
        <v>5.333333333333333</v>
      </c>
      <c r="G9" s="213">
        <v>5</v>
      </c>
      <c r="H9" s="128"/>
      <c r="I9" s="108">
        <v>4</v>
      </c>
      <c r="J9" s="283">
        <v>7</v>
      </c>
      <c r="K9" s="57">
        <v>6</v>
      </c>
      <c r="L9" s="108">
        <v>5</v>
      </c>
      <c r="M9" s="348">
        <v>7</v>
      </c>
      <c r="N9" s="108">
        <v>4</v>
      </c>
      <c r="O9" s="69">
        <v>6</v>
      </c>
      <c r="P9" s="70">
        <v>5</v>
      </c>
      <c r="Q9" s="69">
        <v>6</v>
      </c>
      <c r="R9" s="70">
        <v>5</v>
      </c>
      <c r="S9" s="128">
        <v>5</v>
      </c>
      <c r="T9" s="57">
        <v>6</v>
      </c>
      <c r="U9" s="128">
        <v>5</v>
      </c>
      <c r="V9" s="128">
        <v>5</v>
      </c>
      <c r="W9" s="108">
        <v>5</v>
      </c>
      <c r="X9" s="70">
        <v>5</v>
      </c>
      <c r="Y9" s="128">
        <v>5</v>
      </c>
      <c r="Z9" s="69"/>
      <c r="AA9" s="108"/>
      <c r="AB9" s="128"/>
      <c r="AC9" s="128"/>
      <c r="AD9" s="69"/>
      <c r="AE9" s="66"/>
      <c r="AF9" s="128"/>
      <c r="AG9" s="128"/>
      <c r="AH9" s="38"/>
      <c r="AI9" s="128"/>
      <c r="AJ9" s="67"/>
      <c r="AK9" s="38"/>
      <c r="AL9" s="38"/>
      <c r="AM9" s="108"/>
      <c r="AN9" s="66"/>
      <c r="AO9" s="66"/>
      <c r="AP9" s="38"/>
      <c r="AQ9" s="38"/>
      <c r="AR9" s="128"/>
      <c r="AS9" s="27"/>
    </row>
    <row r="10" spans="1:45" x14ac:dyDescent="0.25">
      <c r="A10" s="13" t="s">
        <v>8</v>
      </c>
      <c r="B10" s="14" t="s">
        <v>233</v>
      </c>
      <c r="C10" s="170">
        <v>1</v>
      </c>
      <c r="D10" s="171"/>
      <c r="E10" s="172"/>
      <c r="F10" s="245">
        <f>AVERAGE(H10)</f>
        <v>5</v>
      </c>
      <c r="G10" s="213"/>
      <c r="H10" s="70">
        <v>5</v>
      </c>
      <c r="I10" s="108"/>
      <c r="J10" s="128"/>
      <c r="K10" s="108"/>
      <c r="L10" s="108"/>
      <c r="M10" s="38"/>
      <c r="N10" s="108"/>
      <c r="O10" s="128"/>
      <c r="P10" s="70"/>
      <c r="Q10" s="128"/>
      <c r="R10" s="128"/>
      <c r="S10" s="128"/>
      <c r="T10" s="108"/>
      <c r="U10" s="128"/>
      <c r="V10" s="128"/>
      <c r="W10" s="108"/>
      <c r="X10" s="128"/>
      <c r="Y10" s="128"/>
      <c r="Z10" s="128"/>
      <c r="AA10" s="108"/>
      <c r="AB10" s="128"/>
      <c r="AC10" s="128"/>
      <c r="AD10" s="128"/>
      <c r="AE10" s="38"/>
      <c r="AF10" s="128"/>
      <c r="AG10" s="128"/>
      <c r="AH10" s="38"/>
      <c r="AI10" s="128"/>
      <c r="AJ10" s="62"/>
      <c r="AK10" s="38"/>
      <c r="AL10" s="38"/>
      <c r="AM10" s="108"/>
      <c r="AN10" s="38"/>
      <c r="AO10" s="38"/>
      <c r="AP10" s="38"/>
      <c r="AQ10" s="62"/>
      <c r="AR10" s="128"/>
      <c r="AS10" s="27"/>
    </row>
    <row r="11" spans="1:45" x14ac:dyDescent="0.25">
      <c r="A11" s="83" t="s">
        <v>11</v>
      </c>
      <c r="B11" s="160" t="s">
        <v>234</v>
      </c>
      <c r="C11" s="166">
        <v>4</v>
      </c>
      <c r="D11" s="168"/>
      <c r="E11" s="164"/>
      <c r="F11" s="48">
        <f>AVERAGE(J11,K11,V11,X11)</f>
        <v>4.75</v>
      </c>
      <c r="G11" s="213"/>
      <c r="H11" s="128"/>
      <c r="I11" s="68"/>
      <c r="J11" s="128">
        <v>5</v>
      </c>
      <c r="K11" s="108">
        <v>5</v>
      </c>
      <c r="L11" s="108"/>
      <c r="M11" s="38"/>
      <c r="N11" s="108"/>
      <c r="O11" s="128"/>
      <c r="P11" s="108"/>
      <c r="Q11" s="128"/>
      <c r="R11" s="128"/>
      <c r="S11" s="128"/>
      <c r="T11" s="108"/>
      <c r="U11" s="128"/>
      <c r="V11" s="128">
        <v>5</v>
      </c>
      <c r="W11" s="108"/>
      <c r="X11" s="128">
        <v>4</v>
      </c>
      <c r="Y11" s="128"/>
      <c r="Z11" s="128"/>
      <c r="AA11" s="108"/>
      <c r="AB11" s="128"/>
      <c r="AC11" s="128"/>
      <c r="AD11" s="128"/>
      <c r="AE11" s="38"/>
      <c r="AF11" s="128"/>
      <c r="AG11" s="128"/>
      <c r="AH11" s="38"/>
      <c r="AI11" s="128"/>
      <c r="AJ11" s="62"/>
      <c r="AK11" s="38"/>
      <c r="AL11" s="38"/>
      <c r="AM11" s="108"/>
      <c r="AN11" s="38"/>
      <c r="AO11" s="38"/>
      <c r="AP11" s="38"/>
      <c r="AQ11" s="38"/>
      <c r="AR11" s="128"/>
      <c r="AS11" s="27"/>
    </row>
    <row r="12" spans="1:45" x14ac:dyDescent="0.25">
      <c r="A12" s="83" t="s">
        <v>11</v>
      </c>
      <c r="B12" s="28" t="s">
        <v>301</v>
      </c>
      <c r="C12" s="166">
        <v>15</v>
      </c>
      <c r="D12" s="168"/>
      <c r="E12" s="164"/>
      <c r="F12" s="48">
        <f>AVERAGE(V12,U12,T12,H12,J12,G12,K12,L12,M12,N12,O12,P12,Q12,R12,S12,X12)</f>
        <v>4.625</v>
      </c>
      <c r="G12" s="213">
        <v>4</v>
      </c>
      <c r="H12" s="281">
        <v>5</v>
      </c>
      <c r="I12" s="68"/>
      <c r="J12" s="128">
        <v>5</v>
      </c>
      <c r="K12" s="108">
        <v>5</v>
      </c>
      <c r="L12" s="108">
        <v>5</v>
      </c>
      <c r="M12" s="38">
        <v>4</v>
      </c>
      <c r="N12" s="108">
        <v>4</v>
      </c>
      <c r="O12" s="128">
        <v>5</v>
      </c>
      <c r="P12" s="70">
        <v>4</v>
      </c>
      <c r="Q12" s="128">
        <v>5</v>
      </c>
      <c r="R12" s="128">
        <v>5</v>
      </c>
      <c r="S12" s="128">
        <v>4</v>
      </c>
      <c r="T12" s="108">
        <v>5</v>
      </c>
      <c r="U12" s="128">
        <v>4</v>
      </c>
      <c r="V12" s="128">
        <v>5</v>
      </c>
      <c r="W12" s="57"/>
      <c r="X12" s="128">
        <v>5</v>
      </c>
      <c r="Y12" s="128"/>
      <c r="Z12" s="128"/>
      <c r="AA12" s="108"/>
      <c r="AB12" s="128"/>
      <c r="AC12" s="128"/>
      <c r="AD12" s="128"/>
      <c r="AE12" s="38"/>
      <c r="AF12" s="128"/>
      <c r="AG12" s="128"/>
      <c r="AH12" s="38"/>
      <c r="AI12" s="128"/>
      <c r="AJ12" s="62"/>
      <c r="AK12" s="38"/>
      <c r="AL12" s="38"/>
      <c r="AM12" s="108"/>
      <c r="AN12" s="38"/>
      <c r="AO12" s="38"/>
      <c r="AP12" s="38"/>
      <c r="AQ12" s="38"/>
      <c r="AR12" s="128"/>
      <c r="AS12" s="27"/>
    </row>
    <row r="13" spans="1:45" x14ac:dyDescent="0.25">
      <c r="A13" s="83" t="s">
        <v>11</v>
      </c>
      <c r="B13" s="160" t="s">
        <v>235</v>
      </c>
      <c r="C13" s="166">
        <v>9</v>
      </c>
      <c r="D13" s="168">
        <v>1</v>
      </c>
      <c r="E13" s="176">
        <v>1</v>
      </c>
      <c r="F13" s="48">
        <f>AVERAGE(H13,I13,G13,P13,Q13,R13,S13,T13,U13)</f>
        <v>5.1111111111111107</v>
      </c>
      <c r="G13" s="56">
        <v>5</v>
      </c>
      <c r="H13" s="128">
        <v>5</v>
      </c>
      <c r="I13" s="108">
        <v>5</v>
      </c>
      <c r="J13" s="128"/>
      <c r="K13" s="108"/>
      <c r="L13" s="108"/>
      <c r="M13" s="38"/>
      <c r="N13" s="108"/>
      <c r="O13" s="128"/>
      <c r="P13" s="70">
        <v>5</v>
      </c>
      <c r="Q13" s="128">
        <v>5</v>
      </c>
      <c r="R13" s="128">
        <v>5</v>
      </c>
      <c r="S13" s="69">
        <v>6</v>
      </c>
      <c r="T13" s="108">
        <v>6</v>
      </c>
      <c r="U13" s="128">
        <v>4</v>
      </c>
      <c r="V13" s="108" t="s">
        <v>153</v>
      </c>
      <c r="W13" s="108"/>
      <c r="X13" s="128"/>
      <c r="Y13" s="128"/>
      <c r="Z13" s="128"/>
      <c r="AA13" s="108"/>
      <c r="AB13" s="128"/>
      <c r="AC13" s="128"/>
      <c r="AD13" s="69"/>
      <c r="AE13" s="38"/>
      <c r="AF13" s="128"/>
      <c r="AG13" s="128"/>
      <c r="AH13" s="38"/>
      <c r="AI13" s="128"/>
      <c r="AJ13" s="62"/>
      <c r="AK13" s="38"/>
      <c r="AL13" s="38"/>
      <c r="AM13" s="108"/>
      <c r="AN13" s="38"/>
      <c r="AO13" s="38"/>
      <c r="AP13" s="38"/>
      <c r="AQ13" s="38"/>
      <c r="AR13" s="128"/>
      <c r="AS13" s="27"/>
    </row>
    <row r="14" spans="1:45" x14ac:dyDescent="0.25">
      <c r="A14" s="83" t="s">
        <v>11</v>
      </c>
      <c r="B14" s="160" t="s">
        <v>344</v>
      </c>
      <c r="C14" s="166">
        <v>10</v>
      </c>
      <c r="D14" s="168">
        <v>1</v>
      </c>
      <c r="E14" s="164"/>
      <c r="F14" s="48">
        <f>AVERAGE(H14,L14,M14,N14,O14,P14,Q14,R14,W14)</f>
        <v>4.7777777777777777</v>
      </c>
      <c r="G14" s="56"/>
      <c r="H14" s="128">
        <v>4</v>
      </c>
      <c r="I14" s="108"/>
      <c r="J14" s="128"/>
      <c r="K14" s="108" t="s">
        <v>153</v>
      </c>
      <c r="L14" s="108">
        <v>5</v>
      </c>
      <c r="M14" s="349">
        <v>3</v>
      </c>
      <c r="N14" s="108">
        <v>5</v>
      </c>
      <c r="O14" s="282">
        <v>7</v>
      </c>
      <c r="P14" s="70">
        <v>5</v>
      </c>
      <c r="Q14" s="128">
        <v>5</v>
      </c>
      <c r="R14" s="128">
        <v>5</v>
      </c>
      <c r="S14" s="128"/>
      <c r="T14" s="108"/>
      <c r="U14" s="128"/>
      <c r="V14" s="128"/>
      <c r="W14" s="108">
        <v>4</v>
      </c>
      <c r="X14" s="128"/>
      <c r="Y14" s="128"/>
      <c r="Z14" s="128"/>
      <c r="AA14" s="108"/>
      <c r="AB14" s="108"/>
      <c r="AC14" s="128"/>
      <c r="AD14" s="128"/>
      <c r="AE14" s="38"/>
      <c r="AF14" s="128"/>
      <c r="AG14" s="128"/>
      <c r="AH14" s="38"/>
      <c r="AI14" s="128"/>
      <c r="AJ14" s="62"/>
      <c r="AK14" s="38"/>
      <c r="AL14" s="38"/>
      <c r="AM14" s="108"/>
      <c r="AN14" s="62"/>
      <c r="AO14" s="38"/>
      <c r="AP14" s="38"/>
      <c r="AQ14" s="62"/>
      <c r="AR14" s="128"/>
      <c r="AS14" s="27"/>
    </row>
    <row r="15" spans="1:45" x14ac:dyDescent="0.25">
      <c r="A15" s="83" t="s">
        <v>11</v>
      </c>
      <c r="B15" s="160" t="s">
        <v>302</v>
      </c>
      <c r="C15" s="166">
        <v>1</v>
      </c>
      <c r="D15" s="168"/>
      <c r="E15" s="176" t="s">
        <v>617</v>
      </c>
      <c r="F15" s="48">
        <f>AVERAGE(I15)</f>
        <v>4</v>
      </c>
      <c r="G15" s="213"/>
      <c r="H15" s="128"/>
      <c r="I15" s="209">
        <v>4</v>
      </c>
      <c r="J15" s="108"/>
      <c r="K15" s="108"/>
      <c r="L15" s="108"/>
      <c r="M15" s="38"/>
      <c r="N15" s="108"/>
      <c r="O15" s="128"/>
      <c r="P15" s="70"/>
      <c r="Q15" s="128"/>
      <c r="R15" s="128"/>
      <c r="S15" s="128"/>
      <c r="T15" s="108"/>
      <c r="U15" s="128"/>
      <c r="V15" s="128"/>
      <c r="W15" s="108"/>
      <c r="X15" s="128"/>
      <c r="Y15" s="128"/>
      <c r="Z15" s="128"/>
      <c r="AA15" s="108"/>
      <c r="AB15" s="128"/>
      <c r="AC15" s="128"/>
      <c r="AD15" s="128"/>
      <c r="AE15" s="38"/>
      <c r="AF15" s="128"/>
      <c r="AG15" s="128"/>
      <c r="AH15" s="38"/>
      <c r="AI15" s="128"/>
      <c r="AJ15" s="62"/>
      <c r="AK15" s="38"/>
      <c r="AL15" s="38"/>
      <c r="AM15" s="108"/>
      <c r="AN15" s="62"/>
      <c r="AO15" s="38"/>
      <c r="AP15" s="38"/>
      <c r="AQ15" s="38"/>
      <c r="AR15" s="128"/>
      <c r="AS15" s="27"/>
    </row>
    <row r="16" spans="1:45" x14ac:dyDescent="0.25">
      <c r="A16" s="229" t="s">
        <v>11</v>
      </c>
      <c r="B16" s="229" t="s">
        <v>236</v>
      </c>
      <c r="C16" s="230"/>
      <c r="D16" s="223"/>
      <c r="E16" s="231"/>
      <c r="F16" s="48"/>
      <c r="G16" s="225"/>
      <c r="H16" s="223"/>
      <c r="I16" s="221"/>
      <c r="J16" s="221"/>
      <c r="K16" s="221"/>
      <c r="L16" s="221"/>
      <c r="M16" s="221"/>
      <c r="N16" s="221"/>
      <c r="O16" s="221"/>
      <c r="P16" s="221"/>
      <c r="Q16" s="221"/>
      <c r="R16" s="221"/>
      <c r="S16" s="221"/>
      <c r="T16" s="221"/>
      <c r="U16" s="221"/>
      <c r="V16" s="221"/>
      <c r="W16" s="221"/>
      <c r="X16" s="221"/>
      <c r="Y16" s="221"/>
      <c r="Z16" s="221"/>
      <c r="AA16" s="221"/>
      <c r="AB16" s="223"/>
      <c r="AC16" s="221"/>
      <c r="AD16" s="223"/>
      <c r="AE16" s="221"/>
      <c r="AF16" s="223"/>
      <c r="AG16" s="223"/>
      <c r="AH16" s="221"/>
      <c r="AI16" s="221"/>
      <c r="AJ16" s="221"/>
      <c r="AK16" s="221"/>
      <c r="AL16" s="223"/>
      <c r="AM16" s="221"/>
      <c r="AN16" s="221"/>
      <c r="AO16" s="223"/>
      <c r="AP16" s="223"/>
      <c r="AQ16" s="223"/>
      <c r="AR16" s="221"/>
      <c r="AS16" s="27"/>
    </row>
    <row r="17" spans="1:45" x14ac:dyDescent="0.25">
      <c r="A17" s="83" t="s">
        <v>11</v>
      </c>
      <c r="B17" s="160" t="s">
        <v>237</v>
      </c>
      <c r="C17" s="166">
        <v>18</v>
      </c>
      <c r="D17" s="168"/>
      <c r="E17" s="176" t="s">
        <v>617</v>
      </c>
      <c r="F17" s="48">
        <f>AVERAGE(Y17,V17,U17,T17,I17,J17,G17,K17,L17,M17,N17,O17,P17,Q17,R17,S17,W17,X17)</f>
        <v>4.7777777777777777</v>
      </c>
      <c r="G17" s="328">
        <v>3</v>
      </c>
      <c r="H17" s="71"/>
      <c r="I17" s="209">
        <v>4</v>
      </c>
      <c r="J17" s="128">
        <v>6</v>
      </c>
      <c r="K17" s="108">
        <v>5</v>
      </c>
      <c r="L17" s="108">
        <v>5</v>
      </c>
      <c r="M17" s="38">
        <v>5</v>
      </c>
      <c r="N17" s="108">
        <v>5</v>
      </c>
      <c r="O17" s="128">
        <v>5</v>
      </c>
      <c r="P17" s="70">
        <v>5</v>
      </c>
      <c r="Q17" s="128">
        <v>6</v>
      </c>
      <c r="R17" s="128">
        <v>5</v>
      </c>
      <c r="S17" s="128">
        <v>5</v>
      </c>
      <c r="T17" s="108">
        <v>5</v>
      </c>
      <c r="U17" s="128">
        <v>4</v>
      </c>
      <c r="V17" s="128">
        <v>4</v>
      </c>
      <c r="W17" s="108">
        <v>5</v>
      </c>
      <c r="X17" s="128">
        <v>5</v>
      </c>
      <c r="Y17" s="128">
        <v>4</v>
      </c>
      <c r="Z17" s="128"/>
      <c r="AA17" s="108"/>
      <c r="AB17" s="128"/>
      <c r="AC17" s="128"/>
      <c r="AD17" s="128"/>
      <c r="AE17" s="38"/>
      <c r="AF17" s="128"/>
      <c r="AG17" s="128"/>
      <c r="AH17" s="38"/>
      <c r="AI17" s="128"/>
      <c r="AJ17" s="62"/>
      <c r="AK17" s="38"/>
      <c r="AL17" s="38"/>
      <c r="AM17" s="108"/>
      <c r="AN17" s="62"/>
      <c r="AO17" s="38"/>
      <c r="AP17" s="38"/>
      <c r="AQ17" s="38"/>
      <c r="AR17" s="128"/>
      <c r="AS17" s="27"/>
    </row>
    <row r="18" spans="1:45" s="141" customFormat="1" x14ac:dyDescent="0.25">
      <c r="A18" s="83" t="s">
        <v>11</v>
      </c>
      <c r="B18" s="77" t="s">
        <v>746</v>
      </c>
      <c r="C18" s="166">
        <v>3</v>
      </c>
      <c r="D18" s="168"/>
      <c r="E18" s="176"/>
      <c r="F18" s="48">
        <f>AVERAGE(O18,S18)</f>
        <v>5</v>
      </c>
      <c r="G18" s="56"/>
      <c r="H18" s="71"/>
      <c r="I18" s="209"/>
      <c r="J18" s="128"/>
      <c r="K18" s="108"/>
      <c r="L18" s="108"/>
      <c r="M18" s="38"/>
      <c r="N18" s="108"/>
      <c r="O18" s="128">
        <v>5</v>
      </c>
      <c r="P18" s="70"/>
      <c r="Q18" s="128"/>
      <c r="R18" s="128"/>
      <c r="S18" s="128">
        <v>5</v>
      </c>
      <c r="T18" s="108"/>
      <c r="U18" s="128"/>
      <c r="V18" s="128"/>
      <c r="W18" s="108"/>
      <c r="X18" s="128"/>
      <c r="Y18" s="128"/>
      <c r="Z18" s="128"/>
      <c r="AA18" s="108"/>
      <c r="AB18" s="128"/>
      <c r="AC18" s="128"/>
      <c r="AD18" s="128"/>
      <c r="AE18" s="38"/>
      <c r="AF18" s="128"/>
      <c r="AG18" s="128"/>
      <c r="AH18" s="38"/>
      <c r="AI18" s="128"/>
      <c r="AJ18" s="62"/>
      <c r="AK18" s="38"/>
      <c r="AL18" s="38"/>
      <c r="AM18" s="108"/>
      <c r="AN18" s="62"/>
      <c r="AO18" s="38"/>
      <c r="AP18" s="38"/>
      <c r="AQ18" s="38"/>
      <c r="AR18" s="128"/>
      <c r="AS18" s="174"/>
    </row>
    <row r="19" spans="1:45" s="141" customFormat="1" x14ac:dyDescent="0.25">
      <c r="A19" s="83" t="s">
        <v>11</v>
      </c>
      <c r="B19" s="40" t="s">
        <v>408</v>
      </c>
      <c r="C19" s="166">
        <v>1</v>
      </c>
      <c r="D19" s="168"/>
      <c r="E19" s="176"/>
      <c r="F19" s="48">
        <f>AVERAGE(Y19)</f>
        <v>5</v>
      </c>
      <c r="G19" s="56"/>
      <c r="H19" s="71"/>
      <c r="I19" s="209"/>
      <c r="J19" s="128"/>
      <c r="K19" s="108"/>
      <c r="L19" s="108"/>
      <c r="M19" s="38"/>
      <c r="N19" s="108"/>
      <c r="O19" s="128"/>
      <c r="P19" s="70"/>
      <c r="Q19" s="128"/>
      <c r="R19" s="128"/>
      <c r="S19" s="128"/>
      <c r="T19" s="108"/>
      <c r="U19" s="128"/>
      <c r="V19" s="128"/>
      <c r="W19" s="108"/>
      <c r="X19" s="128"/>
      <c r="Y19" s="128">
        <v>5</v>
      </c>
      <c r="Z19" s="128"/>
      <c r="AA19" s="108"/>
      <c r="AB19" s="128"/>
      <c r="AC19" s="128"/>
      <c r="AD19" s="128"/>
      <c r="AE19" s="38"/>
      <c r="AF19" s="128"/>
      <c r="AG19" s="128"/>
      <c r="AH19" s="38"/>
      <c r="AI19" s="128"/>
      <c r="AJ19" s="62"/>
      <c r="AK19" s="38"/>
      <c r="AL19" s="38"/>
      <c r="AM19" s="108"/>
      <c r="AN19" s="62"/>
      <c r="AO19" s="38"/>
      <c r="AP19" s="38"/>
      <c r="AQ19" s="38"/>
      <c r="AR19" s="128"/>
      <c r="AS19" s="174"/>
    </row>
    <row r="20" spans="1:45" x14ac:dyDescent="0.25">
      <c r="A20" s="215" t="s">
        <v>11</v>
      </c>
      <c r="B20" s="14" t="s">
        <v>241</v>
      </c>
      <c r="C20" s="170">
        <v>12</v>
      </c>
      <c r="D20" s="171"/>
      <c r="E20" s="172"/>
      <c r="F20" s="48">
        <f>AVERAGE(Y20,H20,I20,J20,G20,K20,L20,T20,U20,V20,W20,X20)</f>
        <v>5</v>
      </c>
      <c r="G20" s="213">
        <v>5</v>
      </c>
      <c r="H20" s="128">
        <v>5</v>
      </c>
      <c r="I20" s="108">
        <v>5</v>
      </c>
      <c r="J20" s="128">
        <v>6</v>
      </c>
      <c r="K20" s="108">
        <v>5</v>
      </c>
      <c r="L20" s="108">
        <v>5</v>
      </c>
      <c r="M20" s="38"/>
      <c r="N20" s="108"/>
      <c r="O20" s="128"/>
      <c r="P20" s="70"/>
      <c r="Q20" s="128"/>
      <c r="R20" s="128"/>
      <c r="S20" s="128"/>
      <c r="T20" s="108">
        <v>5</v>
      </c>
      <c r="U20" s="128">
        <v>5</v>
      </c>
      <c r="V20" s="128">
        <v>5</v>
      </c>
      <c r="W20" s="108">
        <v>4</v>
      </c>
      <c r="X20" s="128">
        <v>5</v>
      </c>
      <c r="Y20" s="108">
        <v>5</v>
      </c>
      <c r="Z20" s="108"/>
      <c r="AA20" s="108"/>
      <c r="AB20" s="128"/>
      <c r="AC20" s="128"/>
      <c r="AD20" s="128"/>
      <c r="AE20" s="38"/>
      <c r="AF20" s="128"/>
      <c r="AG20" s="128"/>
      <c r="AH20" s="38"/>
      <c r="AI20" s="128"/>
      <c r="AJ20" s="62"/>
      <c r="AK20" s="38"/>
      <c r="AL20" s="38"/>
      <c r="AM20" s="108"/>
      <c r="AN20" s="62"/>
      <c r="AO20" s="38"/>
      <c r="AP20" s="38"/>
      <c r="AQ20" s="38"/>
      <c r="AR20" s="128"/>
      <c r="AS20" s="27"/>
    </row>
    <row r="21" spans="1:45" x14ac:dyDescent="0.25">
      <c r="A21" s="83" t="s">
        <v>29</v>
      </c>
      <c r="B21" s="160" t="s">
        <v>239</v>
      </c>
      <c r="C21" s="166">
        <v>11</v>
      </c>
      <c r="D21" s="168">
        <v>6</v>
      </c>
      <c r="E21" s="164"/>
      <c r="F21" s="48">
        <f>AVERAGE(Y21,V21,G21,H21,I21,J21,M21,P21,Q21,R21,S21,T21,U21)</f>
        <v>4.7692307692307692</v>
      </c>
      <c r="G21" s="213">
        <v>5</v>
      </c>
      <c r="H21" s="128">
        <v>5</v>
      </c>
      <c r="I21" s="209">
        <v>6</v>
      </c>
      <c r="J21" s="108">
        <v>4</v>
      </c>
      <c r="K21" s="204" t="s">
        <v>153</v>
      </c>
      <c r="L21" s="108" t="s">
        <v>153</v>
      </c>
      <c r="M21" s="62">
        <v>4</v>
      </c>
      <c r="N21" s="108" t="s">
        <v>153</v>
      </c>
      <c r="O21" s="108" t="s">
        <v>153</v>
      </c>
      <c r="P21" s="70">
        <v>4</v>
      </c>
      <c r="Q21" s="128">
        <v>5</v>
      </c>
      <c r="R21" s="128">
        <v>5</v>
      </c>
      <c r="S21" s="128">
        <v>4</v>
      </c>
      <c r="T21" s="108">
        <v>5</v>
      </c>
      <c r="U21" s="108">
        <v>5</v>
      </c>
      <c r="V21" s="128">
        <v>5</v>
      </c>
      <c r="W21" s="108"/>
      <c r="X21" s="108"/>
      <c r="Y21" s="128">
        <v>5</v>
      </c>
      <c r="Z21" s="128"/>
      <c r="AA21" s="108"/>
      <c r="AB21" s="128"/>
      <c r="AC21" s="128"/>
      <c r="AD21" s="128"/>
      <c r="AE21" s="38"/>
      <c r="AF21" s="128"/>
      <c r="AG21" s="128"/>
      <c r="AH21" s="38"/>
      <c r="AI21" s="108"/>
      <c r="AJ21" s="62"/>
      <c r="AK21" s="62"/>
      <c r="AL21" s="38"/>
      <c r="AM21" s="108"/>
      <c r="AN21" s="62"/>
      <c r="AO21" s="38"/>
      <c r="AP21" s="62"/>
      <c r="AQ21" s="38"/>
      <c r="AR21" s="128"/>
      <c r="AS21" s="27"/>
    </row>
    <row r="22" spans="1:45" x14ac:dyDescent="0.25">
      <c r="A22" s="83" t="s">
        <v>29</v>
      </c>
      <c r="B22" s="160" t="s">
        <v>304</v>
      </c>
      <c r="C22" s="166">
        <v>3</v>
      </c>
      <c r="D22" s="168">
        <v>2</v>
      </c>
      <c r="E22" s="164"/>
      <c r="F22" s="48">
        <f>AVERAGE(P22,W22,X22)</f>
        <v>4.666666666666667</v>
      </c>
      <c r="G22" s="213"/>
      <c r="H22" s="128"/>
      <c r="I22" s="108"/>
      <c r="J22" s="128"/>
      <c r="K22" s="108"/>
      <c r="L22" s="108"/>
      <c r="M22" s="38"/>
      <c r="N22" s="108"/>
      <c r="O22" s="128"/>
      <c r="P22" s="70">
        <v>5</v>
      </c>
      <c r="Q22" s="128"/>
      <c r="R22" s="128"/>
      <c r="S22" s="108" t="s">
        <v>153</v>
      </c>
      <c r="T22" s="108" t="s">
        <v>153</v>
      </c>
      <c r="U22" s="128"/>
      <c r="V22" s="128"/>
      <c r="W22" s="108">
        <v>4</v>
      </c>
      <c r="X22" s="128">
        <v>5</v>
      </c>
      <c r="Y22" s="128"/>
      <c r="Z22" s="128"/>
      <c r="AA22" s="108"/>
      <c r="AB22" s="128"/>
      <c r="AC22" s="128"/>
      <c r="AD22" s="128"/>
      <c r="AE22" s="38"/>
      <c r="AF22" s="128"/>
      <c r="AG22" s="128"/>
      <c r="AH22" s="38"/>
      <c r="AI22" s="128"/>
      <c r="AJ22" s="62"/>
      <c r="AK22" s="38"/>
      <c r="AL22" s="38"/>
      <c r="AM22" s="108"/>
      <c r="AN22" s="62"/>
      <c r="AO22" s="62"/>
      <c r="AP22" s="62"/>
      <c r="AQ22" s="38"/>
      <c r="AR22" s="128"/>
      <c r="AS22" s="27"/>
    </row>
    <row r="23" spans="1:45" x14ac:dyDescent="0.25">
      <c r="A23" s="83" t="s">
        <v>29</v>
      </c>
      <c r="B23" s="160" t="s">
        <v>240</v>
      </c>
      <c r="C23" s="166">
        <v>4</v>
      </c>
      <c r="D23" s="168">
        <v>3</v>
      </c>
      <c r="E23" s="164"/>
      <c r="F23" s="48">
        <f>AVERAGE(I23,G23,W23,X23)</f>
        <v>4.5</v>
      </c>
      <c r="G23" s="213">
        <v>5</v>
      </c>
      <c r="H23" s="108" t="s">
        <v>153</v>
      </c>
      <c r="I23" s="108">
        <v>4</v>
      </c>
      <c r="J23" s="128"/>
      <c r="K23" s="108"/>
      <c r="L23" s="108"/>
      <c r="M23" s="38"/>
      <c r="N23" s="108"/>
      <c r="O23" s="108" t="s">
        <v>153</v>
      </c>
      <c r="P23" s="108"/>
      <c r="Q23" s="108"/>
      <c r="R23" s="128"/>
      <c r="S23" s="128"/>
      <c r="T23" s="108" t="s">
        <v>153</v>
      </c>
      <c r="U23" s="128"/>
      <c r="V23" s="69"/>
      <c r="W23" s="108">
        <v>4</v>
      </c>
      <c r="X23" s="128">
        <v>5</v>
      </c>
      <c r="Y23" s="69"/>
      <c r="Z23" s="128"/>
      <c r="AA23" s="108"/>
      <c r="AB23" s="128"/>
      <c r="AC23" s="128"/>
      <c r="AD23" s="128"/>
      <c r="AE23" s="38"/>
      <c r="AF23" s="128"/>
      <c r="AG23" s="128"/>
      <c r="AH23" s="38"/>
      <c r="AI23" s="128"/>
      <c r="AJ23" s="62"/>
      <c r="AK23" s="38"/>
      <c r="AL23" s="38"/>
      <c r="AM23" s="108"/>
      <c r="AN23" s="62"/>
      <c r="AO23" s="62"/>
      <c r="AP23" s="38"/>
      <c r="AQ23" s="38"/>
      <c r="AR23" s="128"/>
      <c r="AS23" s="27"/>
    </row>
    <row r="24" spans="1:45" x14ac:dyDescent="0.25">
      <c r="A24" s="214" t="s">
        <v>29</v>
      </c>
      <c r="B24" s="160" t="s">
        <v>242</v>
      </c>
      <c r="C24" s="161">
        <v>10</v>
      </c>
      <c r="D24" s="162">
        <v>1</v>
      </c>
      <c r="E24" s="163"/>
      <c r="F24" s="48">
        <f>AVERAGE(K24,L24,M24,N24,O24,Q24,R24,S24,Y24)</f>
        <v>4.7777777777777777</v>
      </c>
      <c r="G24" s="213" t="s">
        <v>546</v>
      </c>
      <c r="H24" s="128"/>
      <c r="I24" s="108"/>
      <c r="J24" s="108" t="s">
        <v>153</v>
      </c>
      <c r="K24" s="108">
        <v>5</v>
      </c>
      <c r="L24" s="108">
        <v>5</v>
      </c>
      <c r="M24" s="38">
        <v>5</v>
      </c>
      <c r="N24" s="302">
        <v>3</v>
      </c>
      <c r="O24" s="128">
        <v>5</v>
      </c>
      <c r="P24" s="70"/>
      <c r="Q24" s="128">
        <v>5</v>
      </c>
      <c r="R24" s="128">
        <v>5</v>
      </c>
      <c r="S24" s="128">
        <v>5</v>
      </c>
      <c r="T24" s="108"/>
      <c r="U24" s="128"/>
      <c r="V24" s="128"/>
      <c r="W24" s="108"/>
      <c r="X24" s="128"/>
      <c r="Y24" s="128">
        <v>5</v>
      </c>
      <c r="Z24" s="128"/>
      <c r="AA24" s="108"/>
      <c r="AB24" s="128"/>
      <c r="AC24" s="108"/>
      <c r="AD24" s="108"/>
      <c r="AE24" s="38"/>
      <c r="AF24" s="128"/>
      <c r="AG24" s="108"/>
      <c r="AH24" s="38"/>
      <c r="AI24" s="128"/>
      <c r="AJ24" s="62"/>
      <c r="AK24" s="38"/>
      <c r="AL24" s="38"/>
      <c r="AM24" s="108"/>
      <c r="AN24" s="38"/>
      <c r="AO24" s="62"/>
      <c r="AP24" s="38"/>
      <c r="AQ24" s="38"/>
      <c r="AR24" s="128"/>
      <c r="AS24" s="27"/>
    </row>
    <row r="25" spans="1:45" x14ac:dyDescent="0.25">
      <c r="A25" s="184" t="s">
        <v>29</v>
      </c>
      <c r="B25" s="132" t="s">
        <v>259</v>
      </c>
      <c r="C25" s="161">
        <v>4</v>
      </c>
      <c r="D25" s="162">
        <v>2</v>
      </c>
      <c r="E25" s="163"/>
      <c r="F25" s="48">
        <f>AVERAGE(M25,N25,W25,Y25)</f>
        <v>4.25</v>
      </c>
      <c r="G25" s="213"/>
      <c r="H25" s="128"/>
      <c r="I25" s="108"/>
      <c r="J25" s="108" t="s">
        <v>153</v>
      </c>
      <c r="K25" s="108"/>
      <c r="L25" s="108"/>
      <c r="M25" s="38">
        <v>4</v>
      </c>
      <c r="N25" s="108">
        <v>4</v>
      </c>
      <c r="O25" s="128"/>
      <c r="P25" s="108" t="s">
        <v>153</v>
      </c>
      <c r="Q25" s="128"/>
      <c r="R25" s="108" t="s">
        <v>153</v>
      </c>
      <c r="S25" s="128"/>
      <c r="T25" s="108"/>
      <c r="U25" s="128"/>
      <c r="V25" s="128"/>
      <c r="W25" s="108">
        <v>4</v>
      </c>
      <c r="X25" s="108"/>
      <c r="Y25" s="108">
        <v>5</v>
      </c>
      <c r="Z25" s="108"/>
      <c r="AA25" s="108"/>
      <c r="AB25" s="108"/>
      <c r="AC25" s="128"/>
      <c r="AD25" s="128"/>
      <c r="AE25" s="38"/>
      <c r="AF25" s="128"/>
      <c r="AG25" s="128"/>
      <c r="AH25" s="38"/>
      <c r="AI25" s="128"/>
      <c r="AJ25" s="62"/>
      <c r="AK25" s="38"/>
      <c r="AL25" s="38"/>
      <c r="AM25" s="108"/>
      <c r="AN25" s="38"/>
      <c r="AO25" s="38"/>
      <c r="AP25" s="38"/>
      <c r="AQ25" s="38"/>
      <c r="AR25" s="128"/>
      <c r="AS25" s="27"/>
    </row>
    <row r="26" spans="1:45" s="116" customFormat="1" x14ac:dyDescent="0.25">
      <c r="A26" s="184" t="s">
        <v>29</v>
      </c>
      <c r="B26" s="40" t="s">
        <v>373</v>
      </c>
      <c r="C26" s="161">
        <v>14</v>
      </c>
      <c r="D26" s="162">
        <v>2</v>
      </c>
      <c r="E26" s="163">
        <v>3</v>
      </c>
      <c r="F26" s="48">
        <f>AVERAGE(Y26,V26,H26,I26,G26,M26,O26,P26,Q26,R26,S26,T26,U26,X26)</f>
        <v>5.1428571428571432</v>
      </c>
      <c r="G26" s="213">
        <v>5</v>
      </c>
      <c r="H26" s="128">
        <v>4</v>
      </c>
      <c r="I26" s="108">
        <v>4</v>
      </c>
      <c r="J26" s="108"/>
      <c r="K26" s="108"/>
      <c r="L26" s="108" t="s">
        <v>153</v>
      </c>
      <c r="M26" s="38">
        <v>4</v>
      </c>
      <c r="N26" s="108" t="s">
        <v>153</v>
      </c>
      <c r="O26" s="128">
        <v>5</v>
      </c>
      <c r="P26" s="108">
        <v>5</v>
      </c>
      <c r="Q26" s="128">
        <v>5</v>
      </c>
      <c r="R26" s="283">
        <v>7</v>
      </c>
      <c r="S26" s="128">
        <v>4</v>
      </c>
      <c r="T26" s="294">
        <v>7</v>
      </c>
      <c r="U26" s="128">
        <v>5</v>
      </c>
      <c r="V26" s="69">
        <v>6</v>
      </c>
      <c r="W26" s="108"/>
      <c r="X26" s="108">
        <v>6</v>
      </c>
      <c r="Y26" s="108">
        <v>5</v>
      </c>
      <c r="Z26" s="108"/>
      <c r="AA26" s="108"/>
      <c r="AB26" s="108"/>
      <c r="AC26" s="128"/>
      <c r="AD26" s="128"/>
      <c r="AE26" s="62"/>
      <c r="AF26" s="128"/>
      <c r="AG26" s="128"/>
      <c r="AH26" s="38"/>
      <c r="AI26" s="128"/>
      <c r="AJ26" s="62"/>
      <c r="AK26" s="38"/>
      <c r="AL26" s="38"/>
      <c r="AM26" s="108"/>
      <c r="AN26" s="38"/>
      <c r="AO26" s="38"/>
      <c r="AP26" s="62"/>
      <c r="AQ26" s="38"/>
      <c r="AR26" s="128"/>
      <c r="AS26" s="120"/>
    </row>
    <row r="27" spans="1:45" s="141" customFormat="1" x14ac:dyDescent="0.25">
      <c r="A27" s="184" t="s">
        <v>29</v>
      </c>
      <c r="B27" s="40" t="s">
        <v>496</v>
      </c>
      <c r="C27" s="161">
        <v>11</v>
      </c>
      <c r="D27" s="162">
        <v>5</v>
      </c>
      <c r="E27" s="163">
        <v>3</v>
      </c>
      <c r="F27" s="48">
        <f>AVERAGE(H27,J27,G27,K27,L27,N27,Q27,R27,S27,V27,W27)</f>
        <v>5.7272727272727275</v>
      </c>
      <c r="G27" s="213">
        <v>5</v>
      </c>
      <c r="H27" s="282">
        <v>7</v>
      </c>
      <c r="I27" s="108"/>
      <c r="J27" s="294">
        <v>7</v>
      </c>
      <c r="K27" s="108">
        <v>5</v>
      </c>
      <c r="L27" s="108">
        <v>6</v>
      </c>
      <c r="M27" s="62" t="s">
        <v>153</v>
      </c>
      <c r="N27" s="294">
        <v>10</v>
      </c>
      <c r="O27" s="128"/>
      <c r="P27" s="108" t="s">
        <v>153</v>
      </c>
      <c r="Q27" s="128">
        <v>5</v>
      </c>
      <c r="R27" s="128">
        <v>4</v>
      </c>
      <c r="S27" s="128">
        <v>5</v>
      </c>
      <c r="T27" s="108"/>
      <c r="U27" s="108" t="s">
        <v>153</v>
      </c>
      <c r="V27" s="108">
        <v>5</v>
      </c>
      <c r="W27" s="108">
        <v>4</v>
      </c>
      <c r="X27" s="108" t="s">
        <v>554</v>
      </c>
      <c r="Y27" s="108" t="s">
        <v>153</v>
      </c>
      <c r="Z27" s="108"/>
      <c r="AA27" s="108"/>
      <c r="AB27" s="108"/>
      <c r="AC27" s="128"/>
      <c r="AD27" s="128"/>
      <c r="AE27" s="62"/>
      <c r="AF27" s="128"/>
      <c r="AG27" s="128"/>
      <c r="AH27" s="38"/>
      <c r="AI27" s="128"/>
      <c r="AJ27" s="62"/>
      <c r="AK27" s="38"/>
      <c r="AL27" s="38"/>
      <c r="AM27" s="108"/>
      <c r="AN27" s="38"/>
      <c r="AO27" s="38"/>
      <c r="AP27" s="62"/>
      <c r="AQ27" s="38"/>
      <c r="AR27" s="128"/>
      <c r="AS27" s="174"/>
    </row>
    <row r="28" spans="1:45" s="141" customFormat="1" x14ac:dyDescent="0.25">
      <c r="A28" s="83" t="s">
        <v>29</v>
      </c>
      <c r="B28" s="28" t="s">
        <v>383</v>
      </c>
      <c r="C28" s="166">
        <v>12</v>
      </c>
      <c r="D28" s="38">
        <v>2</v>
      </c>
      <c r="E28" s="164"/>
      <c r="F28" s="48">
        <f>AVERAGE(Y28,J28,K28,L28,M28,N28,O28,P28,S28,T28,U28,V28)</f>
        <v>4.333333333333333</v>
      </c>
      <c r="G28" s="56"/>
      <c r="H28" s="128"/>
      <c r="I28" s="108"/>
      <c r="J28" s="108">
        <v>5</v>
      </c>
      <c r="K28" s="108">
        <v>4</v>
      </c>
      <c r="L28" s="108">
        <v>4</v>
      </c>
      <c r="M28" s="38">
        <v>4</v>
      </c>
      <c r="N28" s="108">
        <v>5</v>
      </c>
      <c r="O28" s="128">
        <v>4</v>
      </c>
      <c r="P28" s="70">
        <v>4</v>
      </c>
      <c r="Q28" s="108" t="s">
        <v>153</v>
      </c>
      <c r="R28" s="128"/>
      <c r="S28" s="128">
        <v>5</v>
      </c>
      <c r="T28" s="108">
        <v>5</v>
      </c>
      <c r="U28" s="128">
        <v>5</v>
      </c>
      <c r="V28" s="303">
        <v>3</v>
      </c>
      <c r="W28" s="108"/>
      <c r="X28" s="108" t="s">
        <v>153</v>
      </c>
      <c r="Y28" s="128">
        <v>4</v>
      </c>
      <c r="Z28" s="128"/>
      <c r="AA28" s="108"/>
      <c r="AB28" s="128"/>
      <c r="AC28" s="128"/>
      <c r="AD28" s="128"/>
      <c r="AE28" s="38"/>
      <c r="AF28" s="128"/>
      <c r="AG28" s="128"/>
      <c r="AH28" s="38"/>
      <c r="AI28" s="128"/>
      <c r="AJ28" s="62"/>
      <c r="AK28" s="38"/>
      <c r="AL28" s="38"/>
      <c r="AM28" s="108"/>
      <c r="AN28" s="38"/>
      <c r="AO28" s="38"/>
      <c r="AP28" s="38"/>
      <c r="AQ28" s="38"/>
      <c r="AR28" s="128"/>
      <c r="AS28" s="174"/>
    </row>
    <row r="29" spans="1:45" s="141" customFormat="1" x14ac:dyDescent="0.25">
      <c r="A29" s="83" t="s">
        <v>29</v>
      </c>
      <c r="B29" s="77" t="s">
        <v>942</v>
      </c>
      <c r="C29" s="166">
        <v>2</v>
      </c>
      <c r="D29" s="38"/>
      <c r="E29" s="164"/>
      <c r="F29" s="48">
        <f>AVERAGE(W29,X29)</f>
        <v>4.5</v>
      </c>
      <c r="G29" s="56"/>
      <c r="H29" s="128"/>
      <c r="I29" s="108"/>
      <c r="J29" s="108"/>
      <c r="K29" s="108"/>
      <c r="L29" s="108"/>
      <c r="M29" s="38"/>
      <c r="N29" s="108"/>
      <c r="O29" s="128"/>
      <c r="P29" s="70"/>
      <c r="Q29" s="108"/>
      <c r="R29" s="128"/>
      <c r="S29" s="128"/>
      <c r="T29" s="108"/>
      <c r="U29" s="128"/>
      <c r="V29" s="108"/>
      <c r="W29" s="108">
        <v>4</v>
      </c>
      <c r="X29" s="128">
        <v>5</v>
      </c>
      <c r="Y29" s="128"/>
      <c r="Z29" s="128"/>
      <c r="AA29" s="108"/>
      <c r="AB29" s="128"/>
      <c r="AC29" s="128"/>
      <c r="AD29" s="128"/>
      <c r="AE29" s="38"/>
      <c r="AF29" s="128"/>
      <c r="AG29" s="128"/>
      <c r="AH29" s="38"/>
      <c r="AI29" s="128"/>
      <c r="AJ29" s="62"/>
      <c r="AK29" s="38"/>
      <c r="AL29" s="38"/>
      <c r="AM29" s="108"/>
      <c r="AN29" s="38"/>
      <c r="AO29" s="38"/>
      <c r="AP29" s="38"/>
      <c r="AQ29" s="38"/>
      <c r="AR29" s="128"/>
      <c r="AS29" s="174"/>
    </row>
    <row r="30" spans="1:45" s="141" customFormat="1" x14ac:dyDescent="0.25">
      <c r="A30" s="83" t="s">
        <v>29</v>
      </c>
      <c r="B30" s="77" t="s">
        <v>943</v>
      </c>
      <c r="C30" s="166"/>
      <c r="D30" s="38">
        <v>1</v>
      </c>
      <c r="E30" s="164"/>
      <c r="F30" s="48"/>
      <c r="G30" s="56"/>
      <c r="H30" s="128"/>
      <c r="I30" s="108"/>
      <c r="J30" s="108"/>
      <c r="K30" s="108"/>
      <c r="L30" s="108"/>
      <c r="M30" s="38"/>
      <c r="N30" s="108"/>
      <c r="O30" s="128"/>
      <c r="P30" s="70"/>
      <c r="Q30" s="108"/>
      <c r="R30" s="128"/>
      <c r="S30" s="128"/>
      <c r="T30" s="108"/>
      <c r="U30" s="128"/>
      <c r="V30" s="108"/>
      <c r="W30" s="108" t="s">
        <v>153</v>
      </c>
      <c r="X30" s="128"/>
      <c r="Y30" s="128"/>
      <c r="Z30" s="128"/>
      <c r="AA30" s="108"/>
      <c r="AB30" s="128"/>
      <c r="AC30" s="128"/>
      <c r="AD30" s="128"/>
      <c r="AE30" s="38"/>
      <c r="AF30" s="128"/>
      <c r="AG30" s="128"/>
      <c r="AH30" s="38"/>
      <c r="AI30" s="128"/>
      <c r="AJ30" s="62"/>
      <c r="AK30" s="38"/>
      <c r="AL30" s="38"/>
      <c r="AM30" s="108"/>
      <c r="AN30" s="38"/>
      <c r="AO30" s="38"/>
      <c r="AP30" s="38"/>
      <c r="AQ30" s="38"/>
      <c r="AR30" s="128"/>
      <c r="AS30" s="174"/>
    </row>
    <row r="31" spans="1:45" x14ac:dyDescent="0.25">
      <c r="A31" s="13" t="s">
        <v>29</v>
      </c>
      <c r="B31" s="14" t="s">
        <v>243</v>
      </c>
      <c r="C31" s="170">
        <v>16</v>
      </c>
      <c r="D31" s="171"/>
      <c r="E31" s="172">
        <v>1</v>
      </c>
      <c r="F31" s="245">
        <f>AVERAGE(Y31,V31,H31,I31,J31,G31,K31,L31,M31,N31,O31,Q31,T31,U31,W31)</f>
        <v>5.333333333333333</v>
      </c>
      <c r="G31" s="329">
        <v>7</v>
      </c>
      <c r="H31" s="128">
        <v>6</v>
      </c>
      <c r="I31" s="108">
        <v>5</v>
      </c>
      <c r="J31" s="108">
        <v>5</v>
      </c>
      <c r="K31" s="294">
        <v>7</v>
      </c>
      <c r="L31" s="108">
        <v>5</v>
      </c>
      <c r="M31" s="62">
        <v>4</v>
      </c>
      <c r="N31" s="108">
        <v>4</v>
      </c>
      <c r="O31" s="283">
        <v>7</v>
      </c>
      <c r="P31" s="70"/>
      <c r="Q31" s="128">
        <v>4</v>
      </c>
      <c r="R31" s="108" t="s">
        <v>554</v>
      </c>
      <c r="S31" s="128"/>
      <c r="T31" s="108">
        <v>5</v>
      </c>
      <c r="U31" s="128">
        <v>5</v>
      </c>
      <c r="V31" s="108">
        <v>6</v>
      </c>
      <c r="W31" s="108">
        <v>5</v>
      </c>
      <c r="X31" s="128"/>
      <c r="Y31" s="128">
        <v>5</v>
      </c>
      <c r="Z31" s="128"/>
      <c r="AA31" s="108"/>
      <c r="AB31" s="128"/>
      <c r="AC31" s="128"/>
      <c r="AD31" s="128"/>
      <c r="AE31" s="38"/>
      <c r="AF31" s="128"/>
      <c r="AG31" s="128"/>
      <c r="AH31" s="38"/>
      <c r="AI31" s="128"/>
      <c r="AJ31" s="62"/>
      <c r="AK31" s="38"/>
      <c r="AL31" s="38"/>
      <c r="AM31" s="108"/>
      <c r="AN31" s="38"/>
      <c r="AO31" s="38"/>
      <c r="AP31" s="38"/>
      <c r="AQ31" s="38"/>
      <c r="AR31" s="128"/>
      <c r="AS31" s="27"/>
    </row>
    <row r="32" spans="1:45" x14ac:dyDescent="0.25">
      <c r="A32" s="229" t="s">
        <v>30</v>
      </c>
      <c r="B32" s="229" t="s">
        <v>244</v>
      </c>
      <c r="C32" s="230"/>
      <c r="D32" s="223"/>
      <c r="E32" s="231"/>
      <c r="F32" s="48"/>
      <c r="G32" s="225"/>
      <c r="H32" s="223"/>
      <c r="I32" s="222"/>
      <c r="J32" s="222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3"/>
      <c r="AC32" s="221"/>
      <c r="AD32" s="223"/>
      <c r="AE32" s="221"/>
      <c r="AF32" s="223"/>
      <c r="AG32" s="223"/>
      <c r="AH32" s="221"/>
      <c r="AI32" s="221"/>
      <c r="AJ32" s="221"/>
      <c r="AK32" s="221"/>
      <c r="AL32" s="223"/>
      <c r="AM32" s="221"/>
      <c r="AN32" s="221"/>
      <c r="AO32" s="223"/>
      <c r="AP32" s="223"/>
      <c r="AQ32" s="223"/>
      <c r="AR32" s="221"/>
      <c r="AS32" s="27"/>
    </row>
    <row r="33" spans="1:45" x14ac:dyDescent="0.25">
      <c r="A33" s="83" t="s">
        <v>30</v>
      </c>
      <c r="B33" s="28" t="s">
        <v>355</v>
      </c>
      <c r="C33" s="166"/>
      <c r="D33" s="168"/>
      <c r="E33" s="164"/>
      <c r="F33" s="48"/>
      <c r="G33" s="213"/>
      <c r="H33" s="128"/>
      <c r="I33" s="108"/>
      <c r="J33" s="108"/>
      <c r="K33" s="108"/>
      <c r="L33" s="108"/>
      <c r="M33" s="62"/>
      <c r="N33" s="108"/>
      <c r="O33" s="128"/>
      <c r="P33" s="70"/>
      <c r="Q33" s="128"/>
      <c r="R33" s="128"/>
      <c r="S33" s="128"/>
      <c r="T33" s="108"/>
      <c r="U33" s="128"/>
      <c r="V33" s="128"/>
      <c r="W33" s="108"/>
      <c r="X33" s="108"/>
      <c r="Y33" s="128"/>
      <c r="Z33" s="128"/>
      <c r="AA33" s="108"/>
      <c r="AB33" s="128"/>
      <c r="AC33" s="128"/>
      <c r="AD33" s="128"/>
      <c r="AE33" s="38"/>
      <c r="AF33" s="128"/>
      <c r="AG33" s="128"/>
      <c r="AH33" s="38"/>
      <c r="AI33" s="128"/>
      <c r="AJ33" s="62"/>
      <c r="AK33" s="38"/>
      <c r="AL33" s="38"/>
      <c r="AM33" s="108"/>
      <c r="AN33" s="38"/>
      <c r="AO33" s="38"/>
      <c r="AP33" s="38"/>
      <c r="AQ33" s="38"/>
      <c r="AR33" s="128"/>
      <c r="AS33" s="27"/>
    </row>
    <row r="34" spans="1:45" x14ac:dyDescent="0.25">
      <c r="A34" s="229" t="s">
        <v>30</v>
      </c>
      <c r="B34" s="229" t="s">
        <v>300</v>
      </c>
      <c r="C34" s="230"/>
      <c r="D34" s="223"/>
      <c r="E34" s="231"/>
      <c r="F34" s="48"/>
      <c r="G34" s="225"/>
      <c r="H34" s="223"/>
      <c r="I34" s="222"/>
      <c r="J34" s="222"/>
      <c r="K34" s="221"/>
      <c r="L34" s="221"/>
      <c r="M34" s="221"/>
      <c r="N34" s="221"/>
      <c r="O34" s="221"/>
      <c r="P34" s="221"/>
      <c r="Q34" s="221"/>
      <c r="R34" s="222"/>
      <c r="S34" s="221"/>
      <c r="T34" s="221"/>
      <c r="U34" s="221"/>
      <c r="V34" s="221"/>
      <c r="W34" s="221"/>
      <c r="X34" s="221"/>
      <c r="Y34" s="221"/>
      <c r="Z34" s="221"/>
      <c r="AA34" s="221"/>
      <c r="AB34" s="223"/>
      <c r="AC34" s="221"/>
      <c r="AD34" s="223"/>
      <c r="AE34" s="221"/>
      <c r="AF34" s="223"/>
      <c r="AG34" s="223"/>
      <c r="AH34" s="221"/>
      <c r="AI34" s="221"/>
      <c r="AJ34" s="221"/>
      <c r="AK34" s="221"/>
      <c r="AL34" s="223"/>
      <c r="AM34" s="221"/>
      <c r="AN34" s="221"/>
      <c r="AO34" s="223"/>
      <c r="AP34" s="223"/>
      <c r="AQ34" s="223"/>
      <c r="AR34" s="221"/>
      <c r="AS34" s="27"/>
    </row>
    <row r="35" spans="1:45" s="141" customFormat="1" x14ac:dyDescent="0.25">
      <c r="A35" s="83" t="s">
        <v>30</v>
      </c>
      <c r="B35" s="77" t="s">
        <v>461</v>
      </c>
      <c r="C35" s="166">
        <v>3</v>
      </c>
      <c r="D35" s="132">
        <v>8</v>
      </c>
      <c r="E35" s="177"/>
      <c r="F35" s="48">
        <f>AVERAGE(H35,G35,M35)</f>
        <v>4.333333333333333</v>
      </c>
      <c r="G35" s="56">
        <v>4</v>
      </c>
      <c r="H35" s="128">
        <v>4</v>
      </c>
      <c r="I35" s="108" t="s">
        <v>153</v>
      </c>
      <c r="J35" s="108" t="s">
        <v>153</v>
      </c>
      <c r="K35" s="108" t="s">
        <v>153</v>
      </c>
      <c r="L35" s="108" t="s">
        <v>153</v>
      </c>
      <c r="M35" s="38">
        <v>5</v>
      </c>
      <c r="N35" s="108"/>
      <c r="O35" s="128"/>
      <c r="P35" s="69"/>
      <c r="Q35" s="128"/>
      <c r="R35" s="108" t="s">
        <v>153</v>
      </c>
      <c r="S35" s="128"/>
      <c r="T35" s="108"/>
      <c r="U35" s="108" t="s">
        <v>153</v>
      </c>
      <c r="V35" s="128"/>
      <c r="W35" s="108" t="s">
        <v>153</v>
      </c>
      <c r="X35" s="108" t="s">
        <v>153</v>
      </c>
      <c r="Y35" s="128"/>
      <c r="Z35" s="128"/>
      <c r="AA35" s="108"/>
      <c r="AB35" s="128"/>
      <c r="AC35" s="128"/>
      <c r="AD35" s="128"/>
      <c r="AE35" s="38"/>
      <c r="AF35" s="128"/>
      <c r="AG35" s="128"/>
      <c r="AH35" s="38"/>
      <c r="AI35" s="128"/>
      <c r="AJ35" s="62"/>
      <c r="AK35" s="38"/>
      <c r="AL35" s="38"/>
      <c r="AM35" s="108"/>
      <c r="AN35" s="38"/>
      <c r="AO35" s="38"/>
      <c r="AP35" s="38"/>
      <c r="AQ35" s="38"/>
      <c r="AR35" s="128"/>
      <c r="AS35" s="174"/>
    </row>
    <row r="36" spans="1:45" s="141" customFormat="1" x14ac:dyDescent="0.25">
      <c r="A36" s="83" t="s">
        <v>30</v>
      </c>
      <c r="B36" s="77" t="s">
        <v>497</v>
      </c>
      <c r="C36" s="166">
        <v>4</v>
      </c>
      <c r="D36" s="132">
        <v>7</v>
      </c>
      <c r="E36" s="177"/>
      <c r="F36" s="48">
        <f>AVERAGE(I36,K36,U36,W36)</f>
        <v>4</v>
      </c>
      <c r="G36" s="56" t="s">
        <v>153</v>
      </c>
      <c r="H36" s="108" t="s">
        <v>153</v>
      </c>
      <c r="I36" s="108">
        <v>4</v>
      </c>
      <c r="J36" s="108" t="s">
        <v>153</v>
      </c>
      <c r="K36" s="108">
        <v>4</v>
      </c>
      <c r="L36" s="108"/>
      <c r="M36" s="62" t="s">
        <v>153</v>
      </c>
      <c r="N36" s="108"/>
      <c r="O36" s="128"/>
      <c r="P36" s="69"/>
      <c r="Q36" s="128"/>
      <c r="R36" s="128"/>
      <c r="S36" s="128"/>
      <c r="T36" s="108" t="s">
        <v>153</v>
      </c>
      <c r="U36" s="128">
        <v>4</v>
      </c>
      <c r="V36" s="108" t="s">
        <v>153</v>
      </c>
      <c r="W36" s="108">
        <v>4</v>
      </c>
      <c r="X36" s="108" t="s">
        <v>153</v>
      </c>
      <c r="Y36" s="128"/>
      <c r="Z36" s="128"/>
      <c r="AA36" s="108"/>
      <c r="AB36" s="128"/>
      <c r="AC36" s="128"/>
      <c r="AD36" s="128"/>
      <c r="AE36" s="38"/>
      <c r="AF36" s="128"/>
      <c r="AG36" s="128"/>
      <c r="AH36" s="38"/>
      <c r="AI36" s="128"/>
      <c r="AJ36" s="62"/>
      <c r="AK36" s="38"/>
      <c r="AL36" s="38"/>
      <c r="AM36" s="108"/>
      <c r="AN36" s="38"/>
      <c r="AO36" s="38"/>
      <c r="AP36" s="38"/>
      <c r="AQ36" s="38"/>
      <c r="AR36" s="128"/>
      <c r="AS36" s="174"/>
    </row>
    <row r="37" spans="1:45" s="141" customFormat="1" x14ac:dyDescent="0.25">
      <c r="A37" s="83" t="s">
        <v>30</v>
      </c>
      <c r="B37" s="40" t="s">
        <v>510</v>
      </c>
      <c r="C37" s="166">
        <v>14</v>
      </c>
      <c r="D37" s="132">
        <v>2</v>
      </c>
      <c r="E37" s="177">
        <v>3</v>
      </c>
      <c r="F37" s="48">
        <f>AVERAGE(Y37,I37,J37,K37,L37,N37,O37,P37,Q37,R37,S37,T37,U37)</f>
        <v>5.1538461538461542</v>
      </c>
      <c r="G37" s="56"/>
      <c r="H37" s="108" t="s">
        <v>153</v>
      </c>
      <c r="I37" s="108">
        <v>5</v>
      </c>
      <c r="J37" s="108">
        <v>6</v>
      </c>
      <c r="K37" s="108">
        <v>5</v>
      </c>
      <c r="L37" s="294">
        <v>7</v>
      </c>
      <c r="M37" s="62" t="s">
        <v>153</v>
      </c>
      <c r="N37" s="108">
        <v>5</v>
      </c>
      <c r="O37" s="128">
        <v>5</v>
      </c>
      <c r="P37" s="69">
        <v>6</v>
      </c>
      <c r="Q37" s="128">
        <v>5</v>
      </c>
      <c r="R37" s="69">
        <v>6</v>
      </c>
      <c r="S37" s="128">
        <v>4</v>
      </c>
      <c r="T37" s="108">
        <v>4</v>
      </c>
      <c r="U37" s="128">
        <v>5</v>
      </c>
      <c r="V37" s="128" t="s">
        <v>546</v>
      </c>
      <c r="W37" s="108"/>
      <c r="X37" s="128"/>
      <c r="Y37" s="128">
        <v>4</v>
      </c>
      <c r="Z37" s="128"/>
      <c r="AA37" s="108"/>
      <c r="AB37" s="128"/>
      <c r="AC37" s="128"/>
      <c r="AD37" s="128"/>
      <c r="AE37" s="38"/>
      <c r="AF37" s="128"/>
      <c r="AG37" s="128"/>
      <c r="AH37" s="38"/>
      <c r="AI37" s="128"/>
      <c r="AJ37" s="62"/>
      <c r="AK37" s="38"/>
      <c r="AL37" s="38"/>
      <c r="AM37" s="108"/>
      <c r="AN37" s="38"/>
      <c r="AO37" s="38"/>
      <c r="AP37" s="38"/>
      <c r="AQ37" s="38"/>
      <c r="AR37" s="128"/>
      <c r="AS37" s="174"/>
    </row>
    <row r="38" spans="1:45" s="141" customFormat="1" x14ac:dyDescent="0.25">
      <c r="A38" s="83" t="s">
        <v>30</v>
      </c>
      <c r="B38" s="40" t="s">
        <v>529</v>
      </c>
      <c r="C38" s="166"/>
      <c r="D38" s="132">
        <v>3</v>
      </c>
      <c r="E38" s="177"/>
      <c r="F38" s="48"/>
      <c r="G38" s="56"/>
      <c r="H38" s="128"/>
      <c r="I38" s="108" t="s">
        <v>153</v>
      </c>
      <c r="J38" s="108"/>
      <c r="K38" s="108"/>
      <c r="L38" s="108"/>
      <c r="M38" s="38"/>
      <c r="N38" s="108" t="s">
        <v>153</v>
      </c>
      <c r="O38" s="108" t="s">
        <v>153</v>
      </c>
      <c r="P38" s="69"/>
      <c r="Q38" s="128"/>
      <c r="R38" s="128"/>
      <c r="S38" s="128"/>
      <c r="T38" s="108"/>
      <c r="U38" s="128"/>
      <c r="V38" s="128"/>
      <c r="W38" s="108"/>
      <c r="X38" s="128"/>
      <c r="Y38" s="128"/>
      <c r="Z38" s="128"/>
      <c r="AA38" s="108"/>
      <c r="AB38" s="128"/>
      <c r="AC38" s="128"/>
      <c r="AD38" s="128"/>
      <c r="AE38" s="38"/>
      <c r="AF38" s="128"/>
      <c r="AG38" s="128"/>
      <c r="AH38" s="38"/>
      <c r="AI38" s="128"/>
      <c r="AJ38" s="62"/>
      <c r="AK38" s="38"/>
      <c r="AL38" s="38"/>
      <c r="AM38" s="108"/>
      <c r="AN38" s="38"/>
      <c r="AO38" s="38"/>
      <c r="AP38" s="38"/>
      <c r="AQ38" s="38"/>
      <c r="AR38" s="128"/>
      <c r="AS38" s="174"/>
    </row>
    <row r="39" spans="1:45" s="141" customFormat="1" ht="15.75" thickBot="1" x14ac:dyDescent="0.3">
      <c r="A39" s="3" t="s">
        <v>30</v>
      </c>
      <c r="B39" s="200" t="s">
        <v>201</v>
      </c>
      <c r="C39" s="167">
        <v>10</v>
      </c>
      <c r="D39" s="226">
        <v>7</v>
      </c>
      <c r="E39" s="135">
        <v>5</v>
      </c>
      <c r="F39" s="246">
        <f>AVERAGE(H39,J39,L39,N39,O39,P39,R39,T39,V39,X39)</f>
        <v>5.2</v>
      </c>
      <c r="G39" s="56" t="s">
        <v>153</v>
      </c>
      <c r="H39" s="128">
        <v>4</v>
      </c>
      <c r="I39" s="108" t="s">
        <v>153</v>
      </c>
      <c r="J39" s="57">
        <v>5</v>
      </c>
      <c r="K39" s="108"/>
      <c r="L39" s="57">
        <v>6</v>
      </c>
      <c r="M39" s="38"/>
      <c r="N39" s="294">
        <v>7</v>
      </c>
      <c r="O39" s="128">
        <v>5</v>
      </c>
      <c r="P39" s="70">
        <v>5</v>
      </c>
      <c r="Q39" s="108" t="s">
        <v>153</v>
      </c>
      <c r="R39" s="128">
        <v>4</v>
      </c>
      <c r="S39" s="108" t="s">
        <v>153</v>
      </c>
      <c r="T39" s="57">
        <v>6</v>
      </c>
      <c r="U39" s="108" t="s">
        <v>153</v>
      </c>
      <c r="V39" s="128">
        <v>4</v>
      </c>
      <c r="W39" s="108" t="s">
        <v>153</v>
      </c>
      <c r="X39" s="69">
        <v>6</v>
      </c>
      <c r="Y39" s="108" t="s">
        <v>153</v>
      </c>
      <c r="Z39" s="128"/>
      <c r="AA39" s="108"/>
      <c r="AB39" s="128"/>
      <c r="AC39" s="128"/>
      <c r="AD39" s="128"/>
      <c r="AE39" s="38"/>
      <c r="AF39" s="128"/>
      <c r="AG39" s="128"/>
      <c r="AH39" s="38"/>
      <c r="AI39" s="128"/>
      <c r="AJ39" s="62"/>
      <c r="AK39" s="38"/>
      <c r="AL39" s="38"/>
      <c r="AM39" s="108"/>
      <c r="AN39" s="38"/>
      <c r="AO39" s="38"/>
      <c r="AP39" s="38"/>
      <c r="AQ39" s="38"/>
      <c r="AR39" s="128"/>
      <c r="AS39" s="174"/>
    </row>
    <row r="40" spans="1:45" x14ac:dyDescent="0.25">
      <c r="G40" s="30">
        <f>AVERAGE(G9,G12,G13,G17,G20,G23,G24,G26,G27,G31,G35)</f>
        <v>4.8</v>
      </c>
      <c r="H40" s="36">
        <f>AVERAGE(H9,H12,H13,H14,H20,H21,H26,H27,H31,H35,H39)</f>
        <v>4.9000000000000004</v>
      </c>
      <c r="I40" s="36">
        <f>AVERAGE(I9,I13,I15,I17,I20,I21,I23,I26,I31,I36,I37)</f>
        <v>4.5454545454545459</v>
      </c>
      <c r="J40" s="36">
        <f>AVERAGE(J9,J11,J12,J17,J20,J21,J27,J31,J28,J37,J39)</f>
        <v>5.5454545454545459</v>
      </c>
      <c r="K40" s="30">
        <f>AVERAGE(K9,K11,K12,K20,K17,K24,K27,K31,K28,K36,K37)</f>
        <v>5.0909090909090908</v>
      </c>
      <c r="L40" s="30">
        <f>AVERAGE(L9,L12,L14,L17,L20,L24,L31,L27,L28,L37,L39)</f>
        <v>5.2727272727272725</v>
      </c>
      <c r="M40" s="30">
        <f>AVERAGE(M9,M12,M14,M17,M21,M24,M25,M26,M31,M28,M35)</f>
        <v>4.4545454545454541</v>
      </c>
      <c r="N40" s="30">
        <f>AVERAGE(N9,N12,N14,N17,N24,N25,N27,N31,N28,N37,N39)</f>
        <v>5.0909090909090908</v>
      </c>
      <c r="O40" s="30">
        <f>AVERAGE(O9,O12,O14,O17,O18,O24,O26,O31,O28,O37,O39)</f>
        <v>5.3636363636363633</v>
      </c>
      <c r="P40" s="30">
        <f>AVERAGE(P9,P12,P13,P14,P17,P21,P22,P26,P28,P37,P39)</f>
        <v>4.8181818181818183</v>
      </c>
      <c r="Q40" s="30">
        <f>AVERAGE(Q9,Q12,Q13,Q14,Q17,Q21,Q24,Q26,Q27,Q31,Q37)</f>
        <v>5.0909090909090908</v>
      </c>
      <c r="R40" s="30">
        <f>AVERAGE(R9,R12,R13,R14,R17,R24,R26,R27,R37,R39,R21)</f>
        <v>5.0909090909090908</v>
      </c>
      <c r="S40" s="30">
        <f>AVERAGE(S9,S12,S13,S17,S18,S21,S24,S26,S27,S28,S37)</f>
        <v>4.7272727272727275</v>
      </c>
      <c r="T40" s="30">
        <f>AVERAGE(T9,T12,T13,T17,T20,T21,T26,T28,T31,T37,T39)</f>
        <v>5.3636363636363633</v>
      </c>
      <c r="U40" s="30">
        <f>AVERAGE(U9,U13,U12,U17,U20,U21,U26,U28,U31,U37,U36)</f>
        <v>4.6363636363636367</v>
      </c>
      <c r="V40" s="30">
        <f>AVERAGE(V9,V11,V12,V17,V20,V21,V26,V28,V31,V27,V39)</f>
        <v>4.8181818181818183</v>
      </c>
      <c r="W40" s="30">
        <f>AVERAGE(W9,W14,W17,W20,W22,W23,W25,W27,W29,W31,W36)</f>
        <v>4.2727272727272725</v>
      </c>
      <c r="X40" s="30">
        <f>AVERAGE(X9,X11,X12,X17,X20,X23,X22,X26,X27,X29,X39)</f>
        <v>5.0999999999999996</v>
      </c>
      <c r="Y40" s="30">
        <f>AVERAGE(Y9,Y17,Y20,Y19,Y21,Y24,Y25,Y26,Y28,Y31,Y37)</f>
        <v>4.7272727272727275</v>
      </c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V33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7" max="47" width="4.7109375" customWidth="1"/>
  </cols>
  <sheetData>
    <row r="1" spans="1:48" x14ac:dyDescent="0.25">
      <c r="A1" t="s">
        <v>305</v>
      </c>
    </row>
    <row r="4" spans="1:48" x14ac:dyDescent="0.25">
      <c r="A4" t="s">
        <v>2</v>
      </c>
    </row>
    <row r="5" spans="1:48" ht="15.75" thickBot="1" x14ac:dyDescent="0.3"/>
    <row r="6" spans="1:48" ht="15.75" thickBot="1" x14ac:dyDescent="0.3">
      <c r="C6" s="375" t="s">
        <v>101</v>
      </c>
      <c r="D6" s="376"/>
      <c r="E6" s="377"/>
    </row>
    <row r="7" spans="1:48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630</v>
      </c>
      <c r="H7" s="26" t="s">
        <v>557</v>
      </c>
      <c r="I7" s="26" t="s">
        <v>577</v>
      </c>
      <c r="J7" s="26" t="s">
        <v>590</v>
      </c>
      <c r="K7" s="26" t="s">
        <v>649</v>
      </c>
      <c r="L7" s="26" t="s">
        <v>682</v>
      </c>
      <c r="M7" s="26" t="s">
        <v>702</v>
      </c>
      <c r="N7" s="26" t="s">
        <v>724</v>
      </c>
      <c r="O7" s="26" t="s">
        <v>754</v>
      </c>
      <c r="P7" s="79" t="s">
        <v>771</v>
      </c>
      <c r="Q7" s="89" t="s">
        <v>782</v>
      </c>
      <c r="R7" s="101" t="s">
        <v>816</v>
      </c>
      <c r="S7" s="101" t="s">
        <v>838</v>
      </c>
      <c r="T7" s="101" t="s">
        <v>868</v>
      </c>
      <c r="U7" s="101" t="s">
        <v>896</v>
      </c>
      <c r="V7" s="119" t="s">
        <v>909</v>
      </c>
      <c r="W7" s="119" t="s">
        <v>932</v>
      </c>
      <c r="X7" s="119" t="s">
        <v>948</v>
      </c>
      <c r="Y7" s="119" t="s">
        <v>975</v>
      </c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26"/>
      <c r="AK7" s="126"/>
      <c r="AL7" s="126"/>
      <c r="AM7" s="173"/>
      <c r="AN7" s="26"/>
      <c r="AO7" s="26"/>
      <c r="AP7" s="26"/>
      <c r="AQ7" s="26"/>
      <c r="AR7" s="26"/>
      <c r="AS7" s="141"/>
      <c r="AT7" s="141"/>
      <c r="AU7" s="141"/>
      <c r="AV7" s="141"/>
    </row>
    <row r="8" spans="1:48" x14ac:dyDescent="0.25">
      <c r="A8" s="83" t="s">
        <v>8</v>
      </c>
      <c r="B8" s="160" t="s">
        <v>306</v>
      </c>
      <c r="C8" s="166"/>
      <c r="D8" s="168"/>
      <c r="E8" s="164"/>
      <c r="F8" s="114"/>
      <c r="G8" s="198"/>
      <c r="H8" s="128"/>
      <c r="I8" s="108"/>
      <c r="J8" s="128"/>
      <c r="K8" s="108"/>
      <c r="L8" s="108"/>
      <c r="M8" s="38"/>
      <c r="N8" s="108"/>
      <c r="O8" s="128"/>
      <c r="P8" s="70"/>
      <c r="Q8" s="128"/>
      <c r="R8" s="128"/>
      <c r="S8" s="128"/>
      <c r="T8" s="108"/>
      <c r="U8" s="128"/>
      <c r="V8" s="128"/>
      <c r="W8" s="108"/>
      <c r="X8" s="128"/>
      <c r="Y8" s="128"/>
      <c r="Z8" s="128"/>
      <c r="AA8" s="108"/>
      <c r="AB8" s="128"/>
      <c r="AC8" s="128"/>
      <c r="AD8" s="128"/>
      <c r="AE8" s="38"/>
      <c r="AF8" s="128"/>
      <c r="AG8" s="128"/>
      <c r="AH8" s="38"/>
      <c r="AI8" s="128"/>
      <c r="AJ8" s="62"/>
      <c r="AK8" s="38"/>
      <c r="AL8" s="38"/>
      <c r="AM8" s="108"/>
      <c r="AN8" s="38"/>
      <c r="AO8" s="38"/>
      <c r="AP8" s="38"/>
      <c r="AQ8" s="38"/>
      <c r="AR8" s="38"/>
      <c r="AS8" s="141"/>
      <c r="AT8" s="141"/>
      <c r="AU8" s="141"/>
      <c r="AV8" s="141"/>
    </row>
    <row r="9" spans="1:48" x14ac:dyDescent="0.25">
      <c r="A9" s="13" t="s">
        <v>8</v>
      </c>
      <c r="B9" s="14" t="s">
        <v>307</v>
      </c>
      <c r="C9" s="170">
        <v>19</v>
      </c>
      <c r="D9" s="171"/>
      <c r="E9" s="172"/>
      <c r="F9" s="34">
        <f>AVERAGE(Y9,H9,I9,J9,G9,K9,L9,M9,N9,O9,P9,Q9,R9,S9,T9,U9,V9,W9,X9)</f>
        <v>5.5263157894736841</v>
      </c>
      <c r="G9" s="330">
        <v>7</v>
      </c>
      <c r="H9" s="283">
        <v>7</v>
      </c>
      <c r="I9" s="204">
        <v>4</v>
      </c>
      <c r="J9" s="128">
        <v>4</v>
      </c>
      <c r="K9" s="108">
        <v>6</v>
      </c>
      <c r="L9" s="108">
        <v>5</v>
      </c>
      <c r="M9" s="38">
        <v>5</v>
      </c>
      <c r="N9" s="57">
        <v>6</v>
      </c>
      <c r="O9" s="69">
        <v>6</v>
      </c>
      <c r="P9" s="69">
        <v>6</v>
      </c>
      <c r="Q9" s="128">
        <v>4</v>
      </c>
      <c r="R9" s="282">
        <v>7</v>
      </c>
      <c r="S9" s="128">
        <v>6</v>
      </c>
      <c r="T9" s="57">
        <v>6</v>
      </c>
      <c r="U9" s="128">
        <v>5</v>
      </c>
      <c r="V9" s="128">
        <v>5</v>
      </c>
      <c r="W9" s="108">
        <v>4</v>
      </c>
      <c r="X9" s="128">
        <v>6</v>
      </c>
      <c r="Y9" s="128">
        <v>6</v>
      </c>
      <c r="Z9" s="128"/>
      <c r="AA9" s="108"/>
      <c r="AB9" s="128"/>
      <c r="AC9" s="69"/>
      <c r="AD9" s="69"/>
      <c r="AE9" s="38"/>
      <c r="AF9" s="128"/>
      <c r="AG9" s="128"/>
      <c r="AH9" s="38"/>
      <c r="AI9" s="128"/>
      <c r="AJ9" s="67"/>
      <c r="AK9" s="38"/>
      <c r="AL9" s="38"/>
      <c r="AM9" s="108"/>
      <c r="AN9" s="38"/>
      <c r="AO9" s="38"/>
      <c r="AP9" s="66"/>
      <c r="AQ9" s="38"/>
      <c r="AR9" s="38"/>
      <c r="AS9" s="141"/>
      <c r="AT9" s="141"/>
      <c r="AU9" s="141"/>
      <c r="AV9" s="141"/>
    </row>
    <row r="10" spans="1:48" x14ac:dyDescent="0.25">
      <c r="A10" s="83" t="s">
        <v>11</v>
      </c>
      <c r="B10" s="40" t="s">
        <v>308</v>
      </c>
      <c r="C10" s="166">
        <v>8</v>
      </c>
      <c r="D10" s="168">
        <v>9</v>
      </c>
      <c r="E10" s="164"/>
      <c r="F10" s="52">
        <f>AVERAGE(H10,J10,G10,K10,L10,M10,P10,R10,W10)</f>
        <v>4.333333333333333</v>
      </c>
      <c r="G10" s="213">
        <v>5</v>
      </c>
      <c r="H10" s="128">
        <v>5</v>
      </c>
      <c r="I10" s="108" t="s">
        <v>153</v>
      </c>
      <c r="J10" s="128">
        <v>4</v>
      </c>
      <c r="K10" s="108">
        <v>4</v>
      </c>
      <c r="L10" s="108">
        <v>4</v>
      </c>
      <c r="M10" s="38">
        <v>5</v>
      </c>
      <c r="N10" s="108" t="s">
        <v>153</v>
      </c>
      <c r="O10" s="108" t="s">
        <v>153</v>
      </c>
      <c r="P10" s="70">
        <v>5</v>
      </c>
      <c r="Q10" s="108" t="s">
        <v>153</v>
      </c>
      <c r="R10" s="303">
        <v>3</v>
      </c>
      <c r="S10" s="128"/>
      <c r="T10" s="108" t="s">
        <v>153</v>
      </c>
      <c r="U10" s="108" t="s">
        <v>153</v>
      </c>
      <c r="V10" s="128"/>
      <c r="W10" s="108">
        <v>4</v>
      </c>
      <c r="X10" s="108" t="s">
        <v>153</v>
      </c>
      <c r="Y10" s="108" t="s">
        <v>153</v>
      </c>
      <c r="Z10" s="128"/>
      <c r="AA10" s="108"/>
      <c r="AB10" s="108"/>
      <c r="AC10" s="108"/>
      <c r="AD10" s="108"/>
      <c r="AE10" s="62"/>
      <c r="AF10" s="108"/>
      <c r="AG10" s="128"/>
      <c r="AH10" s="62"/>
      <c r="AI10" s="128"/>
      <c r="AJ10" s="62"/>
      <c r="AK10" s="38"/>
      <c r="AL10" s="38"/>
      <c r="AM10" s="108"/>
      <c r="AN10" s="38"/>
      <c r="AO10" s="38"/>
      <c r="AP10" s="38"/>
      <c r="AQ10" s="38"/>
      <c r="AR10" s="38"/>
      <c r="AS10" s="141"/>
      <c r="AT10" s="141"/>
      <c r="AU10" s="141"/>
      <c r="AV10" s="141"/>
    </row>
    <row r="11" spans="1:48" x14ac:dyDescent="0.25">
      <c r="A11" s="83" t="s">
        <v>11</v>
      </c>
      <c r="B11" s="40" t="s">
        <v>309</v>
      </c>
      <c r="C11" s="166">
        <v>19</v>
      </c>
      <c r="D11" s="168"/>
      <c r="E11" s="164"/>
      <c r="F11" s="129">
        <f>AVERAGE(Y11,V11,U11,T11,H11,I11,J11,G11,K11,L11,M11,N11,O11,P11,Q11,R11,S11,W11,X11)</f>
        <v>4.8421052631578947</v>
      </c>
      <c r="G11" s="213">
        <v>5</v>
      </c>
      <c r="H11" s="128">
        <v>5</v>
      </c>
      <c r="I11" s="168">
        <v>5</v>
      </c>
      <c r="J11" s="303">
        <v>3</v>
      </c>
      <c r="K11" s="108">
        <v>4</v>
      </c>
      <c r="L11" s="108">
        <v>5</v>
      </c>
      <c r="M11" s="38">
        <v>4</v>
      </c>
      <c r="N11" s="290">
        <v>7</v>
      </c>
      <c r="O11" s="128">
        <v>5</v>
      </c>
      <c r="P11" s="70">
        <v>5</v>
      </c>
      <c r="Q11" s="128">
        <v>5</v>
      </c>
      <c r="R11" s="128">
        <v>5</v>
      </c>
      <c r="S11" s="108">
        <v>5</v>
      </c>
      <c r="T11" s="108">
        <v>5</v>
      </c>
      <c r="U11" s="128">
        <v>5</v>
      </c>
      <c r="V11" s="128">
        <v>5</v>
      </c>
      <c r="W11" s="108">
        <v>5</v>
      </c>
      <c r="X11" s="128">
        <v>5</v>
      </c>
      <c r="Y11" s="128">
        <v>4</v>
      </c>
      <c r="Z11" s="128"/>
      <c r="AA11" s="108"/>
      <c r="AB11" s="128"/>
      <c r="AC11" s="128"/>
      <c r="AD11" s="128"/>
      <c r="AE11" s="38"/>
      <c r="AF11" s="128"/>
      <c r="AG11" s="128"/>
      <c r="AH11" s="38"/>
      <c r="AI11" s="128"/>
      <c r="AJ11" s="62"/>
      <c r="AK11" s="38"/>
      <c r="AL11" s="38"/>
      <c r="AM11" s="108"/>
      <c r="AN11" s="38"/>
      <c r="AO11" s="38"/>
      <c r="AP11" s="38"/>
      <c r="AQ11" s="38"/>
      <c r="AR11" s="38"/>
      <c r="AS11" s="141"/>
      <c r="AT11" s="141"/>
      <c r="AU11" s="141"/>
      <c r="AV11" s="141"/>
    </row>
    <row r="12" spans="1:48" x14ac:dyDescent="0.25">
      <c r="A12" s="83" t="s">
        <v>11</v>
      </c>
      <c r="B12" s="40" t="s">
        <v>152</v>
      </c>
      <c r="C12" s="166">
        <v>17</v>
      </c>
      <c r="D12" s="168"/>
      <c r="E12" s="164">
        <v>2</v>
      </c>
      <c r="F12" s="129">
        <f>AVERAGE(Y12,V12,U12,H12,I12,J12,G12,M12,N12,O12,P12,Q12,R12,S12,T12,W12,X12)</f>
        <v>5.2352941176470589</v>
      </c>
      <c r="G12" s="213">
        <v>6</v>
      </c>
      <c r="H12" s="288">
        <v>7</v>
      </c>
      <c r="I12" s="61">
        <v>5</v>
      </c>
      <c r="J12" s="128">
        <v>5</v>
      </c>
      <c r="K12" s="108"/>
      <c r="L12" s="108"/>
      <c r="M12" s="38">
        <v>5</v>
      </c>
      <c r="N12" s="108">
        <v>5</v>
      </c>
      <c r="O12" s="128">
        <v>5</v>
      </c>
      <c r="P12" s="70">
        <v>5</v>
      </c>
      <c r="Q12" s="128">
        <v>5</v>
      </c>
      <c r="R12" s="128">
        <v>4</v>
      </c>
      <c r="S12" s="128">
        <v>5</v>
      </c>
      <c r="T12" s="108">
        <v>6</v>
      </c>
      <c r="U12" s="283">
        <v>7</v>
      </c>
      <c r="V12" s="128">
        <v>5</v>
      </c>
      <c r="W12" s="108">
        <v>4</v>
      </c>
      <c r="X12" s="128">
        <v>6</v>
      </c>
      <c r="Y12" s="128">
        <v>4</v>
      </c>
      <c r="Z12" s="128"/>
      <c r="AA12" s="108"/>
      <c r="AB12" s="69"/>
      <c r="AC12" s="128"/>
      <c r="AD12" s="128"/>
      <c r="AE12" s="38"/>
      <c r="AF12" s="128"/>
      <c r="AG12" s="128"/>
      <c r="AH12" s="38"/>
      <c r="AI12" s="128"/>
      <c r="AJ12" s="62"/>
      <c r="AK12" s="38"/>
      <c r="AL12" s="38"/>
      <c r="AM12" s="108"/>
      <c r="AN12" s="38"/>
      <c r="AO12" s="38"/>
      <c r="AP12" s="38"/>
      <c r="AQ12" s="38"/>
      <c r="AR12" s="38"/>
      <c r="AS12" s="141"/>
      <c r="AT12" s="141"/>
      <c r="AU12" s="141"/>
      <c r="AV12" s="141"/>
    </row>
    <row r="13" spans="1:48" x14ac:dyDescent="0.25">
      <c r="A13" s="83" t="s">
        <v>11</v>
      </c>
      <c r="B13" s="40" t="s">
        <v>316</v>
      </c>
      <c r="C13" s="166">
        <v>12</v>
      </c>
      <c r="D13" s="168"/>
      <c r="E13" s="164"/>
      <c r="F13" s="129">
        <f>AVERAGE(H13,G13,K13,L13,N13,O13,P13,Q13,R13,S13,W13)</f>
        <v>5.0909090909090908</v>
      </c>
      <c r="G13" s="213">
        <v>5</v>
      </c>
      <c r="H13" s="128">
        <v>6</v>
      </c>
      <c r="I13" s="108"/>
      <c r="J13" s="128"/>
      <c r="K13" s="108">
        <v>5</v>
      </c>
      <c r="L13" s="108">
        <v>5</v>
      </c>
      <c r="M13" s="38"/>
      <c r="N13" s="108">
        <v>5</v>
      </c>
      <c r="O13" s="128">
        <v>5</v>
      </c>
      <c r="P13" s="70">
        <v>6</v>
      </c>
      <c r="Q13" s="128">
        <v>5</v>
      </c>
      <c r="R13" s="128">
        <v>5</v>
      </c>
      <c r="S13" s="128">
        <v>5</v>
      </c>
      <c r="T13" s="108" t="s">
        <v>554</v>
      </c>
      <c r="U13" s="128"/>
      <c r="V13" s="69"/>
      <c r="W13" s="108">
        <v>4</v>
      </c>
      <c r="X13" s="128"/>
      <c r="Y13" s="128"/>
      <c r="Z13" s="128"/>
      <c r="AA13" s="57"/>
      <c r="AB13" s="128"/>
      <c r="AC13" s="128"/>
      <c r="AD13" s="128"/>
      <c r="AE13" s="38"/>
      <c r="AF13" s="128"/>
      <c r="AG13" s="128"/>
      <c r="AH13" s="62"/>
      <c r="AI13" s="128"/>
      <c r="AJ13" s="62"/>
      <c r="AK13" s="38"/>
      <c r="AL13" s="62"/>
      <c r="AM13" s="108"/>
      <c r="AN13" s="38"/>
      <c r="AO13" s="38"/>
      <c r="AP13" s="38"/>
      <c r="AQ13" s="38"/>
      <c r="AR13" s="38"/>
      <c r="AS13" s="141"/>
      <c r="AT13" s="141"/>
      <c r="AU13" s="141"/>
      <c r="AV13" s="141"/>
    </row>
    <row r="14" spans="1:48" s="141" customFormat="1" x14ac:dyDescent="0.25">
      <c r="A14" s="83" t="s">
        <v>11</v>
      </c>
      <c r="B14" s="40" t="s">
        <v>272</v>
      </c>
      <c r="C14" s="166">
        <v>7</v>
      </c>
      <c r="D14" s="168">
        <v>2</v>
      </c>
      <c r="E14" s="164"/>
      <c r="F14" s="129">
        <f>AVERAGE(I14,J14,S14,T14,U14,V14,X14,Y14)</f>
        <v>5</v>
      </c>
      <c r="G14" s="213"/>
      <c r="H14" s="108" t="s">
        <v>153</v>
      </c>
      <c r="I14" s="108">
        <v>5</v>
      </c>
      <c r="J14" s="128">
        <v>5</v>
      </c>
      <c r="K14" s="108"/>
      <c r="L14" s="108"/>
      <c r="M14" s="38"/>
      <c r="N14" s="108"/>
      <c r="O14" s="128"/>
      <c r="P14" s="70"/>
      <c r="Q14" s="128"/>
      <c r="R14" s="128"/>
      <c r="S14" s="128">
        <v>5</v>
      </c>
      <c r="T14" s="108">
        <v>5</v>
      </c>
      <c r="U14" s="128">
        <v>5</v>
      </c>
      <c r="V14" s="70">
        <v>5</v>
      </c>
      <c r="W14" s="108"/>
      <c r="X14" s="108">
        <v>5</v>
      </c>
      <c r="Y14" s="128">
        <v>5</v>
      </c>
      <c r="Z14" s="128"/>
      <c r="AA14" s="57"/>
      <c r="AB14" s="128"/>
      <c r="AC14" s="128"/>
      <c r="AD14" s="128"/>
      <c r="AE14" s="38"/>
      <c r="AF14" s="128"/>
      <c r="AG14" s="128"/>
      <c r="AH14" s="62"/>
      <c r="AI14" s="128"/>
      <c r="AJ14" s="62"/>
      <c r="AK14" s="38"/>
      <c r="AL14" s="62"/>
      <c r="AM14" s="108"/>
      <c r="AN14" s="38"/>
      <c r="AO14" s="38"/>
      <c r="AP14" s="38"/>
      <c r="AQ14" s="38"/>
      <c r="AR14" s="38"/>
    </row>
    <row r="15" spans="1:48" s="141" customFormat="1" x14ac:dyDescent="0.25">
      <c r="A15" s="83" t="s">
        <v>11</v>
      </c>
      <c r="B15" s="77" t="s">
        <v>463</v>
      </c>
      <c r="C15" s="166"/>
      <c r="D15" s="168"/>
      <c r="E15" s="164"/>
      <c r="F15" s="129"/>
      <c r="G15" s="213"/>
      <c r="H15" s="128"/>
      <c r="I15" s="108"/>
      <c r="J15" s="128"/>
      <c r="K15" s="108"/>
      <c r="L15" s="108"/>
      <c r="M15" s="38"/>
      <c r="N15" s="108"/>
      <c r="O15" s="128"/>
      <c r="P15" s="70"/>
      <c r="Q15" s="128"/>
      <c r="R15" s="128"/>
      <c r="S15" s="128"/>
      <c r="T15" s="108"/>
      <c r="U15" s="128"/>
      <c r="V15" s="69"/>
      <c r="W15" s="108"/>
      <c r="X15" s="128"/>
      <c r="Y15" s="128"/>
      <c r="Z15" s="128"/>
      <c r="AA15" s="57"/>
      <c r="AB15" s="128"/>
      <c r="AC15" s="128"/>
      <c r="AD15" s="128"/>
      <c r="AE15" s="38"/>
      <c r="AF15" s="128"/>
      <c r="AG15" s="128"/>
      <c r="AH15" s="62"/>
      <c r="AI15" s="128"/>
      <c r="AJ15" s="62"/>
      <c r="AK15" s="38"/>
      <c r="AL15" s="62"/>
      <c r="AM15" s="108"/>
      <c r="AN15" s="38"/>
      <c r="AO15" s="38"/>
      <c r="AP15" s="38"/>
      <c r="AQ15" s="38"/>
      <c r="AR15" s="38"/>
    </row>
    <row r="16" spans="1:48" s="141" customFormat="1" x14ac:dyDescent="0.25">
      <c r="A16" s="83" t="s">
        <v>11</v>
      </c>
      <c r="B16" s="77" t="s">
        <v>524</v>
      </c>
      <c r="C16" s="166">
        <v>8</v>
      </c>
      <c r="D16" s="168">
        <v>2</v>
      </c>
      <c r="E16" s="164">
        <v>3</v>
      </c>
      <c r="F16" s="129">
        <f>AVERAGE(I16,J16,K16,M16,T16,U16,V16,X16,Y16)</f>
        <v>5.2222222222222223</v>
      </c>
      <c r="G16" s="213"/>
      <c r="H16" s="128"/>
      <c r="I16" s="108">
        <v>5</v>
      </c>
      <c r="J16" s="128">
        <v>5</v>
      </c>
      <c r="K16" s="57">
        <v>5</v>
      </c>
      <c r="L16" s="108"/>
      <c r="M16" s="38">
        <v>4</v>
      </c>
      <c r="N16" s="108"/>
      <c r="O16" s="128"/>
      <c r="P16" s="70"/>
      <c r="Q16" s="128"/>
      <c r="R16" s="128"/>
      <c r="S16" s="108" t="s">
        <v>153</v>
      </c>
      <c r="T16" s="108">
        <v>5</v>
      </c>
      <c r="U16" s="344">
        <v>7</v>
      </c>
      <c r="V16" s="70">
        <v>5</v>
      </c>
      <c r="W16" s="108"/>
      <c r="X16" s="69">
        <v>6</v>
      </c>
      <c r="Y16" s="128">
        <v>5</v>
      </c>
      <c r="Z16" s="128"/>
      <c r="AA16" s="57"/>
      <c r="AB16" s="128"/>
      <c r="AC16" s="128"/>
      <c r="AD16" s="128"/>
      <c r="AE16" s="38"/>
      <c r="AF16" s="128"/>
      <c r="AG16" s="128"/>
      <c r="AH16" s="62"/>
      <c r="AI16" s="128"/>
      <c r="AJ16" s="62"/>
      <c r="AK16" s="38"/>
      <c r="AL16" s="62"/>
      <c r="AM16" s="108"/>
      <c r="AN16" s="38"/>
      <c r="AO16" s="38"/>
      <c r="AP16" s="38"/>
      <c r="AQ16" s="38"/>
      <c r="AR16" s="38"/>
    </row>
    <row r="17" spans="1:48" x14ac:dyDescent="0.25">
      <c r="A17" s="13" t="s">
        <v>11</v>
      </c>
      <c r="B17" s="51" t="s">
        <v>310</v>
      </c>
      <c r="C17" s="170">
        <v>10</v>
      </c>
      <c r="D17" s="171"/>
      <c r="E17" s="153">
        <v>1</v>
      </c>
      <c r="F17" s="129">
        <f>AVERAGE(H17,G17,K17,L17,M17,N17,O17,Q17,W17)</f>
        <v>5.333333333333333</v>
      </c>
      <c r="G17" s="329">
        <v>7</v>
      </c>
      <c r="H17" s="128">
        <v>5</v>
      </c>
      <c r="I17" s="108"/>
      <c r="J17" s="128"/>
      <c r="K17" s="108">
        <v>5</v>
      </c>
      <c r="L17" s="108">
        <v>5</v>
      </c>
      <c r="M17" s="38">
        <v>4</v>
      </c>
      <c r="N17" s="294">
        <v>7</v>
      </c>
      <c r="O17" s="128">
        <v>5</v>
      </c>
      <c r="P17" s="70"/>
      <c r="Q17" s="128">
        <v>5</v>
      </c>
      <c r="R17" s="128"/>
      <c r="S17" s="128"/>
      <c r="T17" s="108"/>
      <c r="U17" s="128"/>
      <c r="V17" s="128"/>
      <c r="W17" s="108">
        <v>5</v>
      </c>
      <c r="X17" s="128" t="s">
        <v>554</v>
      </c>
      <c r="Y17" s="128"/>
      <c r="Z17" s="128"/>
      <c r="AA17" s="108"/>
      <c r="AB17" s="128"/>
      <c r="AC17" s="128"/>
      <c r="AD17" s="128"/>
      <c r="AE17" s="38"/>
      <c r="AF17" s="128"/>
      <c r="AG17" s="128"/>
      <c r="AH17" s="38"/>
      <c r="AI17" s="128"/>
      <c r="AJ17" s="62"/>
      <c r="AK17" s="38"/>
      <c r="AL17" s="38"/>
      <c r="AM17" s="108"/>
      <c r="AN17" s="38"/>
      <c r="AO17" s="38"/>
      <c r="AP17" s="38"/>
      <c r="AQ17" s="38"/>
      <c r="AR17" s="38"/>
      <c r="AS17" s="141"/>
      <c r="AT17" s="141"/>
      <c r="AU17" s="141"/>
      <c r="AV17" s="141"/>
    </row>
    <row r="18" spans="1:48" x14ac:dyDescent="0.25">
      <c r="A18" s="83" t="s">
        <v>29</v>
      </c>
      <c r="B18" s="40" t="s">
        <v>311</v>
      </c>
      <c r="C18" s="166">
        <v>4</v>
      </c>
      <c r="D18" s="168">
        <v>10</v>
      </c>
      <c r="E18" s="164"/>
      <c r="F18" s="52">
        <f>AVERAGE(H18,K18,L18,M18,R18,W18)</f>
        <v>4.5</v>
      </c>
      <c r="G18" s="56" t="s">
        <v>153</v>
      </c>
      <c r="H18" s="128">
        <v>4</v>
      </c>
      <c r="I18" s="204" t="s">
        <v>153</v>
      </c>
      <c r="J18" s="108" t="s">
        <v>153</v>
      </c>
      <c r="K18" s="108">
        <v>4</v>
      </c>
      <c r="L18" s="108">
        <v>6</v>
      </c>
      <c r="M18" s="38">
        <v>5</v>
      </c>
      <c r="N18" s="108" t="s">
        <v>153</v>
      </c>
      <c r="O18" s="108" t="s">
        <v>153</v>
      </c>
      <c r="P18" s="69"/>
      <c r="Q18" s="128"/>
      <c r="R18" s="128">
        <v>4</v>
      </c>
      <c r="S18" s="128"/>
      <c r="T18" s="108" t="s">
        <v>153</v>
      </c>
      <c r="U18" s="108" t="s">
        <v>153</v>
      </c>
      <c r="V18" s="108" t="s">
        <v>153</v>
      </c>
      <c r="W18" s="108">
        <v>4</v>
      </c>
      <c r="X18" s="108"/>
      <c r="Y18" s="108" t="s">
        <v>153</v>
      </c>
      <c r="Z18" s="128"/>
      <c r="AA18" s="108"/>
      <c r="AB18" s="128"/>
      <c r="AC18" s="128"/>
      <c r="AD18" s="128"/>
      <c r="AE18" s="66"/>
      <c r="AF18" s="69"/>
      <c r="AG18" s="128"/>
      <c r="AH18" s="38"/>
      <c r="AI18" s="69"/>
      <c r="AJ18" s="62"/>
      <c r="AK18" s="38"/>
      <c r="AL18" s="38"/>
      <c r="AM18" s="108"/>
      <c r="AN18" s="38"/>
      <c r="AO18" s="38"/>
      <c r="AP18" s="62"/>
      <c r="AQ18" s="62"/>
      <c r="AR18" s="66"/>
      <c r="AS18" s="141"/>
      <c r="AT18" s="141"/>
      <c r="AU18" s="141"/>
      <c r="AV18" s="141"/>
    </row>
    <row r="19" spans="1:48" x14ac:dyDescent="0.25">
      <c r="A19" s="83" t="s">
        <v>29</v>
      </c>
      <c r="B19" s="40" t="s">
        <v>312</v>
      </c>
      <c r="C19" s="166"/>
      <c r="D19" s="168"/>
      <c r="E19" s="164"/>
      <c r="F19" s="129"/>
      <c r="G19" s="213"/>
      <c r="H19" s="128"/>
      <c r="I19" s="108"/>
      <c r="J19" s="128"/>
      <c r="K19" s="108"/>
      <c r="L19" s="108"/>
      <c r="M19" s="38"/>
      <c r="N19" s="108"/>
      <c r="O19" s="128"/>
      <c r="P19" s="70"/>
      <c r="Q19" s="128"/>
      <c r="R19" s="128"/>
      <c r="S19" s="128"/>
      <c r="T19" s="108"/>
      <c r="U19" s="128"/>
      <c r="V19" s="128"/>
      <c r="W19" s="108"/>
      <c r="X19" s="128"/>
      <c r="Y19" s="128"/>
      <c r="Z19" s="128"/>
      <c r="AA19" s="108"/>
      <c r="AB19" s="128"/>
      <c r="AC19" s="128"/>
      <c r="AD19" s="128"/>
      <c r="AE19" s="38"/>
      <c r="AF19" s="128"/>
      <c r="AG19" s="128"/>
      <c r="AH19" s="38"/>
      <c r="AI19" s="128"/>
      <c r="AJ19" s="62"/>
      <c r="AK19" s="38"/>
      <c r="AL19" s="38"/>
      <c r="AM19" s="108"/>
      <c r="AN19" s="38"/>
      <c r="AO19" s="38"/>
      <c r="AP19" s="38"/>
      <c r="AQ19" s="38"/>
      <c r="AR19" s="38"/>
      <c r="AS19" s="141"/>
      <c r="AT19" s="141"/>
      <c r="AU19" s="141"/>
      <c r="AV19" s="141"/>
    </row>
    <row r="20" spans="1:48" x14ac:dyDescent="0.25">
      <c r="A20" s="83" t="s">
        <v>29</v>
      </c>
      <c r="B20" s="40" t="s">
        <v>180</v>
      </c>
      <c r="C20" s="166">
        <v>19</v>
      </c>
      <c r="D20" s="168"/>
      <c r="E20" s="164">
        <v>3</v>
      </c>
      <c r="F20" s="129">
        <f>AVERAGE(Y20,V20,U20,T20,H20,I20,J20,G20,K20,L20,M20,N20,O20,P20,Q20,R20,S20,W20,X20)</f>
        <v>5.4736842105263159</v>
      </c>
      <c r="G20" s="213">
        <v>5</v>
      </c>
      <c r="H20" s="128">
        <v>6</v>
      </c>
      <c r="I20" s="108">
        <v>5</v>
      </c>
      <c r="J20" s="128">
        <v>4</v>
      </c>
      <c r="K20" s="294">
        <v>7</v>
      </c>
      <c r="L20" s="108">
        <v>4</v>
      </c>
      <c r="M20" s="38">
        <v>5</v>
      </c>
      <c r="N20" s="290">
        <v>7</v>
      </c>
      <c r="O20" s="128">
        <v>5</v>
      </c>
      <c r="P20" s="283">
        <v>7</v>
      </c>
      <c r="Q20" s="128">
        <v>5</v>
      </c>
      <c r="R20" s="128">
        <v>5</v>
      </c>
      <c r="S20" s="283">
        <v>8</v>
      </c>
      <c r="T20" s="108">
        <v>6</v>
      </c>
      <c r="U20" s="128">
        <v>5</v>
      </c>
      <c r="V20" s="128">
        <v>6</v>
      </c>
      <c r="W20" s="108">
        <v>5</v>
      </c>
      <c r="X20" s="128">
        <v>5</v>
      </c>
      <c r="Y20" s="204">
        <v>4</v>
      </c>
      <c r="Z20" s="128"/>
      <c r="AA20" s="108"/>
      <c r="AB20" s="69"/>
      <c r="AC20" s="69"/>
      <c r="AD20" s="69"/>
      <c r="AE20" s="38"/>
      <c r="AF20" s="69"/>
      <c r="AG20" s="128"/>
      <c r="AH20" s="38"/>
      <c r="AI20" s="128"/>
      <c r="AJ20" s="62"/>
      <c r="AK20" s="38"/>
      <c r="AL20" s="38"/>
      <c r="AM20" s="108"/>
      <c r="AN20" s="38"/>
      <c r="AO20" s="38"/>
      <c r="AP20" s="62"/>
      <c r="AQ20" s="62"/>
      <c r="AR20" s="38"/>
      <c r="AS20" s="141"/>
      <c r="AT20" s="141"/>
      <c r="AU20" s="141"/>
      <c r="AV20" s="141"/>
    </row>
    <row r="21" spans="1:48" x14ac:dyDescent="0.25">
      <c r="A21" s="83" t="s">
        <v>29</v>
      </c>
      <c r="B21" s="40" t="s">
        <v>313</v>
      </c>
      <c r="C21" s="166">
        <v>1</v>
      </c>
      <c r="D21" s="168">
        <v>1</v>
      </c>
      <c r="E21" s="164"/>
      <c r="F21" s="129">
        <f>AVERAGE(P21,R21)</f>
        <v>4.5</v>
      </c>
      <c r="G21" s="213"/>
      <c r="H21" s="128"/>
      <c r="I21" s="108"/>
      <c r="J21" s="128"/>
      <c r="K21" s="108"/>
      <c r="L21" s="108"/>
      <c r="M21" s="38"/>
      <c r="N21" s="108"/>
      <c r="O21" s="128"/>
      <c r="P21" s="70">
        <v>4</v>
      </c>
      <c r="Q21" s="128"/>
      <c r="R21" s="128">
        <v>5</v>
      </c>
      <c r="S21" s="128"/>
      <c r="T21" s="108"/>
      <c r="U21" s="128"/>
      <c r="V21" s="128"/>
      <c r="W21" s="108"/>
      <c r="X21" s="128"/>
      <c r="Y21" s="128"/>
      <c r="Z21" s="128"/>
      <c r="AA21" s="108"/>
      <c r="AB21" s="128"/>
      <c r="AC21" s="128"/>
      <c r="AD21" s="128"/>
      <c r="AE21" s="38"/>
      <c r="AF21" s="128"/>
      <c r="AG21" s="128"/>
      <c r="AH21" s="38"/>
      <c r="AI21" s="128"/>
      <c r="AJ21" s="62"/>
      <c r="AK21" s="38"/>
      <c r="AL21" s="38"/>
      <c r="AM21" s="108"/>
      <c r="AN21" s="38"/>
      <c r="AO21" s="38"/>
      <c r="AP21" s="38"/>
      <c r="AQ21" s="38"/>
      <c r="AR21" s="38"/>
      <c r="AS21" s="141"/>
      <c r="AT21" s="141"/>
      <c r="AU21" s="141"/>
      <c r="AV21" s="141"/>
    </row>
    <row r="22" spans="1:48" s="141" customFormat="1" x14ac:dyDescent="0.25">
      <c r="A22" s="83" t="s">
        <v>29</v>
      </c>
      <c r="B22" s="40" t="s">
        <v>81</v>
      </c>
      <c r="C22" s="166">
        <v>12</v>
      </c>
      <c r="D22" s="168">
        <v>1</v>
      </c>
      <c r="E22" s="164"/>
      <c r="F22" s="129">
        <f>AVERAGE(H22,I22,J22,G22,S22,U22,V22,W22,Y22)</f>
        <v>4.333333333333333</v>
      </c>
      <c r="G22" s="213">
        <v>4</v>
      </c>
      <c r="H22" s="128">
        <v>5</v>
      </c>
      <c r="I22" s="108">
        <v>5</v>
      </c>
      <c r="J22" s="128">
        <v>4</v>
      </c>
      <c r="K22" s="108" t="s">
        <v>546</v>
      </c>
      <c r="L22" s="108"/>
      <c r="M22" s="38"/>
      <c r="N22" s="108"/>
      <c r="O22" s="128"/>
      <c r="P22" s="70"/>
      <c r="Q22" s="128"/>
      <c r="R22" s="108" t="s">
        <v>153</v>
      </c>
      <c r="S22" s="128">
        <v>4</v>
      </c>
      <c r="T22" s="108" t="s">
        <v>555</v>
      </c>
      <c r="U22" s="128">
        <v>5</v>
      </c>
      <c r="V22" s="128">
        <v>4</v>
      </c>
      <c r="W22" s="108">
        <v>4</v>
      </c>
      <c r="X22" s="108" t="s">
        <v>555</v>
      </c>
      <c r="Y22" s="128">
        <v>4</v>
      </c>
      <c r="Z22" s="128"/>
      <c r="AA22" s="108"/>
      <c r="AB22" s="128"/>
      <c r="AC22" s="128"/>
      <c r="AD22" s="128"/>
      <c r="AE22" s="38"/>
      <c r="AF22" s="128"/>
      <c r="AG22" s="128"/>
      <c r="AH22" s="38"/>
      <c r="AI22" s="128"/>
      <c r="AJ22" s="62"/>
      <c r="AK22" s="38"/>
      <c r="AL22" s="38"/>
      <c r="AM22" s="108"/>
      <c r="AN22" s="38"/>
      <c r="AO22" s="38"/>
      <c r="AP22" s="38"/>
      <c r="AQ22" s="38"/>
      <c r="AR22" s="38"/>
    </row>
    <row r="23" spans="1:48" s="141" customFormat="1" x14ac:dyDescent="0.25">
      <c r="A23" s="83" t="s">
        <v>29</v>
      </c>
      <c r="B23" s="40" t="s">
        <v>507</v>
      </c>
      <c r="C23" s="166">
        <v>18</v>
      </c>
      <c r="D23" s="168">
        <v>1</v>
      </c>
      <c r="E23" s="164">
        <v>1</v>
      </c>
      <c r="F23" s="129">
        <f>AVERAGE(Y23,V23,U23,T23,H23,I23,J23,G23,K23,L23,M23,N23,O23,P23,Q23,R23,S23,X23)</f>
        <v>4.5555555555555554</v>
      </c>
      <c r="G23" s="213">
        <v>4</v>
      </c>
      <c r="H23" s="128">
        <v>5</v>
      </c>
      <c r="I23" s="108">
        <v>4</v>
      </c>
      <c r="J23" s="128">
        <v>5</v>
      </c>
      <c r="K23" s="57">
        <v>6</v>
      </c>
      <c r="L23" s="108">
        <v>4</v>
      </c>
      <c r="M23" s="38">
        <v>4</v>
      </c>
      <c r="N23" s="290">
        <v>7</v>
      </c>
      <c r="O23" s="128">
        <v>6</v>
      </c>
      <c r="P23" s="70">
        <v>4</v>
      </c>
      <c r="Q23" s="128">
        <v>4</v>
      </c>
      <c r="R23" s="128">
        <v>4</v>
      </c>
      <c r="S23" s="128">
        <v>5</v>
      </c>
      <c r="T23" s="108">
        <v>5</v>
      </c>
      <c r="U23" s="128">
        <v>5</v>
      </c>
      <c r="V23" s="303">
        <v>3</v>
      </c>
      <c r="W23" s="108" t="s">
        <v>153</v>
      </c>
      <c r="X23" s="128">
        <v>4</v>
      </c>
      <c r="Y23" s="303">
        <v>3</v>
      </c>
      <c r="Z23" s="128"/>
      <c r="AA23" s="108"/>
      <c r="AB23" s="128"/>
      <c r="AC23" s="128"/>
      <c r="AD23" s="128"/>
      <c r="AE23" s="38"/>
      <c r="AF23" s="128"/>
      <c r="AG23" s="128"/>
      <c r="AH23" s="38"/>
      <c r="AI23" s="128"/>
      <c r="AJ23" s="62"/>
      <c r="AK23" s="38"/>
      <c r="AL23" s="38"/>
      <c r="AM23" s="108"/>
      <c r="AN23" s="38"/>
      <c r="AO23" s="38"/>
      <c r="AP23" s="38"/>
      <c r="AQ23" s="38"/>
      <c r="AR23" s="38"/>
    </row>
    <row r="24" spans="1:48" s="141" customFormat="1" x14ac:dyDescent="0.25">
      <c r="A24" s="83" t="s">
        <v>29</v>
      </c>
      <c r="B24" s="77" t="s">
        <v>501</v>
      </c>
      <c r="C24" s="166">
        <v>1</v>
      </c>
      <c r="D24" s="168">
        <v>4</v>
      </c>
      <c r="E24" s="164"/>
      <c r="F24" s="129">
        <f>AVERAGE(R24)</f>
        <v>4</v>
      </c>
      <c r="G24" s="213" t="s">
        <v>153</v>
      </c>
      <c r="H24" s="128"/>
      <c r="I24" s="108"/>
      <c r="J24" s="128"/>
      <c r="K24" s="108"/>
      <c r="L24" s="108" t="s">
        <v>153</v>
      </c>
      <c r="M24" s="62" t="s">
        <v>153</v>
      </c>
      <c r="N24" s="108"/>
      <c r="O24" s="128"/>
      <c r="P24" s="70"/>
      <c r="Q24" s="108" t="s">
        <v>153</v>
      </c>
      <c r="R24" s="128">
        <v>4</v>
      </c>
      <c r="S24" s="128"/>
      <c r="T24" s="108"/>
      <c r="U24" s="128"/>
      <c r="V24" s="128"/>
      <c r="W24" s="108"/>
      <c r="X24" s="128"/>
      <c r="Y24" s="128"/>
      <c r="Z24" s="128"/>
      <c r="AA24" s="108"/>
      <c r="AB24" s="128"/>
      <c r="AC24" s="128"/>
      <c r="AD24" s="128"/>
      <c r="AE24" s="38"/>
      <c r="AF24" s="128"/>
      <c r="AG24" s="128"/>
      <c r="AH24" s="38"/>
      <c r="AI24" s="128"/>
      <c r="AJ24" s="62"/>
      <c r="AK24" s="38"/>
      <c r="AL24" s="38"/>
      <c r="AM24" s="108"/>
      <c r="AN24" s="38"/>
      <c r="AO24" s="38"/>
      <c r="AP24" s="38"/>
      <c r="AQ24" s="38"/>
      <c r="AR24" s="38"/>
    </row>
    <row r="25" spans="1:48" s="141" customFormat="1" x14ac:dyDescent="0.25">
      <c r="A25" s="83" t="s">
        <v>29</v>
      </c>
      <c r="B25" s="40" t="s">
        <v>525</v>
      </c>
      <c r="C25" s="166">
        <v>3</v>
      </c>
      <c r="D25" s="168">
        <v>6</v>
      </c>
      <c r="E25" s="164">
        <v>1</v>
      </c>
      <c r="F25" s="129">
        <f>AVERAGE(J25,M25,Q25)</f>
        <v>4.666666666666667</v>
      </c>
      <c r="G25" s="213"/>
      <c r="H25" s="128"/>
      <c r="I25" s="108" t="s">
        <v>153</v>
      </c>
      <c r="J25" s="128">
        <v>5</v>
      </c>
      <c r="K25" s="108"/>
      <c r="L25" s="57" t="s">
        <v>153</v>
      </c>
      <c r="M25" s="38">
        <v>5</v>
      </c>
      <c r="N25" s="108" t="s">
        <v>153</v>
      </c>
      <c r="O25" s="128"/>
      <c r="P25" s="204" t="s">
        <v>153</v>
      </c>
      <c r="Q25" s="128">
        <v>4</v>
      </c>
      <c r="R25" s="108" t="s">
        <v>153</v>
      </c>
      <c r="S25" s="108" t="s">
        <v>153</v>
      </c>
      <c r="T25" s="108"/>
      <c r="U25" s="128"/>
      <c r="V25" s="128"/>
      <c r="W25" s="108"/>
      <c r="X25" s="128"/>
      <c r="Y25" s="128"/>
      <c r="Z25" s="128"/>
      <c r="AA25" s="108"/>
      <c r="AB25" s="128"/>
      <c r="AC25" s="128"/>
      <c r="AD25" s="128"/>
      <c r="AE25" s="38"/>
      <c r="AF25" s="128"/>
      <c r="AG25" s="128"/>
      <c r="AH25" s="38"/>
      <c r="AI25" s="128"/>
      <c r="AJ25" s="62"/>
      <c r="AK25" s="38"/>
      <c r="AL25" s="38"/>
      <c r="AM25" s="108"/>
      <c r="AN25" s="38"/>
      <c r="AO25" s="38"/>
      <c r="AP25" s="38"/>
      <c r="AQ25" s="38"/>
      <c r="AR25" s="38"/>
    </row>
    <row r="26" spans="1:48" s="141" customFormat="1" x14ac:dyDescent="0.25">
      <c r="A26" s="83" t="s">
        <v>29</v>
      </c>
      <c r="B26" s="77" t="s">
        <v>650</v>
      </c>
      <c r="C26" s="166">
        <v>3</v>
      </c>
      <c r="D26" s="168">
        <v>3</v>
      </c>
      <c r="E26" s="164"/>
      <c r="F26" s="129">
        <f>AVERAGE(N26,O26,P26)</f>
        <v>4.666666666666667</v>
      </c>
      <c r="G26" s="213"/>
      <c r="H26" s="128"/>
      <c r="I26" s="108"/>
      <c r="J26" s="128"/>
      <c r="K26" s="108" t="s">
        <v>153</v>
      </c>
      <c r="L26" s="108"/>
      <c r="M26" s="62" t="s">
        <v>153</v>
      </c>
      <c r="N26" s="108">
        <v>5</v>
      </c>
      <c r="O26" s="128">
        <v>5</v>
      </c>
      <c r="P26" s="70">
        <v>4</v>
      </c>
      <c r="Q26" s="128"/>
      <c r="R26" s="128"/>
      <c r="S26" s="108" t="s">
        <v>153</v>
      </c>
      <c r="T26" s="108"/>
      <c r="U26" s="128"/>
      <c r="V26" s="108" t="s">
        <v>153</v>
      </c>
      <c r="W26" s="108"/>
      <c r="X26" s="128"/>
      <c r="Y26" s="128"/>
      <c r="Z26" s="128"/>
      <c r="AA26" s="108"/>
      <c r="AB26" s="128"/>
      <c r="AC26" s="128"/>
      <c r="AD26" s="128"/>
      <c r="AE26" s="38"/>
      <c r="AF26" s="128"/>
      <c r="AG26" s="128"/>
      <c r="AH26" s="38"/>
      <c r="AI26" s="128"/>
      <c r="AJ26" s="62"/>
      <c r="AK26" s="38"/>
      <c r="AL26" s="38"/>
      <c r="AM26" s="108"/>
      <c r="AN26" s="38"/>
      <c r="AO26" s="38"/>
      <c r="AP26" s="38"/>
      <c r="AQ26" s="38"/>
      <c r="AR26" s="38"/>
    </row>
    <row r="27" spans="1:48" s="141" customFormat="1" x14ac:dyDescent="0.25">
      <c r="A27" s="83" t="s">
        <v>29</v>
      </c>
      <c r="B27" s="77" t="s">
        <v>755</v>
      </c>
      <c r="C27" s="166"/>
      <c r="D27" s="168">
        <v>2</v>
      </c>
      <c r="E27" s="164"/>
      <c r="F27" s="129"/>
      <c r="G27" s="213"/>
      <c r="H27" s="128"/>
      <c r="I27" s="108"/>
      <c r="J27" s="128"/>
      <c r="K27" s="108"/>
      <c r="L27" s="108"/>
      <c r="M27" s="62"/>
      <c r="N27" s="108"/>
      <c r="O27" s="108" t="s">
        <v>153</v>
      </c>
      <c r="P27" s="70"/>
      <c r="Q27" s="108" t="s">
        <v>153</v>
      </c>
      <c r="R27" s="128"/>
      <c r="S27" s="128"/>
      <c r="T27" s="108"/>
      <c r="U27" s="128"/>
      <c r="V27" s="128"/>
      <c r="W27" s="108"/>
      <c r="X27" s="128"/>
      <c r="Y27" s="128"/>
      <c r="Z27" s="128"/>
      <c r="AA27" s="108"/>
      <c r="AB27" s="128"/>
      <c r="AC27" s="128"/>
      <c r="AD27" s="128"/>
      <c r="AE27" s="38"/>
      <c r="AF27" s="128"/>
      <c r="AG27" s="128"/>
      <c r="AH27" s="38"/>
      <c r="AI27" s="128"/>
      <c r="AJ27" s="62"/>
      <c r="AK27" s="38"/>
      <c r="AL27" s="38"/>
      <c r="AM27" s="108"/>
      <c r="AN27" s="38"/>
      <c r="AO27" s="38"/>
      <c r="AP27" s="38"/>
      <c r="AQ27" s="38"/>
      <c r="AR27" s="38"/>
    </row>
    <row r="28" spans="1:48" s="141" customFormat="1" x14ac:dyDescent="0.25">
      <c r="A28" s="83" t="s">
        <v>29</v>
      </c>
      <c r="B28" s="77" t="s">
        <v>897</v>
      </c>
      <c r="C28" s="166"/>
      <c r="D28" s="168">
        <v>3</v>
      </c>
      <c r="E28" s="164"/>
      <c r="F28" s="129"/>
      <c r="G28" s="213"/>
      <c r="H28" s="128"/>
      <c r="I28" s="108"/>
      <c r="J28" s="128"/>
      <c r="K28" s="108"/>
      <c r="L28" s="108"/>
      <c r="M28" s="62"/>
      <c r="N28" s="108"/>
      <c r="O28" s="108"/>
      <c r="P28" s="70"/>
      <c r="Q28" s="108"/>
      <c r="R28" s="128"/>
      <c r="S28" s="128"/>
      <c r="T28" s="108"/>
      <c r="U28" s="108" t="s">
        <v>153</v>
      </c>
      <c r="V28" s="128"/>
      <c r="W28" s="108"/>
      <c r="X28" s="108" t="s">
        <v>153</v>
      </c>
      <c r="Y28" s="108" t="s">
        <v>153</v>
      </c>
      <c r="Z28" s="128"/>
      <c r="AA28" s="108"/>
      <c r="AB28" s="128"/>
      <c r="AC28" s="128"/>
      <c r="AD28" s="128"/>
      <c r="AE28" s="38"/>
      <c r="AF28" s="128"/>
      <c r="AG28" s="128"/>
      <c r="AH28" s="38"/>
      <c r="AI28" s="128"/>
      <c r="AJ28" s="62"/>
      <c r="AK28" s="38"/>
      <c r="AL28" s="38"/>
      <c r="AM28" s="108"/>
      <c r="AN28" s="38"/>
      <c r="AO28" s="38"/>
      <c r="AP28" s="38"/>
      <c r="AQ28" s="38"/>
      <c r="AR28" s="38"/>
    </row>
    <row r="29" spans="1:48" x14ac:dyDescent="0.25">
      <c r="A29" s="13" t="s">
        <v>29</v>
      </c>
      <c r="B29" s="51" t="s">
        <v>314</v>
      </c>
      <c r="C29" s="170">
        <v>13</v>
      </c>
      <c r="D29" s="171">
        <v>4</v>
      </c>
      <c r="E29" s="172"/>
      <c r="F29" s="34">
        <f>AVERAGE(Y29,I29,K29,L29,N29,O29,P29,Q29,S29,T29,U29,V29,W29,X29)</f>
        <v>4.7142857142857144</v>
      </c>
      <c r="G29" s="213" t="s">
        <v>153</v>
      </c>
      <c r="H29" s="108" t="s">
        <v>153</v>
      </c>
      <c r="I29" s="108">
        <v>4</v>
      </c>
      <c r="J29" s="108" t="s">
        <v>153</v>
      </c>
      <c r="K29" s="108">
        <v>5</v>
      </c>
      <c r="L29" s="108">
        <v>5</v>
      </c>
      <c r="M29" s="38"/>
      <c r="N29" s="108">
        <v>5</v>
      </c>
      <c r="O29" s="128">
        <v>5</v>
      </c>
      <c r="P29" s="70">
        <v>5</v>
      </c>
      <c r="Q29" s="128">
        <v>4</v>
      </c>
      <c r="R29" s="128"/>
      <c r="S29" s="128">
        <v>6</v>
      </c>
      <c r="T29" s="290">
        <v>7</v>
      </c>
      <c r="U29" s="128">
        <v>4</v>
      </c>
      <c r="V29" s="128">
        <v>4</v>
      </c>
      <c r="W29" s="108">
        <v>4</v>
      </c>
      <c r="X29" s="128">
        <v>5</v>
      </c>
      <c r="Y29" s="303">
        <v>3</v>
      </c>
      <c r="Z29" s="128"/>
      <c r="AA29" s="108"/>
      <c r="AB29" s="128"/>
      <c r="AC29" s="128"/>
      <c r="AD29" s="128"/>
      <c r="AE29" s="38"/>
      <c r="AF29" s="128"/>
      <c r="AG29" s="69"/>
      <c r="AH29" s="38"/>
      <c r="AI29" s="128"/>
      <c r="AJ29" s="62"/>
      <c r="AK29" s="38"/>
      <c r="AL29" s="38"/>
      <c r="AM29" s="108"/>
      <c r="AN29" s="38"/>
      <c r="AO29" s="38"/>
      <c r="AP29" s="38"/>
      <c r="AQ29" s="38"/>
      <c r="AR29" s="38"/>
      <c r="AS29" s="141"/>
      <c r="AT29" s="141"/>
      <c r="AU29" s="141"/>
      <c r="AV29" s="141"/>
    </row>
    <row r="30" spans="1:48" s="141" customFormat="1" x14ac:dyDescent="0.25">
      <c r="A30" s="340" t="s">
        <v>30</v>
      </c>
      <c r="B30" s="158" t="s">
        <v>315</v>
      </c>
      <c r="C30" s="323">
        <v>3</v>
      </c>
      <c r="D30" s="266"/>
      <c r="E30" s="341"/>
      <c r="F30" s="129">
        <f>AVERAGE(G30,H30,I30)</f>
        <v>4.666666666666667</v>
      </c>
      <c r="G30" s="249">
        <v>5</v>
      </c>
      <c r="H30" s="250">
        <v>4</v>
      </c>
      <c r="I30" s="251">
        <v>5</v>
      </c>
      <c r="J30" s="251"/>
      <c r="K30" s="251"/>
      <c r="L30" s="268"/>
      <c r="M30" s="157"/>
      <c r="N30" s="251"/>
      <c r="O30" s="251"/>
      <c r="P30" s="250"/>
      <c r="Q30" s="250"/>
      <c r="R30" s="251"/>
      <c r="S30" s="250"/>
      <c r="T30" s="251"/>
      <c r="U30" s="250"/>
      <c r="V30" s="250"/>
      <c r="W30" s="251"/>
      <c r="X30" s="251"/>
      <c r="Y30" s="250"/>
      <c r="Z30" s="251"/>
      <c r="AA30" s="251"/>
      <c r="AB30" s="250"/>
      <c r="AC30" s="250"/>
      <c r="AD30" s="250"/>
      <c r="AE30" s="157"/>
      <c r="AF30" s="250"/>
      <c r="AG30" s="250"/>
      <c r="AH30" s="157"/>
      <c r="AI30" s="250"/>
      <c r="AJ30" s="278"/>
      <c r="AK30" s="157"/>
      <c r="AL30" s="157"/>
      <c r="AM30" s="251"/>
      <c r="AN30" s="157"/>
      <c r="AO30" s="157"/>
      <c r="AP30" s="157"/>
      <c r="AQ30" s="157"/>
      <c r="AR30" s="157"/>
    </row>
    <row r="31" spans="1:48" s="141" customFormat="1" x14ac:dyDescent="0.25">
      <c r="A31" s="184" t="s">
        <v>30</v>
      </c>
      <c r="B31" s="187" t="s">
        <v>86</v>
      </c>
      <c r="C31" s="185">
        <v>14</v>
      </c>
      <c r="D31" s="64">
        <v>1</v>
      </c>
      <c r="E31" s="187">
        <v>3</v>
      </c>
      <c r="F31" s="129">
        <f>AVERAGE(Y31,K31,L31,M31,N31,O31,P31,Q31,S31,T31,U31,V31,W31,X31)</f>
        <v>5.2857142857142856</v>
      </c>
      <c r="G31" s="199"/>
      <c r="H31" s="180"/>
      <c r="I31" s="192"/>
      <c r="J31" s="192"/>
      <c r="K31" s="204">
        <v>6</v>
      </c>
      <c r="L31" s="294">
        <v>7</v>
      </c>
      <c r="M31" s="64">
        <v>4</v>
      </c>
      <c r="N31" s="294">
        <v>7</v>
      </c>
      <c r="O31" s="204">
        <v>5</v>
      </c>
      <c r="P31" s="70">
        <v>5</v>
      </c>
      <c r="Q31" s="70">
        <v>5</v>
      </c>
      <c r="R31" s="204" t="s">
        <v>153</v>
      </c>
      <c r="S31" s="70">
        <v>4</v>
      </c>
      <c r="T31" s="204">
        <v>4</v>
      </c>
      <c r="U31" s="70">
        <v>6</v>
      </c>
      <c r="V31" s="69">
        <v>6</v>
      </c>
      <c r="W31" s="204">
        <v>5</v>
      </c>
      <c r="X31" s="204">
        <v>5</v>
      </c>
      <c r="Y31" s="70">
        <v>5</v>
      </c>
      <c r="Z31" s="192"/>
      <c r="AA31" s="192"/>
      <c r="AB31" s="180"/>
      <c r="AC31" s="180"/>
      <c r="AD31" s="180"/>
      <c r="AE31" s="182"/>
      <c r="AF31" s="180"/>
      <c r="AG31" s="180"/>
      <c r="AH31" s="182"/>
      <c r="AI31" s="180"/>
      <c r="AJ31" s="181"/>
      <c r="AK31" s="182"/>
      <c r="AL31" s="182"/>
      <c r="AM31" s="192"/>
      <c r="AN31" s="182"/>
      <c r="AO31" s="182"/>
      <c r="AP31" s="182"/>
      <c r="AQ31" s="182"/>
      <c r="AR31" s="182"/>
    </row>
    <row r="32" spans="1:48" s="116" customFormat="1" ht="15.75" thickBot="1" x14ac:dyDescent="0.3">
      <c r="A32" s="3" t="s">
        <v>30</v>
      </c>
      <c r="B32" s="227" t="s">
        <v>502</v>
      </c>
      <c r="C32" s="167">
        <v>18</v>
      </c>
      <c r="D32" s="169">
        <v>1</v>
      </c>
      <c r="E32" s="165">
        <v>6</v>
      </c>
      <c r="F32" s="33">
        <f>AVERAGE(Y32,V32,U32,T32,H32,I32,J32,G32,K32,L32,M32,N32,O32,P32,Q32,R32,S32,W32,X32)</f>
        <v>5.4210526315789478</v>
      </c>
      <c r="G32" s="213">
        <v>6</v>
      </c>
      <c r="H32" s="128">
        <v>5</v>
      </c>
      <c r="I32" s="294">
        <v>7</v>
      </c>
      <c r="J32" s="128">
        <v>5</v>
      </c>
      <c r="K32" s="108">
        <v>5</v>
      </c>
      <c r="L32" s="204">
        <v>5</v>
      </c>
      <c r="M32" s="38">
        <v>4</v>
      </c>
      <c r="N32" s="108">
        <v>6</v>
      </c>
      <c r="O32" s="283">
        <v>7</v>
      </c>
      <c r="P32" s="70">
        <v>6</v>
      </c>
      <c r="Q32" s="70">
        <v>5</v>
      </c>
      <c r="R32" s="128">
        <v>5</v>
      </c>
      <c r="S32" s="294">
        <v>7</v>
      </c>
      <c r="T32" s="108">
        <v>5</v>
      </c>
      <c r="U32" s="283">
        <v>7</v>
      </c>
      <c r="V32" s="128">
        <v>4</v>
      </c>
      <c r="W32" s="57">
        <v>5</v>
      </c>
      <c r="X32" s="128">
        <v>4</v>
      </c>
      <c r="Y32" s="108">
        <v>5</v>
      </c>
      <c r="Z32" s="128"/>
      <c r="AA32" s="108"/>
      <c r="AB32" s="69"/>
      <c r="AC32" s="108"/>
      <c r="AD32" s="128"/>
      <c r="AE32" s="66"/>
      <c r="AF32" s="69"/>
      <c r="AG32" s="69"/>
      <c r="AH32" s="38"/>
      <c r="AI32" s="108"/>
      <c r="AJ32" s="62"/>
      <c r="AK32" s="67"/>
      <c r="AL32" s="38"/>
      <c r="AM32" s="108"/>
      <c r="AN32" s="38"/>
      <c r="AO32" s="62"/>
      <c r="AP32" s="38"/>
      <c r="AQ32" s="38"/>
      <c r="AR32" s="62"/>
      <c r="AS32" s="141"/>
      <c r="AT32" s="141"/>
      <c r="AU32" s="141"/>
      <c r="AV32" s="141"/>
    </row>
    <row r="33" spans="7:48" x14ac:dyDescent="0.25">
      <c r="G33" s="36">
        <f>AVERAGE(G9,G10,G11,G12,G13,G17,G20,G22,G23,G32)</f>
        <v>5.4</v>
      </c>
      <c r="H33" s="36">
        <f>AVERAGE(H9,H10,H11,H12,H13,H17,H20,H22,H23,H32)</f>
        <v>5.6</v>
      </c>
      <c r="I33" s="30">
        <f>AVERAGE(I9,I11,I12,I14,I16,I20,I22,I23,I29,I32)</f>
        <v>4.9000000000000004</v>
      </c>
      <c r="J33" s="36">
        <f>AVERAGE(J9,J10,J11,J12,J14,J16,J20,J22,J23,J25,J32)</f>
        <v>4.4545454545454541</v>
      </c>
      <c r="K33" s="30">
        <f>AVERAGE(K9,K10,K11,K13,K16,K17,K20,K23,K31,K32)</f>
        <v>5.3</v>
      </c>
      <c r="L33" s="30">
        <f>AVERAGE(L9,L10,L11,L13,L17,L18,L20,L23,L29,L31,L32)</f>
        <v>5</v>
      </c>
      <c r="M33" s="36">
        <f>AVERAGE(M9,M10,M11,M12,M16,M17,M18,M20,M23,M25,M31)</f>
        <v>4.5454545454545459</v>
      </c>
      <c r="N33" s="30">
        <f>AVERAGE(N9,N11,N12,N13,N17,N20,N23,N26,N29,N31,N32)</f>
        <v>6.0909090909090908</v>
      </c>
      <c r="O33" s="30">
        <f>AVERAGE(O9,O11,O12,O13,O17,O20,O23,O26,O29,O31,O32)</f>
        <v>5.3636363636363633</v>
      </c>
      <c r="P33" s="30">
        <f>AVERAGE(P9,P10,P11,P12,P13,P20,P23,P26,P29,P31,P32)</f>
        <v>5.2727272727272725</v>
      </c>
      <c r="Q33" s="30">
        <f>AVERAGE(Q9,Q11,Q12,Q13,Q17,Q20,Q23,Q25,Q29,Q31,Q32)</f>
        <v>4.6363636363636367</v>
      </c>
      <c r="R33" s="30">
        <f>AVERAGE(R9,R10,R11,R12,R13,R18,R20,R21,R24,R23,R32)</f>
        <v>4.6363636363636367</v>
      </c>
      <c r="S33" s="30">
        <f>AVERAGE(S9,S11,S12,S13,S14,S20,S22,S23,S29,S31,S32)</f>
        <v>5.4545454545454541</v>
      </c>
      <c r="T33" s="30">
        <f>AVERAGE(T9,T11,T12,T14,T20,T23,T29,T31,T32,T16)</f>
        <v>5.4</v>
      </c>
      <c r="U33" s="30">
        <f>AVERAGE(U9,U11,U12,U14,U16,U20,U22,U23,U29,U31,U32)</f>
        <v>5.5454545454545459</v>
      </c>
      <c r="V33" s="30">
        <f>AVERAGE(V9,V11,V12,V14,V16,V20,V22,V23,V29,V31,V32)</f>
        <v>4.7272727272727275</v>
      </c>
      <c r="W33" s="30">
        <f>AVERAGE(W9,W11,W12,W13,W17,W18,W20,W22,W29,W31,W32)</f>
        <v>4.4545454545454541</v>
      </c>
      <c r="X33" s="30">
        <f>AVERAGE(X9,X11,X12,X16,X14,X20,X23,X29,X31,X32)</f>
        <v>5.0999999999999996</v>
      </c>
      <c r="Y33" s="30">
        <f>AVERAGE(Y9,Y11,Y12,Y14,Y16,Y20,Y22,Y23,Y29,Y32,Y31)</f>
        <v>4.3636363636363633</v>
      </c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141"/>
      <c r="AT33" s="141"/>
      <c r="AU33" s="141"/>
      <c r="AV33" s="141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R41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1" max="6" width="11.42578125" style="141"/>
    <col min="7" max="47" width="4.7109375" style="141" customWidth="1"/>
    <col min="48" max="16384" width="11.42578125" style="141"/>
  </cols>
  <sheetData>
    <row r="1" spans="1:44" x14ac:dyDescent="0.25">
      <c r="A1" s="141" t="s">
        <v>400</v>
      </c>
    </row>
    <row r="4" spans="1:44" x14ac:dyDescent="0.25">
      <c r="A4" s="141" t="s">
        <v>2</v>
      </c>
    </row>
    <row r="5" spans="1:44" ht="15.75" thickBot="1" x14ac:dyDescent="0.3"/>
    <row r="6" spans="1:44" ht="15.75" thickBot="1" x14ac:dyDescent="0.3">
      <c r="C6" s="375" t="s">
        <v>101</v>
      </c>
      <c r="D6" s="376"/>
      <c r="E6" s="377"/>
    </row>
    <row r="7" spans="1:44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640</v>
      </c>
      <c r="H7" s="173" t="s">
        <v>553</v>
      </c>
      <c r="I7" s="173" t="s">
        <v>587</v>
      </c>
      <c r="J7" s="173" t="s">
        <v>594</v>
      </c>
      <c r="K7" s="173" t="s">
        <v>648</v>
      </c>
      <c r="L7" s="173" t="s">
        <v>676</v>
      </c>
      <c r="M7" s="173" t="s">
        <v>699</v>
      </c>
      <c r="N7" s="173" t="s">
        <v>727</v>
      </c>
      <c r="O7" s="173" t="s">
        <v>744</v>
      </c>
      <c r="P7" s="173" t="s">
        <v>769</v>
      </c>
      <c r="Q7" s="173" t="s">
        <v>789</v>
      </c>
      <c r="R7" s="173" t="s">
        <v>811</v>
      </c>
      <c r="S7" s="173" t="s">
        <v>833</v>
      </c>
      <c r="T7" s="173" t="s">
        <v>860</v>
      </c>
      <c r="U7" s="173" t="s">
        <v>877</v>
      </c>
      <c r="V7" s="173" t="s">
        <v>912</v>
      </c>
      <c r="W7" s="173" t="s">
        <v>935</v>
      </c>
      <c r="X7" s="173" t="s">
        <v>952</v>
      </c>
      <c r="Y7" s="173" t="s">
        <v>979</v>
      </c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</row>
    <row r="8" spans="1:44" x14ac:dyDescent="0.25">
      <c r="A8" s="83" t="s">
        <v>8</v>
      </c>
      <c r="B8" s="87" t="s">
        <v>401</v>
      </c>
      <c r="C8" s="149">
        <v>9</v>
      </c>
      <c r="D8" s="150"/>
      <c r="E8" s="148"/>
      <c r="F8" s="129">
        <f>AVERAGE(H8,I8,J8,K8,L8,M8,N8,O8,P8)</f>
        <v>5.333333333333333</v>
      </c>
      <c r="G8" s="198"/>
      <c r="H8" s="128">
        <v>5</v>
      </c>
      <c r="I8" s="302">
        <v>3</v>
      </c>
      <c r="J8" s="283">
        <v>7</v>
      </c>
      <c r="K8" s="108">
        <v>5</v>
      </c>
      <c r="L8" s="108">
        <v>6</v>
      </c>
      <c r="M8" s="38">
        <v>6</v>
      </c>
      <c r="N8" s="108">
        <v>5</v>
      </c>
      <c r="O8" s="128">
        <v>6</v>
      </c>
      <c r="P8" s="70">
        <v>5</v>
      </c>
      <c r="Q8" s="128"/>
      <c r="R8" s="128"/>
      <c r="S8" s="128"/>
      <c r="T8" s="108"/>
      <c r="U8" s="128"/>
      <c r="V8" s="128"/>
      <c r="W8" s="108"/>
      <c r="X8" s="128"/>
      <c r="Y8" s="128"/>
      <c r="Z8" s="128"/>
      <c r="AA8" s="108"/>
      <c r="AB8" s="128"/>
      <c r="AC8" s="128"/>
      <c r="AD8" s="128"/>
      <c r="AE8" s="38"/>
      <c r="AF8" s="128"/>
      <c r="AG8" s="128"/>
      <c r="AH8" s="38"/>
      <c r="AI8" s="128"/>
      <c r="AJ8" s="62"/>
      <c r="AK8" s="38"/>
      <c r="AL8" s="38"/>
      <c r="AM8" s="108"/>
      <c r="AN8" s="38"/>
      <c r="AO8" s="38"/>
      <c r="AP8" s="38"/>
      <c r="AQ8" s="38"/>
      <c r="AR8" s="38"/>
    </row>
    <row r="9" spans="1:44" x14ac:dyDescent="0.25">
      <c r="A9" s="83" t="s">
        <v>8</v>
      </c>
      <c r="B9" s="160" t="s">
        <v>402</v>
      </c>
      <c r="C9" s="166"/>
      <c r="D9" s="168"/>
      <c r="E9" s="164"/>
      <c r="F9" s="114"/>
      <c r="G9" s="198"/>
      <c r="H9" s="128"/>
      <c r="I9" s="108"/>
      <c r="J9" s="128"/>
      <c r="K9" s="108"/>
      <c r="L9" s="108"/>
      <c r="M9" s="38"/>
      <c r="N9" s="108"/>
      <c r="O9" s="128"/>
      <c r="P9" s="70"/>
      <c r="Q9" s="128"/>
      <c r="R9" s="128"/>
      <c r="S9" s="128"/>
      <c r="T9" s="108"/>
      <c r="U9" s="128"/>
      <c r="V9" s="128"/>
      <c r="W9" s="108"/>
      <c r="X9" s="128"/>
      <c r="Y9" s="128"/>
      <c r="Z9" s="128"/>
      <c r="AA9" s="108"/>
      <c r="AB9" s="128"/>
      <c r="AC9" s="128"/>
      <c r="AD9" s="128"/>
      <c r="AE9" s="38"/>
      <c r="AF9" s="128"/>
      <c r="AG9" s="128"/>
      <c r="AH9" s="38"/>
      <c r="AI9" s="128"/>
      <c r="AJ9" s="62"/>
      <c r="AK9" s="38"/>
      <c r="AL9" s="38"/>
      <c r="AM9" s="108"/>
      <c r="AN9" s="38"/>
      <c r="AO9" s="38"/>
      <c r="AP9" s="38"/>
      <c r="AQ9" s="38"/>
      <c r="AR9" s="38"/>
    </row>
    <row r="10" spans="1:44" x14ac:dyDescent="0.25">
      <c r="A10" s="191" t="s">
        <v>8</v>
      </c>
      <c r="B10" s="77" t="s">
        <v>404</v>
      </c>
      <c r="C10" s="166">
        <v>10</v>
      </c>
      <c r="D10" s="168"/>
      <c r="E10" s="164"/>
      <c r="F10" s="129">
        <f>AVERAGE(Y10,G10,Q10,R10,S10,T10,U10,V10,W10,X10)</f>
        <v>5.8</v>
      </c>
      <c r="G10" s="198">
        <v>5</v>
      </c>
      <c r="H10" s="128"/>
      <c r="I10" s="108"/>
      <c r="J10" s="128"/>
      <c r="K10" s="108"/>
      <c r="L10" s="108"/>
      <c r="M10" s="38"/>
      <c r="N10" s="108"/>
      <c r="O10" s="128"/>
      <c r="P10" s="70"/>
      <c r="Q10" s="128">
        <v>5</v>
      </c>
      <c r="R10" s="128">
        <v>6</v>
      </c>
      <c r="S10" s="128">
        <v>6</v>
      </c>
      <c r="T10" s="290">
        <v>7</v>
      </c>
      <c r="U10" s="128">
        <v>6</v>
      </c>
      <c r="V10" s="128">
        <v>6</v>
      </c>
      <c r="W10" s="108">
        <v>5</v>
      </c>
      <c r="X10" s="128">
        <v>5</v>
      </c>
      <c r="Y10" s="283">
        <v>7</v>
      </c>
      <c r="Z10" s="128"/>
      <c r="AA10" s="108"/>
      <c r="AB10" s="128"/>
      <c r="AC10" s="128"/>
      <c r="AD10" s="128"/>
      <c r="AE10" s="38"/>
      <c r="AF10" s="128"/>
      <c r="AG10" s="128"/>
      <c r="AH10" s="38"/>
      <c r="AI10" s="128"/>
      <c r="AJ10" s="62"/>
      <c r="AK10" s="38"/>
      <c r="AL10" s="38"/>
      <c r="AM10" s="108"/>
      <c r="AN10" s="38"/>
      <c r="AO10" s="38"/>
      <c r="AP10" s="38"/>
      <c r="AQ10" s="38"/>
      <c r="AR10" s="38"/>
    </row>
    <row r="11" spans="1:44" x14ac:dyDescent="0.25">
      <c r="A11" s="13" t="s">
        <v>8</v>
      </c>
      <c r="B11" s="216" t="s">
        <v>403</v>
      </c>
      <c r="C11" s="170"/>
      <c r="D11" s="171"/>
      <c r="E11" s="172"/>
      <c r="F11" s="34"/>
      <c r="G11" s="198"/>
      <c r="H11" s="128"/>
      <c r="I11" s="57"/>
      <c r="J11" s="128"/>
      <c r="K11" s="108"/>
      <c r="L11" s="108"/>
      <c r="M11" s="38"/>
      <c r="N11" s="57"/>
      <c r="O11" s="128"/>
      <c r="P11" s="70"/>
      <c r="Q11" s="128"/>
      <c r="R11" s="128"/>
      <c r="S11" s="128"/>
      <c r="T11" s="108"/>
      <c r="U11" s="128"/>
      <c r="V11" s="128"/>
      <c r="W11" s="108"/>
      <c r="X11" s="128"/>
      <c r="Y11" s="128"/>
      <c r="Z11" s="128"/>
      <c r="AA11" s="108"/>
      <c r="AB11" s="128"/>
      <c r="AC11" s="69"/>
      <c r="AD11" s="69"/>
      <c r="AE11" s="38"/>
      <c r="AF11" s="128"/>
      <c r="AG11" s="128"/>
      <c r="AH11" s="38"/>
      <c r="AI11" s="128"/>
      <c r="AJ11" s="67"/>
      <c r="AK11" s="38"/>
      <c r="AL11" s="38"/>
      <c r="AM11" s="108"/>
      <c r="AN11" s="38"/>
      <c r="AO11" s="38"/>
      <c r="AP11" s="66"/>
      <c r="AQ11" s="38"/>
      <c r="AR11" s="38"/>
    </row>
    <row r="12" spans="1:44" x14ac:dyDescent="0.25">
      <c r="A12" s="83" t="s">
        <v>11</v>
      </c>
      <c r="B12" s="40" t="s">
        <v>405</v>
      </c>
      <c r="C12" s="166">
        <v>15</v>
      </c>
      <c r="D12" s="168"/>
      <c r="E12" s="164"/>
      <c r="F12" s="52">
        <f>AVERAGE(Y12,X12,H12,I12,J12,K12,G12,L12,M12,N12,T12,U12,V12,W12)</f>
        <v>5</v>
      </c>
      <c r="G12" s="213">
        <v>6</v>
      </c>
      <c r="H12" s="128">
        <v>4</v>
      </c>
      <c r="I12" s="302">
        <v>3</v>
      </c>
      <c r="J12" s="128">
        <v>5</v>
      </c>
      <c r="K12" s="108">
        <v>5</v>
      </c>
      <c r="L12" s="108">
        <v>4</v>
      </c>
      <c r="M12" s="38">
        <v>6</v>
      </c>
      <c r="N12" s="108">
        <v>5</v>
      </c>
      <c r="O12" s="128" t="s">
        <v>546</v>
      </c>
      <c r="P12" s="70"/>
      <c r="Q12" s="108"/>
      <c r="R12" s="128"/>
      <c r="S12" s="128"/>
      <c r="T12" s="108">
        <v>5</v>
      </c>
      <c r="U12" s="108">
        <v>6</v>
      </c>
      <c r="V12" s="128">
        <v>5</v>
      </c>
      <c r="W12" s="108">
        <v>5</v>
      </c>
      <c r="X12" s="108">
        <v>5</v>
      </c>
      <c r="Y12" s="128">
        <v>6</v>
      </c>
      <c r="Z12" s="128"/>
      <c r="AA12" s="108"/>
      <c r="AB12" s="108"/>
      <c r="AC12" s="108"/>
      <c r="AD12" s="108"/>
      <c r="AE12" s="62"/>
      <c r="AF12" s="108"/>
      <c r="AG12" s="128"/>
      <c r="AH12" s="62"/>
      <c r="AI12" s="128"/>
      <c r="AJ12" s="62"/>
      <c r="AK12" s="38"/>
      <c r="AL12" s="38"/>
      <c r="AM12" s="108"/>
      <c r="AN12" s="38"/>
      <c r="AO12" s="38"/>
      <c r="AP12" s="38"/>
      <c r="AQ12" s="38"/>
      <c r="AR12" s="38"/>
    </row>
    <row r="13" spans="1:44" x14ac:dyDescent="0.25">
      <c r="A13" s="83" t="s">
        <v>11</v>
      </c>
      <c r="B13" s="40" t="s">
        <v>406</v>
      </c>
      <c r="C13" s="166"/>
      <c r="D13" s="168"/>
      <c r="E13" s="164"/>
      <c r="F13" s="129"/>
      <c r="G13" s="213"/>
      <c r="H13" s="128"/>
      <c r="I13" s="108"/>
      <c r="J13" s="128"/>
      <c r="K13" s="108"/>
      <c r="L13" s="108"/>
      <c r="M13" s="38"/>
      <c r="N13" s="108"/>
      <c r="O13" s="128"/>
      <c r="P13" s="70"/>
      <c r="Q13" s="128"/>
      <c r="R13" s="128"/>
      <c r="S13" s="108"/>
      <c r="T13" s="108"/>
      <c r="U13" s="128"/>
      <c r="V13" s="128"/>
      <c r="W13" s="108"/>
      <c r="X13" s="128"/>
      <c r="Y13" s="128"/>
      <c r="Z13" s="128"/>
      <c r="AA13" s="108"/>
      <c r="AB13" s="128"/>
      <c r="AC13" s="128"/>
      <c r="AD13" s="128"/>
      <c r="AE13" s="38"/>
      <c r="AF13" s="128"/>
      <c r="AG13" s="128"/>
      <c r="AH13" s="38"/>
      <c r="AI13" s="128"/>
      <c r="AJ13" s="62"/>
      <c r="AK13" s="38"/>
      <c r="AL13" s="38"/>
      <c r="AM13" s="108"/>
      <c r="AN13" s="38"/>
      <c r="AO13" s="38"/>
      <c r="AP13" s="38"/>
      <c r="AQ13" s="38"/>
      <c r="AR13" s="38"/>
    </row>
    <row r="14" spans="1:44" x14ac:dyDescent="0.25">
      <c r="A14" s="83" t="s">
        <v>11</v>
      </c>
      <c r="B14" s="40" t="s">
        <v>407</v>
      </c>
      <c r="C14" s="166"/>
      <c r="D14" s="168"/>
      <c r="E14" s="164"/>
      <c r="F14" s="129"/>
      <c r="G14" s="213"/>
      <c r="H14" s="128"/>
      <c r="I14" s="108"/>
      <c r="J14" s="128"/>
      <c r="K14" s="108"/>
      <c r="L14" s="57"/>
      <c r="M14" s="38"/>
      <c r="N14" s="108"/>
      <c r="O14" s="128"/>
      <c r="P14" s="70"/>
      <c r="Q14" s="128"/>
      <c r="R14" s="69"/>
      <c r="S14" s="128"/>
      <c r="T14" s="108"/>
      <c r="U14" s="128"/>
      <c r="V14" s="128"/>
      <c r="W14" s="108"/>
      <c r="X14" s="128"/>
      <c r="Y14" s="128"/>
      <c r="Z14" s="128"/>
      <c r="AA14" s="108"/>
      <c r="AB14" s="128"/>
      <c r="AC14" s="128"/>
      <c r="AD14" s="128"/>
      <c r="AE14" s="38"/>
      <c r="AF14" s="128"/>
      <c r="AG14" s="128"/>
      <c r="AH14" s="38"/>
      <c r="AI14" s="128"/>
      <c r="AJ14" s="62"/>
      <c r="AK14" s="38"/>
      <c r="AL14" s="38"/>
      <c r="AM14" s="108"/>
      <c r="AN14" s="38"/>
      <c r="AO14" s="38"/>
      <c r="AP14" s="38"/>
      <c r="AQ14" s="38"/>
      <c r="AR14" s="62"/>
    </row>
    <row r="15" spans="1:44" x14ac:dyDescent="0.25">
      <c r="A15" s="83" t="s">
        <v>11</v>
      </c>
      <c r="B15" s="77" t="s">
        <v>172</v>
      </c>
      <c r="C15" s="166"/>
      <c r="D15" s="168"/>
      <c r="E15" s="164"/>
      <c r="F15" s="129"/>
      <c r="G15" s="213"/>
      <c r="H15" s="128"/>
      <c r="I15" s="108"/>
      <c r="J15" s="128"/>
      <c r="K15" s="108"/>
      <c r="L15" s="108"/>
      <c r="M15" s="38"/>
      <c r="N15" s="108"/>
      <c r="O15" s="69"/>
      <c r="P15" s="70"/>
      <c r="Q15" s="128"/>
      <c r="R15" s="128"/>
      <c r="S15" s="128"/>
      <c r="T15" s="108"/>
      <c r="U15" s="128"/>
      <c r="V15" s="128"/>
      <c r="W15" s="108"/>
      <c r="X15" s="128"/>
      <c r="Y15" s="128"/>
      <c r="Z15" s="128"/>
      <c r="AA15" s="108"/>
      <c r="AB15" s="128"/>
      <c r="AC15" s="128"/>
      <c r="AD15" s="128"/>
      <c r="AE15" s="38"/>
      <c r="AF15" s="128"/>
      <c r="AG15" s="128"/>
      <c r="AH15" s="38"/>
      <c r="AI15" s="128"/>
      <c r="AJ15" s="62"/>
      <c r="AK15" s="38"/>
      <c r="AL15" s="38"/>
      <c r="AM15" s="108"/>
      <c r="AN15" s="38"/>
      <c r="AO15" s="38"/>
      <c r="AP15" s="38"/>
      <c r="AQ15" s="38"/>
      <c r="AR15" s="38"/>
    </row>
    <row r="16" spans="1:44" x14ac:dyDescent="0.25">
      <c r="A16" s="83" t="s">
        <v>11</v>
      </c>
      <c r="B16" s="77" t="s">
        <v>369</v>
      </c>
      <c r="C16" s="166">
        <v>3</v>
      </c>
      <c r="D16" s="168"/>
      <c r="E16" s="164"/>
      <c r="F16" s="129">
        <f>AVERAGE(H16,I16,G16)</f>
        <v>4.666666666666667</v>
      </c>
      <c r="G16" s="213">
        <v>5</v>
      </c>
      <c r="H16" s="61">
        <v>5</v>
      </c>
      <c r="I16" s="61">
        <v>4</v>
      </c>
      <c r="J16" s="128"/>
      <c r="K16" s="108"/>
      <c r="L16" s="108"/>
      <c r="M16" s="38"/>
      <c r="N16" s="108"/>
      <c r="O16" s="128"/>
      <c r="P16" s="70"/>
      <c r="Q16" s="128"/>
      <c r="R16" s="128"/>
      <c r="S16" s="128"/>
      <c r="T16" s="108"/>
      <c r="U16" s="128"/>
      <c r="V16" s="128"/>
      <c r="W16" s="108"/>
      <c r="X16" s="128"/>
      <c r="Y16" s="128"/>
      <c r="Z16" s="128"/>
      <c r="AA16" s="108"/>
      <c r="AB16" s="69"/>
      <c r="AC16" s="128"/>
      <c r="AD16" s="128"/>
      <c r="AE16" s="38"/>
      <c r="AF16" s="128"/>
      <c r="AG16" s="128"/>
      <c r="AH16" s="38"/>
      <c r="AI16" s="128"/>
      <c r="AJ16" s="62"/>
      <c r="AK16" s="38"/>
      <c r="AL16" s="38"/>
      <c r="AM16" s="108"/>
      <c r="AN16" s="38"/>
      <c r="AO16" s="38"/>
      <c r="AP16" s="38"/>
      <c r="AQ16" s="38"/>
      <c r="AR16" s="38"/>
    </row>
    <row r="17" spans="1:44" x14ac:dyDescent="0.25">
      <c r="A17" s="361" t="s">
        <v>11</v>
      </c>
      <c r="B17" s="362" t="s">
        <v>408</v>
      </c>
      <c r="C17" s="363">
        <v>11</v>
      </c>
      <c r="D17" s="364"/>
      <c r="E17" s="365"/>
      <c r="F17" s="310">
        <f>AVERAGE(H17,I17,J17,G17,P17,Q17,T17,U17,V17,X17)</f>
        <v>5.2</v>
      </c>
      <c r="G17" s="366">
        <v>5</v>
      </c>
      <c r="H17" s="367">
        <v>4</v>
      </c>
      <c r="I17" s="368">
        <v>3</v>
      </c>
      <c r="J17" s="367">
        <v>6</v>
      </c>
      <c r="K17" s="368"/>
      <c r="L17" s="368"/>
      <c r="M17" s="364"/>
      <c r="N17" s="368"/>
      <c r="O17" s="367"/>
      <c r="P17" s="367">
        <v>5</v>
      </c>
      <c r="Q17" s="367">
        <v>5</v>
      </c>
      <c r="R17" s="367" t="s">
        <v>546</v>
      </c>
      <c r="S17" s="367"/>
      <c r="T17" s="368">
        <v>6</v>
      </c>
      <c r="U17" s="367">
        <v>5</v>
      </c>
      <c r="V17" s="367">
        <v>6</v>
      </c>
      <c r="W17" s="368"/>
      <c r="X17" s="367">
        <v>7</v>
      </c>
      <c r="Y17" s="367"/>
      <c r="Z17" s="369"/>
      <c r="AA17" s="370"/>
      <c r="AB17" s="369"/>
      <c r="AC17" s="369"/>
      <c r="AD17" s="369"/>
      <c r="AE17" s="371"/>
      <c r="AF17" s="369"/>
      <c r="AG17" s="369"/>
      <c r="AH17" s="372"/>
      <c r="AI17" s="369"/>
      <c r="AJ17" s="372"/>
      <c r="AK17" s="371"/>
      <c r="AL17" s="372"/>
      <c r="AM17" s="373"/>
      <c r="AN17" s="371"/>
      <c r="AO17" s="371"/>
      <c r="AP17" s="371"/>
      <c r="AQ17" s="371"/>
      <c r="AR17" s="371"/>
    </row>
    <row r="18" spans="1:44" x14ac:dyDescent="0.25">
      <c r="A18" s="83" t="s">
        <v>11</v>
      </c>
      <c r="B18" s="40" t="s">
        <v>515</v>
      </c>
      <c r="C18" s="166">
        <v>12</v>
      </c>
      <c r="D18" s="168"/>
      <c r="E18" s="164"/>
      <c r="F18" s="129">
        <f>AVERAGE(J18,L18,M18,N18,P18,Q18,R18,U18,W18,Y18)</f>
        <v>4.5999999999999996</v>
      </c>
      <c r="G18" s="213"/>
      <c r="H18" s="128" t="s">
        <v>554</v>
      </c>
      <c r="I18" s="108"/>
      <c r="J18" s="128">
        <v>6</v>
      </c>
      <c r="K18" s="108" t="s">
        <v>555</v>
      </c>
      <c r="L18" s="108">
        <v>5</v>
      </c>
      <c r="M18" s="38">
        <v>5</v>
      </c>
      <c r="N18" s="108">
        <v>5</v>
      </c>
      <c r="O18" s="128"/>
      <c r="P18" s="347">
        <v>3</v>
      </c>
      <c r="Q18" s="303">
        <v>3</v>
      </c>
      <c r="R18" s="128">
        <v>4</v>
      </c>
      <c r="S18" s="128"/>
      <c r="T18" s="108"/>
      <c r="U18" s="128">
        <v>4</v>
      </c>
      <c r="V18" s="69"/>
      <c r="W18" s="108">
        <v>5</v>
      </c>
      <c r="X18" s="128"/>
      <c r="Y18" s="128">
        <v>6</v>
      </c>
      <c r="Z18" s="128"/>
      <c r="AA18" s="57"/>
      <c r="AB18" s="128"/>
      <c r="AC18" s="128"/>
      <c r="AD18" s="128"/>
      <c r="AE18" s="38"/>
      <c r="AF18" s="128"/>
      <c r="AG18" s="128"/>
      <c r="AH18" s="62"/>
      <c r="AI18" s="128"/>
      <c r="AJ18" s="62"/>
      <c r="AK18" s="38"/>
      <c r="AL18" s="62"/>
      <c r="AM18" s="108"/>
      <c r="AN18" s="38"/>
      <c r="AO18" s="38"/>
      <c r="AP18" s="38"/>
      <c r="AQ18" s="38"/>
      <c r="AR18" s="38"/>
    </row>
    <row r="19" spans="1:44" x14ac:dyDescent="0.25">
      <c r="A19" s="83" t="s">
        <v>11</v>
      </c>
      <c r="B19" s="40" t="s">
        <v>271</v>
      </c>
      <c r="C19" s="166">
        <v>8</v>
      </c>
      <c r="D19" s="168">
        <v>1</v>
      </c>
      <c r="E19" s="164"/>
      <c r="F19" s="129">
        <f>AVERAGE(K19,L19,N19,O19,P19,Q19,S19,T19,W19)</f>
        <v>4.4444444444444446</v>
      </c>
      <c r="G19" s="213"/>
      <c r="H19" s="128"/>
      <c r="I19" s="108"/>
      <c r="J19" s="128"/>
      <c r="K19" s="302">
        <v>3</v>
      </c>
      <c r="L19" s="108">
        <v>5</v>
      </c>
      <c r="M19" s="38"/>
      <c r="N19" s="108">
        <v>5</v>
      </c>
      <c r="O19" s="128">
        <v>5</v>
      </c>
      <c r="P19" s="70">
        <v>4</v>
      </c>
      <c r="Q19" s="128">
        <v>4</v>
      </c>
      <c r="R19" s="128"/>
      <c r="S19" s="128">
        <v>4</v>
      </c>
      <c r="T19" s="108">
        <v>5</v>
      </c>
      <c r="U19" s="128"/>
      <c r="V19" s="69"/>
      <c r="W19" s="108">
        <v>5</v>
      </c>
      <c r="X19" s="128"/>
      <c r="Y19" s="128"/>
      <c r="Z19" s="128"/>
      <c r="AA19" s="57"/>
      <c r="AB19" s="128"/>
      <c r="AC19" s="128"/>
      <c r="AD19" s="128"/>
      <c r="AE19" s="38"/>
      <c r="AF19" s="128"/>
      <c r="AG19" s="128"/>
      <c r="AH19" s="62"/>
      <c r="AI19" s="128"/>
      <c r="AJ19" s="62"/>
      <c r="AK19" s="38"/>
      <c r="AL19" s="62"/>
      <c r="AM19" s="108"/>
      <c r="AN19" s="38"/>
      <c r="AO19" s="38"/>
      <c r="AP19" s="38"/>
      <c r="AQ19" s="38"/>
      <c r="AR19" s="38"/>
    </row>
    <row r="20" spans="1:44" x14ac:dyDescent="0.25">
      <c r="A20" s="83" t="s">
        <v>11</v>
      </c>
      <c r="B20" s="77" t="s">
        <v>677</v>
      </c>
      <c r="C20" s="166">
        <v>7</v>
      </c>
      <c r="D20" s="168">
        <v>2</v>
      </c>
      <c r="E20" s="164"/>
      <c r="F20" s="129">
        <f>AVERAGE(L20,M20,O20,R20,S20,W20,X20,Y20)</f>
        <v>4.875</v>
      </c>
      <c r="G20" s="213"/>
      <c r="H20" s="128"/>
      <c r="I20" s="108"/>
      <c r="J20" s="128"/>
      <c r="K20" s="108"/>
      <c r="L20" s="108">
        <v>4</v>
      </c>
      <c r="M20" s="38">
        <v>5</v>
      </c>
      <c r="N20" s="108"/>
      <c r="O20" s="128">
        <v>4</v>
      </c>
      <c r="P20" s="70"/>
      <c r="Q20" s="204" t="s">
        <v>153</v>
      </c>
      <c r="R20" s="128">
        <v>5</v>
      </c>
      <c r="S20" s="128">
        <v>5</v>
      </c>
      <c r="T20" s="108"/>
      <c r="U20" s="128"/>
      <c r="V20" s="69"/>
      <c r="W20" s="108">
        <v>5</v>
      </c>
      <c r="X20" s="128">
        <v>4</v>
      </c>
      <c r="Y20" s="282">
        <v>7</v>
      </c>
      <c r="Z20" s="128"/>
      <c r="AA20" s="57"/>
      <c r="AB20" s="128"/>
      <c r="AC20" s="128"/>
      <c r="AD20" s="128"/>
      <c r="AE20" s="38"/>
      <c r="AF20" s="128"/>
      <c r="AG20" s="128"/>
      <c r="AH20" s="62"/>
      <c r="AI20" s="128"/>
      <c r="AJ20" s="62"/>
      <c r="AK20" s="38"/>
      <c r="AL20" s="62"/>
      <c r="AM20" s="108"/>
      <c r="AN20" s="38"/>
      <c r="AO20" s="38"/>
      <c r="AP20" s="38"/>
      <c r="AQ20" s="38"/>
      <c r="AR20" s="38"/>
    </row>
    <row r="21" spans="1:44" x14ac:dyDescent="0.25">
      <c r="A21" s="83" t="s">
        <v>11</v>
      </c>
      <c r="B21" s="40" t="s">
        <v>370</v>
      </c>
      <c r="C21" s="166">
        <v>7</v>
      </c>
      <c r="D21" s="168">
        <v>2</v>
      </c>
      <c r="E21" s="164"/>
      <c r="F21" s="129">
        <f>AVERAGE(Q21,R21,S21,T21,V21,X21)</f>
        <v>4.833333333333333</v>
      </c>
      <c r="G21" s="213"/>
      <c r="H21" s="128"/>
      <c r="I21" s="108"/>
      <c r="J21" s="128"/>
      <c r="K21" s="108"/>
      <c r="L21" s="108"/>
      <c r="M21" s="38"/>
      <c r="N21" s="108"/>
      <c r="O21" s="128"/>
      <c r="P21" s="70"/>
      <c r="Q21" s="128">
        <v>5</v>
      </c>
      <c r="R21" s="128">
        <v>5</v>
      </c>
      <c r="S21" s="128">
        <v>4</v>
      </c>
      <c r="T21" s="108">
        <v>5</v>
      </c>
      <c r="U21" s="108" t="s">
        <v>153</v>
      </c>
      <c r="V21" s="70">
        <v>5</v>
      </c>
      <c r="W21" s="108" t="s">
        <v>153</v>
      </c>
      <c r="X21" s="128">
        <v>5</v>
      </c>
      <c r="Y21" s="128" t="s">
        <v>554</v>
      </c>
      <c r="Z21" s="128"/>
      <c r="AA21" s="57"/>
      <c r="AB21" s="128"/>
      <c r="AC21" s="128"/>
      <c r="AD21" s="128"/>
      <c r="AE21" s="38"/>
      <c r="AF21" s="128"/>
      <c r="AG21" s="128"/>
      <c r="AH21" s="62"/>
      <c r="AI21" s="128"/>
      <c r="AJ21" s="62"/>
      <c r="AK21" s="38"/>
      <c r="AL21" s="62"/>
      <c r="AM21" s="108"/>
      <c r="AN21" s="38"/>
      <c r="AO21" s="38"/>
      <c r="AP21" s="38"/>
      <c r="AQ21" s="38"/>
      <c r="AR21" s="38"/>
    </row>
    <row r="22" spans="1:44" x14ac:dyDescent="0.25">
      <c r="A22" s="83" t="s">
        <v>11</v>
      </c>
      <c r="B22" s="40" t="s">
        <v>878</v>
      </c>
      <c r="C22" s="166">
        <v>3</v>
      </c>
      <c r="D22" s="168"/>
      <c r="E22" s="164"/>
      <c r="F22" s="129">
        <f>AVERAGE(U22,V22)</f>
        <v>5</v>
      </c>
      <c r="G22" s="213"/>
      <c r="H22" s="128"/>
      <c r="I22" s="108"/>
      <c r="J22" s="128"/>
      <c r="K22" s="108"/>
      <c r="L22" s="108"/>
      <c r="M22" s="38"/>
      <c r="N22" s="108"/>
      <c r="O22" s="128"/>
      <c r="P22" s="70"/>
      <c r="Q22" s="128"/>
      <c r="R22" s="128"/>
      <c r="S22" s="128"/>
      <c r="T22" s="108"/>
      <c r="U22" s="128">
        <v>5</v>
      </c>
      <c r="V22" s="70">
        <v>5</v>
      </c>
      <c r="W22" s="108" t="s">
        <v>546</v>
      </c>
      <c r="X22" s="128"/>
      <c r="Y22" s="128"/>
      <c r="Z22" s="128"/>
      <c r="AA22" s="57"/>
      <c r="AB22" s="128"/>
      <c r="AC22" s="128"/>
      <c r="AD22" s="128"/>
      <c r="AE22" s="38"/>
      <c r="AF22" s="128"/>
      <c r="AG22" s="128"/>
      <c r="AH22" s="62"/>
      <c r="AI22" s="128"/>
      <c r="AJ22" s="62"/>
      <c r="AK22" s="38"/>
      <c r="AL22" s="62"/>
      <c r="AM22" s="108"/>
      <c r="AN22" s="38"/>
      <c r="AO22" s="38"/>
      <c r="AP22" s="38"/>
      <c r="AQ22" s="38"/>
      <c r="AR22" s="38"/>
    </row>
    <row r="23" spans="1:44" x14ac:dyDescent="0.25">
      <c r="A23" s="13" t="s">
        <v>11</v>
      </c>
      <c r="B23" s="217" t="s">
        <v>409</v>
      </c>
      <c r="C23" s="170"/>
      <c r="D23" s="171"/>
      <c r="E23" s="153"/>
      <c r="F23" s="129"/>
      <c r="G23" s="213"/>
      <c r="H23" s="128"/>
      <c r="I23" s="108"/>
      <c r="J23" s="128"/>
      <c r="K23" s="108"/>
      <c r="L23" s="108"/>
      <c r="M23" s="38"/>
      <c r="N23" s="108"/>
      <c r="O23" s="128"/>
      <c r="P23" s="70"/>
      <c r="Q23" s="128"/>
      <c r="R23" s="128"/>
      <c r="S23" s="128"/>
      <c r="T23" s="108"/>
      <c r="U23" s="128"/>
      <c r="V23" s="128"/>
      <c r="W23" s="108"/>
      <c r="X23" s="128"/>
      <c r="Y23" s="128"/>
      <c r="Z23" s="128"/>
      <c r="AA23" s="108"/>
      <c r="AB23" s="128"/>
      <c r="AC23" s="128"/>
      <c r="AD23" s="128"/>
      <c r="AE23" s="38"/>
      <c r="AF23" s="128"/>
      <c r="AG23" s="128"/>
      <c r="AH23" s="38"/>
      <c r="AI23" s="128"/>
      <c r="AJ23" s="62"/>
      <c r="AK23" s="38"/>
      <c r="AL23" s="38"/>
      <c r="AM23" s="108"/>
      <c r="AN23" s="38"/>
      <c r="AO23" s="38"/>
      <c r="AP23" s="38"/>
      <c r="AQ23" s="38"/>
      <c r="AR23" s="38"/>
    </row>
    <row r="24" spans="1:44" x14ac:dyDescent="0.25">
      <c r="A24" s="83" t="s">
        <v>29</v>
      </c>
      <c r="B24" s="40" t="s">
        <v>410</v>
      </c>
      <c r="C24" s="166">
        <v>12</v>
      </c>
      <c r="D24" s="168">
        <v>4</v>
      </c>
      <c r="E24" s="164"/>
      <c r="F24" s="52">
        <f>AVERAGE(H24,I24,J24,K24,G24,L24,M24,N24,O24,P24,R24,S24,V24)</f>
        <v>4.9230769230769234</v>
      </c>
      <c r="G24" s="56">
        <v>6</v>
      </c>
      <c r="H24" s="282">
        <v>7</v>
      </c>
      <c r="I24" s="204">
        <v>5</v>
      </c>
      <c r="J24" s="128">
        <v>4</v>
      </c>
      <c r="K24" s="108">
        <v>5</v>
      </c>
      <c r="L24" s="108">
        <v>4</v>
      </c>
      <c r="M24" s="38">
        <v>5</v>
      </c>
      <c r="N24" s="108">
        <v>5</v>
      </c>
      <c r="O24" s="108">
        <v>5</v>
      </c>
      <c r="P24" s="70">
        <v>4</v>
      </c>
      <c r="Q24" s="204" t="s">
        <v>153</v>
      </c>
      <c r="R24" s="128">
        <v>5</v>
      </c>
      <c r="S24" s="128">
        <v>5</v>
      </c>
      <c r="T24" s="108" t="s">
        <v>153</v>
      </c>
      <c r="U24" s="128"/>
      <c r="V24" s="128">
        <v>4</v>
      </c>
      <c r="W24" s="108"/>
      <c r="X24" s="108"/>
      <c r="Y24" s="204" t="s">
        <v>153</v>
      </c>
      <c r="Z24" s="128"/>
      <c r="AA24" s="108"/>
      <c r="AB24" s="128"/>
      <c r="AC24" s="128"/>
      <c r="AD24" s="128"/>
      <c r="AE24" s="66"/>
      <c r="AF24" s="69"/>
      <c r="AG24" s="128"/>
      <c r="AH24" s="38"/>
      <c r="AI24" s="69"/>
      <c r="AJ24" s="62"/>
      <c r="AK24" s="38"/>
      <c r="AL24" s="38"/>
      <c r="AM24" s="108"/>
      <c r="AN24" s="38"/>
      <c r="AO24" s="38"/>
      <c r="AP24" s="62"/>
      <c r="AQ24" s="62"/>
      <c r="AR24" s="66"/>
    </row>
    <row r="25" spans="1:44" x14ac:dyDescent="0.25">
      <c r="A25" s="83" t="s">
        <v>29</v>
      </c>
      <c r="B25" s="40" t="s">
        <v>411</v>
      </c>
      <c r="C25" s="166">
        <v>13</v>
      </c>
      <c r="D25" s="168">
        <v>2</v>
      </c>
      <c r="E25" s="176" t="s">
        <v>796</v>
      </c>
      <c r="F25" s="129">
        <f>AVERAGE(H25,I25,G25,L25,M25,N25,O25,Q25,R25,T25,U25,V25,X25)</f>
        <v>4.7692307692307692</v>
      </c>
      <c r="G25" s="213">
        <v>5</v>
      </c>
      <c r="H25" s="128">
        <v>4</v>
      </c>
      <c r="I25" s="108">
        <v>4</v>
      </c>
      <c r="J25" s="128"/>
      <c r="K25" s="108"/>
      <c r="L25" s="108">
        <v>5</v>
      </c>
      <c r="M25" s="38">
        <v>4</v>
      </c>
      <c r="N25" s="108">
        <v>4</v>
      </c>
      <c r="O25" s="128">
        <v>5</v>
      </c>
      <c r="P25" s="70"/>
      <c r="Q25" s="128">
        <v>5</v>
      </c>
      <c r="R25" s="128">
        <v>5</v>
      </c>
      <c r="S25" s="128"/>
      <c r="T25" s="108">
        <v>5</v>
      </c>
      <c r="U25" s="283">
        <v>7</v>
      </c>
      <c r="V25" s="128">
        <v>5</v>
      </c>
      <c r="W25" s="108"/>
      <c r="X25" s="108">
        <v>4</v>
      </c>
      <c r="Y25" s="204" t="s">
        <v>153</v>
      </c>
      <c r="Z25" s="128"/>
      <c r="AA25" s="108"/>
      <c r="AB25" s="128"/>
      <c r="AC25" s="128"/>
      <c r="AD25" s="128"/>
      <c r="AE25" s="38"/>
      <c r="AF25" s="128"/>
      <c r="AG25" s="128"/>
      <c r="AH25" s="38"/>
      <c r="AI25" s="128"/>
      <c r="AJ25" s="62"/>
      <c r="AK25" s="38"/>
      <c r="AL25" s="38"/>
      <c r="AM25" s="108"/>
      <c r="AN25" s="38"/>
      <c r="AO25" s="38"/>
      <c r="AP25" s="38"/>
      <c r="AQ25" s="38"/>
      <c r="AR25" s="38"/>
    </row>
    <row r="26" spans="1:44" x14ac:dyDescent="0.25">
      <c r="A26" s="83" t="s">
        <v>29</v>
      </c>
      <c r="B26" s="77" t="s">
        <v>412</v>
      </c>
      <c r="C26" s="166">
        <v>10</v>
      </c>
      <c r="D26" s="168">
        <v>5</v>
      </c>
      <c r="E26" s="164"/>
      <c r="F26" s="129">
        <f>AVERAGE(H26,J26,K26,G26,L26,M26,O26,P26,S26,T26)</f>
        <v>4.4000000000000004</v>
      </c>
      <c r="G26" s="213">
        <v>5</v>
      </c>
      <c r="H26" s="128">
        <v>4</v>
      </c>
      <c r="I26" s="108" t="s">
        <v>555</v>
      </c>
      <c r="J26" s="128">
        <v>5</v>
      </c>
      <c r="K26" s="108">
        <v>5</v>
      </c>
      <c r="L26" s="108">
        <v>4</v>
      </c>
      <c r="M26" s="38">
        <v>4</v>
      </c>
      <c r="N26" s="108" t="s">
        <v>153</v>
      </c>
      <c r="O26" s="128">
        <v>4</v>
      </c>
      <c r="P26" s="70">
        <v>4</v>
      </c>
      <c r="Q26" s="128"/>
      <c r="R26" s="108" t="s">
        <v>153</v>
      </c>
      <c r="S26" s="128">
        <v>5</v>
      </c>
      <c r="T26" s="108">
        <v>4</v>
      </c>
      <c r="U26" s="108" t="s">
        <v>153</v>
      </c>
      <c r="V26" s="128"/>
      <c r="W26" s="108"/>
      <c r="X26" s="108" t="s">
        <v>153</v>
      </c>
      <c r="Y26" s="204" t="s">
        <v>153</v>
      </c>
      <c r="Z26" s="128"/>
      <c r="AA26" s="108"/>
      <c r="AB26" s="69"/>
      <c r="AC26" s="69"/>
      <c r="AD26" s="69"/>
      <c r="AE26" s="38"/>
      <c r="AF26" s="69"/>
      <c r="AG26" s="128"/>
      <c r="AH26" s="38"/>
      <c r="AI26" s="128"/>
      <c r="AJ26" s="62"/>
      <c r="AK26" s="38"/>
      <c r="AL26" s="38"/>
      <c r="AM26" s="108"/>
      <c r="AN26" s="38"/>
      <c r="AO26" s="38"/>
      <c r="AP26" s="62"/>
      <c r="AQ26" s="62"/>
      <c r="AR26" s="38"/>
    </row>
    <row r="27" spans="1:44" x14ac:dyDescent="0.25">
      <c r="A27" s="83" t="s">
        <v>29</v>
      </c>
      <c r="B27" s="40" t="s">
        <v>413</v>
      </c>
      <c r="C27" s="166">
        <v>11</v>
      </c>
      <c r="D27" s="168">
        <v>2</v>
      </c>
      <c r="E27" s="164"/>
      <c r="F27" s="129">
        <f>AVERAGE(H27,I27,J27,M27,N27,Q27,R27,T27,U27,V27,Y27)</f>
        <v>4.6363636363636367</v>
      </c>
      <c r="G27" s="198"/>
      <c r="H27" s="61">
        <v>5</v>
      </c>
      <c r="I27" s="304">
        <v>3</v>
      </c>
      <c r="J27" s="128">
        <v>4</v>
      </c>
      <c r="K27" s="108"/>
      <c r="L27" s="108" t="s">
        <v>153</v>
      </c>
      <c r="M27" s="38">
        <v>5</v>
      </c>
      <c r="N27" s="108">
        <v>5</v>
      </c>
      <c r="O27" s="128"/>
      <c r="P27" s="70"/>
      <c r="Q27" s="128">
        <v>5</v>
      </c>
      <c r="R27" s="128">
        <v>5</v>
      </c>
      <c r="S27" s="108" t="s">
        <v>153</v>
      </c>
      <c r="T27" s="108">
        <v>4</v>
      </c>
      <c r="U27" s="128">
        <v>5</v>
      </c>
      <c r="V27" s="108">
        <v>5</v>
      </c>
      <c r="W27" s="108"/>
      <c r="X27" s="128"/>
      <c r="Y27" s="128">
        <v>5</v>
      </c>
      <c r="Z27" s="128"/>
      <c r="AA27" s="108"/>
      <c r="AB27" s="128"/>
      <c r="AC27" s="128"/>
      <c r="AD27" s="128"/>
      <c r="AE27" s="38"/>
      <c r="AF27" s="128"/>
      <c r="AG27" s="128"/>
      <c r="AH27" s="38"/>
      <c r="AI27" s="128"/>
      <c r="AJ27" s="62"/>
      <c r="AK27" s="38"/>
      <c r="AL27" s="38"/>
      <c r="AM27" s="108"/>
      <c r="AN27" s="38"/>
      <c r="AO27" s="38"/>
      <c r="AP27" s="38"/>
      <c r="AQ27" s="38"/>
      <c r="AR27" s="38"/>
    </row>
    <row r="28" spans="1:44" x14ac:dyDescent="0.25">
      <c r="A28" s="83" t="s">
        <v>29</v>
      </c>
      <c r="B28" s="40" t="s">
        <v>418</v>
      </c>
      <c r="C28" s="166">
        <v>4</v>
      </c>
      <c r="D28" s="168">
        <v>2</v>
      </c>
      <c r="E28" s="164">
        <v>1</v>
      </c>
      <c r="F28" s="129">
        <f>AVERAGE(I28,J28,K28,M28,O28,P28)</f>
        <v>4.666666666666667</v>
      </c>
      <c r="G28" s="198"/>
      <c r="H28" s="204"/>
      <c r="I28" s="204">
        <v>4</v>
      </c>
      <c r="J28" s="128">
        <v>5</v>
      </c>
      <c r="K28" s="57">
        <v>6</v>
      </c>
      <c r="L28" s="108"/>
      <c r="M28" s="38">
        <v>5</v>
      </c>
      <c r="N28" s="108"/>
      <c r="O28" s="128">
        <v>4</v>
      </c>
      <c r="P28" s="70">
        <v>4</v>
      </c>
      <c r="Q28" s="128"/>
      <c r="R28" s="128"/>
      <c r="S28" s="128"/>
      <c r="T28" s="108"/>
      <c r="U28" s="128"/>
      <c r="V28" s="108"/>
      <c r="W28" s="108"/>
      <c r="X28" s="128"/>
      <c r="Y28" s="128"/>
      <c r="Z28" s="128"/>
      <c r="AA28" s="108"/>
      <c r="AB28" s="128"/>
      <c r="AC28" s="128"/>
      <c r="AD28" s="128"/>
      <c r="AE28" s="38"/>
      <c r="AF28" s="128"/>
      <c r="AG28" s="128"/>
      <c r="AH28" s="38"/>
      <c r="AI28" s="128"/>
      <c r="AJ28" s="62"/>
      <c r="AK28" s="38"/>
      <c r="AL28" s="38"/>
      <c r="AM28" s="108"/>
      <c r="AN28" s="38"/>
      <c r="AO28" s="38"/>
      <c r="AP28" s="38"/>
      <c r="AQ28" s="38"/>
      <c r="AR28" s="38"/>
    </row>
    <row r="29" spans="1:44" x14ac:dyDescent="0.25">
      <c r="A29" s="83" t="s">
        <v>29</v>
      </c>
      <c r="B29" s="40" t="s">
        <v>414</v>
      </c>
      <c r="C29" s="166">
        <v>13</v>
      </c>
      <c r="D29" s="168">
        <v>4</v>
      </c>
      <c r="E29" s="164">
        <v>1</v>
      </c>
      <c r="F29" s="129">
        <f>AVERAGE(J29,K29,G29,N29,O29,P29,Q29,R29,S29,T29,U29,W29)</f>
        <v>4.833333333333333</v>
      </c>
      <c r="G29" s="56">
        <v>5</v>
      </c>
      <c r="H29" s="128"/>
      <c r="I29" s="108" t="s">
        <v>153</v>
      </c>
      <c r="J29" s="108">
        <v>5</v>
      </c>
      <c r="K29" s="108">
        <v>4</v>
      </c>
      <c r="L29" s="108" t="s">
        <v>153</v>
      </c>
      <c r="M29" s="62" t="s">
        <v>153</v>
      </c>
      <c r="N29" s="108">
        <v>5</v>
      </c>
      <c r="O29" s="108">
        <v>5</v>
      </c>
      <c r="P29" s="108">
        <v>5</v>
      </c>
      <c r="Q29" s="128">
        <v>4</v>
      </c>
      <c r="R29" s="128">
        <v>4</v>
      </c>
      <c r="S29" s="283">
        <v>7</v>
      </c>
      <c r="T29" s="108">
        <v>5</v>
      </c>
      <c r="U29" s="108">
        <v>4</v>
      </c>
      <c r="V29" s="108" t="s">
        <v>153</v>
      </c>
      <c r="W29" s="108">
        <v>5</v>
      </c>
      <c r="X29" s="128" t="s">
        <v>546</v>
      </c>
      <c r="Y29" s="128"/>
      <c r="Z29" s="128"/>
      <c r="AA29" s="108"/>
      <c r="AB29" s="128"/>
      <c r="AC29" s="108"/>
      <c r="AD29" s="128"/>
      <c r="AE29" s="38"/>
      <c r="AF29" s="108"/>
      <c r="AG29" s="128"/>
      <c r="AH29" s="62"/>
      <c r="AI29" s="128"/>
      <c r="AJ29" s="62"/>
      <c r="AK29" s="67"/>
      <c r="AL29" s="62"/>
      <c r="AM29" s="108"/>
      <c r="AN29" s="38"/>
      <c r="AO29" s="62"/>
      <c r="AP29" s="62"/>
      <c r="AQ29" s="38"/>
      <c r="AR29" s="62"/>
    </row>
    <row r="30" spans="1:44" x14ac:dyDescent="0.25">
      <c r="A30" s="83" t="s">
        <v>29</v>
      </c>
      <c r="B30" s="40" t="s">
        <v>415</v>
      </c>
      <c r="C30" s="166">
        <v>2</v>
      </c>
      <c r="D30" s="168">
        <v>2</v>
      </c>
      <c r="E30" s="164">
        <v>1</v>
      </c>
      <c r="F30" s="129">
        <f>AVERAGE(W30,Y30)</f>
        <v>5.5</v>
      </c>
      <c r="G30" s="213"/>
      <c r="H30" s="57" t="s">
        <v>153</v>
      </c>
      <c r="I30" s="108"/>
      <c r="J30" s="128"/>
      <c r="K30" s="108"/>
      <c r="L30" s="108"/>
      <c r="M30" s="38"/>
      <c r="N30" s="108" t="s">
        <v>153</v>
      </c>
      <c r="O30" s="128"/>
      <c r="P30" s="70"/>
      <c r="Q30" s="128"/>
      <c r="R30" s="128"/>
      <c r="S30" s="128"/>
      <c r="T30" s="108"/>
      <c r="U30" s="128"/>
      <c r="V30" s="128"/>
      <c r="W30" s="108">
        <v>5</v>
      </c>
      <c r="X30" s="128"/>
      <c r="Y30" s="128">
        <v>6</v>
      </c>
      <c r="Z30" s="128"/>
      <c r="AA30" s="108"/>
      <c r="AB30" s="128"/>
      <c r="AC30" s="128"/>
      <c r="AD30" s="128"/>
      <c r="AE30" s="38"/>
      <c r="AF30" s="128"/>
      <c r="AG30" s="128"/>
      <c r="AH30" s="38"/>
      <c r="AI30" s="128"/>
      <c r="AJ30" s="62"/>
      <c r="AK30" s="38"/>
      <c r="AL30" s="38"/>
      <c r="AM30" s="108"/>
      <c r="AN30" s="38"/>
      <c r="AO30" s="38"/>
      <c r="AP30" s="38"/>
      <c r="AQ30" s="38"/>
      <c r="AR30" s="38"/>
    </row>
    <row r="31" spans="1:44" x14ac:dyDescent="0.25">
      <c r="A31" s="83" t="s">
        <v>29</v>
      </c>
      <c r="B31" s="40" t="s">
        <v>416</v>
      </c>
      <c r="C31" s="166">
        <v>1</v>
      </c>
      <c r="D31" s="168">
        <v>4</v>
      </c>
      <c r="E31" s="164"/>
      <c r="F31" s="129">
        <f>AVERAGE(K31)</f>
        <v>4</v>
      </c>
      <c r="G31" s="213" t="s">
        <v>153</v>
      </c>
      <c r="H31" s="57"/>
      <c r="I31" s="108"/>
      <c r="J31" s="128"/>
      <c r="K31" s="108">
        <v>4</v>
      </c>
      <c r="L31" s="108"/>
      <c r="M31" s="62" t="s">
        <v>153</v>
      </c>
      <c r="N31" s="108"/>
      <c r="O31" s="128"/>
      <c r="P31" s="204" t="s">
        <v>153</v>
      </c>
      <c r="Q31" s="128"/>
      <c r="R31" s="128"/>
      <c r="S31" s="128"/>
      <c r="T31" s="108"/>
      <c r="U31" s="128"/>
      <c r="V31" s="128"/>
      <c r="W31" s="108"/>
      <c r="X31" s="108" t="s">
        <v>153</v>
      </c>
      <c r="Y31" s="128"/>
      <c r="Z31" s="128"/>
      <c r="AA31" s="108"/>
      <c r="AB31" s="128"/>
      <c r="AC31" s="128"/>
      <c r="AD31" s="128"/>
      <c r="AE31" s="38"/>
      <c r="AF31" s="128"/>
      <c r="AG31" s="128"/>
      <c r="AH31" s="38"/>
      <c r="AI31" s="128"/>
      <c r="AJ31" s="62"/>
      <c r="AK31" s="38"/>
      <c r="AL31" s="38"/>
      <c r="AM31" s="108"/>
      <c r="AN31" s="38"/>
      <c r="AO31" s="38"/>
      <c r="AP31" s="38"/>
      <c r="AQ31" s="38"/>
      <c r="AR31" s="38"/>
    </row>
    <row r="32" spans="1:44" x14ac:dyDescent="0.25">
      <c r="A32" s="83" t="s">
        <v>29</v>
      </c>
      <c r="B32" s="40" t="s">
        <v>498</v>
      </c>
      <c r="C32" s="166">
        <v>19</v>
      </c>
      <c r="D32" s="168"/>
      <c r="E32" s="164">
        <v>2</v>
      </c>
      <c r="F32" s="129">
        <f>AVERAGE(Y32,X32,U32,T32,H32,I32,J32,K32,G32,L32,M32,N32,O32,P32,Q32,R32,S32,V32,W32)</f>
        <v>4.8947368421052628</v>
      </c>
      <c r="G32" s="213">
        <v>5</v>
      </c>
      <c r="H32" s="128">
        <v>5</v>
      </c>
      <c r="I32" s="108">
        <v>4</v>
      </c>
      <c r="J32" s="128">
        <v>5</v>
      </c>
      <c r="K32" s="108">
        <v>4</v>
      </c>
      <c r="L32" s="108">
        <v>5</v>
      </c>
      <c r="M32" s="38">
        <v>5</v>
      </c>
      <c r="N32" s="57">
        <v>6</v>
      </c>
      <c r="O32" s="128">
        <v>4</v>
      </c>
      <c r="P32" s="70">
        <v>4</v>
      </c>
      <c r="Q32" s="128">
        <v>5</v>
      </c>
      <c r="R32" s="128">
        <v>5</v>
      </c>
      <c r="S32" s="128">
        <v>5</v>
      </c>
      <c r="T32" s="108">
        <v>5</v>
      </c>
      <c r="U32" s="128">
        <v>5</v>
      </c>
      <c r="V32" s="128">
        <v>5</v>
      </c>
      <c r="W32" s="57">
        <v>6</v>
      </c>
      <c r="X32" s="128">
        <v>5</v>
      </c>
      <c r="Y32" s="128">
        <v>5</v>
      </c>
      <c r="Z32" s="128"/>
      <c r="AA32" s="108"/>
      <c r="AB32" s="128"/>
      <c r="AC32" s="128"/>
      <c r="AD32" s="128"/>
      <c r="AE32" s="38"/>
      <c r="AF32" s="128"/>
      <c r="AG32" s="128"/>
      <c r="AH32" s="38"/>
      <c r="AI32" s="128"/>
      <c r="AJ32" s="62"/>
      <c r="AK32" s="38"/>
      <c r="AL32" s="38"/>
      <c r="AM32" s="108"/>
      <c r="AN32" s="38"/>
      <c r="AO32" s="38"/>
      <c r="AP32" s="38"/>
      <c r="AQ32" s="38"/>
      <c r="AR32" s="38"/>
    </row>
    <row r="33" spans="1:44" x14ac:dyDescent="0.25">
      <c r="A33" s="83" t="s">
        <v>29</v>
      </c>
      <c r="B33" s="40" t="s">
        <v>499</v>
      </c>
      <c r="C33" s="166">
        <v>13</v>
      </c>
      <c r="D33" s="168">
        <v>5</v>
      </c>
      <c r="E33" s="164">
        <v>1</v>
      </c>
      <c r="F33" s="129">
        <f>AVERAGE(Y33,X33,I33,K33,G33,N33,O33,P33,Q33,R33,S33,U33,V33)</f>
        <v>4.615384615384615</v>
      </c>
      <c r="G33" s="213">
        <v>5</v>
      </c>
      <c r="H33" s="57" t="s">
        <v>153</v>
      </c>
      <c r="I33" s="108">
        <v>4</v>
      </c>
      <c r="J33" s="108" t="s">
        <v>153</v>
      </c>
      <c r="K33" s="108">
        <v>5</v>
      </c>
      <c r="L33" s="108" t="s">
        <v>153</v>
      </c>
      <c r="M33" s="38"/>
      <c r="N33" s="108">
        <v>5</v>
      </c>
      <c r="O33" s="128">
        <v>4</v>
      </c>
      <c r="P33" s="70">
        <v>4</v>
      </c>
      <c r="Q33" s="128">
        <v>5</v>
      </c>
      <c r="R33" s="128">
        <v>5</v>
      </c>
      <c r="S33" s="128">
        <v>5</v>
      </c>
      <c r="T33" s="108" t="s">
        <v>153</v>
      </c>
      <c r="U33" s="128">
        <v>5</v>
      </c>
      <c r="V33" s="128">
        <v>4</v>
      </c>
      <c r="W33" s="108" t="s">
        <v>153</v>
      </c>
      <c r="X33" s="128">
        <v>5</v>
      </c>
      <c r="Y33" s="128">
        <v>4</v>
      </c>
      <c r="Z33" s="128"/>
      <c r="AA33" s="108"/>
      <c r="AB33" s="128"/>
      <c r="AC33" s="128"/>
      <c r="AD33" s="128"/>
      <c r="AE33" s="38"/>
      <c r="AF33" s="128"/>
      <c r="AG33" s="128"/>
      <c r="AH33" s="38"/>
      <c r="AI33" s="128"/>
      <c r="AJ33" s="62"/>
      <c r="AK33" s="38"/>
      <c r="AL33" s="38"/>
      <c r="AM33" s="108"/>
      <c r="AN33" s="38"/>
      <c r="AO33" s="38"/>
      <c r="AP33" s="38"/>
      <c r="AQ33" s="38"/>
      <c r="AR33" s="38"/>
    </row>
    <row r="34" spans="1:44" x14ac:dyDescent="0.25">
      <c r="A34" s="13" t="s">
        <v>29</v>
      </c>
      <c r="B34" s="217" t="s">
        <v>417</v>
      </c>
      <c r="C34" s="170">
        <v>1</v>
      </c>
      <c r="D34" s="171">
        <v>1</v>
      </c>
      <c r="E34" s="172"/>
      <c r="F34" s="34">
        <f>AVERAGE(Y34)</f>
        <v>4</v>
      </c>
      <c r="G34" s="213"/>
      <c r="H34" s="128"/>
      <c r="I34" s="108"/>
      <c r="J34" s="128"/>
      <c r="K34" s="108"/>
      <c r="L34" s="108"/>
      <c r="M34" s="38"/>
      <c r="N34" s="108"/>
      <c r="O34" s="128"/>
      <c r="P34" s="70"/>
      <c r="Q34" s="128"/>
      <c r="R34" s="128"/>
      <c r="S34" s="108" t="s">
        <v>153</v>
      </c>
      <c r="T34" s="108"/>
      <c r="U34" s="128"/>
      <c r="V34" s="128"/>
      <c r="W34" s="108"/>
      <c r="X34" s="128"/>
      <c r="Y34" s="128">
        <v>4</v>
      </c>
      <c r="Z34" s="128"/>
      <c r="AA34" s="108"/>
      <c r="AB34" s="128"/>
      <c r="AC34" s="128"/>
      <c r="AD34" s="128"/>
      <c r="AE34" s="38"/>
      <c r="AF34" s="128"/>
      <c r="AG34" s="128"/>
      <c r="AH34" s="38"/>
      <c r="AI34" s="128"/>
      <c r="AJ34" s="62"/>
      <c r="AK34" s="38"/>
      <c r="AL34" s="38"/>
      <c r="AM34" s="108"/>
      <c r="AN34" s="38"/>
      <c r="AO34" s="38"/>
      <c r="AP34" s="38"/>
      <c r="AQ34" s="38"/>
      <c r="AR34" s="38"/>
    </row>
    <row r="35" spans="1:44" x14ac:dyDescent="0.25">
      <c r="A35" s="184" t="s">
        <v>30</v>
      </c>
      <c r="B35" s="218" t="s">
        <v>419</v>
      </c>
      <c r="C35" s="185"/>
      <c r="D35" s="64"/>
      <c r="E35" s="187"/>
      <c r="F35" s="129"/>
      <c r="G35" s="198"/>
      <c r="H35" s="128"/>
      <c r="I35" s="108"/>
      <c r="J35" s="128"/>
      <c r="K35" s="108"/>
      <c r="L35" s="204"/>
      <c r="M35" s="38"/>
      <c r="N35" s="108"/>
      <c r="O35" s="128"/>
      <c r="P35" s="70"/>
      <c r="Q35" s="69"/>
      <c r="R35" s="128"/>
      <c r="S35" s="69"/>
      <c r="T35" s="108"/>
      <c r="U35" s="69"/>
      <c r="V35" s="108"/>
      <c r="W35" s="57"/>
      <c r="X35" s="128"/>
      <c r="Y35" s="128"/>
      <c r="Z35" s="128"/>
      <c r="AA35" s="108"/>
      <c r="AB35" s="108"/>
      <c r="AC35" s="128"/>
      <c r="AD35" s="128"/>
      <c r="AE35" s="38"/>
      <c r="AF35" s="128"/>
      <c r="AG35" s="128"/>
      <c r="AH35" s="38"/>
      <c r="AI35" s="128"/>
      <c r="AJ35" s="62"/>
      <c r="AK35" s="38"/>
      <c r="AL35" s="38"/>
      <c r="AM35" s="108"/>
      <c r="AN35" s="38"/>
      <c r="AO35" s="38"/>
      <c r="AP35" s="38"/>
      <c r="AQ35" s="38"/>
      <c r="AR35" s="38"/>
    </row>
    <row r="36" spans="1:44" x14ac:dyDescent="0.25">
      <c r="A36" s="184" t="s">
        <v>30</v>
      </c>
      <c r="B36" s="218" t="s">
        <v>80</v>
      </c>
      <c r="C36" s="185"/>
      <c r="D36" s="64"/>
      <c r="E36" s="187"/>
      <c r="F36" s="129"/>
      <c r="G36" s="56"/>
      <c r="H36" s="108"/>
      <c r="I36" s="108"/>
      <c r="J36" s="128"/>
      <c r="K36" s="204" t="s">
        <v>153</v>
      </c>
      <c r="L36" s="204"/>
      <c r="M36" s="62"/>
      <c r="N36" s="108"/>
      <c r="O36" s="128"/>
      <c r="P36" s="70"/>
      <c r="Q36" s="128"/>
      <c r="R36" s="57"/>
      <c r="S36" s="128"/>
      <c r="T36" s="57"/>
      <c r="U36" s="128"/>
      <c r="V36" s="108"/>
      <c r="W36" s="108"/>
      <c r="X36" s="128"/>
      <c r="Y36" s="128"/>
      <c r="Z36" s="128"/>
      <c r="AA36" s="57"/>
      <c r="AB36" s="128"/>
      <c r="AC36" s="128"/>
      <c r="AD36" s="128"/>
      <c r="AE36" s="38"/>
      <c r="AF36" s="128"/>
      <c r="AG36" s="128"/>
      <c r="AH36" s="38"/>
      <c r="AI36" s="128"/>
      <c r="AJ36" s="62"/>
      <c r="AK36" s="38"/>
      <c r="AL36" s="38"/>
      <c r="AM36" s="108"/>
      <c r="AN36" s="38"/>
      <c r="AO36" s="38"/>
      <c r="AP36" s="38"/>
      <c r="AQ36" s="38"/>
      <c r="AR36" s="38"/>
    </row>
    <row r="37" spans="1:44" x14ac:dyDescent="0.25">
      <c r="A37" s="184" t="s">
        <v>30</v>
      </c>
      <c r="B37" s="218" t="s">
        <v>422</v>
      </c>
      <c r="C37" s="185">
        <v>1</v>
      </c>
      <c r="D37" s="64">
        <v>4</v>
      </c>
      <c r="E37" s="187"/>
      <c r="F37" s="129">
        <f>AVERAGE(L37)</f>
        <v>4</v>
      </c>
      <c r="G37" s="213" t="s">
        <v>153</v>
      </c>
      <c r="H37" s="180"/>
      <c r="I37" s="192"/>
      <c r="J37" s="192"/>
      <c r="K37" s="204" t="s">
        <v>153</v>
      </c>
      <c r="L37" s="204">
        <v>4</v>
      </c>
      <c r="M37" s="182"/>
      <c r="N37" s="192"/>
      <c r="O37" s="192"/>
      <c r="P37" s="204" t="s">
        <v>153</v>
      </c>
      <c r="Q37" s="180"/>
      <c r="R37" s="192"/>
      <c r="S37" s="204" t="s">
        <v>153</v>
      </c>
      <c r="T37" s="192"/>
      <c r="U37" s="180"/>
      <c r="V37" s="204" t="s">
        <v>153</v>
      </c>
      <c r="W37" s="192"/>
      <c r="X37" s="192"/>
      <c r="Y37" s="180"/>
      <c r="Z37" s="192"/>
      <c r="AA37" s="192"/>
      <c r="AB37" s="180"/>
      <c r="AC37" s="180"/>
      <c r="AD37" s="180"/>
      <c r="AE37" s="182"/>
      <c r="AF37" s="180"/>
      <c r="AG37" s="180"/>
      <c r="AH37" s="182"/>
      <c r="AI37" s="180"/>
      <c r="AJ37" s="181"/>
      <c r="AK37" s="182"/>
      <c r="AL37" s="182"/>
      <c r="AM37" s="192"/>
      <c r="AN37" s="182"/>
      <c r="AO37" s="182"/>
      <c r="AP37" s="182"/>
      <c r="AQ37" s="182"/>
      <c r="AR37" s="182"/>
    </row>
    <row r="38" spans="1:44" x14ac:dyDescent="0.25">
      <c r="A38" s="83" t="s">
        <v>30</v>
      </c>
      <c r="B38" s="50" t="s">
        <v>420</v>
      </c>
      <c r="C38" s="166">
        <v>4</v>
      </c>
      <c r="D38" s="168">
        <v>8</v>
      </c>
      <c r="E38" s="164">
        <v>1</v>
      </c>
      <c r="F38" s="129">
        <f>AVERAGE(S38,W38,X38,Y38)</f>
        <v>6.25</v>
      </c>
      <c r="G38" s="213" t="s">
        <v>153</v>
      </c>
      <c r="H38" s="108" t="s">
        <v>153</v>
      </c>
      <c r="I38" s="108"/>
      <c r="J38" s="108" t="s">
        <v>153</v>
      </c>
      <c r="K38" s="108"/>
      <c r="L38" s="204"/>
      <c r="M38" s="38"/>
      <c r="N38" s="108"/>
      <c r="O38" s="108" t="s">
        <v>153</v>
      </c>
      <c r="P38" s="204" t="s">
        <v>153</v>
      </c>
      <c r="Q38" s="69"/>
      <c r="R38" s="128"/>
      <c r="S38" s="108">
        <v>5</v>
      </c>
      <c r="T38" s="108" t="s">
        <v>153</v>
      </c>
      <c r="U38" s="108" t="s">
        <v>153</v>
      </c>
      <c r="V38" s="108" t="s">
        <v>153</v>
      </c>
      <c r="W38" s="298">
        <v>7</v>
      </c>
      <c r="X38" s="283">
        <v>7</v>
      </c>
      <c r="Y38" s="108">
        <v>6</v>
      </c>
      <c r="Z38" s="128"/>
      <c r="AA38" s="108"/>
      <c r="AB38" s="69"/>
      <c r="AC38" s="128"/>
      <c r="AD38" s="128"/>
      <c r="AE38" s="38"/>
      <c r="AF38" s="128"/>
      <c r="AG38" s="128"/>
      <c r="AH38" s="38"/>
      <c r="AI38" s="128"/>
      <c r="AJ38" s="62"/>
      <c r="AK38" s="38"/>
      <c r="AL38" s="38"/>
      <c r="AM38" s="108"/>
      <c r="AN38" s="38"/>
      <c r="AO38" s="38"/>
      <c r="AP38" s="38"/>
      <c r="AQ38" s="38"/>
      <c r="AR38" s="38"/>
    </row>
    <row r="39" spans="1:44" x14ac:dyDescent="0.25">
      <c r="A39" s="83" t="s">
        <v>30</v>
      </c>
      <c r="B39" s="218" t="s">
        <v>534</v>
      </c>
      <c r="C39" s="166">
        <v>5</v>
      </c>
      <c r="D39" s="168">
        <v>4</v>
      </c>
      <c r="E39" s="164"/>
      <c r="F39" s="129">
        <f>AVERAGE(J39,N39,S39,W39,X39)</f>
        <v>4</v>
      </c>
      <c r="G39" s="213"/>
      <c r="H39" s="128"/>
      <c r="I39" s="108" t="s">
        <v>153</v>
      </c>
      <c r="J39" s="128">
        <v>4</v>
      </c>
      <c r="K39" s="108"/>
      <c r="L39" s="204"/>
      <c r="M39" s="62" t="s">
        <v>153</v>
      </c>
      <c r="N39" s="108">
        <v>4</v>
      </c>
      <c r="O39" s="108" t="s">
        <v>153</v>
      </c>
      <c r="P39" s="70"/>
      <c r="Q39" s="204" t="s">
        <v>153</v>
      </c>
      <c r="R39" s="108" t="s">
        <v>153</v>
      </c>
      <c r="S39" s="108">
        <v>4</v>
      </c>
      <c r="T39" s="108"/>
      <c r="U39" s="128"/>
      <c r="V39" s="128"/>
      <c r="W39" s="204">
        <v>4</v>
      </c>
      <c r="X39" s="128">
        <v>4</v>
      </c>
      <c r="Y39" s="108"/>
      <c r="Z39" s="128"/>
      <c r="AA39" s="108"/>
      <c r="AB39" s="69"/>
      <c r="AC39" s="128"/>
      <c r="AD39" s="128"/>
      <c r="AE39" s="38"/>
      <c r="AF39" s="128"/>
      <c r="AG39" s="128"/>
      <c r="AH39" s="38"/>
      <c r="AI39" s="128"/>
      <c r="AJ39" s="62"/>
      <c r="AK39" s="38"/>
      <c r="AL39" s="38"/>
      <c r="AM39" s="108"/>
      <c r="AN39" s="38"/>
      <c r="AO39" s="38"/>
      <c r="AP39" s="38"/>
      <c r="AQ39" s="38"/>
      <c r="AR39" s="38"/>
    </row>
    <row r="40" spans="1:44" ht="15.75" thickBot="1" x14ac:dyDescent="0.3">
      <c r="A40" s="3" t="s">
        <v>30</v>
      </c>
      <c r="B40" s="227" t="s">
        <v>421</v>
      </c>
      <c r="C40" s="167">
        <v>16</v>
      </c>
      <c r="D40" s="169">
        <v>1</v>
      </c>
      <c r="E40" s="165">
        <v>2</v>
      </c>
      <c r="F40" s="33">
        <f>AVERAGE(X40,H40,I40,J40,K40,G40,L40,M40,O40,P40,Q40,T40,U40,V40,W40)</f>
        <v>4.7333333333333334</v>
      </c>
      <c r="G40" s="213">
        <v>5</v>
      </c>
      <c r="H40" s="69">
        <v>6</v>
      </c>
      <c r="I40" s="108">
        <v>4</v>
      </c>
      <c r="J40" s="128">
        <v>5</v>
      </c>
      <c r="K40" s="108">
        <v>4</v>
      </c>
      <c r="L40" s="204">
        <v>5</v>
      </c>
      <c r="M40" s="38">
        <v>5</v>
      </c>
      <c r="N40" s="108" t="s">
        <v>153</v>
      </c>
      <c r="O40" s="128">
        <v>5</v>
      </c>
      <c r="P40" s="70">
        <v>4</v>
      </c>
      <c r="Q40" s="70">
        <v>4</v>
      </c>
      <c r="R40" s="128" t="s">
        <v>554</v>
      </c>
      <c r="S40" s="108"/>
      <c r="T40" s="57">
        <v>6</v>
      </c>
      <c r="U40" s="128">
        <v>4</v>
      </c>
      <c r="V40" s="128">
        <v>5</v>
      </c>
      <c r="W40" s="204">
        <v>5</v>
      </c>
      <c r="X40" s="128">
        <v>4</v>
      </c>
      <c r="Y40" s="108"/>
      <c r="Z40" s="128"/>
      <c r="AA40" s="108"/>
      <c r="AB40" s="69"/>
      <c r="AC40" s="108"/>
      <c r="AD40" s="128"/>
      <c r="AE40" s="66"/>
      <c r="AF40" s="69"/>
      <c r="AG40" s="69"/>
      <c r="AH40" s="38"/>
      <c r="AI40" s="108"/>
      <c r="AJ40" s="62"/>
      <c r="AK40" s="67"/>
      <c r="AL40" s="38"/>
      <c r="AM40" s="108"/>
      <c r="AN40" s="38"/>
      <c r="AO40" s="62"/>
      <c r="AP40" s="38"/>
      <c r="AQ40" s="38"/>
      <c r="AR40" s="62"/>
    </row>
    <row r="41" spans="1:44" x14ac:dyDescent="0.25">
      <c r="G41" s="155">
        <f>AVERAGE(G10,G12,G16,G17,G24,G25,G26,G29,G32,G33,G40)</f>
        <v>5.1818181818181817</v>
      </c>
      <c r="H41" s="155">
        <f>AVERAGE(H8,H12,H16,H17,H25,H24,H26,H27,H32,H40)</f>
        <v>4.9000000000000004</v>
      </c>
      <c r="I41" s="142">
        <f>AVERAGE(I8,I12,I17,I16,I24,I25,I27,I28,I32,I33,I40)</f>
        <v>3.7272727272727271</v>
      </c>
      <c r="J41" s="155">
        <f>AVERAGE(J8,J12,J17,J18,J24,J27,J28,J29,J32,J39,J40)</f>
        <v>5.0909090909090908</v>
      </c>
      <c r="K41" s="142">
        <f>AVERAGE(K8,K12,K18,K19,K24,K26,K29,K31,K32,K33,K40)</f>
        <v>4.4000000000000004</v>
      </c>
      <c r="L41" s="142">
        <f>AVERAGE(L8,L12,L18,L19,L20,L24,L25,L26,L32,L37,L40)</f>
        <v>4.6363636363636367</v>
      </c>
      <c r="M41" s="155">
        <f>AVERAGE(M8,M12,M18,M20,M24,M25,M26,M27,M28,M32,M40)</f>
        <v>5</v>
      </c>
      <c r="N41" s="142">
        <f>AVERAGE(N8,N12,N18,N19,N24,N25,N27,N29,N32,N33,N39)</f>
        <v>4.9090909090909092</v>
      </c>
      <c r="O41" s="142">
        <f>AVERAGE(O8,O20,O19,O24,O25,O26,O28,O29,O32,O33,O40)</f>
        <v>4.6363636363636367</v>
      </c>
      <c r="P41" s="142">
        <f>AVERAGE(P8,P17,P18,P19,P24,P26,P28,P29,P32,P33,P40)</f>
        <v>4.1818181818181817</v>
      </c>
      <c r="Q41" s="142">
        <f>AVERAGE(Q10,Q17,Q18,Q19,Q21,Q25,Q27,Q29,Q32,Q33,Q40)</f>
        <v>4.5454545454545459</v>
      </c>
      <c r="R41" s="142">
        <f>AVERAGE(R10,R18,R20,R21,R24,R25,R27,R29,R32,R33)</f>
        <v>4.9000000000000004</v>
      </c>
      <c r="S41" s="142">
        <f>AVERAGE(S10,S19,S20,S21,S24,S26,S29,S32,S33,S38,S39)</f>
        <v>5</v>
      </c>
      <c r="T41" s="142">
        <f>AVERAGE(T10,T12,T17,T19,T21,T25,T26,T27,T29,T32,T40)</f>
        <v>5.1818181818181817</v>
      </c>
      <c r="U41" s="142">
        <f>AVERAGE(U10,U12,U17,U18,U22,U25,U27,U29,U32,U33,U40)</f>
        <v>5.0909090909090908</v>
      </c>
      <c r="V41" s="142">
        <f>AVERAGE(V10,V12,V17,V21,V22,V25,V24,V27,V32,V33,V40)</f>
        <v>5</v>
      </c>
      <c r="W41" s="142">
        <f>AVERAGE(W10,W12,W18,W20,W19,W29,W30,W32,W38,W39,W40)</f>
        <v>5.1818181818181817</v>
      </c>
      <c r="X41" s="142">
        <f>AVERAGE(X10,X12,X17,X20,X21,X25,X32,X33,X38,X39,X40)</f>
        <v>5</v>
      </c>
      <c r="Y41" s="142">
        <f>AVERAGE(Y10,Y12,Y18,Y20,Y27,Y30,Y32,Y33,Y34,Y38)</f>
        <v>5.6</v>
      </c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AR30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1" max="6" width="11.42578125" style="141"/>
    <col min="7" max="47" width="4.7109375" style="141" customWidth="1"/>
    <col min="48" max="16384" width="11.42578125" style="141"/>
  </cols>
  <sheetData>
    <row r="1" spans="1:44" x14ac:dyDescent="0.25">
      <c r="A1" s="141" t="s">
        <v>423</v>
      </c>
    </row>
    <row r="4" spans="1:44" x14ac:dyDescent="0.25">
      <c r="A4" s="141" t="s">
        <v>2</v>
      </c>
    </row>
    <row r="5" spans="1:44" ht="15.75" thickBot="1" x14ac:dyDescent="0.3"/>
    <row r="6" spans="1:44" ht="15.75" thickBot="1" x14ac:dyDescent="0.3">
      <c r="C6" s="375" t="s">
        <v>101</v>
      </c>
      <c r="D6" s="376"/>
      <c r="E6" s="377"/>
    </row>
    <row r="7" spans="1:44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641</v>
      </c>
      <c r="H7" s="173" t="s">
        <v>567</v>
      </c>
      <c r="I7" s="173" t="s">
        <v>574</v>
      </c>
      <c r="J7" s="173" t="s">
        <v>597</v>
      </c>
      <c r="K7" s="173" t="s">
        <v>661</v>
      </c>
      <c r="L7" s="173" t="s">
        <v>679</v>
      </c>
      <c r="M7" s="173" t="s">
        <v>703</v>
      </c>
      <c r="N7" s="173" t="s">
        <v>725</v>
      </c>
      <c r="O7" s="173" t="s">
        <v>747</v>
      </c>
      <c r="P7" s="173" t="s">
        <v>764</v>
      </c>
      <c r="Q7" s="173" t="s">
        <v>794</v>
      </c>
      <c r="R7" s="173" t="s">
        <v>813</v>
      </c>
      <c r="S7" s="173" t="s">
        <v>841</v>
      </c>
      <c r="T7" s="173" t="s">
        <v>867</v>
      </c>
      <c r="U7" s="173" t="s">
        <v>884</v>
      </c>
      <c r="V7" s="173" t="s">
        <v>915</v>
      </c>
      <c r="W7" s="173" t="s">
        <v>928</v>
      </c>
      <c r="X7" s="173" t="s">
        <v>970</v>
      </c>
      <c r="Y7" s="173" t="s">
        <v>990</v>
      </c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</row>
    <row r="8" spans="1:44" x14ac:dyDescent="0.25">
      <c r="A8" s="22" t="s">
        <v>8</v>
      </c>
      <c r="B8" s="338" t="s">
        <v>267</v>
      </c>
      <c r="C8" s="149">
        <v>15</v>
      </c>
      <c r="D8" s="150"/>
      <c r="E8" s="148"/>
      <c r="F8" s="35">
        <f>AVERAGE(H8,I8,J8,K8,L8,M8,N8,O8,P8,Q8,R8,S8,T8,X8,Y8)</f>
        <v>5.4</v>
      </c>
      <c r="G8" s="198"/>
      <c r="H8" s="128">
        <v>5</v>
      </c>
      <c r="I8" s="108">
        <v>5</v>
      </c>
      <c r="J8" s="128">
        <v>5</v>
      </c>
      <c r="K8" s="290">
        <v>7</v>
      </c>
      <c r="L8" s="108">
        <v>4</v>
      </c>
      <c r="M8" s="38">
        <v>6</v>
      </c>
      <c r="N8" s="290">
        <v>7</v>
      </c>
      <c r="O8" s="128">
        <v>5</v>
      </c>
      <c r="P8" s="70">
        <v>5</v>
      </c>
      <c r="Q8" s="128">
        <v>6</v>
      </c>
      <c r="R8" s="69">
        <v>6</v>
      </c>
      <c r="S8" s="128">
        <v>5</v>
      </c>
      <c r="T8" s="108">
        <v>5</v>
      </c>
      <c r="U8" s="128"/>
      <c r="V8" s="168"/>
      <c r="W8" s="108"/>
      <c r="X8" s="128">
        <v>5</v>
      </c>
      <c r="Y8" s="128">
        <v>5</v>
      </c>
      <c r="Z8" s="128"/>
      <c r="AA8" s="108"/>
      <c r="AB8" s="128"/>
      <c r="AC8" s="128"/>
      <c r="AD8" s="128"/>
      <c r="AE8" s="38"/>
      <c r="AF8" s="128"/>
      <c r="AG8" s="128"/>
      <c r="AH8" s="38"/>
      <c r="AI8" s="128"/>
      <c r="AJ8" s="62"/>
      <c r="AK8" s="38"/>
      <c r="AL8" s="38"/>
      <c r="AM8" s="108"/>
      <c r="AN8" s="38"/>
      <c r="AO8" s="38"/>
      <c r="AP8" s="38"/>
      <c r="AQ8" s="38"/>
      <c r="AR8" s="38"/>
    </row>
    <row r="9" spans="1:44" x14ac:dyDescent="0.25">
      <c r="A9" s="83" t="s">
        <v>8</v>
      </c>
      <c r="B9" s="87" t="s">
        <v>916</v>
      </c>
      <c r="C9" s="166">
        <v>1</v>
      </c>
      <c r="D9" s="168">
        <v>1</v>
      </c>
      <c r="E9" s="164"/>
      <c r="F9" s="129">
        <f>AVERAGE(V9,W9)</f>
        <v>5.5</v>
      </c>
      <c r="G9" s="198"/>
      <c r="H9" s="128"/>
      <c r="I9" s="108"/>
      <c r="J9" s="128"/>
      <c r="K9" s="67"/>
      <c r="L9" s="128"/>
      <c r="M9" s="108"/>
      <c r="N9" s="128"/>
      <c r="O9" s="128"/>
      <c r="P9" s="70"/>
      <c r="Q9" s="128"/>
      <c r="R9" s="69"/>
      <c r="S9" s="128"/>
      <c r="T9" s="108"/>
      <c r="U9" s="128"/>
      <c r="V9" s="283">
        <v>7</v>
      </c>
      <c r="W9" s="108">
        <v>4</v>
      </c>
      <c r="X9" s="128"/>
      <c r="Y9" s="128"/>
      <c r="Z9" s="128"/>
      <c r="AA9" s="108"/>
      <c r="AB9" s="128"/>
      <c r="AC9" s="128"/>
      <c r="AD9" s="128"/>
      <c r="AE9" s="38"/>
      <c r="AF9" s="128"/>
      <c r="AG9" s="128"/>
      <c r="AH9" s="38"/>
      <c r="AI9" s="128"/>
      <c r="AJ9" s="62"/>
      <c r="AK9" s="38"/>
      <c r="AL9" s="38"/>
      <c r="AM9" s="108"/>
      <c r="AN9" s="38"/>
      <c r="AO9" s="38"/>
      <c r="AP9" s="38"/>
      <c r="AQ9" s="38"/>
      <c r="AR9" s="38"/>
    </row>
    <row r="10" spans="1:44" x14ac:dyDescent="0.25">
      <c r="A10" s="13" t="s">
        <v>8</v>
      </c>
      <c r="B10" s="216" t="s">
        <v>424</v>
      </c>
      <c r="C10" s="170">
        <v>3</v>
      </c>
      <c r="D10" s="171"/>
      <c r="E10" s="172"/>
      <c r="F10" s="34">
        <f>AVERAGE(G10,U10)</f>
        <v>6</v>
      </c>
      <c r="G10" s="330">
        <v>7</v>
      </c>
      <c r="H10" s="128"/>
      <c r="I10" s="108"/>
      <c r="J10" s="128"/>
      <c r="K10" s="108"/>
      <c r="L10" s="108"/>
      <c r="M10" s="38"/>
      <c r="N10" s="108"/>
      <c r="O10" s="128"/>
      <c r="P10" s="70"/>
      <c r="Q10" s="128"/>
      <c r="R10" s="128"/>
      <c r="S10" s="128"/>
      <c r="T10" s="108"/>
      <c r="U10" s="128">
        <v>5</v>
      </c>
      <c r="V10" s="70" t="s">
        <v>546</v>
      </c>
      <c r="W10" s="108"/>
      <c r="X10" s="128"/>
      <c r="Y10" s="128"/>
      <c r="Z10" s="128"/>
      <c r="AA10" s="108"/>
      <c r="AB10" s="128"/>
      <c r="AC10" s="128"/>
      <c r="AD10" s="128"/>
      <c r="AE10" s="38"/>
      <c r="AF10" s="128"/>
      <c r="AG10" s="128"/>
      <c r="AH10" s="38"/>
      <c r="AI10" s="128"/>
      <c r="AJ10" s="62"/>
      <c r="AK10" s="38"/>
      <c r="AL10" s="38"/>
      <c r="AM10" s="108"/>
      <c r="AN10" s="38"/>
      <c r="AO10" s="38"/>
      <c r="AP10" s="38"/>
      <c r="AQ10" s="38"/>
      <c r="AR10" s="38"/>
    </row>
    <row r="11" spans="1:44" x14ac:dyDescent="0.25">
      <c r="A11" s="83" t="s">
        <v>11</v>
      </c>
      <c r="B11" s="77" t="s">
        <v>426</v>
      </c>
      <c r="C11" s="166">
        <v>10</v>
      </c>
      <c r="D11" s="168">
        <v>2</v>
      </c>
      <c r="E11" s="176" t="s">
        <v>796</v>
      </c>
      <c r="F11" s="129">
        <f>AVERAGE(H11,I11,J11,N11,O11,Q11,R11,U11,V11,W11)</f>
        <v>5.3</v>
      </c>
      <c r="G11" s="213"/>
      <c r="H11" s="128">
        <v>5</v>
      </c>
      <c r="I11" s="108">
        <v>5</v>
      </c>
      <c r="J11" s="128">
        <v>5</v>
      </c>
      <c r="K11" s="108"/>
      <c r="L11" s="57"/>
      <c r="M11" s="38"/>
      <c r="N11" s="108">
        <v>6</v>
      </c>
      <c r="O11" s="128">
        <v>5</v>
      </c>
      <c r="P11" s="70"/>
      <c r="Q11" s="69">
        <v>6</v>
      </c>
      <c r="R11" s="70">
        <v>5</v>
      </c>
      <c r="S11" s="128"/>
      <c r="T11" s="108" t="s">
        <v>153</v>
      </c>
      <c r="U11" s="128">
        <v>6</v>
      </c>
      <c r="V11" s="128">
        <v>5</v>
      </c>
      <c r="W11" s="108">
        <v>5</v>
      </c>
      <c r="X11" s="128"/>
      <c r="Y11" s="108" t="s">
        <v>153</v>
      </c>
      <c r="Z11" s="128"/>
      <c r="AA11" s="108"/>
      <c r="AB11" s="128"/>
      <c r="AC11" s="128"/>
      <c r="AD11" s="128"/>
      <c r="AE11" s="38"/>
      <c r="AF11" s="128"/>
      <c r="AG11" s="128"/>
      <c r="AH11" s="38"/>
      <c r="AI11" s="128"/>
      <c r="AJ11" s="62"/>
      <c r="AK11" s="38"/>
      <c r="AL11" s="38"/>
      <c r="AM11" s="108"/>
      <c r="AN11" s="38"/>
      <c r="AO11" s="38"/>
      <c r="AP11" s="38"/>
      <c r="AQ11" s="38"/>
      <c r="AR11" s="62"/>
    </row>
    <row r="12" spans="1:44" x14ac:dyDescent="0.25">
      <c r="A12" s="83" t="s">
        <v>11</v>
      </c>
      <c r="B12" s="40" t="s">
        <v>427</v>
      </c>
      <c r="C12" s="166">
        <v>13</v>
      </c>
      <c r="D12" s="168">
        <v>1</v>
      </c>
      <c r="E12" s="164"/>
      <c r="F12" s="129">
        <f>AVERAGE(X12,K12,L12,M12,O12,P12,Q12,R12,S12,T12,U12,W12,Y12)</f>
        <v>5.0769230769230766</v>
      </c>
      <c r="G12" s="213"/>
      <c r="H12" s="128"/>
      <c r="I12" s="108"/>
      <c r="J12" s="128"/>
      <c r="K12" s="108">
        <v>5</v>
      </c>
      <c r="L12" s="108">
        <v>4</v>
      </c>
      <c r="M12" s="38">
        <v>5</v>
      </c>
      <c r="N12" s="108" t="s">
        <v>153</v>
      </c>
      <c r="O12" s="70">
        <v>5</v>
      </c>
      <c r="P12" s="70">
        <v>5</v>
      </c>
      <c r="Q12" s="128">
        <v>5</v>
      </c>
      <c r="R12" s="128">
        <v>6</v>
      </c>
      <c r="S12" s="128">
        <v>5</v>
      </c>
      <c r="T12" s="108">
        <v>5</v>
      </c>
      <c r="U12" s="128">
        <v>6</v>
      </c>
      <c r="V12" s="128"/>
      <c r="W12" s="108">
        <v>5</v>
      </c>
      <c r="X12" s="128">
        <v>5</v>
      </c>
      <c r="Y12" s="128">
        <v>5</v>
      </c>
      <c r="Z12" s="128"/>
      <c r="AA12" s="108"/>
      <c r="AB12" s="128"/>
      <c r="AC12" s="128"/>
      <c r="AD12" s="128"/>
      <c r="AE12" s="38"/>
      <c r="AF12" s="128"/>
      <c r="AG12" s="128"/>
      <c r="AH12" s="38"/>
      <c r="AI12" s="128"/>
      <c r="AJ12" s="62"/>
      <c r="AK12" s="38"/>
      <c r="AL12" s="38"/>
      <c r="AM12" s="108"/>
      <c r="AN12" s="38"/>
      <c r="AO12" s="38"/>
      <c r="AP12" s="38"/>
      <c r="AQ12" s="38"/>
      <c r="AR12" s="38"/>
    </row>
    <row r="13" spans="1:44" x14ac:dyDescent="0.25">
      <c r="A13" s="83" t="s">
        <v>11</v>
      </c>
      <c r="B13" s="40" t="s">
        <v>428</v>
      </c>
      <c r="C13" s="166">
        <v>16</v>
      </c>
      <c r="D13" s="168"/>
      <c r="E13" s="164"/>
      <c r="F13" s="129">
        <f>AVERAGE(X13,W13,U13,H13,I13,J13,K13,G13,L13,M13,O13,Q13,R13,S13,T13,Y13)</f>
        <v>4.8125</v>
      </c>
      <c r="G13" s="213">
        <v>5</v>
      </c>
      <c r="H13" s="61">
        <v>5</v>
      </c>
      <c r="I13" s="61">
        <v>5</v>
      </c>
      <c r="J13" s="128">
        <v>4</v>
      </c>
      <c r="K13" s="108">
        <v>4</v>
      </c>
      <c r="L13" s="108">
        <v>5</v>
      </c>
      <c r="M13" s="38">
        <v>5</v>
      </c>
      <c r="N13" s="108"/>
      <c r="O13" s="128">
        <v>4</v>
      </c>
      <c r="P13" s="70"/>
      <c r="Q13" s="128">
        <v>4</v>
      </c>
      <c r="R13" s="128">
        <v>5</v>
      </c>
      <c r="S13" s="128">
        <v>5</v>
      </c>
      <c r="T13" s="108">
        <v>6</v>
      </c>
      <c r="U13" s="128">
        <v>5</v>
      </c>
      <c r="V13" s="128"/>
      <c r="W13" s="108">
        <v>6</v>
      </c>
      <c r="X13" s="128">
        <v>4</v>
      </c>
      <c r="Y13" s="128">
        <v>5</v>
      </c>
      <c r="Z13" s="128"/>
      <c r="AA13" s="108"/>
      <c r="AB13" s="69"/>
      <c r="AC13" s="128"/>
      <c r="AD13" s="128"/>
      <c r="AE13" s="38"/>
      <c r="AF13" s="128"/>
      <c r="AG13" s="128"/>
      <c r="AH13" s="38"/>
      <c r="AI13" s="128"/>
      <c r="AJ13" s="62"/>
      <c r="AK13" s="38"/>
      <c r="AL13" s="38"/>
      <c r="AM13" s="108"/>
      <c r="AN13" s="38"/>
      <c r="AO13" s="38"/>
      <c r="AP13" s="38"/>
      <c r="AQ13" s="38"/>
      <c r="AR13" s="38"/>
    </row>
    <row r="14" spans="1:44" x14ac:dyDescent="0.25">
      <c r="A14" s="83" t="s">
        <v>11</v>
      </c>
      <c r="B14" s="40" t="s">
        <v>211</v>
      </c>
      <c r="C14" s="166">
        <v>1</v>
      </c>
      <c r="D14" s="168"/>
      <c r="E14" s="164"/>
      <c r="F14" s="129">
        <f>AVERAGE(P14)</f>
        <v>6</v>
      </c>
      <c r="G14" s="213"/>
      <c r="H14" s="128"/>
      <c r="I14" s="108"/>
      <c r="J14" s="128"/>
      <c r="K14" s="108"/>
      <c r="L14" s="108"/>
      <c r="M14" s="38"/>
      <c r="N14" s="108"/>
      <c r="O14" s="128"/>
      <c r="P14" s="70">
        <v>6</v>
      </c>
      <c r="Q14" s="128"/>
      <c r="R14" s="128"/>
      <c r="S14" s="128"/>
      <c r="T14" s="108"/>
      <c r="U14" s="128"/>
      <c r="V14" s="69"/>
      <c r="W14" s="108"/>
      <c r="X14" s="128"/>
      <c r="Y14" s="128"/>
      <c r="Z14" s="128"/>
      <c r="AA14" s="57"/>
      <c r="AB14" s="128"/>
      <c r="AC14" s="128"/>
      <c r="AD14" s="128"/>
      <c r="AE14" s="38"/>
      <c r="AF14" s="128"/>
      <c r="AG14" s="128"/>
      <c r="AH14" s="62"/>
      <c r="AI14" s="128"/>
      <c r="AJ14" s="62"/>
      <c r="AK14" s="38"/>
      <c r="AL14" s="62"/>
      <c r="AM14" s="108"/>
      <c r="AN14" s="38"/>
      <c r="AO14" s="38"/>
      <c r="AP14" s="38"/>
      <c r="AQ14" s="38"/>
      <c r="AR14" s="38"/>
    </row>
    <row r="15" spans="1:44" x14ac:dyDescent="0.25">
      <c r="A15" s="83" t="s">
        <v>11</v>
      </c>
      <c r="B15" s="40" t="s">
        <v>409</v>
      </c>
      <c r="C15" s="166">
        <v>14</v>
      </c>
      <c r="D15" s="168">
        <v>2</v>
      </c>
      <c r="E15" s="176" t="s">
        <v>617</v>
      </c>
      <c r="F15" s="129">
        <f>AVERAGE(X15,W15,H15,I15,J15,K15,G15,L15,N15,O15,S15,U15,V15,Y15)</f>
        <v>5.1538461538461542</v>
      </c>
      <c r="G15" s="213">
        <v>5</v>
      </c>
      <c r="H15" s="128">
        <v>5</v>
      </c>
      <c r="I15" s="108">
        <v>5</v>
      </c>
      <c r="J15" s="128">
        <v>4</v>
      </c>
      <c r="K15" s="108">
        <v>5</v>
      </c>
      <c r="L15" s="108" t="s">
        <v>554</v>
      </c>
      <c r="M15" s="38"/>
      <c r="N15" s="108">
        <v>5</v>
      </c>
      <c r="O15" s="128">
        <v>5</v>
      </c>
      <c r="P15" s="204" t="s">
        <v>153</v>
      </c>
      <c r="Q15" s="128"/>
      <c r="R15" s="108" t="s">
        <v>153</v>
      </c>
      <c r="S15" s="282">
        <v>7</v>
      </c>
      <c r="T15" s="108"/>
      <c r="U15" s="128">
        <v>5</v>
      </c>
      <c r="V15" s="70">
        <v>6</v>
      </c>
      <c r="W15" s="108">
        <v>5</v>
      </c>
      <c r="X15" s="128">
        <v>4</v>
      </c>
      <c r="Y15" s="128">
        <v>6</v>
      </c>
      <c r="Z15" s="128"/>
      <c r="AA15" s="57"/>
      <c r="AB15" s="128"/>
      <c r="AC15" s="128"/>
      <c r="AD15" s="128"/>
      <c r="AE15" s="38"/>
      <c r="AF15" s="128"/>
      <c r="AG15" s="128"/>
      <c r="AH15" s="62"/>
      <c r="AI15" s="128"/>
      <c r="AJ15" s="62"/>
      <c r="AK15" s="38"/>
      <c r="AL15" s="62"/>
      <c r="AM15" s="108"/>
      <c r="AN15" s="38"/>
      <c r="AO15" s="38"/>
      <c r="AP15" s="38"/>
      <c r="AQ15" s="38"/>
      <c r="AR15" s="38"/>
    </row>
    <row r="16" spans="1:44" x14ac:dyDescent="0.25">
      <c r="A16" s="83" t="s">
        <v>11</v>
      </c>
      <c r="B16" s="40" t="s">
        <v>500</v>
      </c>
      <c r="C16" s="166">
        <v>15</v>
      </c>
      <c r="D16" s="168">
        <v>1</v>
      </c>
      <c r="E16" s="164"/>
      <c r="F16" s="129">
        <f>AVERAGE(X16,W16,I16,H16,G16,L16,M16,N16,O16,Q16,R16,T16,U16,V16,Y16)</f>
        <v>5.1333333333333337</v>
      </c>
      <c r="G16" s="213">
        <v>5</v>
      </c>
      <c r="H16" s="128">
        <v>4</v>
      </c>
      <c r="I16" s="108">
        <v>5</v>
      </c>
      <c r="J16" s="128"/>
      <c r="K16" s="108" t="s">
        <v>153</v>
      </c>
      <c r="L16" s="108">
        <v>4</v>
      </c>
      <c r="M16" s="38">
        <v>5</v>
      </c>
      <c r="N16" s="108">
        <v>5</v>
      </c>
      <c r="O16" s="128">
        <v>5</v>
      </c>
      <c r="P16" s="70"/>
      <c r="Q16" s="128">
        <v>5</v>
      </c>
      <c r="R16" s="128">
        <v>6</v>
      </c>
      <c r="S16" s="128"/>
      <c r="T16" s="108">
        <v>5</v>
      </c>
      <c r="U16" s="128">
        <v>6</v>
      </c>
      <c r="V16" s="70">
        <v>6</v>
      </c>
      <c r="W16" s="108">
        <v>6</v>
      </c>
      <c r="X16" s="128">
        <v>4</v>
      </c>
      <c r="Y16" s="128">
        <v>6</v>
      </c>
      <c r="Z16" s="128"/>
      <c r="AA16" s="57"/>
      <c r="AB16" s="128"/>
      <c r="AC16" s="128"/>
      <c r="AD16" s="128"/>
      <c r="AE16" s="38"/>
      <c r="AF16" s="128"/>
      <c r="AG16" s="128"/>
      <c r="AH16" s="62"/>
      <c r="AI16" s="128"/>
      <c r="AJ16" s="62"/>
      <c r="AK16" s="38"/>
      <c r="AL16" s="62"/>
      <c r="AM16" s="108"/>
      <c r="AN16" s="38"/>
      <c r="AO16" s="38"/>
      <c r="AP16" s="38"/>
      <c r="AQ16" s="38"/>
      <c r="AR16" s="38"/>
    </row>
    <row r="17" spans="1:44" x14ac:dyDescent="0.25">
      <c r="A17" s="83" t="s">
        <v>11</v>
      </c>
      <c r="B17" s="40" t="s">
        <v>539</v>
      </c>
      <c r="C17" s="166">
        <v>13</v>
      </c>
      <c r="D17" s="168">
        <v>2</v>
      </c>
      <c r="E17" s="164">
        <v>1</v>
      </c>
      <c r="F17" s="129">
        <f>AVERAGE(X17,J17,K17,L17,M17,N17,O17,P17,S17,T17,V17,W17,Y17)</f>
        <v>5.0769230769230766</v>
      </c>
      <c r="G17" s="213"/>
      <c r="H17" s="128"/>
      <c r="I17" s="108"/>
      <c r="J17" s="128">
        <v>5</v>
      </c>
      <c r="K17" s="108">
        <v>5</v>
      </c>
      <c r="L17" s="57">
        <v>6</v>
      </c>
      <c r="M17" s="38">
        <v>5</v>
      </c>
      <c r="N17" s="108">
        <v>4</v>
      </c>
      <c r="O17" s="128">
        <v>5</v>
      </c>
      <c r="P17" s="70">
        <v>4</v>
      </c>
      <c r="Q17" s="108" t="s">
        <v>153</v>
      </c>
      <c r="R17" s="108" t="s">
        <v>153</v>
      </c>
      <c r="S17" s="128">
        <v>6</v>
      </c>
      <c r="T17" s="108">
        <v>5</v>
      </c>
      <c r="U17" s="128"/>
      <c r="V17" s="70">
        <v>6</v>
      </c>
      <c r="W17" s="108">
        <v>5</v>
      </c>
      <c r="X17" s="128">
        <v>5</v>
      </c>
      <c r="Y17" s="128">
        <v>5</v>
      </c>
      <c r="Z17" s="128"/>
      <c r="AA17" s="57"/>
      <c r="AB17" s="128"/>
      <c r="AC17" s="128"/>
      <c r="AD17" s="128"/>
      <c r="AE17" s="38"/>
      <c r="AF17" s="128"/>
      <c r="AG17" s="128"/>
      <c r="AH17" s="62"/>
      <c r="AI17" s="128"/>
      <c r="AJ17" s="62"/>
      <c r="AK17" s="38"/>
      <c r="AL17" s="62"/>
      <c r="AM17" s="108"/>
      <c r="AN17" s="38"/>
      <c r="AO17" s="38"/>
      <c r="AP17" s="38"/>
      <c r="AQ17" s="38"/>
      <c r="AR17" s="38"/>
    </row>
    <row r="18" spans="1:44" x14ac:dyDescent="0.25">
      <c r="A18" s="13" t="s">
        <v>11</v>
      </c>
      <c r="B18" s="217" t="s">
        <v>430</v>
      </c>
      <c r="C18" s="170">
        <v>11</v>
      </c>
      <c r="D18" s="171">
        <v>1</v>
      </c>
      <c r="E18" s="153"/>
      <c r="F18" s="129">
        <f>AVERAGE(H18,I18,J18,K18,G18,L18,M18,P18,Q18,R18,S18)</f>
        <v>4.8181818181818183</v>
      </c>
      <c r="G18" s="213">
        <v>5</v>
      </c>
      <c r="H18" s="128">
        <v>4</v>
      </c>
      <c r="I18" s="108">
        <v>5</v>
      </c>
      <c r="J18" s="128">
        <v>5</v>
      </c>
      <c r="K18" s="108">
        <v>5</v>
      </c>
      <c r="L18" s="108">
        <v>4</v>
      </c>
      <c r="M18" s="38">
        <v>5</v>
      </c>
      <c r="N18" s="108"/>
      <c r="O18" s="128"/>
      <c r="P18" s="70">
        <v>5</v>
      </c>
      <c r="Q18" s="128">
        <v>5</v>
      </c>
      <c r="R18" s="128">
        <v>5</v>
      </c>
      <c r="S18" s="128">
        <v>5</v>
      </c>
      <c r="T18" s="108" t="s">
        <v>546</v>
      </c>
      <c r="U18" s="128"/>
      <c r="V18" s="128"/>
      <c r="W18" s="108"/>
      <c r="X18" s="128"/>
      <c r="Y18" s="128"/>
      <c r="Z18" s="128"/>
      <c r="AA18" s="108"/>
      <c r="AB18" s="128"/>
      <c r="AC18" s="128"/>
      <c r="AD18" s="128"/>
      <c r="AE18" s="38"/>
      <c r="AF18" s="128"/>
      <c r="AG18" s="128"/>
      <c r="AH18" s="38"/>
      <c r="AI18" s="128"/>
      <c r="AJ18" s="62"/>
      <c r="AK18" s="38"/>
      <c r="AL18" s="38"/>
      <c r="AM18" s="108"/>
      <c r="AN18" s="38"/>
      <c r="AO18" s="38"/>
      <c r="AP18" s="38"/>
      <c r="AQ18" s="38"/>
      <c r="AR18" s="38"/>
    </row>
    <row r="19" spans="1:44" x14ac:dyDescent="0.25">
      <c r="A19" s="83" t="s">
        <v>29</v>
      </c>
      <c r="B19" s="77" t="s">
        <v>431</v>
      </c>
      <c r="C19" s="166">
        <v>3</v>
      </c>
      <c r="D19" s="168">
        <v>4</v>
      </c>
      <c r="E19" s="164"/>
      <c r="F19" s="52">
        <f>AVERAGE(S19,T19,V19)</f>
        <v>4.333333333333333</v>
      </c>
      <c r="G19" s="56"/>
      <c r="H19" s="128"/>
      <c r="I19" s="57"/>
      <c r="J19" s="128"/>
      <c r="K19" s="108"/>
      <c r="L19" s="108"/>
      <c r="M19" s="62" t="s">
        <v>153</v>
      </c>
      <c r="N19" s="108"/>
      <c r="O19" s="108"/>
      <c r="P19" s="69"/>
      <c r="Q19" s="108" t="s">
        <v>153</v>
      </c>
      <c r="R19" s="128"/>
      <c r="S19" s="128">
        <v>5</v>
      </c>
      <c r="T19" s="108">
        <v>4</v>
      </c>
      <c r="U19" s="128"/>
      <c r="V19" s="128">
        <v>4</v>
      </c>
      <c r="W19" s="108" t="s">
        <v>153</v>
      </c>
      <c r="X19" s="108" t="s">
        <v>153</v>
      </c>
      <c r="Y19" s="128"/>
      <c r="Z19" s="128"/>
      <c r="AA19" s="108"/>
      <c r="AB19" s="128"/>
      <c r="AC19" s="128"/>
      <c r="AD19" s="128"/>
      <c r="AE19" s="66"/>
      <c r="AF19" s="69"/>
      <c r="AG19" s="128"/>
      <c r="AH19" s="38"/>
      <c r="AI19" s="69"/>
      <c r="AJ19" s="62"/>
      <c r="AK19" s="38"/>
      <c r="AL19" s="38"/>
      <c r="AM19" s="108"/>
      <c r="AN19" s="38"/>
      <c r="AO19" s="38"/>
      <c r="AP19" s="62"/>
      <c r="AQ19" s="62"/>
      <c r="AR19" s="66"/>
    </row>
    <row r="20" spans="1:44" x14ac:dyDescent="0.25">
      <c r="A20" s="83" t="s">
        <v>29</v>
      </c>
      <c r="B20" s="77" t="s">
        <v>432</v>
      </c>
      <c r="C20" s="166">
        <v>13</v>
      </c>
      <c r="D20" s="168">
        <v>3</v>
      </c>
      <c r="E20" s="164">
        <v>6</v>
      </c>
      <c r="F20" s="129">
        <f>AVERAGE(X20,G20,M20,N20,O20,P20,Q20,R20,S20,T20,U20,V20,Y20)</f>
        <v>4.9230769230769234</v>
      </c>
      <c r="G20" s="328">
        <v>2</v>
      </c>
      <c r="H20" s="108"/>
      <c r="I20" s="108" t="s">
        <v>153</v>
      </c>
      <c r="J20" s="108" t="s">
        <v>153</v>
      </c>
      <c r="K20" s="108"/>
      <c r="L20" s="108"/>
      <c r="M20" s="350">
        <v>7</v>
      </c>
      <c r="N20" s="108">
        <v>4</v>
      </c>
      <c r="O20" s="128">
        <v>4</v>
      </c>
      <c r="P20" s="70">
        <v>4</v>
      </c>
      <c r="Q20" s="128">
        <v>4</v>
      </c>
      <c r="R20" s="283">
        <v>7</v>
      </c>
      <c r="S20" s="128">
        <v>4</v>
      </c>
      <c r="T20" s="108">
        <v>5</v>
      </c>
      <c r="U20" s="283">
        <v>7</v>
      </c>
      <c r="V20" s="128">
        <v>5</v>
      </c>
      <c r="W20" s="108" t="s">
        <v>153</v>
      </c>
      <c r="X20" s="128">
        <v>4</v>
      </c>
      <c r="Y20" s="294">
        <v>7</v>
      </c>
      <c r="Z20" s="128"/>
      <c r="AA20" s="108"/>
      <c r="AB20" s="69"/>
      <c r="AC20" s="69"/>
      <c r="AD20" s="69"/>
      <c r="AE20" s="38"/>
      <c r="AF20" s="69"/>
      <c r="AG20" s="128"/>
      <c r="AH20" s="38"/>
      <c r="AI20" s="128"/>
      <c r="AJ20" s="62"/>
      <c r="AK20" s="38"/>
      <c r="AL20" s="38"/>
      <c r="AM20" s="108"/>
      <c r="AN20" s="38"/>
      <c r="AO20" s="38"/>
      <c r="AP20" s="62"/>
      <c r="AQ20" s="62"/>
      <c r="AR20" s="38"/>
    </row>
    <row r="21" spans="1:44" x14ac:dyDescent="0.25">
      <c r="A21" s="83" t="s">
        <v>29</v>
      </c>
      <c r="B21" s="40" t="s">
        <v>468</v>
      </c>
      <c r="C21" s="166">
        <v>14</v>
      </c>
      <c r="D21" s="168">
        <v>1</v>
      </c>
      <c r="E21" s="164"/>
      <c r="F21" s="129">
        <f>AVERAGE(X21,V21,H21,I21,J21,G21,L21,M21,N21,P21,S21,T21,U21,Y21)</f>
        <v>4.8571428571428568</v>
      </c>
      <c r="G21" s="213">
        <v>5</v>
      </c>
      <c r="H21" s="204">
        <v>5</v>
      </c>
      <c r="I21" s="204">
        <v>4</v>
      </c>
      <c r="J21" s="108">
        <v>5</v>
      </c>
      <c r="K21" s="108"/>
      <c r="L21" s="108">
        <v>4</v>
      </c>
      <c r="M21" s="38">
        <v>5</v>
      </c>
      <c r="N21" s="108">
        <v>5</v>
      </c>
      <c r="O21" s="128"/>
      <c r="P21" s="70">
        <v>5</v>
      </c>
      <c r="Q21" s="108" t="s">
        <v>153</v>
      </c>
      <c r="R21" s="128"/>
      <c r="S21" s="128">
        <v>4</v>
      </c>
      <c r="T21" s="108">
        <v>5</v>
      </c>
      <c r="U21" s="128">
        <v>5</v>
      </c>
      <c r="V21" s="108">
        <v>5</v>
      </c>
      <c r="W21" s="108"/>
      <c r="X21" s="128">
        <v>5</v>
      </c>
      <c r="Y21" s="128">
        <v>6</v>
      </c>
      <c r="Z21" s="128"/>
      <c r="AA21" s="108"/>
      <c r="AB21" s="128"/>
      <c r="AC21" s="128"/>
      <c r="AD21" s="128"/>
      <c r="AE21" s="38"/>
      <c r="AF21" s="128"/>
      <c r="AG21" s="128"/>
      <c r="AH21" s="38"/>
      <c r="AI21" s="128"/>
      <c r="AJ21" s="62"/>
      <c r="AK21" s="38"/>
      <c r="AL21" s="38"/>
      <c r="AM21" s="108"/>
      <c r="AN21" s="38"/>
      <c r="AO21" s="38"/>
      <c r="AP21" s="38"/>
      <c r="AQ21" s="38"/>
      <c r="AR21" s="38"/>
    </row>
    <row r="22" spans="1:44" x14ac:dyDescent="0.25">
      <c r="A22" s="83" t="s">
        <v>29</v>
      </c>
      <c r="B22" s="77" t="s">
        <v>472</v>
      </c>
      <c r="C22" s="166">
        <v>12</v>
      </c>
      <c r="D22" s="168">
        <v>5</v>
      </c>
      <c r="E22" s="164">
        <v>1</v>
      </c>
      <c r="F22" s="129">
        <f>AVERAGE(W22,H22,I22,J22,K22,G22,L22,N22,P22,Q22,R22,T22,U22)</f>
        <v>4.9230769230769234</v>
      </c>
      <c r="G22" s="56">
        <v>6</v>
      </c>
      <c r="H22" s="108">
        <v>4</v>
      </c>
      <c r="I22" s="108">
        <v>4</v>
      </c>
      <c r="J22" s="108">
        <v>5</v>
      </c>
      <c r="K22" s="108">
        <v>5</v>
      </c>
      <c r="L22" s="108">
        <v>5</v>
      </c>
      <c r="M22" s="62"/>
      <c r="N22" s="108">
        <v>4</v>
      </c>
      <c r="O22" s="108" t="s">
        <v>153</v>
      </c>
      <c r="P22" s="108">
        <v>4</v>
      </c>
      <c r="Q22" s="283">
        <v>7</v>
      </c>
      <c r="R22" s="128">
        <v>5</v>
      </c>
      <c r="S22" s="128"/>
      <c r="T22" s="108">
        <v>5</v>
      </c>
      <c r="U22" s="108">
        <v>5</v>
      </c>
      <c r="V22" s="108" t="s">
        <v>153</v>
      </c>
      <c r="W22" s="108">
        <v>5</v>
      </c>
      <c r="X22" s="108" t="s">
        <v>153</v>
      </c>
      <c r="Y22" s="108" t="s">
        <v>153</v>
      </c>
      <c r="Z22" s="128"/>
      <c r="AA22" s="108"/>
      <c r="AB22" s="128"/>
      <c r="AC22" s="108"/>
      <c r="AD22" s="128"/>
      <c r="AE22" s="38"/>
      <c r="AF22" s="108"/>
      <c r="AG22" s="128"/>
      <c r="AH22" s="62"/>
      <c r="AI22" s="128"/>
      <c r="AJ22" s="62"/>
      <c r="AK22" s="67"/>
      <c r="AL22" s="62"/>
      <c r="AM22" s="108"/>
      <c r="AN22" s="38"/>
      <c r="AO22" s="62"/>
      <c r="AP22" s="62"/>
      <c r="AQ22" s="38"/>
      <c r="AR22" s="62"/>
    </row>
    <row r="23" spans="1:44" x14ac:dyDescent="0.25">
      <c r="A23" s="13" t="s">
        <v>29</v>
      </c>
      <c r="B23" s="217" t="s">
        <v>429</v>
      </c>
      <c r="C23" s="170">
        <v>9</v>
      </c>
      <c r="D23" s="171">
        <v>1</v>
      </c>
      <c r="E23" s="172"/>
      <c r="F23" s="34">
        <f>AVERAGE(H23,I23,K23,G23,Q23,R23,V23,X23,Y23)</f>
        <v>4.7777777777777777</v>
      </c>
      <c r="G23" s="213">
        <v>5</v>
      </c>
      <c r="H23" s="128">
        <v>4</v>
      </c>
      <c r="I23" s="108">
        <v>5</v>
      </c>
      <c r="J23" s="128"/>
      <c r="K23" s="108">
        <v>5</v>
      </c>
      <c r="L23" s="108"/>
      <c r="M23" s="38"/>
      <c r="N23" s="108"/>
      <c r="O23" s="128"/>
      <c r="P23" s="70"/>
      <c r="Q23" s="128">
        <v>5</v>
      </c>
      <c r="R23" s="128">
        <v>4</v>
      </c>
      <c r="S23" s="128"/>
      <c r="T23" s="108"/>
      <c r="U23" s="108" t="s">
        <v>153</v>
      </c>
      <c r="V23" s="282">
        <v>7</v>
      </c>
      <c r="W23" s="108"/>
      <c r="X23" s="128">
        <v>4</v>
      </c>
      <c r="Y23" s="128">
        <v>4</v>
      </c>
      <c r="Z23" s="128"/>
      <c r="AA23" s="108"/>
      <c r="AB23" s="128"/>
      <c r="AC23" s="128"/>
      <c r="AD23" s="128"/>
      <c r="AE23" s="38"/>
      <c r="AF23" s="128"/>
      <c r="AG23" s="128"/>
      <c r="AH23" s="38"/>
      <c r="AI23" s="128"/>
      <c r="AJ23" s="62"/>
      <c r="AK23" s="38"/>
      <c r="AL23" s="38"/>
      <c r="AM23" s="108"/>
      <c r="AN23" s="38"/>
      <c r="AO23" s="38"/>
      <c r="AP23" s="38"/>
      <c r="AQ23" s="38"/>
      <c r="AR23" s="38"/>
    </row>
    <row r="24" spans="1:44" x14ac:dyDescent="0.25">
      <c r="A24" s="184" t="s">
        <v>30</v>
      </c>
      <c r="B24" s="218" t="s">
        <v>433</v>
      </c>
      <c r="C24" s="185">
        <v>8</v>
      </c>
      <c r="D24" s="64">
        <v>6</v>
      </c>
      <c r="E24" s="187">
        <v>2</v>
      </c>
      <c r="F24" s="129">
        <f>AVERAGE(K24,L24,O24,P24,S24,T24,U24,W24)</f>
        <v>4.875</v>
      </c>
      <c r="G24" s="213" t="s">
        <v>153</v>
      </c>
      <c r="H24" s="108" t="s">
        <v>153</v>
      </c>
      <c r="I24" s="108"/>
      <c r="J24" s="108" t="s">
        <v>153</v>
      </c>
      <c r="K24" s="108">
        <v>5</v>
      </c>
      <c r="L24" s="108">
        <v>4</v>
      </c>
      <c r="M24" s="62" t="s">
        <v>153</v>
      </c>
      <c r="N24" s="108" t="s">
        <v>153</v>
      </c>
      <c r="O24" s="128">
        <v>4</v>
      </c>
      <c r="P24" s="70">
        <v>4</v>
      </c>
      <c r="Q24" s="69"/>
      <c r="R24" s="128"/>
      <c r="S24" s="283">
        <v>7</v>
      </c>
      <c r="T24" s="294">
        <v>7</v>
      </c>
      <c r="U24" s="70">
        <v>4</v>
      </c>
      <c r="V24" s="108"/>
      <c r="W24" s="204">
        <v>4</v>
      </c>
      <c r="X24" s="128"/>
      <c r="Y24" s="108" t="s">
        <v>153</v>
      </c>
      <c r="Z24" s="128"/>
      <c r="AA24" s="108"/>
      <c r="AB24" s="108"/>
      <c r="AC24" s="128"/>
      <c r="AD24" s="128"/>
      <c r="AE24" s="38"/>
      <c r="AF24" s="128"/>
      <c r="AG24" s="128"/>
      <c r="AH24" s="38"/>
      <c r="AI24" s="128"/>
      <c r="AJ24" s="62"/>
      <c r="AK24" s="38"/>
      <c r="AL24" s="38"/>
      <c r="AM24" s="108"/>
      <c r="AN24" s="38"/>
      <c r="AO24" s="38"/>
      <c r="AP24" s="38"/>
      <c r="AQ24" s="38"/>
      <c r="AR24" s="38"/>
    </row>
    <row r="25" spans="1:44" x14ac:dyDescent="0.25">
      <c r="A25" s="184" t="s">
        <v>30</v>
      </c>
      <c r="B25" s="187" t="s">
        <v>434</v>
      </c>
      <c r="C25" s="185">
        <v>9</v>
      </c>
      <c r="D25" s="64">
        <v>3</v>
      </c>
      <c r="E25" s="187">
        <v>2</v>
      </c>
      <c r="F25" s="129">
        <f>AVERAGE(H25,I25,J25,K25,G25,L25,M25,O25,Q25,R25)</f>
        <v>4.5</v>
      </c>
      <c r="G25" s="56">
        <v>4</v>
      </c>
      <c r="H25" s="108">
        <v>4</v>
      </c>
      <c r="I25" s="108">
        <v>5</v>
      </c>
      <c r="J25" s="108">
        <v>4</v>
      </c>
      <c r="K25" s="108">
        <v>4</v>
      </c>
      <c r="L25" s="108">
        <v>4</v>
      </c>
      <c r="M25" s="62">
        <v>4</v>
      </c>
      <c r="N25" s="108" t="s">
        <v>153</v>
      </c>
      <c r="O25" s="69">
        <v>5</v>
      </c>
      <c r="P25" s="204" t="s">
        <v>153</v>
      </c>
      <c r="Q25" s="69">
        <v>6</v>
      </c>
      <c r="R25" s="204">
        <v>5</v>
      </c>
      <c r="S25" s="128"/>
      <c r="T25" s="57"/>
      <c r="U25" s="128"/>
      <c r="V25" s="108"/>
      <c r="W25" s="108"/>
      <c r="X25" s="128"/>
      <c r="Y25" s="128"/>
      <c r="Z25" s="128"/>
      <c r="AA25" s="57"/>
      <c r="AB25" s="128"/>
      <c r="AC25" s="128"/>
      <c r="AD25" s="128"/>
      <c r="AE25" s="38"/>
      <c r="AF25" s="128"/>
      <c r="AG25" s="128"/>
      <c r="AH25" s="38"/>
      <c r="AI25" s="128"/>
      <c r="AJ25" s="62"/>
      <c r="AK25" s="38"/>
      <c r="AL25" s="38"/>
      <c r="AM25" s="108"/>
      <c r="AN25" s="38"/>
      <c r="AO25" s="38"/>
      <c r="AP25" s="38"/>
      <c r="AQ25" s="38"/>
      <c r="AR25" s="38"/>
    </row>
    <row r="26" spans="1:44" x14ac:dyDescent="0.25">
      <c r="A26" s="184" t="s">
        <v>30</v>
      </c>
      <c r="B26" s="187" t="s">
        <v>435</v>
      </c>
      <c r="C26" s="185">
        <v>4</v>
      </c>
      <c r="D26" s="64">
        <v>7</v>
      </c>
      <c r="E26" s="187">
        <v>1</v>
      </c>
      <c r="F26" s="129">
        <f>AVERAGE(J26,N26,O26,P26,W26)</f>
        <v>5</v>
      </c>
      <c r="G26" s="213" t="s">
        <v>153</v>
      </c>
      <c r="H26" s="204" t="s">
        <v>153</v>
      </c>
      <c r="I26" s="204" t="s">
        <v>153</v>
      </c>
      <c r="J26" s="204">
        <v>4</v>
      </c>
      <c r="K26" s="192"/>
      <c r="L26" s="204" t="s">
        <v>153</v>
      </c>
      <c r="M26" s="61" t="s">
        <v>153</v>
      </c>
      <c r="N26" s="204">
        <v>5</v>
      </c>
      <c r="O26" s="294">
        <v>7</v>
      </c>
      <c r="P26" s="70">
        <v>5</v>
      </c>
      <c r="Q26" s="180"/>
      <c r="R26" s="192"/>
      <c r="S26" s="204" t="s">
        <v>153</v>
      </c>
      <c r="T26" s="192"/>
      <c r="U26" s="180"/>
      <c r="V26" s="180"/>
      <c r="W26" s="204">
        <v>4</v>
      </c>
      <c r="X26" s="192"/>
      <c r="Y26" s="180"/>
      <c r="Z26" s="192"/>
      <c r="AA26" s="192"/>
      <c r="AB26" s="180"/>
      <c r="AC26" s="180"/>
      <c r="AD26" s="180"/>
      <c r="AE26" s="182"/>
      <c r="AF26" s="180"/>
      <c r="AG26" s="180"/>
      <c r="AH26" s="182"/>
      <c r="AI26" s="180"/>
      <c r="AJ26" s="181"/>
      <c r="AK26" s="182"/>
      <c r="AL26" s="182"/>
      <c r="AM26" s="192"/>
      <c r="AN26" s="182"/>
      <c r="AO26" s="182"/>
      <c r="AP26" s="182"/>
      <c r="AQ26" s="182"/>
      <c r="AR26" s="182"/>
    </row>
    <row r="27" spans="1:44" x14ac:dyDescent="0.25">
      <c r="A27" s="83" t="s">
        <v>30</v>
      </c>
      <c r="B27" s="218" t="s">
        <v>923</v>
      </c>
      <c r="C27" s="166">
        <v>5</v>
      </c>
      <c r="D27" s="168">
        <v>8</v>
      </c>
      <c r="E27" s="164">
        <v>2</v>
      </c>
      <c r="F27" s="129">
        <f>AVERAGE(I27,G27,Q27,W27,X27,Y27)</f>
        <v>4.333333333333333</v>
      </c>
      <c r="G27" s="213">
        <v>4</v>
      </c>
      <c r="H27" s="108" t="s">
        <v>153</v>
      </c>
      <c r="I27" s="108">
        <v>4</v>
      </c>
      <c r="J27" s="108"/>
      <c r="K27" s="108" t="s">
        <v>153</v>
      </c>
      <c r="L27" s="57"/>
      <c r="M27" s="38"/>
      <c r="N27" s="108"/>
      <c r="O27" s="108" t="s">
        <v>153</v>
      </c>
      <c r="P27" s="204" t="s">
        <v>153</v>
      </c>
      <c r="Q27" s="70">
        <v>4</v>
      </c>
      <c r="R27" s="128"/>
      <c r="S27" s="108"/>
      <c r="T27" s="108" t="s">
        <v>153</v>
      </c>
      <c r="U27" s="108" t="s">
        <v>153</v>
      </c>
      <c r="V27" s="57" t="s">
        <v>153</v>
      </c>
      <c r="W27" s="57">
        <v>6</v>
      </c>
      <c r="X27" s="108">
        <v>4</v>
      </c>
      <c r="Y27" s="108">
        <v>4</v>
      </c>
      <c r="Z27" s="128"/>
      <c r="AA27" s="108"/>
      <c r="AB27" s="69"/>
      <c r="AC27" s="128"/>
      <c r="AD27" s="128"/>
      <c r="AE27" s="38"/>
      <c r="AF27" s="128"/>
      <c r="AG27" s="128"/>
      <c r="AH27" s="38"/>
      <c r="AI27" s="128"/>
      <c r="AJ27" s="62"/>
      <c r="AK27" s="38"/>
      <c r="AL27" s="38"/>
      <c r="AM27" s="108"/>
      <c r="AN27" s="38"/>
      <c r="AO27" s="38"/>
      <c r="AP27" s="38"/>
      <c r="AQ27" s="38"/>
      <c r="AR27" s="38"/>
    </row>
    <row r="28" spans="1:44" x14ac:dyDescent="0.25">
      <c r="A28" s="83" t="s">
        <v>30</v>
      </c>
      <c r="B28" s="218" t="s">
        <v>518</v>
      </c>
      <c r="C28" s="166">
        <v>15</v>
      </c>
      <c r="D28" s="168">
        <v>1</v>
      </c>
      <c r="E28" s="164">
        <v>4</v>
      </c>
      <c r="F28" s="129">
        <f>AVERAGE(X28,V28,H28,I28,J28,K28,L28,M28,N28,P28,R28,S28,T28,U28,Y28)</f>
        <v>4.8666666666666663</v>
      </c>
      <c r="G28" s="213"/>
      <c r="H28" s="128">
        <v>5</v>
      </c>
      <c r="I28" s="108">
        <v>4</v>
      </c>
      <c r="J28" s="128">
        <v>4</v>
      </c>
      <c r="K28" s="108">
        <v>5</v>
      </c>
      <c r="L28" s="204">
        <v>4</v>
      </c>
      <c r="M28" s="38">
        <v>4</v>
      </c>
      <c r="N28" s="108">
        <v>4</v>
      </c>
      <c r="O28" s="128"/>
      <c r="P28" s="70">
        <v>4</v>
      </c>
      <c r="Q28" s="69"/>
      <c r="R28" s="128">
        <v>5</v>
      </c>
      <c r="S28" s="57">
        <v>6</v>
      </c>
      <c r="T28" s="57">
        <v>6</v>
      </c>
      <c r="U28" s="128">
        <v>5</v>
      </c>
      <c r="V28" s="69">
        <v>6</v>
      </c>
      <c r="W28" s="204" t="s">
        <v>153</v>
      </c>
      <c r="X28" s="69">
        <v>6</v>
      </c>
      <c r="Y28" s="108">
        <v>5</v>
      </c>
      <c r="Z28" s="128"/>
      <c r="AA28" s="108"/>
      <c r="AB28" s="69"/>
      <c r="AC28" s="108"/>
      <c r="AD28" s="128"/>
      <c r="AE28" s="66"/>
      <c r="AF28" s="69"/>
      <c r="AG28" s="69"/>
      <c r="AH28" s="38"/>
      <c r="AI28" s="108"/>
      <c r="AJ28" s="62"/>
      <c r="AK28" s="67"/>
      <c r="AL28" s="38"/>
      <c r="AM28" s="108"/>
      <c r="AN28" s="38"/>
      <c r="AO28" s="62"/>
      <c r="AP28" s="38"/>
      <c r="AQ28" s="38"/>
      <c r="AR28" s="62"/>
    </row>
    <row r="29" spans="1:44" ht="15.75" thickBot="1" x14ac:dyDescent="0.3">
      <c r="A29" s="3" t="s">
        <v>30</v>
      </c>
      <c r="B29" s="200" t="s">
        <v>540</v>
      </c>
      <c r="C29" s="167">
        <v>5</v>
      </c>
      <c r="D29" s="169">
        <v>6</v>
      </c>
      <c r="E29" s="165"/>
      <c r="F29" s="33">
        <f>AVERAGE(M29,N29,V29)</f>
        <v>5</v>
      </c>
      <c r="G29" s="213"/>
      <c r="H29" s="108"/>
      <c r="I29" s="108"/>
      <c r="J29" s="108" t="s">
        <v>153</v>
      </c>
      <c r="K29" s="108" t="s">
        <v>153</v>
      </c>
      <c r="L29" s="108" t="s">
        <v>153</v>
      </c>
      <c r="M29" s="38">
        <v>5</v>
      </c>
      <c r="N29" s="108">
        <v>5</v>
      </c>
      <c r="O29" s="108" t="s">
        <v>555</v>
      </c>
      <c r="P29" s="70"/>
      <c r="Q29" s="128"/>
      <c r="R29" s="108" t="s">
        <v>153</v>
      </c>
      <c r="S29" s="108" t="s">
        <v>153</v>
      </c>
      <c r="T29" s="108"/>
      <c r="U29" s="108" t="s">
        <v>153</v>
      </c>
      <c r="V29" s="128">
        <v>5</v>
      </c>
      <c r="W29" s="108"/>
      <c r="X29" s="128" t="s">
        <v>546</v>
      </c>
      <c r="Y29" s="108"/>
      <c r="Z29" s="128"/>
      <c r="AA29" s="57"/>
      <c r="AB29" s="69"/>
      <c r="AC29" s="128"/>
      <c r="AD29" s="69"/>
      <c r="AE29" s="38"/>
      <c r="AF29" s="128"/>
      <c r="AG29" s="108"/>
      <c r="AH29" s="66"/>
      <c r="AI29" s="128"/>
      <c r="AJ29" s="62"/>
      <c r="AK29" s="38"/>
      <c r="AL29" s="38"/>
      <c r="AM29" s="108"/>
      <c r="AN29" s="62"/>
      <c r="AO29" s="38"/>
      <c r="AP29" s="66"/>
      <c r="AQ29" s="66"/>
      <c r="AR29" s="38"/>
    </row>
    <row r="30" spans="1:44" x14ac:dyDescent="0.25">
      <c r="G30" s="155">
        <f>AVERAGE(G10,G13,G15,G16,G18,G20,G21,G22,G23,G25,G27)</f>
        <v>4.8181818181818183</v>
      </c>
      <c r="H30" s="155">
        <f>AVERAGE(H8,H11,H13,H23,H15,H16,H18,H21,H22,H25,H28)</f>
        <v>4.5454545454545459</v>
      </c>
      <c r="I30" s="142">
        <f>AVERAGE(I8,I11,I13,I23,I15,I16,I18,I21,I22,I27,I28)</f>
        <v>4.6363636363636367</v>
      </c>
      <c r="J30" s="155">
        <f>AVERAGE(J8,J11,J13,J15,J17,J18,J21,J22,J25,J26,J28)</f>
        <v>4.5454545454545459</v>
      </c>
      <c r="K30" s="142">
        <f>AVERAGE(K8,K13,K12,K15,K17,K18,K22,K23,K24,K25,K28)</f>
        <v>5</v>
      </c>
      <c r="L30" s="142">
        <f>AVERAGE(L8,L12,L13,L15,L16,L17,L21,L22,L24,L25,L28)</f>
        <v>4.4000000000000004</v>
      </c>
      <c r="M30" s="155">
        <f>AVERAGE(M8,M12,M13,M16,M17,M18,M20,M21,M25,M28,M29)</f>
        <v>5.0909090909090908</v>
      </c>
      <c r="N30" s="142">
        <f>AVERAGE(N8,N11,N15,N16,N17,N20,N21,N22,N26,N28,N29)</f>
        <v>4.9090909090909092</v>
      </c>
      <c r="O30" s="142">
        <f>AVERAGE(O8,O11,O12,O13,O15,O16,O17,O20,O24,O25,O26)</f>
        <v>4.9090909090909092</v>
      </c>
      <c r="P30" s="142">
        <f>AVERAGE(P8,P12,P14,P17,P18,P20,P21,P22,P24,P26,P28)</f>
        <v>4.6363636363636367</v>
      </c>
      <c r="Q30" s="142">
        <f>AVERAGE(Q8,Q11,Q12,Q13,Q16,Q18,Q20,Q22,Q23,Q25,Q27)</f>
        <v>5.1818181818181817</v>
      </c>
      <c r="R30" s="142">
        <f>AVERAGE(R8,R11,R12,R13,R16,R18,R20,R22,R23,R25,R28)</f>
        <v>5.3636363636363633</v>
      </c>
      <c r="S30" s="142">
        <f>AVERAGE(S8,S12,S13,S15,S17,S18,S19,S20,S21,S24,S28)</f>
        <v>5.3636363636363633</v>
      </c>
      <c r="T30" s="142">
        <f>AVERAGE(T8,T12,T13,T16,T17,T22,T19,T20,T21,T24,T28)</f>
        <v>5.2727272727272725</v>
      </c>
      <c r="U30" s="142">
        <f>AVERAGE(U10,U11,U12,U13,U15,U16,U20,U21,U22,U24,U28)</f>
        <v>5.3636363636363633</v>
      </c>
      <c r="V30" s="142">
        <f>AVERAGE(V9,V11,V15,V16,V17,V19,V20,V21,V23,V28,V29)</f>
        <v>5.6363636363636367</v>
      </c>
      <c r="W30" s="142">
        <f>AVERAGE(W9,W11,W12,W13,W15,W16,W17,W22,W24,W26,W27)</f>
        <v>5</v>
      </c>
      <c r="X30" s="142">
        <f>AVERAGE(X8,X12,X13,X15,X16,X17,X20,X21,X23,X28,X27)</f>
        <v>4.5454545454545459</v>
      </c>
      <c r="Y30" s="142">
        <f>AVERAGE(Y8,Y12,Y13,Y16,Y15,Y17,Y20,Y21,Y23,Y27,Y28)</f>
        <v>5.2727272727272725</v>
      </c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AR38"/>
  <sheetViews>
    <sheetView zoomScale="70" zoomScaleNormal="70" workbookViewId="0">
      <pane xSplit="2" topLeftCell="C1" activePane="topRight" state="frozen"/>
      <selection pane="topRight"/>
    </sheetView>
  </sheetViews>
  <sheetFormatPr baseColWidth="10" defaultRowHeight="15" x14ac:dyDescent="0.25"/>
  <cols>
    <col min="1" max="6" width="11.42578125" style="141"/>
    <col min="7" max="47" width="4.7109375" style="141" customWidth="1"/>
    <col min="48" max="16384" width="11.42578125" style="141"/>
  </cols>
  <sheetData>
    <row r="1" spans="1:44" x14ac:dyDescent="0.25">
      <c r="A1" s="141" t="s">
        <v>436</v>
      </c>
    </row>
    <row r="4" spans="1:44" x14ac:dyDescent="0.25">
      <c r="A4" s="141" t="s">
        <v>2</v>
      </c>
    </row>
    <row r="5" spans="1:44" ht="15.75" thickBot="1" x14ac:dyDescent="0.3"/>
    <row r="6" spans="1:44" ht="15.75" thickBot="1" x14ac:dyDescent="0.3">
      <c r="C6" s="375" t="s">
        <v>101</v>
      </c>
      <c r="D6" s="376"/>
      <c r="E6" s="377"/>
    </row>
    <row r="7" spans="1:44" ht="48" customHeight="1" thickBot="1" x14ac:dyDescent="0.3">
      <c r="A7" s="5" t="s">
        <v>3</v>
      </c>
      <c r="B7" s="7" t="s">
        <v>4</v>
      </c>
      <c r="C7" s="11" t="s">
        <v>7</v>
      </c>
      <c r="D7" s="12" t="s">
        <v>99</v>
      </c>
      <c r="E7" s="7" t="s">
        <v>5</v>
      </c>
      <c r="F7" s="8" t="s">
        <v>100</v>
      </c>
      <c r="G7" s="18" t="s">
        <v>626</v>
      </c>
      <c r="H7" s="173" t="s">
        <v>549</v>
      </c>
      <c r="I7" s="173" t="s">
        <v>575</v>
      </c>
      <c r="J7" s="173" t="s">
        <v>592</v>
      </c>
      <c r="K7" s="173" t="s">
        <v>652</v>
      </c>
      <c r="L7" s="173" t="s">
        <v>674</v>
      </c>
      <c r="M7" s="173" t="s">
        <v>695</v>
      </c>
      <c r="N7" s="173" t="s">
        <v>729</v>
      </c>
      <c r="O7" s="173" t="s">
        <v>742</v>
      </c>
      <c r="P7" s="173" t="s">
        <v>773</v>
      </c>
      <c r="Q7" s="173" t="s">
        <v>799</v>
      </c>
      <c r="R7" s="173" t="s">
        <v>823</v>
      </c>
      <c r="S7" s="173" t="s">
        <v>828</v>
      </c>
      <c r="T7" s="173" t="s">
        <v>869</v>
      </c>
      <c r="U7" s="173" t="s">
        <v>879</v>
      </c>
      <c r="V7" s="173" t="s">
        <v>901</v>
      </c>
      <c r="W7" s="173" t="s">
        <v>927</v>
      </c>
      <c r="X7" s="173" t="s">
        <v>964</v>
      </c>
      <c r="Y7" s="173" t="s">
        <v>989</v>
      </c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</row>
    <row r="8" spans="1:44" x14ac:dyDescent="0.25">
      <c r="A8" s="141" t="s">
        <v>8</v>
      </c>
      <c r="B8" s="49" t="s">
        <v>437</v>
      </c>
      <c r="C8" s="166">
        <v>19</v>
      </c>
      <c r="D8" s="168"/>
      <c r="E8" s="164"/>
      <c r="F8" s="129">
        <f>AVERAGE(X8,H8,I8,J8,G8,K8,L8,M8,N8,O8,P8,Q8,R8,S8,T8,U8,V8,W8,Y8)</f>
        <v>5.5789473684210522</v>
      </c>
      <c r="G8" s="330">
        <v>7</v>
      </c>
      <c r="H8" s="69">
        <v>6</v>
      </c>
      <c r="I8" s="57">
        <v>6</v>
      </c>
      <c r="J8" s="128">
        <v>5</v>
      </c>
      <c r="K8" s="108">
        <v>5</v>
      </c>
      <c r="L8" s="57">
        <v>6</v>
      </c>
      <c r="M8" s="66">
        <v>6</v>
      </c>
      <c r="N8" s="108">
        <v>6</v>
      </c>
      <c r="O8" s="69">
        <v>6</v>
      </c>
      <c r="P8" s="70">
        <v>6</v>
      </c>
      <c r="Q8" s="69">
        <v>6</v>
      </c>
      <c r="R8" s="128">
        <v>5</v>
      </c>
      <c r="S8" s="128">
        <v>4</v>
      </c>
      <c r="T8" s="57">
        <v>6</v>
      </c>
      <c r="U8" s="69">
        <v>5</v>
      </c>
      <c r="V8" s="283">
        <v>7</v>
      </c>
      <c r="W8" s="57">
        <v>5</v>
      </c>
      <c r="X8" s="128">
        <v>5</v>
      </c>
      <c r="Y8" s="128">
        <v>4</v>
      </c>
      <c r="Z8" s="128"/>
      <c r="AA8" s="108"/>
      <c r="AB8" s="128"/>
      <c r="AC8" s="128"/>
      <c r="AD8" s="128"/>
      <c r="AE8" s="38"/>
      <c r="AF8" s="128"/>
      <c r="AG8" s="128"/>
      <c r="AH8" s="38"/>
      <c r="AI8" s="128"/>
      <c r="AJ8" s="62"/>
      <c r="AK8" s="38"/>
      <c r="AL8" s="38"/>
      <c r="AM8" s="108"/>
      <c r="AN8" s="38"/>
      <c r="AO8" s="38"/>
      <c r="AP8" s="38"/>
      <c r="AQ8" s="38"/>
      <c r="AR8" s="38"/>
    </row>
    <row r="9" spans="1:44" x14ac:dyDescent="0.25">
      <c r="A9" s="14" t="s">
        <v>8</v>
      </c>
      <c r="B9" s="216" t="s">
        <v>438</v>
      </c>
      <c r="C9" s="170"/>
      <c r="D9" s="171"/>
      <c r="E9" s="172"/>
      <c r="F9" s="114"/>
      <c r="G9" s="198"/>
      <c r="H9" s="128"/>
      <c r="I9" s="108"/>
      <c r="J9" s="128"/>
      <c r="K9" s="108"/>
      <c r="L9" s="108"/>
      <c r="M9" s="38"/>
      <c r="N9" s="108"/>
      <c r="O9" s="128"/>
      <c r="P9" s="70"/>
      <c r="Q9" s="128"/>
      <c r="R9" s="128"/>
      <c r="S9" s="128"/>
      <c r="T9" s="108"/>
      <c r="U9" s="128"/>
      <c r="V9" s="128"/>
      <c r="W9" s="108"/>
      <c r="X9" s="128"/>
      <c r="Y9" s="128"/>
      <c r="Z9" s="128"/>
      <c r="AA9" s="108"/>
      <c r="AB9" s="128"/>
      <c r="AC9" s="128"/>
      <c r="AD9" s="128"/>
      <c r="AE9" s="38"/>
      <c r="AF9" s="128"/>
      <c r="AG9" s="128"/>
      <c r="AH9" s="38"/>
      <c r="AI9" s="128"/>
      <c r="AJ9" s="62"/>
      <c r="AK9" s="38"/>
      <c r="AL9" s="38"/>
      <c r="AM9" s="108"/>
      <c r="AN9" s="38"/>
      <c r="AO9" s="38"/>
      <c r="AP9" s="38"/>
      <c r="AQ9" s="38"/>
      <c r="AR9" s="38"/>
    </row>
    <row r="10" spans="1:44" x14ac:dyDescent="0.25">
      <c r="A10" s="141" t="s">
        <v>11</v>
      </c>
      <c r="B10" s="40" t="s">
        <v>439</v>
      </c>
      <c r="C10" s="166">
        <v>2</v>
      </c>
      <c r="D10" s="168">
        <v>1</v>
      </c>
      <c r="E10" s="164"/>
      <c r="F10" s="52">
        <f>AVERAGE(N10,W10,X10)</f>
        <v>5.333333333333333</v>
      </c>
      <c r="G10" s="213"/>
      <c r="H10" s="128"/>
      <c r="I10" s="108"/>
      <c r="J10" s="128"/>
      <c r="K10" s="108"/>
      <c r="L10" s="108"/>
      <c r="M10" s="38"/>
      <c r="N10" s="108">
        <v>5</v>
      </c>
      <c r="O10" s="128"/>
      <c r="P10" s="70"/>
      <c r="Q10" s="108"/>
      <c r="R10" s="128"/>
      <c r="S10" s="128"/>
      <c r="T10" s="108"/>
      <c r="U10" s="108"/>
      <c r="V10" s="128"/>
      <c r="W10" s="108">
        <v>6</v>
      </c>
      <c r="X10" s="108">
        <v>5</v>
      </c>
      <c r="Y10" s="128"/>
      <c r="Z10" s="128"/>
      <c r="AA10" s="108"/>
      <c r="AB10" s="108"/>
      <c r="AC10" s="108"/>
      <c r="AD10" s="108"/>
      <c r="AE10" s="62"/>
      <c r="AF10" s="108"/>
      <c r="AG10" s="128"/>
      <c r="AH10" s="62"/>
      <c r="AI10" s="128"/>
      <c r="AJ10" s="62"/>
      <c r="AK10" s="38"/>
      <c r="AL10" s="38"/>
      <c r="AM10" s="108"/>
      <c r="AN10" s="38"/>
      <c r="AO10" s="38"/>
      <c r="AP10" s="38"/>
      <c r="AQ10" s="38"/>
      <c r="AR10" s="38"/>
    </row>
    <row r="11" spans="1:44" x14ac:dyDescent="0.25">
      <c r="A11" s="141" t="s">
        <v>11</v>
      </c>
      <c r="B11" s="77" t="s">
        <v>440</v>
      </c>
      <c r="C11" s="166">
        <v>3</v>
      </c>
      <c r="D11" s="168">
        <v>5</v>
      </c>
      <c r="E11" s="164"/>
      <c r="F11" s="129">
        <f>AVERAGE(N11,T11,W11)</f>
        <v>4.666666666666667</v>
      </c>
      <c r="G11" s="213"/>
      <c r="H11" s="128"/>
      <c r="I11" s="108"/>
      <c r="J11" s="128"/>
      <c r="K11" s="108"/>
      <c r="L11" s="108"/>
      <c r="M11" s="62" t="s">
        <v>153</v>
      </c>
      <c r="N11" s="108">
        <v>5</v>
      </c>
      <c r="O11" s="128"/>
      <c r="P11" s="204" t="s">
        <v>153</v>
      </c>
      <c r="Q11" s="204" t="s">
        <v>153</v>
      </c>
      <c r="R11" s="128"/>
      <c r="S11" s="108"/>
      <c r="T11" s="108">
        <v>4</v>
      </c>
      <c r="U11" s="128"/>
      <c r="V11" s="204" t="s">
        <v>153</v>
      </c>
      <c r="W11" s="108">
        <v>5</v>
      </c>
      <c r="X11" s="204" t="s">
        <v>153</v>
      </c>
      <c r="Y11" s="128"/>
      <c r="Z11" s="128"/>
      <c r="AA11" s="108"/>
      <c r="AB11" s="128"/>
      <c r="AC11" s="128"/>
      <c r="AD11" s="128"/>
      <c r="AE11" s="38"/>
      <c r="AF11" s="128"/>
      <c r="AG11" s="128"/>
      <c r="AH11" s="38"/>
      <c r="AI11" s="128"/>
      <c r="AJ11" s="62"/>
      <c r="AK11" s="38"/>
      <c r="AL11" s="38"/>
      <c r="AM11" s="108"/>
      <c r="AN11" s="38"/>
      <c r="AO11" s="38"/>
      <c r="AP11" s="38"/>
      <c r="AQ11" s="38"/>
      <c r="AR11" s="38"/>
    </row>
    <row r="12" spans="1:44" x14ac:dyDescent="0.25">
      <c r="A12" s="141" t="s">
        <v>11</v>
      </c>
      <c r="B12" s="77" t="s">
        <v>371</v>
      </c>
      <c r="C12" s="166"/>
      <c r="D12" s="168"/>
      <c r="E12" s="164"/>
      <c r="F12" s="129"/>
      <c r="G12" s="213"/>
      <c r="H12" s="128"/>
      <c r="I12" s="108"/>
      <c r="J12" s="128"/>
      <c r="K12" s="108"/>
      <c r="L12" s="57"/>
      <c r="M12" s="38"/>
      <c r="N12" s="108"/>
      <c r="O12" s="128"/>
      <c r="P12" s="70"/>
      <c r="Q12" s="128"/>
      <c r="R12" s="69"/>
      <c r="S12" s="128"/>
      <c r="T12" s="108"/>
      <c r="U12" s="128"/>
      <c r="V12" s="128"/>
      <c r="W12" s="108"/>
      <c r="X12" s="128"/>
      <c r="Y12" s="128"/>
      <c r="Z12" s="128"/>
      <c r="AA12" s="108"/>
      <c r="AB12" s="128"/>
      <c r="AC12" s="128"/>
      <c r="AD12" s="128"/>
      <c r="AE12" s="38"/>
      <c r="AF12" s="128"/>
      <c r="AG12" s="128"/>
      <c r="AH12" s="38"/>
      <c r="AI12" s="128"/>
      <c r="AJ12" s="62"/>
      <c r="AK12" s="38"/>
      <c r="AL12" s="38"/>
      <c r="AM12" s="108"/>
      <c r="AN12" s="38"/>
      <c r="AO12" s="38"/>
      <c r="AP12" s="38"/>
      <c r="AQ12" s="38"/>
      <c r="AR12" s="62"/>
    </row>
    <row r="13" spans="1:44" x14ac:dyDescent="0.25">
      <c r="A13" s="141" t="s">
        <v>11</v>
      </c>
      <c r="B13" s="77" t="s">
        <v>441</v>
      </c>
      <c r="C13" s="166">
        <v>18</v>
      </c>
      <c r="D13" s="168"/>
      <c r="E13" s="164">
        <v>2</v>
      </c>
      <c r="F13" s="129">
        <f>AVERAGE(X13,T13,H13,I13,J13,G13,K13,L13,M13,N13,O13,P13,Q13,R13,U13,W13,V13,Y13)</f>
        <v>5</v>
      </c>
      <c r="G13" s="213">
        <v>5</v>
      </c>
      <c r="H13" s="128">
        <v>5</v>
      </c>
      <c r="I13" s="108">
        <v>5</v>
      </c>
      <c r="J13" s="128">
        <v>5</v>
      </c>
      <c r="K13" s="108">
        <v>4</v>
      </c>
      <c r="L13" s="108">
        <v>5</v>
      </c>
      <c r="M13" s="38">
        <v>5</v>
      </c>
      <c r="N13" s="57">
        <v>6</v>
      </c>
      <c r="O13" s="128">
        <v>5</v>
      </c>
      <c r="P13" s="70">
        <v>5</v>
      </c>
      <c r="Q13" s="128">
        <v>5</v>
      </c>
      <c r="R13" s="128">
        <v>4</v>
      </c>
      <c r="S13" s="128"/>
      <c r="T13" s="108">
        <v>5</v>
      </c>
      <c r="U13" s="128">
        <v>5</v>
      </c>
      <c r="V13" s="128">
        <v>6</v>
      </c>
      <c r="W13" s="108">
        <v>5</v>
      </c>
      <c r="X13" s="69">
        <v>6</v>
      </c>
      <c r="Y13" s="128">
        <v>4</v>
      </c>
      <c r="Z13" s="128"/>
      <c r="AA13" s="108"/>
      <c r="AB13" s="108"/>
      <c r="AC13" s="128"/>
      <c r="AD13" s="128"/>
      <c r="AE13" s="62"/>
      <c r="AF13" s="128"/>
      <c r="AG13" s="128"/>
      <c r="AH13" s="38"/>
      <c r="AI13" s="128"/>
      <c r="AJ13" s="62"/>
      <c r="AK13" s="38"/>
      <c r="AL13" s="38"/>
      <c r="AM13" s="108"/>
      <c r="AN13" s="38"/>
      <c r="AO13" s="38"/>
      <c r="AP13" s="38"/>
      <c r="AQ13" s="38"/>
      <c r="AR13" s="38"/>
    </row>
    <row r="14" spans="1:44" x14ac:dyDescent="0.25">
      <c r="A14" s="141" t="s">
        <v>11</v>
      </c>
      <c r="B14" s="77" t="s">
        <v>456</v>
      </c>
      <c r="C14" s="166"/>
      <c r="D14" s="168"/>
      <c r="E14" s="164"/>
      <c r="F14" s="129"/>
      <c r="G14" s="213"/>
      <c r="H14" s="128"/>
      <c r="I14" s="108"/>
      <c r="J14" s="128"/>
      <c r="K14" s="108"/>
      <c r="L14" s="108"/>
      <c r="M14" s="38"/>
      <c r="N14" s="108"/>
      <c r="O14" s="128"/>
      <c r="P14" s="70"/>
      <c r="Q14" s="128"/>
      <c r="R14" s="128"/>
      <c r="S14" s="128"/>
      <c r="T14" s="108"/>
      <c r="U14" s="128"/>
      <c r="V14" s="69"/>
      <c r="W14" s="108"/>
      <c r="X14" s="128"/>
      <c r="Y14" s="128"/>
      <c r="Z14" s="128"/>
      <c r="AA14" s="57"/>
      <c r="AB14" s="128"/>
      <c r="AC14" s="128"/>
      <c r="AD14" s="128"/>
      <c r="AE14" s="38"/>
      <c r="AF14" s="128"/>
      <c r="AG14" s="128"/>
      <c r="AH14" s="62"/>
      <c r="AI14" s="128"/>
      <c r="AJ14" s="62"/>
      <c r="AK14" s="38"/>
      <c r="AL14" s="62"/>
      <c r="AM14" s="108"/>
      <c r="AN14" s="38"/>
      <c r="AO14" s="38"/>
      <c r="AP14" s="38"/>
      <c r="AQ14" s="38"/>
      <c r="AR14" s="38"/>
    </row>
    <row r="15" spans="1:44" x14ac:dyDescent="0.25">
      <c r="A15" s="141" t="s">
        <v>11</v>
      </c>
      <c r="B15" s="40" t="s">
        <v>457</v>
      </c>
      <c r="C15" s="166">
        <v>18</v>
      </c>
      <c r="D15" s="168"/>
      <c r="E15" s="164">
        <v>1</v>
      </c>
      <c r="F15" s="129">
        <f>AVERAGE(X15,T15,H15,I15,G15,K15,L15,M15,N15,O15,P15,Q15,R15,S15,U15,V15,W15,Y15)</f>
        <v>4.833333333333333</v>
      </c>
      <c r="G15" s="213">
        <v>5</v>
      </c>
      <c r="H15" s="128">
        <v>5</v>
      </c>
      <c r="I15" s="108">
        <v>4</v>
      </c>
      <c r="J15" s="128"/>
      <c r="K15" s="302">
        <v>3</v>
      </c>
      <c r="L15" s="108">
        <v>6</v>
      </c>
      <c r="M15" s="38">
        <v>5</v>
      </c>
      <c r="N15" s="108">
        <v>5</v>
      </c>
      <c r="O15" s="128">
        <v>5</v>
      </c>
      <c r="P15" s="70">
        <v>4</v>
      </c>
      <c r="Q15" s="128">
        <v>5</v>
      </c>
      <c r="R15" s="128">
        <v>4</v>
      </c>
      <c r="S15" s="128">
        <v>4</v>
      </c>
      <c r="T15" s="108">
        <v>5</v>
      </c>
      <c r="U15" s="283">
        <v>7</v>
      </c>
      <c r="V15" s="70">
        <v>5</v>
      </c>
      <c r="W15" s="108">
        <v>5</v>
      </c>
      <c r="X15" s="128">
        <v>5</v>
      </c>
      <c r="Y15" s="128">
        <v>5</v>
      </c>
      <c r="Z15" s="128"/>
      <c r="AA15" s="57"/>
      <c r="AB15" s="128"/>
      <c r="AC15" s="128"/>
      <c r="AD15" s="128"/>
      <c r="AE15" s="38"/>
      <c r="AF15" s="128"/>
      <c r="AG15" s="128"/>
      <c r="AH15" s="62"/>
      <c r="AI15" s="128"/>
      <c r="AJ15" s="62"/>
      <c r="AK15" s="38"/>
      <c r="AL15" s="62"/>
      <c r="AM15" s="108"/>
      <c r="AN15" s="38"/>
      <c r="AO15" s="38"/>
      <c r="AP15" s="38"/>
      <c r="AQ15" s="38"/>
      <c r="AR15" s="38"/>
    </row>
    <row r="16" spans="1:44" x14ac:dyDescent="0.25">
      <c r="A16" s="141" t="s">
        <v>11</v>
      </c>
      <c r="B16" s="40" t="s">
        <v>425</v>
      </c>
      <c r="C16" s="166">
        <v>19</v>
      </c>
      <c r="D16" s="168"/>
      <c r="E16" s="164"/>
      <c r="F16" s="129">
        <f>AVERAGE(X16,T16,H16,I16,J16,G16,K16,L16,M16,N16,O16,P16,Q16,R16,S16,U16,V16,W16,Y16)</f>
        <v>5.0526315789473681</v>
      </c>
      <c r="G16" s="213">
        <v>6</v>
      </c>
      <c r="H16" s="128">
        <v>5</v>
      </c>
      <c r="I16" s="108">
        <v>6</v>
      </c>
      <c r="J16" s="128">
        <v>4</v>
      </c>
      <c r="K16" s="108">
        <v>4</v>
      </c>
      <c r="L16" s="108">
        <v>5</v>
      </c>
      <c r="M16" s="38">
        <v>6</v>
      </c>
      <c r="N16" s="108">
        <v>5</v>
      </c>
      <c r="O16" s="128">
        <v>5</v>
      </c>
      <c r="P16" s="70">
        <v>4</v>
      </c>
      <c r="Q16" s="128">
        <v>5</v>
      </c>
      <c r="R16" s="128">
        <v>4</v>
      </c>
      <c r="S16" s="128">
        <v>5</v>
      </c>
      <c r="T16" s="108">
        <v>6</v>
      </c>
      <c r="U16" s="128">
        <v>5</v>
      </c>
      <c r="V16" s="70">
        <v>5</v>
      </c>
      <c r="W16" s="108">
        <v>6</v>
      </c>
      <c r="X16" s="128">
        <v>5</v>
      </c>
      <c r="Y16" s="128">
        <v>5</v>
      </c>
      <c r="Z16" s="128"/>
      <c r="AA16" s="57"/>
      <c r="AB16" s="128"/>
      <c r="AC16" s="128"/>
      <c r="AD16" s="128"/>
      <c r="AE16" s="38"/>
      <c r="AF16" s="128"/>
      <c r="AG16" s="128"/>
      <c r="AH16" s="62"/>
      <c r="AI16" s="128"/>
      <c r="AJ16" s="62"/>
      <c r="AK16" s="38"/>
      <c r="AL16" s="62"/>
      <c r="AM16" s="108"/>
      <c r="AN16" s="38"/>
      <c r="AO16" s="38"/>
      <c r="AP16" s="38"/>
      <c r="AQ16" s="38"/>
      <c r="AR16" s="38"/>
    </row>
    <row r="17" spans="1:44" x14ac:dyDescent="0.25">
      <c r="A17" s="14" t="s">
        <v>11</v>
      </c>
      <c r="B17" s="51" t="s">
        <v>316</v>
      </c>
      <c r="C17" s="170"/>
      <c r="D17" s="171"/>
      <c r="E17" s="153"/>
      <c r="F17" s="129"/>
      <c r="G17" s="213"/>
      <c r="H17" s="128"/>
      <c r="I17" s="108"/>
      <c r="J17" s="128"/>
      <c r="K17" s="108"/>
      <c r="L17" s="108"/>
      <c r="M17" s="38"/>
      <c r="N17" s="108"/>
      <c r="O17" s="128"/>
      <c r="P17" s="70"/>
      <c r="Q17" s="128"/>
      <c r="R17" s="128"/>
      <c r="S17" s="128"/>
      <c r="T17" s="108"/>
      <c r="U17" s="128"/>
      <c r="V17" s="128"/>
      <c r="W17" s="108"/>
      <c r="X17" s="128"/>
      <c r="Y17" s="128"/>
      <c r="Z17" s="128"/>
      <c r="AA17" s="108"/>
      <c r="AB17" s="128"/>
      <c r="AC17" s="128"/>
      <c r="AD17" s="128"/>
      <c r="AE17" s="38"/>
      <c r="AF17" s="128"/>
      <c r="AG17" s="128"/>
      <c r="AH17" s="38"/>
      <c r="AI17" s="128"/>
      <c r="AJ17" s="62"/>
      <c r="AK17" s="38"/>
      <c r="AL17" s="38"/>
      <c r="AM17" s="108"/>
      <c r="AN17" s="38"/>
      <c r="AO17" s="38"/>
      <c r="AP17" s="38"/>
      <c r="AQ17" s="38"/>
      <c r="AR17" s="38"/>
    </row>
    <row r="18" spans="1:44" x14ac:dyDescent="0.25">
      <c r="A18" s="141" t="s">
        <v>29</v>
      </c>
      <c r="B18" s="77" t="s">
        <v>442</v>
      </c>
      <c r="C18" s="166">
        <v>3</v>
      </c>
      <c r="D18" s="168">
        <v>7</v>
      </c>
      <c r="E18" s="164"/>
      <c r="F18" s="52">
        <f>AVERAGE(M18,P18,S18,W18)</f>
        <v>4.75</v>
      </c>
      <c r="G18" s="56"/>
      <c r="H18" s="128"/>
      <c r="I18" s="57"/>
      <c r="J18" s="128"/>
      <c r="K18" s="108" t="s">
        <v>153</v>
      </c>
      <c r="L18" s="108" t="s">
        <v>153</v>
      </c>
      <c r="M18" s="38">
        <v>5</v>
      </c>
      <c r="N18" s="108" t="s">
        <v>153</v>
      </c>
      <c r="O18" s="108" t="s">
        <v>153</v>
      </c>
      <c r="P18" s="70">
        <v>4</v>
      </c>
      <c r="Q18" s="128"/>
      <c r="R18" s="128"/>
      <c r="S18" s="128">
        <v>5</v>
      </c>
      <c r="T18" s="108"/>
      <c r="U18" s="108" t="s">
        <v>153</v>
      </c>
      <c r="V18" s="128"/>
      <c r="W18" s="108">
        <v>5</v>
      </c>
      <c r="X18" s="108"/>
      <c r="Y18" s="108" t="s">
        <v>153</v>
      </c>
      <c r="Z18" s="128"/>
      <c r="AA18" s="108"/>
      <c r="AB18" s="128"/>
      <c r="AC18" s="128"/>
      <c r="AD18" s="128"/>
      <c r="AE18" s="66"/>
      <c r="AF18" s="69"/>
      <c r="AG18" s="128"/>
      <c r="AH18" s="38"/>
      <c r="AI18" s="69"/>
      <c r="AJ18" s="62"/>
      <c r="AK18" s="38"/>
      <c r="AL18" s="38"/>
      <c r="AM18" s="108"/>
      <c r="AN18" s="38"/>
      <c r="AO18" s="38"/>
      <c r="AP18" s="62"/>
      <c r="AQ18" s="62"/>
      <c r="AR18" s="66"/>
    </row>
    <row r="19" spans="1:44" x14ac:dyDescent="0.25">
      <c r="A19" s="141" t="s">
        <v>29</v>
      </c>
      <c r="B19" s="40" t="s">
        <v>134</v>
      </c>
      <c r="C19" s="166">
        <v>17</v>
      </c>
      <c r="D19" s="168"/>
      <c r="E19" s="164">
        <v>2</v>
      </c>
      <c r="F19" s="129">
        <f>AVERAGE(X19,H19,I19,J19,G19,K19,L19,M19,N19,O19,P19,Q19,R19,S19,U19,V19,W19)</f>
        <v>4.6470588235294121</v>
      </c>
      <c r="G19" s="330">
        <v>7</v>
      </c>
      <c r="H19" s="128">
        <v>5</v>
      </c>
      <c r="I19" s="108">
        <v>5</v>
      </c>
      <c r="J19" s="128">
        <v>4</v>
      </c>
      <c r="K19" s="108">
        <v>4</v>
      </c>
      <c r="L19" s="108">
        <v>5</v>
      </c>
      <c r="M19" s="38">
        <v>4</v>
      </c>
      <c r="N19" s="108">
        <v>4</v>
      </c>
      <c r="O19" s="128">
        <v>4</v>
      </c>
      <c r="P19" s="69">
        <v>6</v>
      </c>
      <c r="Q19" s="128">
        <v>4</v>
      </c>
      <c r="R19" s="128">
        <v>4</v>
      </c>
      <c r="S19" s="128">
        <v>4</v>
      </c>
      <c r="T19" s="108"/>
      <c r="U19" s="128">
        <v>5</v>
      </c>
      <c r="V19" s="128">
        <v>5</v>
      </c>
      <c r="W19" s="108">
        <v>5</v>
      </c>
      <c r="X19" s="128">
        <v>4</v>
      </c>
      <c r="Y19" s="57"/>
      <c r="Z19" s="128"/>
      <c r="AA19" s="108"/>
      <c r="AB19" s="69"/>
      <c r="AC19" s="69"/>
      <c r="AD19" s="69"/>
      <c r="AE19" s="38"/>
      <c r="AF19" s="69"/>
      <c r="AG19" s="128"/>
      <c r="AH19" s="38"/>
      <c r="AI19" s="128"/>
      <c r="AJ19" s="62"/>
      <c r="AK19" s="38"/>
      <c r="AL19" s="38"/>
      <c r="AM19" s="108"/>
      <c r="AN19" s="38"/>
      <c r="AO19" s="38"/>
      <c r="AP19" s="62"/>
      <c r="AQ19" s="62"/>
      <c r="AR19" s="38"/>
    </row>
    <row r="20" spans="1:44" x14ac:dyDescent="0.25">
      <c r="A20" s="141" t="s">
        <v>29</v>
      </c>
      <c r="B20" s="77" t="s">
        <v>443</v>
      </c>
      <c r="C20" s="166"/>
      <c r="D20" s="168">
        <v>5</v>
      </c>
      <c r="E20" s="164"/>
      <c r="F20" s="129"/>
      <c r="G20" s="198"/>
      <c r="H20" s="61"/>
      <c r="I20" s="67"/>
      <c r="J20" s="128"/>
      <c r="K20" s="108"/>
      <c r="L20" s="108"/>
      <c r="M20" s="62" t="s">
        <v>153</v>
      </c>
      <c r="N20" s="108" t="s">
        <v>153</v>
      </c>
      <c r="O20" s="128"/>
      <c r="P20" s="70"/>
      <c r="Q20" s="128"/>
      <c r="R20" s="108" t="s">
        <v>153</v>
      </c>
      <c r="S20" s="128"/>
      <c r="T20" s="108" t="s">
        <v>153</v>
      </c>
      <c r="U20" s="128"/>
      <c r="V20" s="204" t="s">
        <v>153</v>
      </c>
      <c r="W20" s="108"/>
      <c r="X20" s="128"/>
      <c r="Y20" s="128"/>
      <c r="Z20" s="128"/>
      <c r="AA20" s="108"/>
      <c r="AB20" s="128"/>
      <c r="AC20" s="128"/>
      <c r="AD20" s="128"/>
      <c r="AE20" s="38"/>
      <c r="AF20" s="128"/>
      <c r="AG20" s="128"/>
      <c r="AH20" s="38"/>
      <c r="AI20" s="128"/>
      <c r="AJ20" s="62"/>
      <c r="AK20" s="38"/>
      <c r="AL20" s="38"/>
      <c r="AM20" s="108"/>
      <c r="AN20" s="38"/>
      <c r="AO20" s="38"/>
      <c r="AP20" s="38"/>
      <c r="AQ20" s="38"/>
      <c r="AR20" s="38"/>
    </row>
    <row r="21" spans="1:44" x14ac:dyDescent="0.25">
      <c r="A21" s="141" t="s">
        <v>29</v>
      </c>
      <c r="B21" s="40" t="s">
        <v>444</v>
      </c>
      <c r="C21" s="166"/>
      <c r="D21" s="168"/>
      <c r="E21" s="164"/>
      <c r="F21" s="129"/>
      <c r="G21" s="198"/>
      <c r="H21" s="204"/>
      <c r="I21" s="57"/>
      <c r="J21" s="128"/>
      <c r="K21" s="108"/>
      <c r="L21" s="108"/>
      <c r="M21" s="38"/>
      <c r="N21" s="108"/>
      <c r="O21" s="128"/>
      <c r="P21" s="70"/>
      <c r="Q21" s="128"/>
      <c r="R21" s="128"/>
      <c r="S21" s="128"/>
      <c r="T21" s="108"/>
      <c r="U21" s="128"/>
      <c r="V21" s="108"/>
      <c r="W21" s="108"/>
      <c r="X21" s="128"/>
      <c r="Y21" s="128"/>
      <c r="Z21" s="128"/>
      <c r="AA21" s="108"/>
      <c r="AB21" s="128"/>
      <c r="AC21" s="128"/>
      <c r="AD21" s="128"/>
      <c r="AE21" s="38"/>
      <c r="AF21" s="128"/>
      <c r="AG21" s="128"/>
      <c r="AH21" s="38"/>
      <c r="AI21" s="128"/>
      <c r="AJ21" s="62"/>
      <c r="AK21" s="38"/>
      <c r="AL21" s="38"/>
      <c r="AM21" s="108"/>
      <c r="AN21" s="38"/>
      <c r="AO21" s="38"/>
      <c r="AP21" s="38"/>
      <c r="AQ21" s="38"/>
      <c r="AR21" s="38"/>
    </row>
    <row r="22" spans="1:44" x14ac:dyDescent="0.25">
      <c r="A22" s="141" t="s">
        <v>29</v>
      </c>
      <c r="B22" s="40" t="s">
        <v>447</v>
      </c>
      <c r="C22" s="166">
        <v>19</v>
      </c>
      <c r="D22" s="168"/>
      <c r="E22" s="164">
        <v>3</v>
      </c>
      <c r="F22" s="129">
        <f>AVERAGE(X22,T22,H22,I22,J22,G22,K22,L22,M22,N22,O22,P22,Q22,R22,S22,U22,V22,Y22)</f>
        <v>5.5</v>
      </c>
      <c r="G22" s="331">
        <v>7</v>
      </c>
      <c r="H22" s="128">
        <v>6</v>
      </c>
      <c r="I22" s="108">
        <v>5</v>
      </c>
      <c r="J22" s="57">
        <v>6</v>
      </c>
      <c r="K22" s="108">
        <v>4</v>
      </c>
      <c r="L22" s="294">
        <v>7</v>
      </c>
      <c r="M22" s="62">
        <v>6</v>
      </c>
      <c r="N22" s="294">
        <v>7</v>
      </c>
      <c r="O22" s="108">
        <v>6</v>
      </c>
      <c r="P22" s="108">
        <v>5</v>
      </c>
      <c r="Q22" s="128">
        <v>5</v>
      </c>
      <c r="R22" s="128">
        <v>5</v>
      </c>
      <c r="S22" s="128">
        <v>6</v>
      </c>
      <c r="T22" s="108">
        <v>5</v>
      </c>
      <c r="U22" s="108">
        <v>5</v>
      </c>
      <c r="V22" s="128">
        <v>5</v>
      </c>
      <c r="W22" s="108" t="s">
        <v>546</v>
      </c>
      <c r="X22" s="128">
        <v>4</v>
      </c>
      <c r="Y22" s="128">
        <v>5</v>
      </c>
      <c r="Z22" s="128"/>
      <c r="AA22" s="108"/>
      <c r="AB22" s="128"/>
      <c r="AC22" s="108"/>
      <c r="AD22" s="128"/>
      <c r="AE22" s="38"/>
      <c r="AF22" s="108"/>
      <c r="AG22" s="128"/>
      <c r="AH22" s="62"/>
      <c r="AI22" s="128"/>
      <c r="AJ22" s="62"/>
      <c r="AK22" s="67"/>
      <c r="AL22" s="62"/>
      <c r="AM22" s="108"/>
      <c r="AN22" s="38"/>
      <c r="AO22" s="62"/>
      <c r="AP22" s="62"/>
      <c r="AQ22" s="38"/>
      <c r="AR22" s="62"/>
    </row>
    <row r="23" spans="1:44" x14ac:dyDescent="0.25">
      <c r="A23" s="141" t="s">
        <v>29</v>
      </c>
      <c r="B23" s="77" t="s">
        <v>445</v>
      </c>
      <c r="C23" s="166"/>
      <c r="D23" s="168"/>
      <c r="E23" s="164"/>
      <c r="F23" s="129"/>
      <c r="G23" s="213"/>
      <c r="H23" s="128"/>
      <c r="I23" s="108"/>
      <c r="J23" s="128"/>
      <c r="K23" s="108"/>
      <c r="L23" s="108"/>
      <c r="M23" s="38"/>
      <c r="N23" s="108"/>
      <c r="O23" s="128"/>
      <c r="P23" s="70"/>
      <c r="Q23" s="128"/>
      <c r="R23" s="128"/>
      <c r="S23" s="128"/>
      <c r="T23" s="108"/>
      <c r="U23" s="128"/>
      <c r="V23" s="128"/>
      <c r="W23" s="108"/>
      <c r="X23" s="128"/>
      <c r="Y23" s="128"/>
      <c r="Z23" s="128"/>
      <c r="AA23" s="108"/>
      <c r="AB23" s="128"/>
      <c r="AC23" s="128"/>
      <c r="AD23" s="128"/>
      <c r="AE23" s="38"/>
      <c r="AF23" s="128"/>
      <c r="AG23" s="128"/>
      <c r="AH23" s="38"/>
      <c r="AI23" s="128"/>
      <c r="AJ23" s="62"/>
      <c r="AK23" s="38"/>
      <c r="AL23" s="38"/>
      <c r="AM23" s="108"/>
      <c r="AN23" s="38"/>
      <c r="AO23" s="38"/>
      <c r="AP23" s="38"/>
      <c r="AQ23" s="38"/>
      <c r="AR23" s="38"/>
    </row>
    <row r="24" spans="1:44" x14ac:dyDescent="0.25">
      <c r="A24" s="141" t="s">
        <v>29</v>
      </c>
      <c r="B24" s="77" t="s">
        <v>449</v>
      </c>
      <c r="C24" s="166"/>
      <c r="D24" s="168"/>
      <c r="E24" s="164"/>
      <c r="F24" s="129"/>
      <c r="G24" s="213"/>
      <c r="H24" s="128"/>
      <c r="I24" s="108"/>
      <c r="J24" s="128"/>
      <c r="K24" s="108"/>
      <c r="L24" s="108"/>
      <c r="M24" s="38"/>
      <c r="N24" s="108"/>
      <c r="O24" s="128"/>
      <c r="P24" s="70"/>
      <c r="Q24" s="128"/>
      <c r="R24" s="128"/>
      <c r="S24" s="128"/>
      <c r="T24" s="108"/>
      <c r="U24" s="128"/>
      <c r="V24" s="128"/>
      <c r="W24" s="108"/>
      <c r="X24" s="128"/>
      <c r="Y24" s="128"/>
      <c r="Z24" s="128"/>
      <c r="AA24" s="108"/>
      <c r="AB24" s="128"/>
      <c r="AC24" s="128"/>
      <c r="AD24" s="128"/>
      <c r="AE24" s="38"/>
      <c r="AF24" s="128"/>
      <c r="AG24" s="128"/>
      <c r="AH24" s="38"/>
      <c r="AI24" s="128"/>
      <c r="AJ24" s="62"/>
      <c r="AK24" s="38"/>
      <c r="AL24" s="38"/>
      <c r="AM24" s="108"/>
      <c r="AN24" s="38"/>
      <c r="AO24" s="38"/>
      <c r="AP24" s="38"/>
      <c r="AQ24" s="38"/>
      <c r="AR24" s="38"/>
    </row>
    <row r="25" spans="1:44" x14ac:dyDescent="0.25">
      <c r="A25" s="141" t="s">
        <v>29</v>
      </c>
      <c r="B25" s="77" t="s">
        <v>448</v>
      </c>
      <c r="C25" s="166">
        <v>1</v>
      </c>
      <c r="D25" s="168">
        <v>2</v>
      </c>
      <c r="E25" s="164"/>
      <c r="F25" s="129">
        <f>AVERAGE(I25,J25)</f>
        <v>4.5</v>
      </c>
      <c r="G25" s="213"/>
      <c r="H25" s="128"/>
      <c r="I25" s="108">
        <v>4</v>
      </c>
      <c r="J25" s="128">
        <v>5</v>
      </c>
      <c r="K25" s="108"/>
      <c r="L25" s="108"/>
      <c r="M25" s="38"/>
      <c r="N25" s="108"/>
      <c r="O25" s="128"/>
      <c r="P25" s="204" t="s">
        <v>153</v>
      </c>
      <c r="Q25" s="128"/>
      <c r="R25" s="128"/>
      <c r="S25" s="128"/>
      <c r="T25" s="108"/>
      <c r="U25" s="128"/>
      <c r="V25" s="128"/>
      <c r="W25" s="108"/>
      <c r="X25" s="128"/>
      <c r="Y25" s="128"/>
      <c r="Z25" s="128"/>
      <c r="AA25" s="108"/>
      <c r="AB25" s="128"/>
      <c r="AC25" s="128"/>
      <c r="AD25" s="128"/>
      <c r="AE25" s="38"/>
      <c r="AF25" s="128"/>
      <c r="AG25" s="128"/>
      <c r="AH25" s="38"/>
      <c r="AI25" s="128"/>
      <c r="AJ25" s="62"/>
      <c r="AK25" s="38"/>
      <c r="AL25" s="38"/>
      <c r="AM25" s="108"/>
      <c r="AN25" s="38"/>
      <c r="AO25" s="38"/>
      <c r="AP25" s="38"/>
      <c r="AQ25" s="38"/>
      <c r="AR25" s="38"/>
    </row>
    <row r="26" spans="1:44" x14ac:dyDescent="0.25">
      <c r="A26" s="141" t="s">
        <v>29</v>
      </c>
      <c r="B26" s="77" t="s">
        <v>446</v>
      </c>
      <c r="C26" s="166">
        <v>17</v>
      </c>
      <c r="D26" s="168"/>
      <c r="E26" s="164"/>
      <c r="F26" s="129">
        <f>AVERAGE(T26,H26,I26,J26,G26,K26,L26,M26,N26,O26,P26,Q26,R26,S26,U26,V26,Y26)</f>
        <v>4.8235294117647056</v>
      </c>
      <c r="G26" s="213">
        <v>5</v>
      </c>
      <c r="H26" s="128">
        <v>5</v>
      </c>
      <c r="I26" s="108">
        <v>5</v>
      </c>
      <c r="J26" s="128">
        <v>5</v>
      </c>
      <c r="K26" s="108">
        <v>4</v>
      </c>
      <c r="L26" s="108">
        <v>5</v>
      </c>
      <c r="M26" s="38">
        <v>5</v>
      </c>
      <c r="N26" s="108">
        <v>4</v>
      </c>
      <c r="O26" s="128">
        <v>5</v>
      </c>
      <c r="P26" s="70">
        <v>5</v>
      </c>
      <c r="Q26" s="128">
        <v>5</v>
      </c>
      <c r="R26" s="128">
        <v>5</v>
      </c>
      <c r="S26" s="128">
        <v>5</v>
      </c>
      <c r="T26" s="108">
        <v>5</v>
      </c>
      <c r="U26" s="128">
        <v>5</v>
      </c>
      <c r="V26" s="128">
        <v>5</v>
      </c>
      <c r="W26" s="108"/>
      <c r="X26" s="128"/>
      <c r="Y26" s="128">
        <v>4</v>
      </c>
      <c r="Z26" s="128"/>
      <c r="AA26" s="108"/>
      <c r="AB26" s="128"/>
      <c r="AC26" s="128"/>
      <c r="AD26" s="128"/>
      <c r="AE26" s="38"/>
      <c r="AF26" s="128"/>
      <c r="AG26" s="128"/>
      <c r="AH26" s="38"/>
      <c r="AI26" s="128"/>
      <c r="AJ26" s="62"/>
      <c r="AK26" s="38"/>
      <c r="AL26" s="38"/>
      <c r="AM26" s="108"/>
      <c r="AN26" s="38"/>
      <c r="AO26" s="38"/>
      <c r="AP26" s="38"/>
      <c r="AQ26" s="38"/>
      <c r="AR26" s="38"/>
    </row>
    <row r="27" spans="1:44" x14ac:dyDescent="0.25">
      <c r="A27" s="141" t="s">
        <v>29</v>
      </c>
      <c r="B27" s="77" t="s">
        <v>460</v>
      </c>
      <c r="C27" s="166">
        <v>1</v>
      </c>
      <c r="D27" s="168">
        <v>11</v>
      </c>
      <c r="E27" s="164"/>
      <c r="F27" s="129">
        <f>AVERAGE(M27)</f>
        <v>4</v>
      </c>
      <c r="G27" s="213" t="s">
        <v>153</v>
      </c>
      <c r="H27" s="128"/>
      <c r="I27" s="108"/>
      <c r="J27" s="108" t="s">
        <v>153</v>
      </c>
      <c r="K27" s="108" t="s">
        <v>153</v>
      </c>
      <c r="L27" s="108"/>
      <c r="M27" s="38">
        <v>4</v>
      </c>
      <c r="N27" s="108"/>
      <c r="O27" s="108" t="s">
        <v>153</v>
      </c>
      <c r="P27" s="70"/>
      <c r="Q27" s="204" t="s">
        <v>153</v>
      </c>
      <c r="R27" s="108" t="s">
        <v>153</v>
      </c>
      <c r="S27" s="128"/>
      <c r="T27" s="108" t="s">
        <v>153</v>
      </c>
      <c r="U27" s="108" t="s">
        <v>153</v>
      </c>
      <c r="V27" s="128"/>
      <c r="W27" s="108" t="s">
        <v>153</v>
      </c>
      <c r="X27" s="204" t="s">
        <v>153</v>
      </c>
      <c r="Y27" s="108" t="s">
        <v>153</v>
      </c>
      <c r="Z27" s="128"/>
      <c r="AA27" s="108"/>
      <c r="AB27" s="128"/>
      <c r="AC27" s="128"/>
      <c r="AD27" s="128"/>
      <c r="AE27" s="38"/>
      <c r="AF27" s="128"/>
      <c r="AG27" s="128"/>
      <c r="AH27" s="38"/>
      <c r="AI27" s="128"/>
      <c r="AJ27" s="62"/>
      <c r="AK27" s="38"/>
      <c r="AL27" s="38"/>
      <c r="AM27" s="108"/>
      <c r="AN27" s="38"/>
      <c r="AO27" s="38"/>
      <c r="AP27" s="38"/>
      <c r="AQ27" s="38"/>
      <c r="AR27" s="38"/>
    </row>
    <row r="28" spans="1:44" x14ac:dyDescent="0.25">
      <c r="A28" s="141" t="s">
        <v>29</v>
      </c>
      <c r="B28" s="77" t="s">
        <v>493</v>
      </c>
      <c r="C28" s="166">
        <v>16</v>
      </c>
      <c r="D28" s="168"/>
      <c r="E28" s="164">
        <v>5</v>
      </c>
      <c r="F28" s="129">
        <f>AVERAGE(X28,H28,I28,J28,G28,O28,P28,Q28,R28,S28,T28,U28,V28,W28,Y28)</f>
        <v>5.333333333333333</v>
      </c>
      <c r="G28" s="213">
        <v>6</v>
      </c>
      <c r="H28" s="128">
        <v>6</v>
      </c>
      <c r="I28" s="294">
        <v>8</v>
      </c>
      <c r="J28" s="302">
        <v>3</v>
      </c>
      <c r="K28" s="108"/>
      <c r="L28" s="108" t="s">
        <v>554</v>
      </c>
      <c r="M28" s="38"/>
      <c r="N28" s="108"/>
      <c r="O28" s="128">
        <v>5</v>
      </c>
      <c r="P28" s="69">
        <v>6</v>
      </c>
      <c r="Q28" s="128">
        <v>5</v>
      </c>
      <c r="R28" s="128">
        <v>4</v>
      </c>
      <c r="S28" s="128">
        <v>4</v>
      </c>
      <c r="T28" s="108">
        <v>6</v>
      </c>
      <c r="U28" s="282">
        <v>7</v>
      </c>
      <c r="V28" s="128">
        <v>5</v>
      </c>
      <c r="W28" s="294">
        <v>7</v>
      </c>
      <c r="X28" s="128">
        <v>5</v>
      </c>
      <c r="Y28" s="303">
        <v>3</v>
      </c>
      <c r="Z28" s="128"/>
      <c r="AA28" s="108"/>
      <c r="AB28" s="128"/>
      <c r="AC28" s="128"/>
      <c r="AD28" s="128"/>
      <c r="AE28" s="38"/>
      <c r="AF28" s="128"/>
      <c r="AG28" s="128"/>
      <c r="AH28" s="38"/>
      <c r="AI28" s="128"/>
      <c r="AJ28" s="62"/>
      <c r="AK28" s="38"/>
      <c r="AL28" s="38"/>
      <c r="AM28" s="108"/>
      <c r="AN28" s="38"/>
      <c r="AO28" s="38"/>
      <c r="AP28" s="38"/>
      <c r="AQ28" s="38"/>
      <c r="AR28" s="38"/>
    </row>
    <row r="29" spans="1:44" x14ac:dyDescent="0.25">
      <c r="A29" s="141" t="s">
        <v>29</v>
      </c>
      <c r="B29" s="77" t="s">
        <v>494</v>
      </c>
      <c r="C29" s="166">
        <v>18</v>
      </c>
      <c r="D29" s="168"/>
      <c r="E29" s="164">
        <v>1</v>
      </c>
      <c r="F29" s="129">
        <f>AVERAGE(X29,H29,I29,J29,G29,L29,K29,M29,N29,O29,Q29,R29,S29,T29,U29,V29,W29,Y29)</f>
        <v>5.1111111111111107</v>
      </c>
      <c r="G29" s="213">
        <v>5</v>
      </c>
      <c r="H29" s="128">
        <v>5</v>
      </c>
      <c r="I29" s="108">
        <v>5</v>
      </c>
      <c r="J29" s="108">
        <v>4</v>
      </c>
      <c r="K29" s="294">
        <v>7</v>
      </c>
      <c r="L29" s="108">
        <v>5</v>
      </c>
      <c r="M29" s="38">
        <v>5</v>
      </c>
      <c r="N29" s="108">
        <v>4</v>
      </c>
      <c r="O29" s="128">
        <v>5</v>
      </c>
      <c r="P29" s="70"/>
      <c r="Q29" s="128">
        <v>6</v>
      </c>
      <c r="R29" s="128">
        <v>5</v>
      </c>
      <c r="S29" s="128">
        <v>5</v>
      </c>
      <c r="T29" s="108">
        <v>6</v>
      </c>
      <c r="U29" s="128">
        <v>6</v>
      </c>
      <c r="V29" s="128">
        <v>5</v>
      </c>
      <c r="W29" s="108">
        <v>5</v>
      </c>
      <c r="X29" s="128">
        <v>5</v>
      </c>
      <c r="Y29" s="128">
        <v>4</v>
      </c>
      <c r="Z29" s="128"/>
      <c r="AA29" s="108"/>
      <c r="AB29" s="128"/>
      <c r="AC29" s="128"/>
      <c r="AD29" s="128"/>
      <c r="AE29" s="38"/>
      <c r="AF29" s="128"/>
      <c r="AG29" s="128"/>
      <c r="AH29" s="38"/>
      <c r="AI29" s="128"/>
      <c r="AJ29" s="62"/>
      <c r="AK29" s="38"/>
      <c r="AL29" s="38"/>
      <c r="AM29" s="108"/>
      <c r="AN29" s="38"/>
      <c r="AO29" s="38"/>
      <c r="AP29" s="38"/>
      <c r="AQ29" s="38"/>
      <c r="AR29" s="38"/>
    </row>
    <row r="30" spans="1:44" x14ac:dyDescent="0.25">
      <c r="A30" s="141" t="s">
        <v>29</v>
      </c>
      <c r="B30" s="218" t="s">
        <v>459</v>
      </c>
      <c r="C30" s="166">
        <v>13</v>
      </c>
      <c r="D30" s="168">
        <v>4</v>
      </c>
      <c r="E30" s="164">
        <v>1</v>
      </c>
      <c r="F30" s="129">
        <f>AVERAGE(X30,H30,J30,G30,K30,M30,N30,O30,R30,S30,T30,U30,V30,Y30)</f>
        <v>4.9285714285714288</v>
      </c>
      <c r="G30" s="213">
        <v>5</v>
      </c>
      <c r="H30" s="128">
        <v>4</v>
      </c>
      <c r="I30" s="108" t="s">
        <v>153</v>
      </c>
      <c r="J30" s="108">
        <v>5</v>
      </c>
      <c r="K30" s="108">
        <v>6</v>
      </c>
      <c r="L30" s="108" t="s">
        <v>153</v>
      </c>
      <c r="M30" s="38">
        <v>5</v>
      </c>
      <c r="N30" s="108">
        <v>4</v>
      </c>
      <c r="O30" s="283">
        <v>7</v>
      </c>
      <c r="P30" s="70"/>
      <c r="Q30" s="128"/>
      <c r="R30" s="128">
        <v>5</v>
      </c>
      <c r="S30" s="128">
        <v>4</v>
      </c>
      <c r="T30" s="108">
        <v>4</v>
      </c>
      <c r="U30" s="128">
        <v>5</v>
      </c>
      <c r="V30" s="128">
        <v>4</v>
      </c>
      <c r="W30" s="108" t="s">
        <v>153</v>
      </c>
      <c r="X30" s="128">
        <v>6</v>
      </c>
      <c r="Y30" s="128">
        <v>5</v>
      </c>
      <c r="Z30" s="128"/>
      <c r="AA30" s="108"/>
      <c r="AB30" s="128"/>
      <c r="AC30" s="128"/>
      <c r="AD30" s="128"/>
      <c r="AE30" s="38"/>
      <c r="AF30" s="128"/>
      <c r="AG30" s="128"/>
      <c r="AH30" s="38"/>
      <c r="AI30" s="128"/>
      <c r="AJ30" s="62"/>
      <c r="AK30" s="38"/>
      <c r="AL30" s="38"/>
      <c r="AM30" s="108"/>
      <c r="AN30" s="38"/>
      <c r="AO30" s="38"/>
      <c r="AP30" s="38"/>
      <c r="AQ30" s="38"/>
      <c r="AR30" s="38"/>
    </row>
    <row r="31" spans="1:44" x14ac:dyDescent="0.25">
      <c r="A31" s="14" t="s">
        <v>29</v>
      </c>
      <c r="B31" s="217" t="s">
        <v>675</v>
      </c>
      <c r="C31" s="170"/>
      <c r="D31" s="171">
        <v>1</v>
      </c>
      <c r="E31" s="172"/>
      <c r="F31" s="34"/>
      <c r="G31" s="213"/>
      <c r="H31" s="128"/>
      <c r="I31" s="108"/>
      <c r="J31" s="108"/>
      <c r="K31" s="108"/>
      <c r="L31" s="108" t="s">
        <v>153</v>
      </c>
      <c r="M31" s="38"/>
      <c r="N31" s="108"/>
      <c r="O31" s="128"/>
      <c r="P31" s="70"/>
      <c r="Q31" s="128"/>
      <c r="R31" s="128"/>
      <c r="S31" s="128"/>
      <c r="T31" s="108"/>
      <c r="U31" s="128"/>
      <c r="V31" s="128"/>
      <c r="W31" s="108"/>
      <c r="X31" s="128"/>
      <c r="Y31" s="128"/>
      <c r="Z31" s="128"/>
      <c r="AA31" s="108"/>
      <c r="AB31" s="128"/>
      <c r="AC31" s="128"/>
      <c r="AD31" s="128"/>
      <c r="AE31" s="38"/>
      <c r="AF31" s="128"/>
      <c r="AG31" s="128"/>
      <c r="AH31" s="38"/>
      <c r="AI31" s="128"/>
      <c r="AJ31" s="62"/>
      <c r="AK31" s="38"/>
      <c r="AL31" s="38"/>
      <c r="AM31" s="108"/>
      <c r="AN31" s="38"/>
      <c r="AO31" s="38"/>
      <c r="AP31" s="38"/>
      <c r="AQ31" s="38"/>
      <c r="AR31" s="38"/>
    </row>
    <row r="32" spans="1:44" x14ac:dyDescent="0.25">
      <c r="A32" s="179" t="s">
        <v>30</v>
      </c>
      <c r="B32" s="218" t="s">
        <v>530</v>
      </c>
      <c r="C32" s="185">
        <v>2</v>
      </c>
      <c r="D32" s="64">
        <v>8</v>
      </c>
      <c r="E32" s="187"/>
      <c r="F32" s="129">
        <f>AVERAGE(K32,Y32)</f>
        <v>4</v>
      </c>
      <c r="G32" s="199"/>
      <c r="H32" s="180"/>
      <c r="I32" s="204" t="s">
        <v>153</v>
      </c>
      <c r="J32" s="204" t="s">
        <v>153</v>
      </c>
      <c r="K32" s="204">
        <v>4</v>
      </c>
      <c r="L32" s="204"/>
      <c r="M32" s="64"/>
      <c r="N32" s="204"/>
      <c r="O32" s="204"/>
      <c r="P32" s="70"/>
      <c r="Q32" s="70"/>
      <c r="R32" s="204"/>
      <c r="S32" s="204" t="s">
        <v>153</v>
      </c>
      <c r="T32" s="204" t="s">
        <v>153</v>
      </c>
      <c r="U32" s="204" t="s">
        <v>153</v>
      </c>
      <c r="V32" s="204" t="s">
        <v>153</v>
      </c>
      <c r="W32" s="192"/>
      <c r="X32" s="204" t="s">
        <v>153</v>
      </c>
      <c r="Y32" s="70">
        <v>4</v>
      </c>
      <c r="Z32" s="192"/>
      <c r="AA32" s="192"/>
      <c r="AB32" s="180"/>
      <c r="AC32" s="180"/>
      <c r="AD32" s="180"/>
      <c r="AE32" s="182"/>
      <c r="AF32" s="180"/>
      <c r="AG32" s="180"/>
      <c r="AH32" s="182"/>
      <c r="AI32" s="180"/>
      <c r="AJ32" s="181"/>
      <c r="AK32" s="182"/>
      <c r="AL32" s="182"/>
      <c r="AM32" s="192"/>
      <c r="AN32" s="182"/>
      <c r="AO32" s="182"/>
      <c r="AP32" s="182"/>
      <c r="AQ32" s="182"/>
      <c r="AR32" s="182"/>
    </row>
    <row r="33" spans="1:44" x14ac:dyDescent="0.25">
      <c r="A33" s="141" t="s">
        <v>30</v>
      </c>
      <c r="B33" s="218" t="s">
        <v>455</v>
      </c>
      <c r="C33" s="166">
        <v>2</v>
      </c>
      <c r="D33" s="168">
        <v>7</v>
      </c>
      <c r="E33" s="164"/>
      <c r="F33" s="129">
        <f>AVERAGE(L33,M33)</f>
        <v>4</v>
      </c>
      <c r="G33" s="213" t="s">
        <v>153</v>
      </c>
      <c r="H33" s="128"/>
      <c r="I33" s="108"/>
      <c r="J33" s="108"/>
      <c r="K33" s="108" t="s">
        <v>153</v>
      </c>
      <c r="L33" s="204">
        <v>4</v>
      </c>
      <c r="M33" s="38">
        <v>4</v>
      </c>
      <c r="N33" s="108"/>
      <c r="O33" s="108" t="s">
        <v>153</v>
      </c>
      <c r="P33" s="204" t="s">
        <v>153</v>
      </c>
      <c r="Q33" s="204" t="s">
        <v>153</v>
      </c>
      <c r="R33" s="108" t="s">
        <v>153</v>
      </c>
      <c r="S33" s="108" t="s">
        <v>153</v>
      </c>
      <c r="T33" s="108"/>
      <c r="U33" s="128"/>
      <c r="V33" s="128"/>
      <c r="W33" s="57"/>
      <c r="X33" s="128"/>
      <c r="Y33" s="108" t="s">
        <v>153</v>
      </c>
      <c r="Z33" s="128"/>
      <c r="AA33" s="108"/>
      <c r="AB33" s="69"/>
      <c r="AC33" s="128"/>
      <c r="AD33" s="128"/>
      <c r="AE33" s="38"/>
      <c r="AF33" s="128"/>
      <c r="AG33" s="128"/>
      <c r="AH33" s="38"/>
      <c r="AI33" s="128"/>
      <c r="AJ33" s="62"/>
      <c r="AK33" s="38"/>
      <c r="AL33" s="38"/>
      <c r="AM33" s="108"/>
      <c r="AN33" s="38"/>
      <c r="AO33" s="38"/>
      <c r="AP33" s="38"/>
      <c r="AQ33" s="38"/>
      <c r="AR33" s="38"/>
    </row>
    <row r="34" spans="1:44" x14ac:dyDescent="0.25">
      <c r="A34" s="141" t="s">
        <v>30</v>
      </c>
      <c r="B34" s="77" t="s">
        <v>512</v>
      </c>
      <c r="C34" s="166">
        <v>7</v>
      </c>
      <c r="D34" s="168">
        <v>2</v>
      </c>
      <c r="E34" s="164"/>
      <c r="F34" s="129">
        <f>AVERAGE(I34,K34,L34,N34,O34,P34,Q34)</f>
        <v>4.7142857142857144</v>
      </c>
      <c r="G34" s="213"/>
      <c r="H34" s="108" t="s">
        <v>153</v>
      </c>
      <c r="I34" s="290">
        <v>7</v>
      </c>
      <c r="J34" s="108" t="s">
        <v>153</v>
      </c>
      <c r="K34" s="108">
        <v>5</v>
      </c>
      <c r="L34" s="204">
        <v>5</v>
      </c>
      <c r="M34" s="38"/>
      <c r="N34" s="108">
        <v>4</v>
      </c>
      <c r="O34" s="128">
        <v>4</v>
      </c>
      <c r="P34" s="70">
        <v>4</v>
      </c>
      <c r="Q34" s="70">
        <v>4</v>
      </c>
      <c r="R34" s="128"/>
      <c r="S34" s="108"/>
      <c r="T34" s="108"/>
      <c r="U34" s="128"/>
      <c r="V34" s="128"/>
      <c r="W34" s="57"/>
      <c r="X34" s="128"/>
      <c r="Y34" s="108"/>
      <c r="Z34" s="128"/>
      <c r="AA34" s="108"/>
      <c r="AB34" s="69"/>
      <c r="AC34" s="108"/>
      <c r="AD34" s="128"/>
      <c r="AE34" s="66"/>
      <c r="AF34" s="69"/>
      <c r="AG34" s="69"/>
      <c r="AH34" s="38"/>
      <c r="AI34" s="108"/>
      <c r="AJ34" s="62"/>
      <c r="AK34" s="67"/>
      <c r="AL34" s="38"/>
      <c r="AM34" s="108"/>
      <c r="AN34" s="38"/>
      <c r="AO34" s="62"/>
      <c r="AP34" s="38"/>
      <c r="AQ34" s="38"/>
      <c r="AR34" s="62"/>
    </row>
    <row r="35" spans="1:44" x14ac:dyDescent="0.25">
      <c r="A35" s="141" t="s">
        <v>30</v>
      </c>
      <c r="B35" s="77" t="s">
        <v>513</v>
      </c>
      <c r="C35" s="166"/>
      <c r="D35" s="168">
        <v>1</v>
      </c>
      <c r="E35" s="164"/>
      <c r="F35" s="129"/>
      <c r="G35" s="213"/>
      <c r="H35" s="108" t="s">
        <v>153</v>
      </c>
      <c r="I35" s="108"/>
      <c r="J35" s="128"/>
      <c r="K35" s="108"/>
      <c r="L35" s="57"/>
      <c r="M35" s="38"/>
      <c r="N35" s="108"/>
      <c r="O35" s="128"/>
      <c r="P35" s="70"/>
      <c r="Q35" s="69"/>
      <c r="R35" s="128"/>
      <c r="S35" s="108"/>
      <c r="T35" s="108"/>
      <c r="U35" s="128"/>
      <c r="V35" s="128"/>
      <c r="W35" s="57"/>
      <c r="X35" s="128"/>
      <c r="Y35" s="108"/>
      <c r="Z35" s="128"/>
      <c r="AA35" s="108"/>
      <c r="AB35" s="69"/>
      <c r="AC35" s="108"/>
      <c r="AD35" s="128"/>
      <c r="AE35" s="66"/>
      <c r="AF35" s="69"/>
      <c r="AG35" s="69"/>
      <c r="AH35" s="38"/>
      <c r="AI35" s="108"/>
      <c r="AJ35" s="62"/>
      <c r="AK35" s="67"/>
      <c r="AL35" s="38"/>
      <c r="AM35" s="108"/>
      <c r="AN35" s="38"/>
      <c r="AO35" s="62"/>
      <c r="AP35" s="38"/>
      <c r="AQ35" s="38"/>
      <c r="AR35" s="62"/>
    </row>
    <row r="36" spans="1:44" x14ac:dyDescent="0.25">
      <c r="A36" s="121" t="s">
        <v>30</v>
      </c>
      <c r="B36" s="77" t="s">
        <v>445</v>
      </c>
      <c r="C36" s="166"/>
      <c r="D36" s="168">
        <v>1</v>
      </c>
      <c r="E36" s="164"/>
      <c r="F36" s="129"/>
      <c r="G36" s="213"/>
      <c r="H36" s="108"/>
      <c r="I36" s="108"/>
      <c r="J36" s="128"/>
      <c r="K36" s="108"/>
      <c r="L36" s="57"/>
      <c r="M36" s="38"/>
      <c r="N36" s="108"/>
      <c r="O36" s="128"/>
      <c r="P36" s="70"/>
      <c r="Q36" s="69"/>
      <c r="R36" s="128"/>
      <c r="S36" s="108" t="s">
        <v>153</v>
      </c>
      <c r="T36" s="108"/>
      <c r="U36" s="128"/>
      <c r="V36" s="128"/>
      <c r="W36" s="57"/>
      <c r="X36" s="128"/>
      <c r="Y36" s="108"/>
      <c r="Z36" s="128"/>
      <c r="AA36" s="108"/>
      <c r="AB36" s="69"/>
      <c r="AC36" s="108"/>
      <c r="AD36" s="128"/>
      <c r="AE36" s="66"/>
      <c r="AF36" s="69"/>
      <c r="AG36" s="69"/>
      <c r="AH36" s="38"/>
      <c r="AI36" s="108"/>
      <c r="AJ36" s="62"/>
      <c r="AK36" s="67"/>
      <c r="AL36" s="38"/>
      <c r="AM36" s="108"/>
      <c r="AN36" s="38"/>
      <c r="AO36" s="62"/>
      <c r="AP36" s="38"/>
      <c r="AQ36" s="38"/>
      <c r="AR36" s="62"/>
    </row>
    <row r="37" spans="1:44" ht="15.75" thickBot="1" x14ac:dyDescent="0.3">
      <c r="A37" s="4" t="s">
        <v>30</v>
      </c>
      <c r="B37" s="197" t="s">
        <v>462</v>
      </c>
      <c r="C37" s="167">
        <v>14</v>
      </c>
      <c r="D37" s="169"/>
      <c r="E37" s="165">
        <v>2</v>
      </c>
      <c r="F37" s="33">
        <f>AVERAGE(X37,H37,I37,J37,G37,P37,Q37,R37,S37,T37,U37,V37,W37,Y37)</f>
        <v>4.6428571428571432</v>
      </c>
      <c r="G37" s="198">
        <v>6</v>
      </c>
      <c r="H37" s="128">
        <v>5</v>
      </c>
      <c r="I37" s="108">
        <v>4</v>
      </c>
      <c r="J37" s="128">
        <v>4</v>
      </c>
      <c r="K37" s="108"/>
      <c r="L37" s="108"/>
      <c r="M37" s="38"/>
      <c r="N37" s="108"/>
      <c r="O37" s="128"/>
      <c r="P37" s="70">
        <v>5</v>
      </c>
      <c r="Q37" s="128">
        <v>5</v>
      </c>
      <c r="R37" s="128">
        <v>5</v>
      </c>
      <c r="S37" s="108">
        <v>4</v>
      </c>
      <c r="T37" s="108">
        <v>4</v>
      </c>
      <c r="U37" s="69">
        <v>6</v>
      </c>
      <c r="V37" s="128">
        <v>4</v>
      </c>
      <c r="W37" s="108">
        <v>5</v>
      </c>
      <c r="X37" s="128">
        <v>4</v>
      </c>
      <c r="Y37" s="108">
        <v>4</v>
      </c>
      <c r="Z37" s="128"/>
      <c r="AA37" s="57"/>
      <c r="AB37" s="69"/>
      <c r="AC37" s="128"/>
      <c r="AD37" s="69"/>
      <c r="AE37" s="38"/>
      <c r="AF37" s="128"/>
      <c r="AG37" s="108"/>
      <c r="AH37" s="66"/>
      <c r="AI37" s="128"/>
      <c r="AJ37" s="62"/>
      <c r="AK37" s="38"/>
      <c r="AL37" s="38"/>
      <c r="AM37" s="108"/>
      <c r="AN37" s="62"/>
      <c r="AO37" s="38"/>
      <c r="AP37" s="66"/>
      <c r="AQ37" s="66"/>
      <c r="AR37" s="38"/>
    </row>
    <row r="38" spans="1:44" x14ac:dyDescent="0.25">
      <c r="G38" s="155">
        <f>AVERAGE(G8,G13,G15,G16,G19,G22,G26,G28,G29,G30,G37)</f>
        <v>5.8181818181818183</v>
      </c>
      <c r="H38" s="155">
        <f>AVERAGE(H8,H13,H15,H16,H19,H22,H26,H28,H29,H30,H37)</f>
        <v>5.1818181818181817</v>
      </c>
      <c r="I38" s="142">
        <f>AVERAGE(I8,I13,I15,I16,I19,I22,I26,I28,I29,I34,I37)</f>
        <v>5.4545454545454541</v>
      </c>
      <c r="J38" s="155">
        <f>AVERAGE(J8,J13,J16,J19,J22,J25,J26,J28,J29,J30,J37)</f>
        <v>4.5454545454545459</v>
      </c>
      <c r="K38" s="142">
        <f>AVERAGE(K8,K13,K15,K16,K19,K26,K29,K30,K32,K34,K22)</f>
        <v>4.5454545454545459</v>
      </c>
      <c r="L38" s="142">
        <f>AVERAGE(L8,L13,L15,L16,L19,L22,L26,L29,L33,L34)</f>
        <v>5.3</v>
      </c>
      <c r="M38" s="155">
        <f>AVERAGE(M8,M13,M15,M16,M18,M19,M22,M26,M27,M29,M33)</f>
        <v>5</v>
      </c>
      <c r="N38" s="142">
        <f>AVERAGE(N8,N11,N13,N15,N16,N19,N22,N26,N29,N30,N34)</f>
        <v>4.9090909090909092</v>
      </c>
      <c r="O38" s="142">
        <f>AVERAGE(O8,O13,O15,O16,O19,O22,O26,O28,O29,O30,O34)</f>
        <v>5.1818181818181817</v>
      </c>
      <c r="P38" s="142">
        <f>AVERAGE(P8,P13,P15,P16,P18,P19,P22,P26,P28,P34,P37)</f>
        <v>4.9090909090909092</v>
      </c>
      <c r="Q38" s="142">
        <f>AVERAGE(Q8,Q13,Q15,Q16,Q19,Q22,Q26,Q28,Q29,Q34,Q37)</f>
        <v>5</v>
      </c>
      <c r="R38" s="142">
        <f>AVERAGE(R8,R13,R15,R16,R19,R22,R26,R29,R28,R30,R37)</f>
        <v>4.5454545454545459</v>
      </c>
      <c r="S38" s="142">
        <f>AVERAGE(S8,S15,S16,S18,S19,S22,S26,S28,S29,S30,S37)</f>
        <v>4.5454545454545459</v>
      </c>
      <c r="T38" s="142">
        <f>AVERAGE(T8,T11,T13,T15,T16,T22,T26,T28,T29,T30,T37)</f>
        <v>5.0909090909090908</v>
      </c>
      <c r="U38" s="142">
        <f>AVERAGE(U8,U13,U15,U16,U19,U22,U26,U28,U29,U30,U37)</f>
        <v>5.5454545454545459</v>
      </c>
      <c r="V38" s="142">
        <f>AVERAGE(V8,V13,V15,V16,V19,V22,V26,V28,V29,V30,V37)</f>
        <v>5.0909090909090908</v>
      </c>
      <c r="W38" s="142">
        <f>AVERAGE(W8,W10,W11,W13,W15,W16,W18,W19,W28,W29,W37)</f>
        <v>5.3636363636363633</v>
      </c>
      <c r="X38" s="142">
        <f>AVERAGE(X8,X10,X13,X15,X16,X19,X22,X28,X29,X30,X37)</f>
        <v>4.9090909090909092</v>
      </c>
      <c r="Y38" s="142">
        <f>AVERAGE(Y8,Y13,Y15,Y16,Y22,Y26,Y28,Y29,Y30,Y32,Y37)</f>
        <v>4.2727272727272725</v>
      </c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</row>
  </sheetData>
  <mergeCells count="1">
    <mergeCell ref="C6:E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1</vt:i4>
      </vt:variant>
    </vt:vector>
  </HeadingPairs>
  <TitlesOfParts>
    <vt:vector size="22" baseType="lpstr">
      <vt:lpstr>Règles</vt:lpstr>
      <vt:lpstr>OM</vt:lpstr>
      <vt:lpstr>OL</vt:lpstr>
      <vt:lpstr>PSG</vt:lpstr>
      <vt:lpstr>OGCN</vt:lpstr>
      <vt:lpstr>ASSE</vt:lpstr>
      <vt:lpstr>Losc</vt:lpstr>
      <vt:lpstr>FCGB</vt:lpstr>
      <vt:lpstr>FCL</vt:lpstr>
      <vt:lpstr>MHSC</vt:lpstr>
      <vt:lpstr>TFC</vt:lpstr>
      <vt:lpstr>SCB</vt:lpstr>
      <vt:lpstr>SRFC</vt:lpstr>
      <vt:lpstr>SR</vt:lpstr>
      <vt:lpstr>FCN</vt:lpstr>
      <vt:lpstr>ASM</vt:lpstr>
      <vt:lpstr>EAG</vt:lpstr>
      <vt:lpstr>SMC</vt:lpstr>
      <vt:lpstr>ESTAC</vt:lpstr>
      <vt:lpstr>GFCA</vt:lpstr>
      <vt:lpstr>SCO</vt:lpstr>
      <vt:lpstr>OL!Zone_d_impression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Hippolyte Durix</cp:lastModifiedBy>
  <dcterms:created xsi:type="dcterms:W3CDTF">2013-08-01T19:23:11Z</dcterms:created>
  <dcterms:modified xsi:type="dcterms:W3CDTF">2016-01-05T12:16:17Z</dcterms:modified>
</cp:coreProperties>
</file>